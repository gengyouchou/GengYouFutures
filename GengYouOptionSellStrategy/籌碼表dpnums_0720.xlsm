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1412\Documents\"/>
    </mc:Choice>
  </mc:AlternateContent>
  <xr:revisionPtr revIDLastSave="0" documentId="13_ncr:1_{C3D30ECA-B69A-40E4-AAA9-BD0E26170D18}" xr6:coauthVersionLast="47" xr6:coauthVersionMax="47" xr10:uidLastSave="{00000000-0000-0000-0000-000000000000}"/>
  <bookViews>
    <workbookView xWindow="-110" yWindow="-110" windowWidth="19420" windowHeight="11500" firstSheet="5" activeTab="12" xr2:uid="{CE98851A-08CC-4DC3-81D0-23DFE053B24B}"/>
  </bookViews>
  <sheets>
    <sheet name="CallPut(週三)" sheetId="1" state="hidden" r:id="rId1"/>
    <sheet name="CallPut(週五)" sheetId="12" state="hidden" r:id="rId2"/>
    <sheet name="籌碼表_CallPut(3+5)" sheetId="10" state="hidden" r:id="rId3"/>
    <sheet name="損意圖(3+5)" sheetId="2" state="hidden" r:id="rId4"/>
    <sheet name="損益(結算價3+5)" sheetId="4" state="hidden" r:id="rId5"/>
    <sheet name="callPut（W）" sheetId="14" r:id="rId6"/>
    <sheet name="callPut（F）" sheetId="16" r:id="rId7"/>
    <sheet name="籌碼表(W+F)" sheetId="17" r:id="rId8"/>
    <sheet name="損益計算(W+F)" sheetId="18" state="hidden" r:id="rId9"/>
    <sheet name="損意圖(W+F)" sheetId="19" r:id="rId10"/>
    <sheet name="商品損益圖" sheetId="21" r:id="rId11"/>
    <sheet name="結算價確認" sheetId="22" r:id="rId12"/>
    <sheet name="權利金變化" sheetId="20" r:id="rId13"/>
    <sheet name="商品名稱" sheetId="5" r:id="rId14"/>
    <sheet name="參考" sheetId="6" state="hidden" r:id="rId15"/>
    <sheet name="損益買賣方" sheetId="3" state="hidden" r:id="rId16"/>
  </sheets>
  <functionGroups builtInGroupCount="19"/>
  <externalReferences>
    <externalReference r:id="rId17"/>
  </externalReferences>
  <definedNames>
    <definedName name="_xlnm._FilterDatabase" localSheetId="6" hidden="1">'callPut（F）'!$B$1:$N$292</definedName>
    <definedName name="_xlnm._FilterDatabase" localSheetId="5" hidden="1">'callPut（W）'!$B$1:$N$292</definedName>
    <definedName name="_xlnm._FilterDatabase" localSheetId="12" hidden="1">權利金變化!$U$2:$V$2</definedName>
    <definedName name="_xleta.IFERROR" hidden="1" xlm="1">#NAME?</definedName>
    <definedName name="_xleta.PRICE" hidden="1" xlm="1">#NAME?</definedName>
    <definedName name="_xlnm.Print_Area" localSheetId="3">'損意圖(3+5)'!$A$1:$V$47</definedName>
    <definedName name="_xlnm.Print_Area" localSheetId="9">'損意圖(W+F)'!$A$1:$V$47</definedName>
    <definedName name="_xlnm.Print_Area" localSheetId="7">'籌碼表(W+F)'!$A$1:$N$295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8" i="20" l="1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AD2222" i="20"/>
  <c r="AD2223" i="20"/>
  <c r="AD2224" i="20"/>
  <c r="AD2225" i="20"/>
  <c r="AD2226" i="20"/>
  <c r="AD2227" i="20"/>
  <c r="AD2228" i="20"/>
  <c r="AD2229" i="20"/>
  <c r="AD2230" i="20"/>
  <c r="AD2231" i="20"/>
  <c r="AD2232" i="20"/>
  <c r="AD2233" i="20"/>
  <c r="AD2234" i="20"/>
  <c r="AD2235" i="20"/>
  <c r="AD2236" i="20"/>
  <c r="AD2237" i="20"/>
  <c r="AD2238" i="20"/>
  <c r="AD2239" i="20"/>
  <c r="AD2240" i="20"/>
  <c r="AD2241" i="20"/>
  <c r="AD2242" i="20"/>
  <c r="AD2243" i="20"/>
  <c r="AD2244" i="20"/>
  <c r="AD2245" i="20"/>
  <c r="AD2246" i="20"/>
  <c r="AD2247" i="20"/>
  <c r="AD2248" i="20"/>
  <c r="AD2249" i="20"/>
  <c r="AD2250" i="20"/>
  <c r="AD2251" i="20"/>
  <c r="AD2252" i="20"/>
  <c r="AD2253" i="20"/>
  <c r="AD2254" i="20"/>
  <c r="AD2255" i="20"/>
  <c r="AD2256" i="20"/>
  <c r="AD2257" i="20"/>
  <c r="AD2258" i="20"/>
  <c r="AD2259" i="20"/>
  <c r="AD2260" i="20"/>
  <c r="AD2261" i="20"/>
  <c r="AD2262" i="20"/>
  <c r="AD2263" i="20"/>
  <c r="AD2264" i="20"/>
  <c r="AD2265" i="20"/>
  <c r="AD2266" i="20"/>
  <c r="AD2267" i="20"/>
  <c r="AD2268" i="20"/>
  <c r="AD2269" i="20"/>
  <c r="AD2270" i="20"/>
  <c r="AD2271" i="20"/>
  <c r="AD2272" i="20"/>
  <c r="AD2273" i="20"/>
  <c r="AD2274" i="20"/>
  <c r="AD2275" i="20"/>
  <c r="AD2276" i="20"/>
  <c r="AD2277" i="20"/>
  <c r="AD2278" i="20"/>
  <c r="AD2279" i="20"/>
  <c r="AD2280" i="20"/>
  <c r="AD2281" i="20"/>
  <c r="AD2282" i="20"/>
  <c r="AD2283" i="20"/>
  <c r="AD2284" i="20"/>
  <c r="AD2285" i="20"/>
  <c r="AD2286" i="20"/>
  <c r="AD2287" i="20"/>
  <c r="AD2288" i="20"/>
  <c r="AD2289" i="20"/>
  <c r="AD2290" i="20"/>
  <c r="AD2291" i="20"/>
  <c r="AD2292" i="20"/>
  <c r="AD2293" i="20"/>
  <c r="AD2294" i="20"/>
  <c r="AD2295" i="20"/>
  <c r="AD2296" i="20"/>
  <c r="AD2297" i="20"/>
  <c r="AD2298" i="20"/>
  <c r="AD2299" i="20"/>
  <c r="AD2300" i="20"/>
  <c r="AD2301" i="20"/>
  <c r="AD2302" i="20"/>
  <c r="AD2303" i="20"/>
  <c r="AD2304" i="20"/>
  <c r="AD2305" i="20"/>
  <c r="AD2306" i="20"/>
  <c r="AD2307" i="20"/>
  <c r="AD2308" i="20"/>
  <c r="AD2309" i="20"/>
  <c r="AD2310" i="20"/>
  <c r="AD2311" i="20"/>
  <c r="AD2312" i="20"/>
  <c r="AD2313" i="20"/>
  <c r="AD2314" i="20"/>
  <c r="AD2315" i="20"/>
  <c r="AD2316" i="20"/>
  <c r="AD2317" i="20"/>
  <c r="AD2318" i="20"/>
  <c r="AD2319" i="20"/>
  <c r="AD2320" i="20"/>
  <c r="AD2321" i="20"/>
  <c r="AD2322" i="20"/>
  <c r="AD2323" i="20"/>
  <c r="AD2324" i="20"/>
  <c r="AD2325" i="20"/>
  <c r="AD2326" i="20"/>
  <c r="AD2327" i="20"/>
  <c r="AD2328" i="20"/>
  <c r="AD2329" i="20"/>
  <c r="AD2330" i="20"/>
  <c r="AD2331" i="20"/>
  <c r="AD2332" i="20"/>
  <c r="AD2333" i="20"/>
  <c r="AD2334" i="20"/>
  <c r="AD2335" i="20"/>
  <c r="AD2336" i="20"/>
  <c r="AD2337" i="20"/>
  <c r="AD2338" i="20"/>
  <c r="AD2339" i="20"/>
  <c r="AD2340" i="20"/>
  <c r="AD2341" i="20"/>
  <c r="AD2342" i="20"/>
  <c r="AD2343" i="20"/>
  <c r="AD2344" i="20"/>
  <c r="AD2345" i="20"/>
  <c r="AD2346" i="20"/>
  <c r="AD2347" i="20"/>
  <c r="AD2348" i="20"/>
  <c r="AD2349" i="20"/>
  <c r="AD2350" i="20"/>
  <c r="AD2351" i="20"/>
  <c r="AD2352" i="20"/>
  <c r="AD2353" i="20"/>
  <c r="AD2354" i="20"/>
  <c r="AD2355" i="20"/>
  <c r="AD2356" i="20"/>
  <c r="AD2357" i="20"/>
  <c r="AD2358" i="20"/>
  <c r="AD2359" i="20"/>
  <c r="AD2360" i="20"/>
  <c r="AD2361" i="20"/>
  <c r="AD2362" i="20"/>
  <c r="AD2363" i="20"/>
  <c r="AD2364" i="20"/>
  <c r="AD2365" i="20"/>
  <c r="AD2366" i="20"/>
  <c r="AD2367" i="20"/>
  <c r="AD2368" i="20"/>
  <c r="AD2369" i="20"/>
  <c r="AD2370" i="20"/>
  <c r="AD2371" i="20"/>
  <c r="AD2372" i="20"/>
  <c r="AD2373" i="20"/>
  <c r="AD2374" i="20"/>
  <c r="AD2375" i="20"/>
  <c r="AD2376" i="20"/>
  <c r="AD2377" i="20"/>
  <c r="AD2378" i="20"/>
  <c r="AD2379" i="20"/>
  <c r="AD2380" i="20"/>
  <c r="AD2381" i="20"/>
  <c r="AD2382" i="20"/>
  <c r="AD2383" i="20"/>
  <c r="AD2384" i="20"/>
  <c r="AD2385" i="20"/>
  <c r="AD2386" i="20"/>
  <c r="AD2387" i="20"/>
  <c r="AD2388" i="20"/>
  <c r="AD2389" i="20"/>
  <c r="AD2390" i="20"/>
  <c r="AD2391" i="20"/>
  <c r="AD2392" i="20"/>
  <c r="AD2393" i="20"/>
  <c r="AD2394" i="20"/>
  <c r="AD2395" i="20"/>
  <c r="AD2396" i="20"/>
  <c r="AD2397" i="20"/>
  <c r="AD2398" i="20"/>
  <c r="AD2399" i="20"/>
  <c r="AD2400" i="20"/>
  <c r="AD2401" i="20"/>
  <c r="AD2402" i="20"/>
  <c r="AD2403" i="20"/>
  <c r="AD2404" i="20"/>
  <c r="AD2405" i="20"/>
  <c r="AD2406" i="20"/>
  <c r="AD2407" i="20"/>
  <c r="AD2408" i="20"/>
  <c r="AD2409" i="20"/>
  <c r="AD2410" i="20"/>
  <c r="AD2411" i="20"/>
  <c r="AD2412" i="20"/>
  <c r="AD2413" i="20"/>
  <c r="AD2414" i="20"/>
  <c r="AD2415" i="20"/>
  <c r="AD2416" i="20"/>
  <c r="AD2417" i="20"/>
  <c r="AD2418" i="20"/>
  <c r="AD2419" i="20"/>
  <c r="AD2420" i="20"/>
  <c r="AD2421" i="20"/>
  <c r="AD2422" i="20"/>
  <c r="AD2423" i="20"/>
  <c r="AD2424" i="20"/>
  <c r="AD2425" i="20"/>
  <c r="AD2426" i="20"/>
  <c r="AD2427" i="20"/>
  <c r="AD2428" i="20"/>
  <c r="AD2429" i="20"/>
  <c r="AD2430" i="20"/>
  <c r="AD2431" i="20"/>
  <c r="AD2432" i="20"/>
  <c r="AD2433" i="20"/>
  <c r="AD2434" i="20"/>
  <c r="AD2435" i="20"/>
  <c r="AD2436" i="20"/>
  <c r="AD2437" i="20"/>
  <c r="AD2438" i="20"/>
  <c r="AD2439" i="20"/>
  <c r="AD2440" i="20"/>
  <c r="AD2441" i="20"/>
  <c r="AD2442" i="20"/>
  <c r="AD2443" i="20"/>
  <c r="AD2444" i="20"/>
  <c r="AD2445" i="20"/>
  <c r="AD2446" i="20"/>
  <c r="AD2447" i="20"/>
  <c r="AD2448" i="20"/>
  <c r="AD2449" i="20"/>
  <c r="AD2450" i="20"/>
  <c r="AD2451" i="20"/>
  <c r="AD2452" i="20"/>
  <c r="AD2453" i="20"/>
  <c r="AD2454" i="20"/>
  <c r="AD2455" i="20"/>
  <c r="AD2456" i="20"/>
  <c r="AD2457" i="20"/>
  <c r="AD2458" i="20"/>
  <c r="AD2459" i="20"/>
  <c r="AD2460" i="20"/>
  <c r="AD2461" i="20"/>
  <c r="AD2462" i="20"/>
  <c r="AD2463" i="20"/>
  <c r="AD2464" i="20"/>
  <c r="AD2465" i="20"/>
  <c r="AD2466" i="20"/>
  <c r="AD2467" i="20"/>
  <c r="AD2468" i="20"/>
  <c r="AD2469" i="20"/>
  <c r="AD2470" i="20"/>
  <c r="AD2471" i="20"/>
  <c r="AD2472" i="20"/>
  <c r="AD2473" i="20"/>
  <c r="AD2474" i="20"/>
  <c r="AD2475" i="20"/>
  <c r="AD2476" i="20"/>
  <c r="AD2477" i="20"/>
  <c r="AD2478" i="20"/>
  <c r="AD2479" i="20"/>
  <c r="AD2480" i="20"/>
  <c r="AD2481" i="20"/>
  <c r="AD2482" i="20"/>
  <c r="AD2483" i="20"/>
  <c r="AD2484" i="20"/>
  <c r="AD2485" i="20"/>
  <c r="AD2486" i="20"/>
  <c r="AD2487" i="20"/>
  <c r="AD2488" i="20"/>
  <c r="AD2489" i="20"/>
  <c r="AD2490" i="20"/>
  <c r="AD2491" i="20"/>
  <c r="AD2492" i="20"/>
  <c r="AD2493" i="20"/>
  <c r="AD2494" i="20"/>
  <c r="AD2495" i="20"/>
  <c r="AD2496" i="20"/>
  <c r="AD2497" i="20"/>
  <c r="AD2498" i="20"/>
  <c r="AD2499" i="20"/>
  <c r="AD2500" i="20"/>
  <c r="AD2501" i="20"/>
  <c r="AD2502" i="20"/>
  <c r="AD2503" i="20"/>
  <c r="AD2504" i="20"/>
  <c r="AD2505" i="20"/>
  <c r="AD2506" i="20"/>
  <c r="AD2507" i="20"/>
  <c r="AD2508" i="20"/>
  <c r="AD2509" i="20"/>
  <c r="AD2510" i="20"/>
  <c r="AD2511" i="20"/>
  <c r="AD2512" i="20"/>
  <c r="AD2513" i="20"/>
  <c r="AD2514" i="20"/>
  <c r="AD2515" i="20"/>
  <c r="AD2516" i="20"/>
  <c r="AD2517" i="20"/>
  <c r="AD2518" i="20"/>
  <c r="AD2519" i="20"/>
  <c r="AD2520" i="20"/>
  <c r="AD2521" i="20"/>
  <c r="AD2522" i="20"/>
  <c r="AD2523" i="20"/>
  <c r="AD2524" i="20"/>
  <c r="AD2525" i="20"/>
  <c r="AD2526" i="20"/>
  <c r="AD2527" i="20"/>
  <c r="AD2528" i="20"/>
  <c r="AD2529" i="20"/>
  <c r="AD2530" i="20"/>
  <c r="AD2531" i="20"/>
  <c r="AD2532" i="20"/>
  <c r="AD2533" i="20"/>
  <c r="AD2534" i="20"/>
  <c r="AD2535" i="20"/>
  <c r="AD2536" i="20"/>
  <c r="AD2537" i="20"/>
  <c r="AD2538" i="20"/>
  <c r="AD2539" i="20"/>
  <c r="AD2540" i="20"/>
  <c r="AD2541" i="20"/>
  <c r="AD2542" i="20"/>
  <c r="AD2543" i="20"/>
  <c r="AD2544" i="20"/>
  <c r="AD2545" i="20"/>
  <c r="AD2546" i="20"/>
  <c r="AD2547" i="20"/>
  <c r="AD2548" i="20"/>
  <c r="AD2549" i="20"/>
  <c r="AD2550" i="20"/>
  <c r="AD2551" i="20"/>
  <c r="AD2552" i="20"/>
  <c r="AD2553" i="20"/>
  <c r="AD2554" i="20"/>
  <c r="AD2555" i="20"/>
  <c r="AD2556" i="20"/>
  <c r="AD2557" i="20"/>
  <c r="AD2558" i="20"/>
  <c r="AD2559" i="20"/>
  <c r="AD2560" i="20"/>
  <c r="AD2561" i="20"/>
  <c r="AD2562" i="20"/>
  <c r="AD2563" i="20"/>
  <c r="AD2564" i="20"/>
  <c r="AD2565" i="20"/>
  <c r="AD2566" i="20"/>
  <c r="AD2567" i="20"/>
  <c r="AD2568" i="20"/>
  <c r="AD2569" i="20"/>
  <c r="AD2570" i="20"/>
  <c r="AD2571" i="20"/>
  <c r="AD2572" i="20"/>
  <c r="AD2573" i="20"/>
  <c r="AD2574" i="20"/>
  <c r="AD2575" i="20"/>
  <c r="AD2576" i="20"/>
  <c r="AD2577" i="20"/>
  <c r="AD2578" i="20"/>
  <c r="AD2579" i="20"/>
  <c r="AD2580" i="20"/>
  <c r="AD2581" i="20"/>
  <c r="AD2582" i="20"/>
  <c r="AD2583" i="20"/>
  <c r="AD2584" i="20"/>
  <c r="AD2585" i="20"/>
  <c r="AD2586" i="20"/>
  <c r="AD2587" i="20"/>
  <c r="AD2588" i="20"/>
  <c r="AD2589" i="20"/>
  <c r="AD2590" i="20"/>
  <c r="AD2591" i="20"/>
  <c r="AD2592" i="20"/>
  <c r="AD2593" i="20"/>
  <c r="AD2594" i="20"/>
  <c r="AD2595" i="20"/>
  <c r="AD2596" i="20"/>
  <c r="AD2597" i="20"/>
  <c r="AD2598" i="20"/>
  <c r="AD2599" i="20"/>
  <c r="AD2600" i="20"/>
  <c r="AD2601" i="20"/>
  <c r="AD2602" i="20"/>
  <c r="AD2603" i="20"/>
  <c r="AD2604" i="20"/>
  <c r="AD2605" i="20"/>
  <c r="AD2606" i="20"/>
  <c r="AD2607" i="20"/>
  <c r="AD2608" i="20"/>
  <c r="AD2609" i="20"/>
  <c r="AD2610" i="20"/>
  <c r="AD2611" i="20"/>
  <c r="AD2612" i="20"/>
  <c r="AD2613" i="20"/>
  <c r="AD2614" i="20"/>
  <c r="AD2615" i="20"/>
  <c r="AD2616" i="20"/>
  <c r="AD2617" i="20"/>
  <c r="AD2618" i="20"/>
  <c r="AD2619" i="20"/>
  <c r="AD2620" i="20"/>
  <c r="AD2621" i="20"/>
  <c r="AD2622" i="20"/>
  <c r="AD2623" i="20"/>
  <c r="AD2624" i="20"/>
  <c r="AD2625" i="20"/>
  <c r="AD2626" i="20"/>
  <c r="AD2627" i="20"/>
  <c r="AD2628" i="20"/>
  <c r="AD2629" i="20"/>
  <c r="AD2630" i="20"/>
  <c r="AD2631" i="20"/>
  <c r="AD2632" i="20"/>
  <c r="AD2633" i="20"/>
  <c r="AD2634" i="20"/>
  <c r="AD2635" i="20"/>
  <c r="AD2636" i="20"/>
  <c r="AD2637" i="20"/>
  <c r="AD2638" i="20"/>
  <c r="AD2639" i="20"/>
  <c r="AD2640" i="20"/>
  <c r="AD2641" i="20"/>
  <c r="AD2642" i="20"/>
  <c r="AD2643" i="20"/>
  <c r="AD2644" i="20"/>
  <c r="AD2645" i="20"/>
  <c r="AD2646" i="20"/>
  <c r="AD2647" i="20"/>
  <c r="AD2648" i="20"/>
  <c r="AD2649" i="20"/>
  <c r="AD2650" i="20"/>
  <c r="AD2651" i="20"/>
  <c r="AD2652" i="20"/>
  <c r="AD2653" i="20"/>
  <c r="AD2654" i="20"/>
  <c r="AD2655" i="20"/>
  <c r="AD2656" i="20"/>
  <c r="AD2657" i="20"/>
  <c r="AD2658" i="20"/>
  <c r="AD2659" i="20"/>
  <c r="AD2660" i="20"/>
  <c r="AD2661" i="20"/>
  <c r="AD2662" i="20"/>
  <c r="AD2663" i="20"/>
  <c r="AD2664" i="20"/>
  <c r="AD2665" i="20"/>
  <c r="AD2666" i="20"/>
  <c r="AD2667" i="20"/>
  <c r="AD2668" i="20"/>
  <c r="AD2669" i="20"/>
  <c r="AD2670" i="20"/>
  <c r="AD2671" i="20"/>
  <c r="AD2672" i="20"/>
  <c r="AD2673" i="20"/>
  <c r="AD2674" i="20"/>
  <c r="AD2675" i="20"/>
  <c r="AD2676" i="20"/>
  <c r="AD2677" i="20"/>
  <c r="AD2678" i="20"/>
  <c r="AD2679" i="20"/>
  <c r="AD2680" i="20"/>
  <c r="AD2681" i="20"/>
  <c r="AD2682" i="20"/>
  <c r="AD2683" i="20"/>
  <c r="AD2684" i="20"/>
  <c r="AD2685" i="20"/>
  <c r="AD2686" i="20"/>
  <c r="AD2687" i="20"/>
  <c r="AD2688" i="20"/>
  <c r="AD2689" i="20"/>
  <c r="AD2690" i="20"/>
  <c r="AD2691" i="20"/>
  <c r="AD2692" i="20"/>
  <c r="AD2693" i="20"/>
  <c r="AD2694" i="20"/>
  <c r="AD2695" i="20"/>
  <c r="AD2696" i="20"/>
  <c r="AD2697" i="20"/>
  <c r="AD2698" i="20"/>
  <c r="AD2699" i="20"/>
  <c r="AD2700" i="20"/>
  <c r="AD2701" i="20"/>
  <c r="AD2702" i="20"/>
  <c r="AD2703" i="20"/>
  <c r="AD2704" i="20"/>
  <c r="AD2705" i="20"/>
  <c r="AD2706" i="20"/>
  <c r="AD2707" i="20"/>
  <c r="AD2708" i="20"/>
  <c r="AD2709" i="20"/>
  <c r="AD2710" i="20"/>
  <c r="AD2711" i="20"/>
  <c r="AD2712" i="20"/>
  <c r="AD2713" i="20"/>
  <c r="AD2714" i="20"/>
  <c r="AD2715" i="20"/>
  <c r="AD2716" i="20"/>
  <c r="AD2717" i="20"/>
  <c r="AD2718" i="20"/>
  <c r="AD2719" i="20"/>
  <c r="AD2720" i="20"/>
  <c r="AD2721" i="20"/>
  <c r="AD2722" i="20"/>
  <c r="AD2723" i="20"/>
  <c r="AD2724" i="20"/>
  <c r="AD2725" i="20"/>
  <c r="AD2726" i="20"/>
  <c r="AD2727" i="20"/>
  <c r="AD2728" i="20"/>
  <c r="AD2729" i="20"/>
  <c r="AD2730" i="20"/>
  <c r="AD2731" i="20"/>
  <c r="AD2732" i="20"/>
  <c r="AD2733" i="20"/>
  <c r="AD2734" i="20"/>
  <c r="AD2735" i="20"/>
  <c r="AD2736" i="20"/>
  <c r="AD2737" i="20"/>
  <c r="AD2738" i="20"/>
  <c r="AD2739" i="20"/>
  <c r="AD2740" i="20"/>
  <c r="AD2741" i="20"/>
  <c r="AD2742" i="20"/>
  <c r="AD2743" i="20"/>
  <c r="AD2744" i="20"/>
  <c r="AD2745" i="20"/>
  <c r="AD2746" i="20"/>
  <c r="AD2747" i="20"/>
  <c r="AD2748" i="20"/>
  <c r="AD2749" i="20"/>
  <c r="AD2750" i="20"/>
  <c r="AD2751" i="20"/>
  <c r="AD2752" i="20"/>
  <c r="AD2753" i="20"/>
  <c r="AD2754" i="20"/>
  <c r="AD2755" i="20"/>
  <c r="AD2756" i="20"/>
  <c r="AD2757" i="20"/>
  <c r="AD2758" i="20"/>
  <c r="AD2759" i="20"/>
  <c r="AD2760" i="20"/>
  <c r="AD2761" i="20"/>
  <c r="AD2762" i="20"/>
  <c r="AD2763" i="20"/>
  <c r="AD2764" i="20"/>
  <c r="AD2765" i="20"/>
  <c r="AD2766" i="20"/>
  <c r="AD2767" i="20"/>
  <c r="AD2768" i="20"/>
  <c r="AD2769" i="20"/>
  <c r="AD2770" i="20"/>
  <c r="AD2771" i="20"/>
  <c r="AD2772" i="20"/>
  <c r="AD2773" i="20"/>
  <c r="AD2774" i="20"/>
  <c r="AD2775" i="20"/>
  <c r="AD2776" i="20"/>
  <c r="AD2777" i="20"/>
  <c r="AD2778" i="20"/>
  <c r="AD2779" i="20"/>
  <c r="AD2780" i="20"/>
  <c r="AD2781" i="20"/>
  <c r="AD2782" i="20"/>
  <c r="AD2783" i="20"/>
  <c r="AD2784" i="20"/>
  <c r="AD2785" i="20"/>
  <c r="AD2786" i="20"/>
  <c r="AD2787" i="20"/>
  <c r="AD2788" i="20"/>
  <c r="AD2789" i="20"/>
  <c r="AD2790" i="20"/>
  <c r="AD2791" i="20"/>
  <c r="AD2792" i="20"/>
  <c r="AD2793" i="20"/>
  <c r="AD2794" i="20"/>
  <c r="AD2795" i="20"/>
  <c r="AD2796" i="20"/>
  <c r="AD2797" i="20"/>
  <c r="AD2798" i="20"/>
  <c r="AD2799" i="20"/>
  <c r="AD2800" i="20"/>
  <c r="AD2801" i="20"/>
  <c r="AD2802" i="20"/>
  <c r="AD2803" i="20"/>
  <c r="AD2804" i="20"/>
  <c r="AD2805" i="20"/>
  <c r="AD2806" i="20"/>
  <c r="AD2807" i="20"/>
  <c r="AD2808" i="20"/>
  <c r="AD2809" i="20"/>
  <c r="AD2810" i="20"/>
  <c r="AD2811" i="20"/>
  <c r="AD2812" i="20"/>
  <c r="AD2813" i="20"/>
  <c r="AD2814" i="20"/>
  <c r="AD2815" i="20"/>
  <c r="AD2816" i="20"/>
  <c r="AD2817" i="20"/>
  <c r="AD2818" i="20"/>
  <c r="AD2819" i="20"/>
  <c r="AD2820" i="20"/>
  <c r="AD2821" i="20"/>
  <c r="AD2822" i="20"/>
  <c r="AD2823" i="20"/>
  <c r="AD2824" i="20"/>
  <c r="AD2825" i="20"/>
  <c r="AD2826" i="20"/>
  <c r="AD2827" i="20"/>
  <c r="AD2828" i="20"/>
  <c r="AD2829" i="20"/>
  <c r="AD2830" i="20"/>
  <c r="AD2831" i="20"/>
  <c r="AD2832" i="20"/>
  <c r="AD2833" i="20"/>
  <c r="AD2834" i="20"/>
  <c r="AD2835" i="20"/>
  <c r="AD2836" i="20"/>
  <c r="AD2837" i="20"/>
  <c r="AD2838" i="20"/>
  <c r="AD2839" i="20"/>
  <c r="AD2840" i="20"/>
  <c r="AD2841" i="20"/>
  <c r="AD2842" i="20"/>
  <c r="AD2843" i="20"/>
  <c r="AD2844" i="20"/>
  <c r="AD2845" i="20"/>
  <c r="AD2846" i="20"/>
  <c r="AD2847" i="20"/>
  <c r="AD2848" i="20"/>
  <c r="AD2849" i="20"/>
  <c r="AD2850" i="20"/>
  <c r="AD2851" i="20"/>
  <c r="AD2852" i="20"/>
  <c r="AD2853" i="20"/>
  <c r="AD2854" i="20"/>
  <c r="AD2855" i="20"/>
  <c r="AD2856" i="20"/>
  <c r="AD2857" i="20"/>
  <c r="AD2858" i="20"/>
  <c r="AD2859" i="20"/>
  <c r="AD2860" i="20"/>
  <c r="AD2861" i="20"/>
  <c r="AD2862" i="20"/>
  <c r="AD2863" i="20"/>
  <c r="AD2864" i="20"/>
  <c r="AD2865" i="20"/>
  <c r="AD2866" i="20"/>
  <c r="AD2867" i="20"/>
  <c r="AD2868" i="20"/>
  <c r="AD2869" i="20"/>
  <c r="AD2870" i="20"/>
  <c r="AD2871" i="20"/>
  <c r="AD2872" i="20"/>
  <c r="AD2873" i="20"/>
  <c r="AD2874" i="20"/>
  <c r="AD2875" i="20"/>
  <c r="AD2876" i="20"/>
  <c r="AD2877" i="20"/>
  <c r="AD2878" i="20"/>
  <c r="AD2879" i="20"/>
  <c r="AD2880" i="20"/>
  <c r="AD2881" i="20"/>
  <c r="AD2882" i="20"/>
  <c r="AD2883" i="20"/>
  <c r="AD2884" i="20"/>
  <c r="AD2885" i="20"/>
  <c r="AD2886" i="20"/>
  <c r="AD2887" i="20"/>
  <c r="AD2888" i="20"/>
  <c r="AD2889" i="20"/>
  <c r="AD2890" i="20"/>
  <c r="AD2891" i="20"/>
  <c r="AD2892" i="20"/>
  <c r="AD2893" i="20"/>
  <c r="AD2894" i="20"/>
  <c r="AD2895" i="20"/>
  <c r="AD2896" i="20"/>
  <c r="AD2897" i="20"/>
  <c r="AD2898" i="20"/>
  <c r="AD2899" i="20"/>
  <c r="AD2900" i="20"/>
  <c r="AD2901" i="20"/>
  <c r="AD2902" i="20"/>
  <c r="AD2903" i="20"/>
  <c r="AD2904" i="20"/>
  <c r="AD2905" i="20"/>
  <c r="AD2906" i="20"/>
  <c r="AD2907" i="20"/>
  <c r="AD2908" i="20"/>
  <c r="AD2909" i="20"/>
  <c r="AD2910" i="20"/>
  <c r="AD2911" i="20"/>
  <c r="AD2912" i="20"/>
  <c r="AD2913" i="20"/>
  <c r="AD2914" i="20"/>
  <c r="AD2915" i="20"/>
  <c r="AD2916" i="20"/>
  <c r="AD2917" i="20"/>
  <c r="AD2918" i="20"/>
  <c r="AD2919" i="20"/>
  <c r="AD2920" i="20"/>
  <c r="AD2921" i="20"/>
  <c r="AD2922" i="20"/>
  <c r="AD2923" i="20"/>
  <c r="AD2924" i="20"/>
  <c r="AD2925" i="20"/>
  <c r="AD2926" i="20"/>
  <c r="AD2927" i="20"/>
  <c r="AD2928" i="20"/>
  <c r="AD2929" i="20"/>
  <c r="AD2930" i="20"/>
  <c r="AD2931" i="20"/>
  <c r="AD2932" i="20"/>
  <c r="AD2933" i="20"/>
  <c r="AD2934" i="20"/>
  <c r="AD2935" i="20"/>
  <c r="AD2936" i="20"/>
  <c r="AD2937" i="20"/>
  <c r="AD2938" i="20"/>
  <c r="AD2939" i="20"/>
  <c r="AD2940" i="20"/>
  <c r="AD2941" i="20"/>
  <c r="AD2942" i="20"/>
  <c r="AD2943" i="20"/>
  <c r="AD2944" i="20"/>
  <c r="AD2945" i="20"/>
  <c r="AD2946" i="20"/>
  <c r="AD2947" i="20"/>
  <c r="AD2948" i="20"/>
  <c r="AD2949" i="20"/>
  <c r="AD2950" i="20"/>
  <c r="AD2951" i="20"/>
  <c r="AD2952" i="20"/>
  <c r="AD2953" i="20"/>
  <c r="AD2954" i="20"/>
  <c r="AD2955" i="20"/>
  <c r="AD2956" i="20"/>
  <c r="AD2957" i="20"/>
  <c r="AD2958" i="20"/>
  <c r="AD2959" i="20"/>
  <c r="AD2960" i="20"/>
  <c r="AD2961" i="20"/>
  <c r="AD2962" i="20"/>
  <c r="AD2963" i="20"/>
  <c r="AD2964" i="20"/>
  <c r="AD2965" i="20"/>
  <c r="AD2966" i="20"/>
  <c r="AD2967" i="20"/>
  <c r="AD2968" i="20"/>
  <c r="AD2969" i="20"/>
  <c r="AD2970" i="20"/>
  <c r="AD2971" i="20"/>
  <c r="AD2972" i="20"/>
  <c r="AD2973" i="20"/>
  <c r="AD2974" i="20"/>
  <c r="AD2975" i="20"/>
  <c r="AD2976" i="20"/>
  <c r="AD2977" i="20"/>
  <c r="AD2978" i="20"/>
  <c r="AD2979" i="20"/>
  <c r="AD2980" i="20"/>
  <c r="AD2981" i="20"/>
  <c r="AD2982" i="20"/>
  <c r="AD2983" i="20"/>
  <c r="AD2984" i="20"/>
  <c r="AD2985" i="20"/>
  <c r="AD2986" i="20"/>
  <c r="AD2987" i="20"/>
  <c r="AD2988" i="20"/>
  <c r="AD2989" i="20"/>
  <c r="AD2990" i="20"/>
  <c r="AD2991" i="20"/>
  <c r="AD2992" i="20"/>
  <c r="AD2993" i="20"/>
  <c r="AD2994" i="20"/>
  <c r="AD2995" i="20"/>
  <c r="AD2996" i="20"/>
  <c r="AD2997" i="20"/>
  <c r="AD2998" i="20"/>
  <c r="AD2999" i="20"/>
  <c r="AD3000" i="20"/>
  <c r="AD3001" i="20"/>
  <c r="AD3002" i="20"/>
  <c r="AD3003" i="20"/>
  <c r="AD3004" i="20"/>
  <c r="AD3005" i="20"/>
  <c r="AD3006" i="20"/>
  <c r="AD3007" i="20"/>
  <c r="AD3008" i="20"/>
  <c r="AD3009" i="20"/>
  <c r="AD3010" i="20"/>
  <c r="AD3011" i="20"/>
  <c r="AD3012" i="20"/>
  <c r="AD3013" i="20"/>
  <c r="AD3014" i="20"/>
  <c r="AD3015" i="20"/>
  <c r="AD3016" i="20"/>
  <c r="AD3017" i="20"/>
  <c r="AD3018" i="20"/>
  <c r="AD3019" i="20"/>
  <c r="AD3020" i="20"/>
  <c r="AD3021" i="20"/>
  <c r="AD3022" i="20"/>
  <c r="AD3023" i="20"/>
  <c r="AD3024" i="20"/>
  <c r="AD3025" i="20"/>
  <c r="AD3026" i="20"/>
  <c r="AD3027" i="20"/>
  <c r="AD3028" i="20"/>
  <c r="AD3029" i="20"/>
  <c r="AD3030" i="20"/>
  <c r="AD3031" i="20"/>
  <c r="AD3032" i="20"/>
  <c r="AD3033" i="20"/>
  <c r="AD3034" i="20"/>
  <c r="AD3035" i="20"/>
  <c r="AD3036" i="20"/>
  <c r="AD3037" i="20"/>
  <c r="AD3038" i="20"/>
  <c r="AD3039" i="20"/>
  <c r="AD3040" i="20"/>
  <c r="AD3041" i="20"/>
  <c r="AD3042" i="20"/>
  <c r="AD3043" i="20"/>
  <c r="AD3044" i="20"/>
  <c r="AD3045" i="20"/>
  <c r="AD3046" i="20"/>
  <c r="AD3047" i="20"/>
  <c r="AD3048" i="20"/>
  <c r="AD3049" i="20"/>
  <c r="AD3050" i="20"/>
  <c r="AD3051" i="20"/>
  <c r="AD3052" i="20"/>
  <c r="AD3053" i="20"/>
  <c r="AD3054" i="20"/>
  <c r="AD3055" i="20"/>
  <c r="AD3056" i="20"/>
  <c r="AD3057" i="20"/>
  <c r="AD3058" i="20"/>
  <c r="AD3059" i="20"/>
  <c r="AD3060" i="20"/>
  <c r="AD3061" i="20"/>
  <c r="AD3062" i="20"/>
  <c r="AD3063" i="20"/>
  <c r="AD3064" i="20"/>
  <c r="AD3065" i="20"/>
  <c r="AD3066" i="20"/>
  <c r="AD3067" i="20"/>
  <c r="AD3068" i="20"/>
  <c r="AD3069" i="20"/>
  <c r="AD3070" i="20"/>
  <c r="AD3071" i="20"/>
  <c r="AD3072" i="20"/>
  <c r="AD3073" i="20"/>
  <c r="AD3074" i="20"/>
  <c r="AD3075" i="20"/>
  <c r="AD3076" i="20"/>
  <c r="AD3077" i="20"/>
  <c r="AD3078" i="20"/>
  <c r="AD3079" i="20"/>
  <c r="AD3080" i="20"/>
  <c r="AD3081" i="20"/>
  <c r="AD3082" i="20"/>
  <c r="AD3083" i="20"/>
  <c r="AD3084" i="20"/>
  <c r="AD3085" i="20"/>
  <c r="AD3086" i="20"/>
  <c r="AD3087" i="20"/>
  <c r="AD3088" i="20"/>
  <c r="AD3089" i="20"/>
  <c r="AD3090" i="20"/>
  <c r="AD3091" i="20"/>
  <c r="AD3092" i="20"/>
  <c r="AD3093" i="20"/>
  <c r="AD3094" i="20"/>
  <c r="AD3095" i="20"/>
  <c r="AD3096" i="20"/>
  <c r="AD3097" i="20"/>
  <c r="AD3098" i="20"/>
  <c r="AD3099" i="20"/>
  <c r="AD3100" i="20"/>
  <c r="AD3101" i="20"/>
  <c r="AD3102" i="20"/>
  <c r="AD3103" i="20"/>
  <c r="AD3104" i="20"/>
  <c r="AD3105" i="20"/>
  <c r="AD3106" i="20"/>
  <c r="AD3107" i="20"/>
  <c r="AD3108" i="20"/>
  <c r="AD3109" i="20"/>
  <c r="AD3110" i="20"/>
  <c r="AD3111" i="20"/>
  <c r="AD3112" i="20"/>
  <c r="AD3113" i="20"/>
  <c r="AD3114" i="20"/>
  <c r="AD3115" i="20"/>
  <c r="AD3116" i="20"/>
  <c r="AD3117" i="20"/>
  <c r="AD3118" i="20"/>
  <c r="AD3119" i="20"/>
  <c r="AD3120" i="20"/>
  <c r="AD3121" i="20"/>
  <c r="AD3122" i="20"/>
  <c r="AD3123" i="20"/>
  <c r="AD3124" i="20"/>
  <c r="AD3125" i="20"/>
  <c r="AD3126" i="20"/>
  <c r="AD3127" i="20"/>
  <c r="AD3128" i="20"/>
  <c r="AD3129" i="20"/>
  <c r="AD3130" i="20"/>
  <c r="AD3131" i="20"/>
  <c r="AD3132" i="20"/>
  <c r="AD3133" i="20"/>
  <c r="AD3134" i="20"/>
  <c r="AD3135" i="20"/>
  <c r="AD3136" i="20"/>
  <c r="AD3137" i="20"/>
  <c r="AD3138" i="20"/>
  <c r="AD3139" i="20"/>
  <c r="AD3140" i="20"/>
  <c r="AD3141" i="20"/>
  <c r="AD3142" i="20"/>
  <c r="AD3143" i="20"/>
  <c r="AD3144" i="20"/>
  <c r="AD3145" i="20"/>
  <c r="AD3146" i="20"/>
  <c r="AD3147" i="20"/>
  <c r="AD3148" i="20"/>
  <c r="AD3149" i="20"/>
  <c r="AD3150" i="20"/>
  <c r="AD3151" i="20"/>
  <c r="AD3152" i="20"/>
  <c r="AD3153" i="20"/>
  <c r="AD3154" i="20"/>
  <c r="AD3155" i="20"/>
  <c r="AD3156" i="20"/>
  <c r="AD3157" i="20"/>
  <c r="AD3158" i="20"/>
  <c r="AD3159" i="20"/>
  <c r="AD3160" i="20"/>
  <c r="AD3161" i="20"/>
  <c r="AD3162" i="20"/>
  <c r="AD3163" i="20"/>
  <c r="AD3164" i="20"/>
  <c r="AD3165" i="20"/>
  <c r="AD3166" i="20"/>
  <c r="AD3167" i="20"/>
  <c r="AD3168" i="20"/>
  <c r="AD3169" i="20"/>
  <c r="AD3170" i="20"/>
  <c r="AD3171" i="20"/>
  <c r="AD3172" i="20"/>
  <c r="AD3173" i="20"/>
  <c r="AD3174" i="20"/>
  <c r="AD3175" i="20"/>
  <c r="AD3176" i="20"/>
  <c r="AD3177" i="20"/>
  <c r="AD3178" i="20"/>
  <c r="AD3179" i="20"/>
  <c r="AD3180" i="20"/>
  <c r="AD3181" i="20"/>
  <c r="AD3182" i="20"/>
  <c r="AD3183" i="20"/>
  <c r="AD3184" i="20"/>
  <c r="AD3185" i="20"/>
  <c r="AD3186" i="20"/>
  <c r="AD3187" i="20"/>
  <c r="AD3188" i="20"/>
  <c r="AD3189" i="20"/>
  <c r="AD3190" i="20"/>
  <c r="AD3191" i="20"/>
  <c r="AD3192" i="20"/>
  <c r="AD3193" i="20"/>
  <c r="AD3194" i="20"/>
  <c r="AD3195" i="20"/>
  <c r="AD3196" i="20"/>
  <c r="AD3197" i="20"/>
  <c r="AD3198" i="20"/>
  <c r="AD3199" i="20"/>
  <c r="AD3200" i="20"/>
  <c r="AD3201" i="20"/>
  <c r="AD3202" i="20"/>
  <c r="AD3203" i="20"/>
  <c r="AD3204" i="20"/>
  <c r="AD3205" i="20"/>
  <c r="AD3206" i="20"/>
  <c r="AD3207" i="20"/>
  <c r="AD3208" i="20"/>
  <c r="AD3209" i="20"/>
  <c r="AD3210" i="20"/>
  <c r="AD3211" i="20"/>
  <c r="AD3212" i="20"/>
  <c r="AD3213" i="20"/>
  <c r="AD3214" i="20"/>
  <c r="AD3215" i="20"/>
  <c r="AD3216" i="20"/>
  <c r="AD3217" i="20"/>
  <c r="AD3218" i="20"/>
  <c r="AD3219" i="20"/>
  <c r="AD3220" i="20"/>
  <c r="AD3221" i="20"/>
  <c r="AD3222" i="20"/>
  <c r="AD3223" i="20"/>
  <c r="AD3224" i="20"/>
  <c r="AD3225" i="20"/>
  <c r="AD3226" i="20"/>
  <c r="AD3227" i="20"/>
  <c r="AD3228" i="20"/>
  <c r="AD3229" i="20"/>
  <c r="AD3230" i="20"/>
  <c r="AD3231" i="20"/>
  <c r="AD3232" i="20"/>
  <c r="AD3233" i="20"/>
  <c r="AD3234" i="20"/>
  <c r="AD3235" i="20"/>
  <c r="AD3236" i="20"/>
  <c r="AD3237" i="20"/>
  <c r="AD3238" i="20"/>
  <c r="AD3239" i="20"/>
  <c r="AD3240" i="20"/>
  <c r="AD3241" i="20"/>
  <c r="AD3242" i="20"/>
  <c r="AD3243" i="20"/>
  <c r="AD3244" i="20"/>
  <c r="AD3245" i="20"/>
  <c r="AD3246" i="20"/>
  <c r="AD3247" i="20"/>
  <c r="AD3248" i="20"/>
  <c r="AD3249" i="20"/>
  <c r="AD3250" i="20"/>
  <c r="AD3251" i="20"/>
  <c r="AD3252" i="20"/>
  <c r="AD3253" i="20"/>
  <c r="AD3254" i="20"/>
  <c r="AD3255" i="20"/>
  <c r="AD3256" i="20"/>
  <c r="AD3257" i="20"/>
  <c r="AD3258" i="20"/>
  <c r="AD3259" i="20"/>
  <c r="AD3260" i="20"/>
  <c r="AD3261" i="20"/>
  <c r="AD3262" i="20"/>
  <c r="AD3263" i="20"/>
  <c r="AD3264" i="20"/>
  <c r="AD3265" i="20"/>
  <c r="AD3266" i="20"/>
  <c r="AD3267" i="20"/>
  <c r="AD3268" i="20"/>
  <c r="AD3269" i="20"/>
  <c r="AD3270" i="20"/>
  <c r="AD3271" i="20"/>
  <c r="AD3272" i="20"/>
  <c r="AD3273" i="20"/>
  <c r="AD3274" i="20"/>
  <c r="AD3275" i="20"/>
  <c r="AD3276" i="20"/>
  <c r="AD3277" i="20"/>
  <c r="AD3278" i="20"/>
  <c r="AD3279" i="20"/>
  <c r="AD3280" i="20"/>
  <c r="AD3281" i="20"/>
  <c r="AD3282" i="20"/>
  <c r="AD3283" i="20"/>
  <c r="AD3284" i="20"/>
  <c r="AD3285" i="20"/>
  <c r="AD3286" i="20"/>
  <c r="AD3287" i="20"/>
  <c r="AD3288" i="20"/>
  <c r="AD3289" i="20"/>
  <c r="AD3290" i="20"/>
  <c r="AD3291" i="20"/>
  <c r="AD3292" i="20"/>
  <c r="AD3293" i="20"/>
  <c r="AD3294" i="20"/>
  <c r="AD3295" i="20"/>
  <c r="AD3296" i="20"/>
  <c r="AD3297" i="20"/>
  <c r="AD3298" i="20"/>
  <c r="AD3299" i="20"/>
  <c r="AD3300" i="20"/>
  <c r="AD3301" i="20"/>
  <c r="AD3302" i="20"/>
  <c r="AD3303" i="20"/>
  <c r="AD3304" i="20"/>
  <c r="AD3305" i="20"/>
  <c r="AD3306" i="20"/>
  <c r="AD3307" i="20"/>
  <c r="AD3308" i="20"/>
  <c r="AD3309" i="20"/>
  <c r="AD3310" i="20"/>
  <c r="AD3311" i="20"/>
  <c r="AD3312" i="20"/>
  <c r="AD3313" i="20"/>
  <c r="AD3314" i="20"/>
  <c r="AD3315" i="20"/>
  <c r="AD3316" i="20"/>
  <c r="AD3317" i="20"/>
  <c r="AD3318" i="20"/>
  <c r="AD3319" i="20"/>
  <c r="AD3320" i="20"/>
  <c r="AD3321" i="20"/>
  <c r="AD3322" i="20"/>
  <c r="AD3323" i="20"/>
  <c r="AD3324" i="20"/>
  <c r="AD3325" i="20"/>
  <c r="AD3326" i="20"/>
  <c r="AD3327" i="20"/>
  <c r="AD3328" i="20"/>
  <c r="AD3329" i="20"/>
  <c r="AD3330" i="20"/>
  <c r="AD3331" i="20"/>
  <c r="AD3332" i="20"/>
  <c r="AD3333" i="20"/>
  <c r="AD3334" i="20"/>
  <c r="AD3335" i="20"/>
  <c r="AD3336" i="20"/>
  <c r="AD3337" i="20"/>
  <c r="AD3338" i="20"/>
  <c r="AD3339" i="20"/>
  <c r="AD3340" i="20"/>
  <c r="AD3341" i="20"/>
  <c r="AD3342" i="20"/>
  <c r="AD3343" i="20"/>
  <c r="AD3344" i="20"/>
  <c r="AD3345" i="20"/>
  <c r="AD3346" i="20"/>
  <c r="AD3347" i="20"/>
  <c r="AD3348" i="20"/>
  <c r="AD3349" i="20"/>
  <c r="AD3350" i="20"/>
  <c r="AD3351" i="20"/>
  <c r="AD3352" i="20"/>
  <c r="AD3353" i="20"/>
  <c r="AD3354" i="20"/>
  <c r="AD3355" i="20"/>
  <c r="AD3356" i="20"/>
  <c r="AD3357" i="20"/>
  <c r="AD3358" i="20"/>
  <c r="AD3359" i="20"/>
  <c r="AD3360" i="20"/>
  <c r="AD3361" i="20"/>
  <c r="AD3362" i="20"/>
  <c r="AD3363" i="20"/>
  <c r="AD3364" i="20"/>
  <c r="AD3365" i="20"/>
  <c r="AD3366" i="20"/>
  <c r="AD3367" i="20"/>
  <c r="AD3368" i="20"/>
  <c r="AD3369" i="20"/>
  <c r="AD3370" i="20"/>
  <c r="AD3371" i="20"/>
  <c r="AD3372" i="20"/>
  <c r="AD3373" i="20"/>
  <c r="AD3374" i="20"/>
  <c r="AD3375" i="20"/>
  <c r="AD3376" i="20"/>
  <c r="AD3377" i="20"/>
  <c r="AD3378" i="20"/>
  <c r="AD3379" i="20"/>
  <c r="AD3380" i="20"/>
  <c r="AD3381" i="20"/>
  <c r="AD3382" i="20"/>
  <c r="AD3383" i="20"/>
  <c r="AD3384" i="20"/>
  <c r="AD3385" i="20"/>
  <c r="AD3386" i="20"/>
  <c r="AD3387" i="20"/>
  <c r="AD3388" i="20"/>
  <c r="AD3389" i="20"/>
  <c r="AD3390" i="20"/>
  <c r="AD3391" i="20"/>
  <c r="AD3392" i="20"/>
  <c r="AD3393" i="20"/>
  <c r="AD3394" i="20"/>
  <c r="AD3395" i="20"/>
  <c r="AD3396" i="20"/>
  <c r="AD3397" i="20"/>
  <c r="AD3398" i="20"/>
  <c r="AD3399" i="20"/>
  <c r="AD3400" i="20"/>
  <c r="AD3401" i="20"/>
  <c r="AD3402" i="20"/>
  <c r="AD3403" i="20"/>
  <c r="AD3404" i="20"/>
  <c r="AD3405" i="20"/>
  <c r="AD3406" i="20"/>
  <c r="AD3407" i="20"/>
  <c r="AD3408" i="20"/>
  <c r="AD3409" i="20"/>
  <c r="AD3410" i="20"/>
  <c r="AD3411" i="20"/>
  <c r="AD3412" i="20"/>
  <c r="AD3413" i="20"/>
  <c r="AD3414" i="20"/>
  <c r="AD3415" i="20"/>
  <c r="AD3416" i="20"/>
  <c r="AD3417" i="20"/>
  <c r="AD3418" i="20"/>
  <c r="AD3419" i="20"/>
  <c r="AD3420" i="20"/>
  <c r="AD3421" i="20"/>
  <c r="AD3422" i="20"/>
  <c r="AD3423" i="20"/>
  <c r="AD3424" i="20"/>
  <c r="AD3425" i="20"/>
  <c r="AD3426" i="20"/>
  <c r="AD3427" i="20"/>
  <c r="AD3428" i="20"/>
  <c r="AD3429" i="20"/>
  <c r="AD3430" i="20"/>
  <c r="AD3431" i="20"/>
  <c r="AD3432" i="20"/>
  <c r="AD3433" i="20"/>
  <c r="AD3434" i="20"/>
  <c r="AD3435" i="20"/>
  <c r="AD3436" i="20"/>
  <c r="AD3437" i="20"/>
  <c r="AD3438" i="20"/>
  <c r="AD3439" i="20"/>
  <c r="AD3440" i="20"/>
  <c r="AD3441" i="20"/>
  <c r="AD3442" i="20"/>
  <c r="AD3443" i="20"/>
  <c r="AD3444" i="20"/>
  <c r="AD3445" i="20"/>
  <c r="AD3446" i="20"/>
  <c r="AD3447" i="20"/>
  <c r="AD3448" i="20"/>
  <c r="AD3449" i="20"/>
  <c r="AD3450" i="20"/>
  <c r="AD3451" i="20"/>
  <c r="AD3452" i="20"/>
  <c r="AD3453" i="20"/>
  <c r="AD3454" i="20"/>
  <c r="AD3455" i="20"/>
  <c r="AD3456" i="20"/>
  <c r="AD3457" i="20"/>
  <c r="AD3458" i="20"/>
  <c r="AD3459" i="20"/>
  <c r="AD3460" i="20"/>
  <c r="AD3461" i="20"/>
  <c r="AD3462" i="20"/>
  <c r="AD3463" i="20"/>
  <c r="AD3464" i="20"/>
  <c r="AD3465" i="20"/>
  <c r="AD3466" i="20"/>
  <c r="AD3467" i="20"/>
  <c r="AD3468" i="20"/>
  <c r="AD3469" i="20"/>
  <c r="AD3470" i="20"/>
  <c r="AD3471" i="20"/>
  <c r="AD3472" i="20"/>
  <c r="AD3473" i="20"/>
  <c r="AD3474" i="20"/>
  <c r="AD3475" i="20"/>
  <c r="AD3476" i="20"/>
  <c r="AD3477" i="20"/>
  <c r="AD3478" i="20"/>
  <c r="AD3479" i="20"/>
  <c r="AD3480" i="20"/>
  <c r="AD3481" i="20"/>
  <c r="AD3482" i="20"/>
  <c r="AD3483" i="20"/>
  <c r="AD3484" i="20"/>
  <c r="AD3485" i="20"/>
  <c r="AD3486" i="20"/>
  <c r="AD3487" i="20"/>
  <c r="AD3488" i="20"/>
  <c r="AD3489" i="20"/>
  <c r="AD3490" i="20"/>
  <c r="AD3491" i="20"/>
  <c r="AD3492" i="20"/>
  <c r="AD3493" i="20"/>
  <c r="AD3494" i="20"/>
  <c r="AD3495" i="20"/>
  <c r="AD3496" i="20"/>
  <c r="AD3497" i="20"/>
  <c r="AD3498" i="20"/>
  <c r="AD3499" i="20"/>
  <c r="AD3500" i="20"/>
  <c r="AD3501" i="20"/>
  <c r="AD3502" i="20"/>
  <c r="AD3503" i="20"/>
  <c r="AD3504" i="20"/>
  <c r="AD3505" i="20"/>
  <c r="AD3506" i="20"/>
  <c r="AD3507" i="20"/>
  <c r="AD3508" i="20"/>
  <c r="AD3509" i="20"/>
  <c r="AD3510" i="20"/>
  <c r="AD3511" i="20"/>
  <c r="AD3512" i="20"/>
  <c r="AD3513" i="20"/>
  <c r="AD3514" i="20"/>
  <c r="AD3515" i="20"/>
  <c r="AD3516" i="20"/>
  <c r="AD3517" i="20"/>
  <c r="AD3518" i="20"/>
  <c r="AD3519" i="20"/>
  <c r="AD3520" i="20"/>
  <c r="AD3521" i="20"/>
  <c r="AD3522" i="20"/>
  <c r="AD3523" i="20"/>
  <c r="AD3524" i="20"/>
  <c r="AD3525" i="20"/>
  <c r="AD3526" i="20"/>
  <c r="AD3527" i="20"/>
  <c r="AD3528" i="20"/>
  <c r="AD3529" i="20"/>
  <c r="AD3530" i="20"/>
  <c r="AD3531" i="20"/>
  <c r="AD3532" i="20"/>
  <c r="AD3533" i="20"/>
  <c r="AD3534" i="20"/>
  <c r="AD3535" i="20"/>
  <c r="AD3536" i="20"/>
  <c r="AD3537" i="20"/>
  <c r="AD3538" i="20"/>
  <c r="AD3539" i="20"/>
  <c r="AD3540" i="20"/>
  <c r="AD3541" i="20"/>
  <c r="AD3542" i="20"/>
  <c r="AD3543" i="20"/>
  <c r="AD3544" i="20"/>
  <c r="AD3545" i="20"/>
  <c r="AD3546" i="20"/>
  <c r="AD3547" i="20"/>
  <c r="AD3548" i="20"/>
  <c r="AD3549" i="20"/>
  <c r="AD3550" i="20"/>
  <c r="AD3551" i="20"/>
  <c r="AD3552" i="20"/>
  <c r="AD3553" i="20"/>
  <c r="AD3554" i="20"/>
  <c r="AD3555" i="20"/>
  <c r="AD3556" i="20"/>
  <c r="AD3557" i="20"/>
  <c r="AD3558" i="20"/>
  <c r="AD3559" i="20"/>
  <c r="AD3560" i="20"/>
  <c r="AD3561" i="20"/>
  <c r="AD3562" i="20"/>
  <c r="AD3563" i="20"/>
  <c r="AD3564" i="20"/>
  <c r="AD3565" i="20"/>
  <c r="AD3566" i="20"/>
  <c r="AD3567" i="20"/>
  <c r="AD3568" i="20"/>
  <c r="AD3569" i="20"/>
  <c r="AD3570" i="20"/>
  <c r="AD3571" i="20"/>
  <c r="AD3572" i="20"/>
  <c r="AD3573" i="20"/>
  <c r="AD3574" i="20"/>
  <c r="AD3575" i="20"/>
  <c r="AD3576" i="20"/>
  <c r="AD3577" i="20"/>
  <c r="AD3578" i="20"/>
  <c r="AD3579" i="20"/>
  <c r="AD3580" i="20"/>
  <c r="AD3581" i="20"/>
  <c r="AD3582" i="20"/>
  <c r="AD3583" i="20"/>
  <c r="AD3584" i="20"/>
  <c r="AD3585" i="20"/>
  <c r="AD3586" i="20"/>
  <c r="AD3587" i="20"/>
  <c r="AD3588" i="20"/>
  <c r="AD3589" i="20"/>
  <c r="AD3590" i="20"/>
  <c r="AD3591" i="20"/>
  <c r="AD3592" i="20"/>
  <c r="AD3593" i="20"/>
  <c r="AD3594" i="20"/>
  <c r="AD3595" i="20"/>
  <c r="AD3596" i="20"/>
  <c r="AD3597" i="20"/>
  <c r="AD3598" i="20"/>
  <c r="AD3599" i="20"/>
  <c r="AD3600" i="20"/>
  <c r="AD3601" i="20"/>
  <c r="AD3602" i="20"/>
  <c r="AD3603" i="20"/>
  <c r="AD3604" i="20"/>
  <c r="AD3605" i="20"/>
  <c r="AD3606" i="20"/>
  <c r="AD3607" i="20"/>
  <c r="AD3608" i="20"/>
  <c r="AD3609" i="20"/>
  <c r="AD3610" i="20"/>
  <c r="AD3611" i="20"/>
  <c r="AD3612" i="20"/>
  <c r="AD3613" i="20"/>
  <c r="AD3614" i="20"/>
  <c r="AD3615" i="20"/>
  <c r="AD3616" i="20"/>
  <c r="AD3617" i="20"/>
  <c r="AD3618" i="20"/>
  <c r="AD3619" i="20"/>
  <c r="AD3620" i="20"/>
  <c r="AD3621" i="20"/>
  <c r="AD3622" i="20"/>
  <c r="AD3623" i="20"/>
  <c r="AD3624" i="20"/>
  <c r="AD3625" i="20"/>
  <c r="AD3626" i="20"/>
  <c r="AD3627" i="20"/>
  <c r="AD3628" i="20"/>
  <c r="AD3629" i="20"/>
  <c r="AD3630" i="20"/>
  <c r="AD3631" i="20"/>
  <c r="AD3632" i="20"/>
  <c r="AD3633" i="20"/>
  <c r="AD3634" i="20"/>
  <c r="AD3635" i="20"/>
  <c r="AD3636" i="20"/>
  <c r="AD3637" i="20"/>
  <c r="AD3638" i="20"/>
  <c r="AD3639" i="20"/>
  <c r="AD3640" i="20"/>
  <c r="AD3641" i="20"/>
  <c r="AD3642" i="20"/>
  <c r="AD3643" i="20"/>
  <c r="AD3644" i="20"/>
  <c r="AD3645" i="20"/>
  <c r="AD3646" i="20"/>
  <c r="AD3647" i="20"/>
  <c r="AD3648" i="20"/>
  <c r="AD3649" i="20"/>
  <c r="AD3650" i="20"/>
  <c r="AD3651" i="20"/>
  <c r="AD3652" i="20"/>
  <c r="AD3653" i="20"/>
  <c r="AD3654" i="20"/>
  <c r="AD3655" i="20"/>
  <c r="AD3656" i="20"/>
  <c r="AD3657" i="20"/>
  <c r="AD3658" i="20"/>
  <c r="AD3659" i="20"/>
  <c r="AD3660" i="20"/>
  <c r="AD3661" i="20"/>
  <c r="AD3662" i="20"/>
  <c r="AD3663" i="20"/>
  <c r="AD3664" i="20"/>
  <c r="AD3665" i="20"/>
  <c r="AD3666" i="20"/>
  <c r="AD3667" i="20"/>
  <c r="AD3668" i="20"/>
  <c r="AD3669" i="20"/>
  <c r="AD3670" i="20"/>
  <c r="AD3671" i="20"/>
  <c r="AD3672" i="20"/>
  <c r="AD3673" i="20"/>
  <c r="AD3674" i="20"/>
  <c r="AD3675" i="20"/>
  <c r="AD3676" i="20"/>
  <c r="AD3677" i="20"/>
  <c r="AD3678" i="20"/>
  <c r="AD3679" i="20"/>
  <c r="AD3680" i="20"/>
  <c r="AD3681" i="20"/>
  <c r="AD3682" i="20"/>
  <c r="AD3683" i="20"/>
  <c r="AD3684" i="20"/>
  <c r="AD3685" i="20"/>
  <c r="AD3686" i="20"/>
  <c r="AD3687" i="20"/>
  <c r="AD3688" i="20"/>
  <c r="AD3689" i="20"/>
  <c r="AD3690" i="20"/>
  <c r="AD3691" i="20"/>
  <c r="AD3692" i="20"/>
  <c r="AD3693" i="20"/>
  <c r="AD3694" i="20"/>
  <c r="AD3695" i="20"/>
  <c r="AD3696" i="20"/>
  <c r="AD3697" i="20"/>
  <c r="AD3698" i="20"/>
  <c r="AD3699" i="20"/>
  <c r="AD3700" i="20"/>
  <c r="AD3701" i="20"/>
  <c r="AD3702" i="20"/>
  <c r="AD3703" i="20"/>
  <c r="AD3704" i="20"/>
  <c r="AD3705" i="20"/>
  <c r="AD3706" i="20"/>
  <c r="AD3707" i="20"/>
  <c r="AD3708" i="20"/>
  <c r="AD3709" i="20"/>
  <c r="AD3710" i="20"/>
  <c r="AD3711" i="20"/>
  <c r="AD3712" i="20"/>
  <c r="AD3713" i="20"/>
  <c r="AD3714" i="20"/>
  <c r="AD3715" i="20"/>
  <c r="AD3716" i="20"/>
  <c r="AD3717" i="20"/>
  <c r="AD3718" i="20"/>
  <c r="AD3719" i="20"/>
  <c r="AD3720" i="20"/>
  <c r="AD3721" i="20"/>
  <c r="AD3722" i="20"/>
  <c r="AD3723" i="20"/>
  <c r="AD3724" i="20"/>
  <c r="AD3725" i="20"/>
  <c r="AD3726" i="20"/>
  <c r="AD3727" i="20"/>
  <c r="AD3728" i="20"/>
  <c r="AD3729" i="20"/>
  <c r="AD3730" i="20"/>
  <c r="AD3731" i="20"/>
  <c r="AD3732" i="20"/>
  <c r="AD3733" i="20"/>
  <c r="AD3734" i="20"/>
  <c r="AD3735" i="20"/>
  <c r="AD3736" i="20"/>
  <c r="AD3737" i="20"/>
  <c r="AD3738" i="20"/>
  <c r="AD3739" i="20"/>
  <c r="AD3740" i="20"/>
  <c r="AD3741" i="20"/>
  <c r="AD3742" i="20"/>
  <c r="AD3743" i="20"/>
  <c r="AD3744" i="20"/>
  <c r="AD3745" i="20"/>
  <c r="AD3746" i="20"/>
  <c r="AD3747" i="20"/>
  <c r="AD3748" i="20"/>
  <c r="AD3749" i="20"/>
  <c r="AD3750" i="20"/>
  <c r="AD3751" i="20"/>
  <c r="AD3752" i="20"/>
  <c r="AD3753" i="20"/>
  <c r="AD3754" i="20"/>
  <c r="AD3755" i="20"/>
  <c r="AD3756" i="20"/>
  <c r="AD3757" i="20"/>
  <c r="AD3758" i="20"/>
  <c r="AD3759" i="20"/>
  <c r="AD3760" i="20"/>
  <c r="AD3761" i="20"/>
  <c r="AD3762" i="20"/>
  <c r="AD3763" i="20"/>
  <c r="AD3764" i="20"/>
  <c r="AD3765" i="20"/>
  <c r="AD3766" i="20"/>
  <c r="AD3767" i="20"/>
  <c r="AD3768" i="20"/>
  <c r="AD3769" i="20"/>
  <c r="AD3770" i="20"/>
  <c r="AD3771" i="20"/>
  <c r="AD3772" i="20"/>
  <c r="AD3773" i="20"/>
  <c r="AD3774" i="20"/>
  <c r="AD3775" i="20"/>
  <c r="AD3776" i="20"/>
  <c r="AD3777" i="20"/>
  <c r="AD3778" i="20"/>
  <c r="AD3779" i="20"/>
  <c r="AD3780" i="20"/>
  <c r="AD3781" i="20"/>
  <c r="AD3782" i="20"/>
  <c r="AD3783" i="20"/>
  <c r="AD3784" i="20"/>
  <c r="AD3785" i="20"/>
  <c r="AD3786" i="20"/>
  <c r="AD3787" i="20"/>
  <c r="AD3788" i="20"/>
  <c r="AD3789" i="20"/>
  <c r="AD3790" i="20"/>
  <c r="AD3791" i="20"/>
  <c r="AD3792" i="20"/>
  <c r="AD3793" i="20"/>
  <c r="AD3794" i="20"/>
  <c r="AD3795" i="20"/>
  <c r="AD3796" i="20"/>
  <c r="AD3797" i="20"/>
  <c r="AD3798" i="20"/>
  <c r="AD3799" i="20"/>
  <c r="AD3800" i="20"/>
  <c r="AD3801" i="20"/>
  <c r="AD3802" i="20"/>
  <c r="AD3803" i="20"/>
  <c r="AD3804" i="20"/>
  <c r="AD3805" i="20"/>
  <c r="AD3806" i="20"/>
  <c r="AD3807" i="20"/>
  <c r="AD3808" i="20"/>
  <c r="AD3809" i="20"/>
  <c r="AD3810" i="20"/>
  <c r="AD3811" i="20"/>
  <c r="AD3812" i="20"/>
  <c r="AD3813" i="20"/>
  <c r="AD3814" i="20"/>
  <c r="AD3815" i="20"/>
  <c r="AD3816" i="20"/>
  <c r="AD3817" i="20"/>
  <c r="AD3818" i="20"/>
  <c r="AD3819" i="20"/>
  <c r="AD3820" i="20"/>
  <c r="AD3821" i="20"/>
  <c r="AD3822" i="20"/>
  <c r="AD3823" i="20"/>
  <c r="AD3824" i="20"/>
  <c r="AD3825" i="20"/>
  <c r="AD3826" i="20"/>
  <c r="AD3827" i="20"/>
  <c r="AD3828" i="20"/>
  <c r="AD3829" i="20"/>
  <c r="AD3830" i="20"/>
  <c r="AD3831" i="20"/>
  <c r="AD3832" i="20"/>
  <c r="AD3833" i="20"/>
  <c r="AD3834" i="20"/>
  <c r="AD3835" i="20"/>
  <c r="AD3836" i="20"/>
  <c r="AD3837" i="20"/>
  <c r="AD3838" i="20"/>
  <c r="AD3839" i="20"/>
  <c r="AD3840" i="20"/>
  <c r="AD3841" i="20"/>
  <c r="AD3842" i="20"/>
  <c r="AD3843" i="20"/>
  <c r="AD3844" i="20"/>
  <c r="AD3845" i="20"/>
  <c r="AD3846" i="20"/>
  <c r="AD3847" i="20"/>
  <c r="AD3848" i="20"/>
  <c r="AD3849" i="20"/>
  <c r="AD3850" i="20"/>
  <c r="AD3851" i="20"/>
  <c r="AD3852" i="20"/>
  <c r="AD3853" i="20"/>
  <c r="AD3854" i="20"/>
  <c r="AD3855" i="20"/>
  <c r="AD3856" i="20"/>
  <c r="AD3857" i="20"/>
  <c r="AD3858" i="20"/>
  <c r="AD3859" i="20"/>
  <c r="AD3860" i="20"/>
  <c r="AD3861" i="20"/>
  <c r="AD3862" i="20"/>
  <c r="AD3863" i="20"/>
  <c r="AD3864" i="20"/>
  <c r="AD3865" i="20"/>
  <c r="AD3866" i="20"/>
  <c r="AD3867" i="20"/>
  <c r="AD3868" i="20"/>
  <c r="AD3869" i="20"/>
  <c r="AD3870" i="20"/>
  <c r="AD3871" i="20"/>
  <c r="AD3872" i="20"/>
  <c r="AD3873" i="20"/>
  <c r="AD3874" i="20"/>
  <c r="AD3875" i="20"/>
  <c r="AD3876" i="20"/>
  <c r="AD3877" i="20"/>
  <c r="AD3878" i="20"/>
  <c r="AD3879" i="20"/>
  <c r="AD3880" i="20"/>
  <c r="AD3881" i="20"/>
  <c r="AD3882" i="20"/>
  <c r="AD3883" i="20"/>
  <c r="AD3884" i="20"/>
  <c r="AD3885" i="20"/>
  <c r="AD3886" i="20"/>
  <c r="AD3887" i="20"/>
  <c r="AD3888" i="20"/>
  <c r="AD3889" i="20"/>
  <c r="AD3890" i="20"/>
  <c r="AD3891" i="20"/>
  <c r="AD3892" i="20"/>
  <c r="AD3893" i="20"/>
  <c r="AD3894" i="20"/>
  <c r="AD3895" i="20"/>
  <c r="AD3896" i="20"/>
  <c r="AD3897" i="20"/>
  <c r="AD3898" i="20"/>
  <c r="AD3899" i="20"/>
  <c r="AD3900" i="20"/>
  <c r="AD3901" i="20"/>
  <c r="AD3902" i="20"/>
  <c r="AD3903" i="20"/>
  <c r="AD3904" i="20"/>
  <c r="AD3905" i="20"/>
  <c r="AD3906" i="20"/>
  <c r="AD3907" i="20"/>
  <c r="AD3908" i="20"/>
  <c r="AD3909" i="20"/>
  <c r="AD3910" i="20"/>
  <c r="AD3911" i="20"/>
  <c r="AD3912" i="20"/>
  <c r="AD3913" i="20"/>
  <c r="AD3914" i="20"/>
  <c r="AD3915" i="20"/>
  <c r="AD3916" i="20"/>
  <c r="AD3917" i="20"/>
  <c r="AD3918" i="20"/>
  <c r="AD3919" i="20"/>
  <c r="AD3920" i="20"/>
  <c r="AD3921" i="20"/>
  <c r="AD3922" i="20"/>
  <c r="AD3923" i="20"/>
  <c r="AD3924" i="20"/>
  <c r="AD3925" i="20"/>
  <c r="AD3926" i="20"/>
  <c r="AD3927" i="20"/>
  <c r="AD3928" i="20"/>
  <c r="AD3929" i="20"/>
  <c r="AD3930" i="20"/>
  <c r="AD3931" i="20"/>
  <c r="AD3932" i="20"/>
  <c r="AD3933" i="20"/>
  <c r="AD3934" i="20"/>
  <c r="AD3935" i="20"/>
  <c r="AD3936" i="20"/>
  <c r="AD3937" i="20"/>
  <c r="AD3938" i="20"/>
  <c r="AD3939" i="20"/>
  <c r="AD3940" i="20"/>
  <c r="AD3941" i="20"/>
  <c r="AD3942" i="20"/>
  <c r="AD3943" i="20"/>
  <c r="AD3944" i="20"/>
  <c r="AD3945" i="20"/>
  <c r="AD3946" i="20"/>
  <c r="AD3947" i="20"/>
  <c r="AD3948" i="20"/>
  <c r="AD3949" i="20"/>
  <c r="AD3950" i="20"/>
  <c r="AD3951" i="20"/>
  <c r="AD3952" i="20"/>
  <c r="AD3953" i="20"/>
  <c r="AD3954" i="20"/>
  <c r="AD3955" i="20"/>
  <c r="AD3956" i="20"/>
  <c r="AD3957" i="20"/>
  <c r="AD3958" i="20"/>
  <c r="AD3959" i="20"/>
  <c r="AD3960" i="20"/>
  <c r="AD3961" i="20"/>
  <c r="AD3962" i="20"/>
  <c r="AD3963" i="20"/>
  <c r="AD3964" i="20"/>
  <c r="AD3965" i="20"/>
  <c r="AD3966" i="20"/>
  <c r="AD3967" i="20"/>
  <c r="AD3968" i="20"/>
  <c r="AD3969" i="20"/>
  <c r="AD3970" i="20"/>
  <c r="AD3971" i="20"/>
  <c r="AD3972" i="20"/>
  <c r="AD3973" i="20"/>
  <c r="AD3974" i="20"/>
  <c r="AD3975" i="20"/>
  <c r="AD3976" i="20"/>
  <c r="AD3977" i="20"/>
  <c r="AD3978" i="20"/>
  <c r="AD3979" i="20"/>
  <c r="AD3980" i="20"/>
  <c r="AD3981" i="20"/>
  <c r="AD3982" i="20"/>
  <c r="AD3983" i="20"/>
  <c r="AD3984" i="20"/>
  <c r="AD3985" i="20"/>
  <c r="AD3986" i="20"/>
  <c r="AD3987" i="20"/>
  <c r="AD3988" i="20"/>
  <c r="AD3989" i="20"/>
  <c r="AD3990" i="20"/>
  <c r="AD3991" i="20"/>
  <c r="AD3992" i="20"/>
  <c r="AD3993" i="20"/>
  <c r="AD3994" i="20"/>
  <c r="AD3995" i="20"/>
  <c r="AD3996" i="20"/>
  <c r="AD3997" i="20"/>
  <c r="AD3998" i="20"/>
  <c r="AD3999" i="20"/>
  <c r="AD4000" i="20"/>
  <c r="AD4001" i="20"/>
  <c r="AD4002" i="20"/>
  <c r="AD4003" i="20"/>
  <c r="AD4004" i="20"/>
  <c r="AD4005" i="20"/>
  <c r="AD4006" i="20"/>
  <c r="AD4007" i="20"/>
  <c r="AD4008" i="20"/>
  <c r="AD4009" i="20"/>
  <c r="AD4010" i="20"/>
  <c r="AD4011" i="20"/>
  <c r="AD4012" i="20"/>
  <c r="AD4013" i="20"/>
  <c r="AD4014" i="20"/>
  <c r="AD4015" i="20"/>
  <c r="AD4016" i="20"/>
  <c r="AD4017" i="20"/>
  <c r="AD4018" i="20"/>
  <c r="AD4019" i="20"/>
  <c r="AD4020" i="20"/>
  <c r="AD4021" i="20"/>
  <c r="AD4022" i="20"/>
  <c r="AD4023" i="20"/>
  <c r="AD4024" i="20"/>
  <c r="AD4025" i="20"/>
  <c r="AD4026" i="20"/>
  <c r="AD4027" i="20"/>
  <c r="AD4028" i="20"/>
  <c r="AD4029" i="20"/>
  <c r="AD4030" i="20"/>
  <c r="AD4031" i="20"/>
  <c r="AD4032" i="20"/>
  <c r="AD4033" i="20"/>
  <c r="AD4034" i="20"/>
  <c r="AD4035" i="20"/>
  <c r="AD4036" i="20"/>
  <c r="AD4037" i="20"/>
  <c r="AD4038" i="20"/>
  <c r="AD4039" i="20"/>
  <c r="AD4040" i="20"/>
  <c r="AD4041" i="20"/>
  <c r="AD4042" i="20"/>
  <c r="AD4043" i="20"/>
  <c r="AD4044" i="20"/>
  <c r="AD4045" i="20"/>
  <c r="AD4046" i="20"/>
  <c r="AD4047" i="20"/>
  <c r="AD4048" i="20"/>
  <c r="AD4049" i="20"/>
  <c r="AD4050" i="20"/>
  <c r="AD4051" i="20"/>
  <c r="AD4052" i="20"/>
  <c r="AD4053" i="20"/>
  <c r="AD4054" i="20"/>
  <c r="AD4055" i="20"/>
  <c r="AD4056" i="20"/>
  <c r="AD4057" i="20"/>
  <c r="AD4058" i="20"/>
  <c r="AD4059" i="20"/>
  <c r="AD4060" i="20"/>
  <c r="AD4061" i="20"/>
  <c r="AD4062" i="20"/>
  <c r="AD4063" i="20"/>
  <c r="AD4064" i="20"/>
  <c r="AD4065" i="20"/>
  <c r="AD4066" i="20"/>
  <c r="AD4067" i="20"/>
  <c r="AD4068" i="20"/>
  <c r="AD4069" i="20"/>
  <c r="AD4070" i="20"/>
  <c r="AD4071" i="20"/>
  <c r="AD4072" i="20"/>
  <c r="AD4073" i="20"/>
  <c r="AD4074" i="20"/>
  <c r="AD4075" i="20"/>
  <c r="AD4076" i="20"/>
  <c r="AD4077" i="20"/>
  <c r="AD4078" i="20"/>
  <c r="AD4079" i="20"/>
  <c r="AD4080" i="20"/>
  <c r="AD4081" i="20"/>
  <c r="AD4082" i="20"/>
  <c r="AD4083" i="20"/>
  <c r="AD4084" i="20"/>
  <c r="AD4085" i="20"/>
  <c r="AD4086" i="20"/>
  <c r="AD4087" i="20"/>
  <c r="AD4088" i="20"/>
  <c r="AD4089" i="20"/>
  <c r="AD4090" i="20"/>
  <c r="AD4091" i="20"/>
  <c r="AD4092" i="20"/>
  <c r="AD4093" i="20"/>
  <c r="AD4094" i="20"/>
  <c r="AD4095" i="20"/>
  <c r="AD4096" i="20"/>
  <c r="AD4097" i="20"/>
  <c r="AD4098" i="20"/>
  <c r="AD4099" i="20"/>
  <c r="AD4100" i="20"/>
  <c r="AD4101" i="20"/>
  <c r="AD4102" i="20"/>
  <c r="AD4103" i="20"/>
  <c r="AD4104" i="20"/>
  <c r="AD4105" i="20"/>
  <c r="AD4106" i="20"/>
  <c r="AD4107" i="20"/>
  <c r="AD4108" i="20"/>
  <c r="AD4109" i="20"/>
  <c r="AD4110" i="20"/>
  <c r="AD4111" i="20"/>
  <c r="AD4112" i="20"/>
  <c r="AD4113" i="20"/>
  <c r="AD4114" i="20"/>
  <c r="AD4115" i="20"/>
  <c r="AD4116" i="20"/>
  <c r="AD4117" i="20"/>
  <c r="AD4118" i="20"/>
  <c r="AD4119" i="20"/>
  <c r="AD4120" i="20"/>
  <c r="AD4121" i="20"/>
  <c r="AD4122" i="20"/>
  <c r="AD4123" i="20"/>
  <c r="AD4124" i="20"/>
  <c r="AD4125" i="20"/>
  <c r="AD4126" i="20"/>
  <c r="AD4127" i="20"/>
  <c r="AD4128" i="20"/>
  <c r="AD4129" i="20"/>
  <c r="AD4130" i="20"/>
  <c r="AD4131" i="20"/>
  <c r="AD4132" i="20"/>
  <c r="AD4133" i="20"/>
  <c r="AD4134" i="20"/>
  <c r="AD4135" i="20"/>
  <c r="AD4136" i="20"/>
  <c r="AD4137" i="20"/>
  <c r="AD4138" i="20"/>
  <c r="AD4139" i="20"/>
  <c r="AD4140" i="20"/>
  <c r="AD4141" i="20"/>
  <c r="AD4142" i="20"/>
  <c r="AD4143" i="20"/>
  <c r="AD4144" i="20"/>
  <c r="AD4145" i="20"/>
  <c r="AD4146" i="20"/>
  <c r="AD4147" i="20"/>
  <c r="AD4148" i="20"/>
  <c r="AD4149" i="20"/>
  <c r="AD4150" i="20"/>
  <c r="AD4151" i="20"/>
  <c r="AD4152" i="20"/>
  <c r="AD4153" i="20"/>
  <c r="AD4154" i="20"/>
  <c r="AD4155" i="20"/>
  <c r="AD4156" i="20"/>
  <c r="AD4157" i="20"/>
  <c r="AD4158" i="20"/>
  <c r="AD4159" i="20"/>
  <c r="AD4160" i="20"/>
  <c r="AD4161" i="20"/>
  <c r="AD4162" i="20"/>
  <c r="AD4163" i="20"/>
  <c r="AD4164" i="20"/>
  <c r="AD4165" i="20"/>
  <c r="AD4166" i="20"/>
  <c r="AD4167" i="20"/>
  <c r="AD4168" i="20"/>
  <c r="AD4169" i="20"/>
  <c r="AD4170" i="20"/>
  <c r="AD4171" i="20"/>
  <c r="AD4172" i="20"/>
  <c r="AD4173" i="20"/>
  <c r="AD4174" i="20"/>
  <c r="AD4175" i="20"/>
  <c r="AD4176" i="20"/>
  <c r="AD4177" i="20"/>
  <c r="AD4178" i="20"/>
  <c r="AD4179" i="20"/>
  <c r="AD4180" i="20"/>
  <c r="AD4181" i="20"/>
  <c r="AD4182" i="20"/>
  <c r="AD4183" i="20"/>
  <c r="AD4184" i="20"/>
  <c r="AD4185" i="20"/>
  <c r="AD4186" i="20"/>
  <c r="AD4187" i="20"/>
  <c r="AD4188" i="20"/>
  <c r="AD4189" i="20"/>
  <c r="AD4190" i="20"/>
  <c r="AD4191" i="20"/>
  <c r="AD4192" i="20"/>
  <c r="AD4193" i="20"/>
  <c r="AD4194" i="20"/>
  <c r="AD4195" i="20"/>
  <c r="AD4196" i="20"/>
  <c r="AD4197" i="20"/>
  <c r="AD4198" i="20"/>
  <c r="AD4199" i="20"/>
  <c r="AD4200" i="20"/>
  <c r="AD4201" i="20"/>
  <c r="AD4202" i="20"/>
  <c r="AD4203" i="20"/>
  <c r="AD4204" i="20"/>
  <c r="AD4205" i="20"/>
  <c r="AD4206" i="20"/>
  <c r="AD4207" i="20"/>
  <c r="AD4208" i="20"/>
  <c r="AD4209" i="20"/>
  <c r="AD4210" i="20"/>
  <c r="AD4211" i="20"/>
  <c r="AD4212" i="20"/>
  <c r="AD4213" i="20"/>
  <c r="AD4214" i="20"/>
  <c r="AD4215" i="20"/>
  <c r="AD4216" i="20"/>
  <c r="AD4217" i="20"/>
  <c r="AD4218" i="20"/>
  <c r="AD4219" i="20"/>
  <c r="AD4220" i="20"/>
  <c r="AD4221" i="20"/>
  <c r="AD4222" i="20"/>
  <c r="AD4223" i="20"/>
  <c r="AD4224" i="20"/>
  <c r="AD4225" i="20"/>
  <c r="AD4226" i="20"/>
  <c r="AD4227" i="20"/>
  <c r="AD4228" i="20"/>
  <c r="AD4229" i="20"/>
  <c r="AD4230" i="20"/>
  <c r="AD4231" i="20"/>
  <c r="AD4232" i="20"/>
  <c r="AD4233" i="20"/>
  <c r="AD4234" i="20"/>
  <c r="AD4235" i="20"/>
  <c r="AD4236" i="20"/>
  <c r="AD4237" i="20"/>
  <c r="AD4238" i="20"/>
  <c r="AD4239" i="20"/>
  <c r="AD4240" i="20"/>
  <c r="AD4241" i="20"/>
  <c r="AD4242" i="20"/>
  <c r="AD4243" i="20"/>
  <c r="AD4244" i="20"/>
  <c r="AD4245" i="20"/>
  <c r="AD4246" i="20"/>
  <c r="AD4247" i="20"/>
  <c r="AD4248" i="20"/>
  <c r="AD4249" i="20"/>
  <c r="AD4250" i="20"/>
  <c r="AD4251" i="20"/>
  <c r="AD4252" i="20"/>
  <c r="AD4253" i="20"/>
  <c r="AD4254" i="20"/>
  <c r="AD4255" i="20"/>
  <c r="AD4256" i="20"/>
  <c r="AD4257" i="20"/>
  <c r="AD4258" i="20"/>
  <c r="AD4259" i="20"/>
  <c r="AD4260" i="20"/>
  <c r="AD4261" i="20"/>
  <c r="AD4262" i="20"/>
  <c r="AD4263" i="20"/>
  <c r="AD4264" i="20"/>
  <c r="AD4265" i="20"/>
  <c r="AD4266" i="20"/>
  <c r="AD4267" i="20"/>
  <c r="AD4268" i="20"/>
  <c r="AD4269" i="20"/>
  <c r="AD4270" i="20"/>
  <c r="AD4271" i="20"/>
  <c r="AD4272" i="20"/>
  <c r="AD4273" i="20"/>
  <c r="AD4274" i="20"/>
  <c r="AD4275" i="20"/>
  <c r="AD4276" i="20"/>
  <c r="AD4277" i="20"/>
  <c r="AD4278" i="20"/>
  <c r="AD4279" i="20"/>
  <c r="AD4280" i="20"/>
  <c r="AD4281" i="20"/>
  <c r="AD4282" i="20"/>
  <c r="AD4283" i="20"/>
  <c r="AD4284" i="20"/>
  <c r="AD4285" i="20"/>
  <c r="AD4286" i="20"/>
  <c r="AD4287" i="20"/>
  <c r="AD4288" i="20"/>
  <c r="AD4289" i="20"/>
  <c r="AD4290" i="20"/>
  <c r="AD4291" i="20"/>
  <c r="AD4292" i="20"/>
  <c r="AD4293" i="20"/>
  <c r="AD4294" i="20"/>
  <c r="AD4295" i="20"/>
  <c r="AD4296" i="20"/>
  <c r="AD4297" i="20"/>
  <c r="AD4298" i="20"/>
  <c r="AD4299" i="20"/>
  <c r="AD4300" i="20"/>
  <c r="AD4301" i="20"/>
  <c r="AD4302" i="20"/>
  <c r="AD4303" i="20"/>
  <c r="AD4304" i="20"/>
  <c r="AD4305" i="20"/>
  <c r="AD4306" i="20"/>
  <c r="AD4307" i="20"/>
  <c r="AD4308" i="20"/>
  <c r="AD4309" i="20"/>
  <c r="AD4310" i="20"/>
  <c r="AD4311" i="20"/>
  <c r="AD4312" i="20"/>
  <c r="AD4313" i="20"/>
  <c r="AD4314" i="20"/>
  <c r="AD4315" i="20"/>
  <c r="AD4316" i="20"/>
  <c r="AD4317" i="20"/>
  <c r="AD4318" i="20"/>
  <c r="AD4319" i="20"/>
  <c r="AD4320" i="20"/>
  <c r="AD4321" i="20"/>
  <c r="AD4322" i="20"/>
  <c r="AD4323" i="20"/>
  <c r="AD4324" i="20"/>
  <c r="AD4325" i="20"/>
  <c r="AD4326" i="20"/>
  <c r="AD4327" i="20"/>
  <c r="AD4328" i="20"/>
  <c r="AD4329" i="20"/>
  <c r="AD4330" i="20"/>
  <c r="AD4331" i="20"/>
  <c r="AD4332" i="20"/>
  <c r="AD4333" i="20"/>
  <c r="AD4334" i="20"/>
  <c r="AD4335" i="20"/>
  <c r="AD4336" i="20"/>
  <c r="AD4337" i="20"/>
  <c r="AD4338" i="20"/>
  <c r="AD4339" i="20"/>
  <c r="AD4340" i="20"/>
  <c r="AD4341" i="20"/>
  <c r="AD4342" i="20"/>
  <c r="AD4343" i="20"/>
  <c r="AD4344" i="20"/>
  <c r="AD4345" i="20"/>
  <c r="AD4346" i="20"/>
  <c r="AD4347" i="20"/>
  <c r="AD4348" i="20"/>
  <c r="AD4349" i="20"/>
  <c r="AD4350" i="20"/>
  <c r="AD4351" i="20"/>
  <c r="AD4352" i="20"/>
  <c r="AD4353" i="20"/>
  <c r="AD4354" i="20"/>
  <c r="AD4355" i="20"/>
  <c r="AD4356" i="20"/>
  <c r="AD4357" i="20"/>
  <c r="AD4358" i="20"/>
  <c r="AD4359" i="20"/>
  <c r="AD4360" i="20"/>
  <c r="AD4361" i="20"/>
  <c r="AD4362" i="20"/>
  <c r="AD4363" i="20"/>
  <c r="AD4364" i="20"/>
  <c r="AD4365" i="20"/>
  <c r="AD4366" i="20"/>
  <c r="AD4367" i="20"/>
  <c r="AD4368" i="20"/>
  <c r="AD4369" i="20"/>
  <c r="AD4370" i="20"/>
  <c r="AD4371" i="20"/>
  <c r="AD4372" i="20"/>
  <c r="AD4373" i="20"/>
  <c r="AD4374" i="20"/>
  <c r="AD4375" i="20"/>
  <c r="AD4376" i="20"/>
  <c r="AD4377" i="20"/>
  <c r="AD4378" i="20"/>
  <c r="AD4379" i="20"/>
  <c r="AD4380" i="20"/>
  <c r="AD4381" i="20"/>
  <c r="AD4382" i="20"/>
  <c r="AD4383" i="20"/>
  <c r="AD4384" i="20"/>
  <c r="AD4385" i="20"/>
  <c r="AD4386" i="20"/>
  <c r="AD4387" i="20"/>
  <c r="AD4388" i="20"/>
  <c r="AD4389" i="20"/>
  <c r="AD4390" i="20"/>
  <c r="AD4391" i="20"/>
  <c r="AD4392" i="20"/>
  <c r="AD4393" i="20"/>
  <c r="AD4394" i="20"/>
  <c r="AD4395" i="20"/>
  <c r="AD4396" i="20"/>
  <c r="AD4397" i="20"/>
  <c r="AD4398" i="20"/>
  <c r="AD4399" i="20"/>
  <c r="AD4400" i="20"/>
  <c r="AD4401" i="20"/>
  <c r="AD4402" i="20"/>
  <c r="AD4403" i="20"/>
  <c r="AD4404" i="20"/>
  <c r="AD4405" i="20"/>
  <c r="AD4406" i="20"/>
  <c r="AD4407" i="20"/>
  <c r="AD4408" i="20"/>
  <c r="AD4409" i="20"/>
  <c r="AD4410" i="20"/>
  <c r="AD4411" i="20"/>
  <c r="AD4412" i="20"/>
  <c r="AD4413" i="20"/>
  <c r="AD4414" i="20"/>
  <c r="AD4415" i="20"/>
  <c r="AD4416" i="20"/>
  <c r="AD4417" i="20"/>
  <c r="AD4418" i="20"/>
  <c r="AD4419" i="20"/>
  <c r="AD4420" i="20"/>
  <c r="AD4421" i="20"/>
  <c r="AD4422" i="20"/>
  <c r="AD4423" i="20"/>
  <c r="AD4424" i="20"/>
  <c r="AD4425" i="20"/>
  <c r="AD4426" i="20"/>
  <c r="AD4427" i="20"/>
  <c r="AD4428" i="20"/>
  <c r="AD4429" i="20"/>
  <c r="AD4430" i="20"/>
  <c r="AD4431" i="20"/>
  <c r="AD4432" i="20"/>
  <c r="AD4433" i="20"/>
  <c r="AD4434" i="20"/>
  <c r="AD4435" i="20"/>
  <c r="AD4436" i="20"/>
  <c r="AD4437" i="20"/>
  <c r="AD4438" i="20"/>
  <c r="AD4439" i="20"/>
  <c r="AD4440" i="20"/>
  <c r="AD4441" i="20"/>
  <c r="AD4442" i="20"/>
  <c r="AD4443" i="20"/>
  <c r="AD4444" i="20"/>
  <c r="AD4445" i="20"/>
  <c r="AD4446" i="20"/>
  <c r="AD4447" i="20"/>
  <c r="AD4448" i="20"/>
  <c r="AD4449" i="20"/>
  <c r="AD4450" i="20"/>
  <c r="AD4451" i="20"/>
  <c r="AD4452" i="20"/>
  <c r="AD4453" i="20"/>
  <c r="AD4454" i="20"/>
  <c r="AD4455" i="20"/>
  <c r="AD4456" i="20"/>
  <c r="AD4457" i="20"/>
  <c r="AD4458" i="20"/>
  <c r="AD4459" i="20"/>
  <c r="AD4460" i="20"/>
  <c r="AD4461" i="20"/>
  <c r="AD4462" i="20"/>
  <c r="AD4463" i="20"/>
  <c r="AD4464" i="20"/>
  <c r="AD4465" i="20"/>
  <c r="AD4466" i="20"/>
  <c r="AD4467" i="20"/>
  <c r="AD4468" i="20"/>
  <c r="AD4469" i="20"/>
  <c r="AD4470" i="20"/>
  <c r="AD4471" i="20"/>
  <c r="AD4472" i="20"/>
  <c r="AD4473" i="20"/>
  <c r="AD4474" i="20"/>
  <c r="AD4475" i="20"/>
  <c r="AD4476" i="20"/>
  <c r="AD4477" i="20"/>
  <c r="AD4478" i="20"/>
  <c r="AD4479" i="20"/>
  <c r="AD4480" i="20"/>
  <c r="AD4481" i="20"/>
  <c r="AD4482" i="20"/>
  <c r="AD4483" i="20"/>
  <c r="AD4484" i="20"/>
  <c r="AD4485" i="20"/>
  <c r="AD4486" i="20"/>
  <c r="AD4487" i="20"/>
  <c r="AD4488" i="20"/>
  <c r="AD4489" i="20"/>
  <c r="AD4490" i="20"/>
  <c r="AD4491" i="20"/>
  <c r="AD4492" i="20"/>
  <c r="AD4493" i="20"/>
  <c r="AD4494" i="20"/>
  <c r="AD4495" i="20"/>
  <c r="AD4496" i="20"/>
  <c r="AD4497" i="20"/>
  <c r="AD4498" i="20"/>
  <c r="AD4499" i="20"/>
  <c r="AD4500" i="20"/>
  <c r="AD4501" i="20"/>
  <c r="AD4502" i="20"/>
  <c r="AD4503" i="20"/>
  <c r="AD4504" i="20"/>
  <c r="AD4505" i="20"/>
  <c r="AD4506" i="20"/>
  <c r="AD4507" i="20"/>
  <c r="AD4508" i="20"/>
  <c r="AD4509" i="20"/>
  <c r="AD4510" i="20"/>
  <c r="AD4511" i="20"/>
  <c r="AD4512" i="20"/>
  <c r="AD4513" i="20"/>
  <c r="AD4514" i="20"/>
  <c r="AD4515" i="20"/>
  <c r="AD4516" i="20"/>
  <c r="AD4517" i="20"/>
  <c r="AD4518" i="20"/>
  <c r="AD4519" i="20"/>
  <c r="AD4520" i="20"/>
  <c r="AD4521" i="20"/>
  <c r="AD4522" i="20"/>
  <c r="AD4523" i="20"/>
  <c r="AD4524" i="20"/>
  <c r="AD4525" i="20"/>
  <c r="AD4526" i="20"/>
  <c r="AD4527" i="20"/>
  <c r="AD4528" i="20"/>
  <c r="AD4529" i="20"/>
  <c r="AD4530" i="20"/>
  <c r="AD4531" i="20"/>
  <c r="AD4532" i="20"/>
  <c r="AD4533" i="20"/>
  <c r="AD4534" i="20"/>
  <c r="AD4535" i="20"/>
  <c r="AD4536" i="20"/>
  <c r="AD4537" i="20"/>
  <c r="AD4538" i="20"/>
  <c r="AD4539" i="20"/>
  <c r="AD4540" i="20"/>
  <c r="AD4541" i="20"/>
  <c r="AD4542" i="20"/>
  <c r="AD4543" i="20"/>
  <c r="AD4544" i="20"/>
  <c r="AD4545" i="20"/>
  <c r="AD4546" i="20"/>
  <c r="AD4547" i="20"/>
  <c r="AD4548" i="20"/>
  <c r="AD4549" i="20"/>
  <c r="AD4550" i="20"/>
  <c r="AD4551" i="20"/>
  <c r="AD4552" i="20"/>
  <c r="AD4553" i="20"/>
  <c r="AD4554" i="20"/>
  <c r="AD4555" i="20"/>
  <c r="AD4556" i="20"/>
  <c r="AD4557" i="20"/>
  <c r="AD4558" i="20"/>
  <c r="AD4559" i="20"/>
  <c r="AD4560" i="20"/>
  <c r="AD4561" i="20"/>
  <c r="AD4562" i="20"/>
  <c r="AD4563" i="20"/>
  <c r="AD4564" i="20"/>
  <c r="AD4565" i="20"/>
  <c r="AD4566" i="20"/>
  <c r="AD4567" i="20"/>
  <c r="AD4568" i="20"/>
  <c r="AD4569" i="20"/>
  <c r="AD4570" i="20"/>
  <c r="AD4571" i="20"/>
  <c r="AD4572" i="20"/>
  <c r="AD4573" i="20"/>
  <c r="AD4574" i="20"/>
  <c r="AD4575" i="20"/>
  <c r="AD4576" i="20"/>
  <c r="AD4577" i="20"/>
  <c r="AD4578" i="20"/>
  <c r="AD4579" i="20"/>
  <c r="AD4580" i="20"/>
  <c r="AD4581" i="20"/>
  <c r="AD4582" i="20"/>
  <c r="AD4583" i="20"/>
  <c r="AD4584" i="20"/>
  <c r="AD4585" i="20"/>
  <c r="AD4586" i="20"/>
  <c r="AD4587" i="20"/>
  <c r="AD4588" i="20"/>
  <c r="AD4589" i="20"/>
  <c r="AD4590" i="20"/>
  <c r="AD4591" i="20"/>
  <c r="AD4592" i="20"/>
  <c r="AD4593" i="20"/>
  <c r="AD4594" i="20"/>
  <c r="AD4595" i="20"/>
  <c r="AD4596" i="20"/>
  <c r="AD4597" i="20"/>
  <c r="AD4598" i="20"/>
  <c r="AD4599" i="20"/>
  <c r="AD4600" i="20"/>
  <c r="AD4601" i="20"/>
  <c r="AD4602" i="20"/>
  <c r="AD4603" i="20"/>
  <c r="AD4604" i="20"/>
  <c r="AD4605" i="20"/>
  <c r="AD4606" i="20"/>
  <c r="AD4607" i="20"/>
  <c r="AD4608" i="20"/>
  <c r="AD4609" i="20"/>
  <c r="AD4610" i="20"/>
  <c r="AD4611" i="20"/>
  <c r="AD4612" i="20"/>
  <c r="AD4613" i="20"/>
  <c r="AD4614" i="20"/>
  <c r="AD4615" i="20"/>
  <c r="AD4616" i="20"/>
  <c r="AD4617" i="20"/>
  <c r="AD4618" i="20"/>
  <c r="AD4619" i="20"/>
  <c r="AD4620" i="20"/>
  <c r="AD4621" i="20"/>
  <c r="AD4622" i="20"/>
  <c r="AD4623" i="20"/>
  <c r="AD4624" i="20"/>
  <c r="AD4625" i="20"/>
  <c r="AD4626" i="20"/>
  <c r="AD4627" i="20"/>
  <c r="AD4628" i="20"/>
  <c r="AD4629" i="20"/>
  <c r="AD4630" i="20"/>
  <c r="AD4631" i="20"/>
  <c r="AD4632" i="20"/>
  <c r="AD4633" i="20"/>
  <c r="AD4634" i="20"/>
  <c r="AD4635" i="20"/>
  <c r="AD4636" i="20"/>
  <c r="AD4637" i="20"/>
  <c r="AD4638" i="20"/>
  <c r="AD4639" i="20"/>
  <c r="AD4640" i="20"/>
  <c r="AD4641" i="20"/>
  <c r="AD4642" i="20"/>
  <c r="AD4643" i="20"/>
  <c r="AD4644" i="20"/>
  <c r="AD4645" i="20"/>
  <c r="AD4646" i="20"/>
  <c r="AD4647" i="20"/>
  <c r="AD4648" i="20"/>
  <c r="AD4649" i="20"/>
  <c r="AD4650" i="20"/>
  <c r="AD4651" i="20"/>
  <c r="AD4652" i="20"/>
  <c r="AD4653" i="20"/>
  <c r="AD4654" i="20"/>
  <c r="AD4655" i="20"/>
  <c r="AD4656" i="20"/>
  <c r="AD4657" i="20"/>
  <c r="AD4658" i="20"/>
  <c r="AD4659" i="20"/>
  <c r="AD4660" i="20"/>
  <c r="AD4661" i="20"/>
  <c r="AD4662" i="20"/>
  <c r="AD4663" i="20"/>
  <c r="AD4664" i="20"/>
  <c r="AD4665" i="20"/>
  <c r="AD4666" i="20"/>
  <c r="AD4667" i="20"/>
  <c r="AD4668" i="20"/>
  <c r="AD4669" i="20"/>
  <c r="AD4670" i="20"/>
  <c r="AD4671" i="20"/>
  <c r="AD4672" i="20"/>
  <c r="AD4673" i="20"/>
  <c r="AD4674" i="20"/>
  <c r="AD4675" i="20"/>
  <c r="AD4676" i="20"/>
  <c r="AD4677" i="20"/>
  <c r="AD4678" i="20"/>
  <c r="AD4679" i="20"/>
  <c r="AD4680" i="20"/>
  <c r="AD4681" i="20"/>
  <c r="AD4682" i="20"/>
  <c r="AD4683" i="20"/>
  <c r="AD4684" i="20"/>
  <c r="AD4685" i="20"/>
  <c r="AD4686" i="20"/>
  <c r="AD4687" i="20"/>
  <c r="AD4688" i="20"/>
  <c r="AD4689" i="20"/>
  <c r="AD4690" i="20"/>
  <c r="AD4691" i="20"/>
  <c r="AD4692" i="20"/>
  <c r="AD4693" i="20"/>
  <c r="AD4694" i="20"/>
  <c r="AD4695" i="20"/>
  <c r="AD4696" i="20"/>
  <c r="AD4697" i="20"/>
  <c r="AD4698" i="20"/>
  <c r="AD4699" i="20"/>
  <c r="AD4700" i="20"/>
  <c r="AD4701" i="20"/>
  <c r="AD4702" i="20"/>
  <c r="AD4703" i="20"/>
  <c r="AD4704" i="20"/>
  <c r="AD4705" i="20"/>
  <c r="AD4706" i="20"/>
  <c r="AD4707" i="20"/>
  <c r="AD4708" i="20"/>
  <c r="AD4709" i="20"/>
  <c r="AD4710" i="20"/>
  <c r="AD4711" i="20"/>
  <c r="AD4712" i="20"/>
  <c r="AD4713" i="20"/>
  <c r="AD4714" i="20"/>
  <c r="AD4715" i="20"/>
  <c r="AD4716" i="20"/>
  <c r="AD4717" i="20"/>
  <c r="AD4718" i="20"/>
  <c r="AD4719" i="20"/>
  <c r="AD4720" i="20"/>
  <c r="AD4721" i="20"/>
  <c r="AD4722" i="20"/>
  <c r="AD4723" i="20"/>
  <c r="AD4724" i="20"/>
  <c r="AD4725" i="20"/>
  <c r="AD4726" i="20"/>
  <c r="AD4727" i="20"/>
  <c r="AD4728" i="20"/>
  <c r="AD4729" i="20"/>
  <c r="AD4730" i="20"/>
  <c r="AD4731" i="20"/>
  <c r="AD4732" i="20"/>
  <c r="AD4733" i="20"/>
  <c r="AD4734" i="20"/>
  <c r="AD4735" i="20"/>
  <c r="AD4736" i="20"/>
  <c r="AD4737" i="20"/>
  <c r="AD4738" i="20"/>
  <c r="AD4739" i="20"/>
  <c r="AD4740" i="20"/>
  <c r="AD4741" i="20"/>
  <c r="AD4742" i="20"/>
  <c r="AD4743" i="20"/>
  <c r="AD4744" i="20"/>
  <c r="AD4745" i="20"/>
  <c r="AD4746" i="20"/>
  <c r="AD4747" i="20"/>
  <c r="AD4748" i="20"/>
  <c r="AD4749" i="20"/>
  <c r="AD4750" i="20"/>
  <c r="AD4751" i="20"/>
  <c r="AD4752" i="20"/>
  <c r="AD4753" i="20"/>
  <c r="AD4754" i="20"/>
  <c r="AD4755" i="20"/>
  <c r="AD4756" i="20"/>
  <c r="AD4757" i="20"/>
  <c r="AD4758" i="20"/>
  <c r="AD4759" i="20"/>
  <c r="AD4760" i="20"/>
  <c r="AD4761" i="20"/>
  <c r="AD4762" i="20"/>
  <c r="AD4763" i="20"/>
  <c r="AD4764" i="20"/>
  <c r="AD4765" i="20"/>
  <c r="AD4766" i="20"/>
  <c r="AD4767" i="20"/>
  <c r="AD4768" i="20"/>
  <c r="AD4769" i="20"/>
  <c r="AD4770" i="20"/>
  <c r="AD4771" i="20"/>
  <c r="AD4772" i="20"/>
  <c r="AD4773" i="20"/>
  <c r="AD4774" i="20"/>
  <c r="AD4775" i="20"/>
  <c r="AD4776" i="20"/>
  <c r="AD4777" i="20"/>
  <c r="AD4778" i="20"/>
  <c r="AD4779" i="20"/>
  <c r="AD4780" i="20"/>
  <c r="AD4781" i="20"/>
  <c r="AD4782" i="20"/>
  <c r="AD4783" i="20"/>
  <c r="AD4784" i="20"/>
  <c r="AD4785" i="20"/>
  <c r="AD4786" i="20"/>
  <c r="AD4787" i="20"/>
  <c r="AD4788" i="20"/>
  <c r="AD4789" i="20"/>
  <c r="AD4790" i="20"/>
  <c r="AD4791" i="20"/>
  <c r="AD4792" i="20"/>
  <c r="AD4793" i="20"/>
  <c r="AD4794" i="20"/>
  <c r="AD4795" i="20"/>
  <c r="AD4796" i="20"/>
  <c r="AD4797" i="20"/>
  <c r="AD4798" i="20"/>
  <c r="AD4799" i="20"/>
  <c r="AD4800" i="20"/>
  <c r="AD4801" i="20"/>
  <c r="AD4802" i="20"/>
  <c r="AD4803" i="20"/>
  <c r="AD4804" i="20"/>
  <c r="AD4805" i="20"/>
  <c r="AD4806" i="20"/>
  <c r="AD4807" i="20"/>
  <c r="AD4808" i="20"/>
  <c r="AD4809" i="20"/>
  <c r="AD4810" i="20"/>
  <c r="AD4811" i="20"/>
  <c r="AD4812" i="20"/>
  <c r="AD4813" i="20"/>
  <c r="AD4814" i="20"/>
  <c r="AD4815" i="20"/>
  <c r="AD4816" i="20"/>
  <c r="AD4817" i="20"/>
  <c r="AD4818" i="20"/>
  <c r="AD4819" i="20"/>
  <c r="AD4820" i="20"/>
  <c r="AD4821" i="20"/>
  <c r="AD4822" i="20"/>
  <c r="AD4823" i="20"/>
  <c r="AD4824" i="20"/>
  <c r="AD4825" i="20"/>
  <c r="AD4826" i="20"/>
  <c r="AD4827" i="20"/>
  <c r="AD4828" i="20"/>
  <c r="AD4829" i="20"/>
  <c r="AD4830" i="20"/>
  <c r="AD4831" i="20"/>
  <c r="AD4832" i="20"/>
  <c r="AD4833" i="20"/>
  <c r="AD4834" i="20"/>
  <c r="AD4835" i="20"/>
  <c r="AD4836" i="20"/>
  <c r="AD4837" i="20"/>
  <c r="AD4838" i="20"/>
  <c r="AD4839" i="20"/>
  <c r="AD4840" i="20"/>
  <c r="AD4841" i="20"/>
  <c r="AD4842" i="20"/>
  <c r="AD4843" i="20"/>
  <c r="AD4844" i="20"/>
  <c r="AD4845" i="20"/>
  <c r="AD4846" i="20"/>
  <c r="AD4847" i="20"/>
  <c r="AD4848" i="20"/>
  <c r="AD4849" i="20"/>
  <c r="AD4850" i="20"/>
  <c r="AD4851" i="20"/>
  <c r="AD4852" i="20"/>
  <c r="AD4853" i="20"/>
  <c r="AD4854" i="20"/>
  <c r="AD4855" i="20"/>
  <c r="AD4856" i="20"/>
  <c r="AD4857" i="20"/>
  <c r="AD4858" i="20"/>
  <c r="AD4859" i="20"/>
  <c r="AD4860" i="20"/>
  <c r="AD4861" i="20"/>
  <c r="AD4862" i="20"/>
  <c r="AD4863" i="20"/>
  <c r="AD4864" i="20"/>
  <c r="AD4865" i="20"/>
  <c r="AD4866" i="20"/>
  <c r="AD4867" i="20"/>
  <c r="AD4868" i="20"/>
  <c r="AD4869" i="20"/>
  <c r="AD4870" i="20"/>
  <c r="AD4871" i="20"/>
  <c r="AD4872" i="20"/>
  <c r="AD4873" i="20"/>
  <c r="AD4874" i="20"/>
  <c r="AD4875" i="20"/>
  <c r="AD4876" i="20"/>
  <c r="AD4877" i="20"/>
  <c r="AD4878" i="20"/>
  <c r="AD4879" i="20"/>
  <c r="AD4880" i="20"/>
  <c r="AD4881" i="20"/>
  <c r="AD4882" i="20"/>
  <c r="AD4883" i="20"/>
  <c r="AD4884" i="20"/>
  <c r="AD4885" i="20"/>
  <c r="AD4886" i="20"/>
  <c r="AD4887" i="20"/>
  <c r="AD4888" i="20"/>
  <c r="AD4889" i="20"/>
  <c r="AD4890" i="20"/>
  <c r="AD4891" i="20"/>
  <c r="AD4892" i="20"/>
  <c r="AD4893" i="20"/>
  <c r="AD4894" i="20"/>
  <c r="AD4895" i="20"/>
  <c r="AD4896" i="20"/>
  <c r="AD4897" i="20"/>
  <c r="AD4898" i="20"/>
  <c r="AD4899" i="20"/>
  <c r="AD4900" i="20"/>
  <c r="AD4901" i="20"/>
  <c r="AD4902" i="20"/>
  <c r="AD4903" i="20"/>
  <c r="AD4904" i="20"/>
  <c r="AD4905" i="20"/>
  <c r="AD4906" i="20"/>
  <c r="AD4907" i="20"/>
  <c r="AD4908" i="20"/>
  <c r="AD4909" i="20"/>
  <c r="AD4910" i="20"/>
  <c r="AD4911" i="20"/>
  <c r="AD4912" i="20"/>
  <c r="AD4913" i="20"/>
  <c r="AD4914" i="20"/>
  <c r="AD4915" i="20"/>
  <c r="AD4916" i="20"/>
  <c r="AD4917" i="20"/>
  <c r="AD4918" i="20"/>
  <c r="AD4919" i="20"/>
  <c r="AD4920" i="20"/>
  <c r="AD4921" i="20"/>
  <c r="AD4922" i="20"/>
  <c r="AD4923" i="20"/>
  <c r="AD4924" i="20"/>
  <c r="AD4925" i="20"/>
  <c r="AD4926" i="20"/>
  <c r="AD4927" i="20"/>
  <c r="AD4928" i="20"/>
  <c r="AD4929" i="20"/>
  <c r="AD4930" i="20"/>
  <c r="AD4931" i="20"/>
  <c r="AD4932" i="20"/>
  <c r="AD4933" i="20"/>
  <c r="AD4934" i="20"/>
  <c r="AD4935" i="20"/>
  <c r="AD4936" i="20"/>
  <c r="AD4937" i="20"/>
  <c r="AD4938" i="20"/>
  <c r="AD4939" i="20"/>
  <c r="AD4940" i="20"/>
  <c r="AD4941" i="20"/>
  <c r="AD4942" i="20"/>
  <c r="AD4943" i="20"/>
  <c r="AD4944" i="20"/>
  <c r="AD4945" i="20"/>
  <c r="AD4946" i="20"/>
  <c r="AD4947" i="20"/>
  <c r="AD4948" i="20"/>
  <c r="AD4949" i="20"/>
  <c r="AD4950" i="20"/>
  <c r="AD4951" i="20"/>
  <c r="AD4952" i="20"/>
  <c r="AD4953" i="20"/>
  <c r="AD4954" i="20"/>
  <c r="AD4955" i="20"/>
  <c r="AD4956" i="20"/>
  <c r="AD4957" i="20"/>
  <c r="AD4958" i="20"/>
  <c r="AD4959" i="20"/>
  <c r="AD4960" i="20"/>
  <c r="AD4961" i="20"/>
  <c r="AD4962" i="20"/>
  <c r="AD4963" i="20"/>
  <c r="AD4964" i="20"/>
  <c r="AD4965" i="20"/>
  <c r="AD4966" i="20"/>
  <c r="AD4967" i="20"/>
  <c r="AD4968" i="20"/>
  <c r="AD4969" i="20"/>
  <c r="AD4970" i="20"/>
  <c r="AD4971" i="20"/>
  <c r="AD4972" i="20"/>
  <c r="AD4973" i="20"/>
  <c r="AD4974" i="20"/>
  <c r="AD4975" i="20"/>
  <c r="AD4976" i="20"/>
  <c r="AD4977" i="20"/>
  <c r="AD4978" i="20"/>
  <c r="AD4979" i="20"/>
  <c r="AD4980" i="20"/>
  <c r="AD4981" i="20"/>
  <c r="AD4982" i="20"/>
  <c r="AD4983" i="20"/>
  <c r="AD4984" i="20"/>
  <c r="AD4985" i="20"/>
  <c r="AD4986" i="20"/>
  <c r="AD4987" i="20"/>
  <c r="AD4988" i="20"/>
  <c r="AD4989" i="20"/>
  <c r="AD4990" i="20"/>
  <c r="AD4991" i="20"/>
  <c r="AD4992" i="20"/>
  <c r="AD4993" i="20"/>
  <c r="AD4994" i="20"/>
  <c r="AD4995" i="20"/>
  <c r="AD4996" i="20"/>
  <c r="AD4997" i="20"/>
  <c r="AD4998" i="20"/>
  <c r="AD4999" i="20"/>
  <c r="AD5000" i="20"/>
  <c r="AD5001" i="20"/>
  <c r="AD5002" i="20"/>
  <c r="AD5003" i="20"/>
  <c r="AD5004" i="20"/>
  <c r="AD5005" i="20"/>
  <c r="AD5006" i="20"/>
  <c r="AD5007" i="20"/>
  <c r="AD5008" i="20"/>
  <c r="AD5009" i="20"/>
  <c r="AD5010" i="20"/>
  <c r="AD5011" i="20"/>
  <c r="AD5012" i="20"/>
  <c r="AD5013" i="20"/>
  <c r="AD5014" i="20"/>
  <c r="AD5015" i="20"/>
  <c r="AD5016" i="20"/>
  <c r="AD5017" i="20"/>
  <c r="AD5018" i="20"/>
  <c r="AD5019" i="20"/>
  <c r="AD5020" i="20"/>
  <c r="AD5021" i="20"/>
  <c r="AD5022" i="20"/>
  <c r="AD5023" i="20"/>
  <c r="AD5024" i="20"/>
  <c r="AD5025" i="20"/>
  <c r="AD5026" i="20"/>
  <c r="AD5027" i="20"/>
  <c r="AD5028" i="20"/>
  <c r="AD5029" i="20"/>
  <c r="AD5030" i="20"/>
  <c r="AD5031" i="20"/>
  <c r="AD5032" i="20"/>
  <c r="AD5033" i="20"/>
  <c r="AD5034" i="20"/>
  <c r="AD5035" i="20"/>
  <c r="AD5036" i="20"/>
  <c r="AD5037" i="20"/>
  <c r="AD5038" i="20"/>
  <c r="AD5039" i="20"/>
  <c r="AD5040" i="20"/>
  <c r="AD5041" i="20"/>
  <c r="AD5042" i="20"/>
  <c r="AD5043" i="20"/>
  <c r="AD5044" i="20"/>
  <c r="AD5045" i="20"/>
  <c r="AD5046" i="20"/>
  <c r="AD5047" i="20"/>
  <c r="AD5048" i="20"/>
  <c r="AD5049" i="20"/>
  <c r="AD5050" i="20"/>
  <c r="AD5051" i="20"/>
  <c r="AD5052" i="20"/>
  <c r="AD5053" i="20"/>
  <c r="AD5054" i="20"/>
  <c r="AD5055" i="20"/>
  <c r="AD5056" i="20"/>
  <c r="AD5057" i="20"/>
  <c r="AD5058" i="20"/>
  <c r="AD5059" i="20"/>
  <c r="AD5060" i="20"/>
  <c r="AD5061" i="20"/>
  <c r="AD5062" i="20"/>
  <c r="AD5063" i="20"/>
  <c r="AD5064" i="20"/>
  <c r="AD5065" i="20"/>
  <c r="AD5066" i="20"/>
  <c r="AD5067" i="20"/>
  <c r="AD5068" i="20"/>
  <c r="AD5069" i="20"/>
  <c r="AD5070" i="20"/>
  <c r="AD5071" i="20"/>
  <c r="AD5072" i="20"/>
  <c r="AD5073" i="20"/>
  <c r="AD5074" i="20"/>
  <c r="AD5075" i="20"/>
  <c r="AD5076" i="20"/>
  <c r="AD5077" i="20"/>
  <c r="AD5078" i="20"/>
  <c r="AD5079" i="20"/>
  <c r="AD5080" i="20"/>
  <c r="AD5081" i="20"/>
  <c r="AD5082" i="20"/>
  <c r="AD5083" i="20"/>
  <c r="AD5084" i="20"/>
  <c r="AD5085" i="20"/>
  <c r="AD5086" i="20"/>
  <c r="AD5087" i="20"/>
  <c r="AD5088" i="20"/>
  <c r="AD5089" i="20"/>
  <c r="AD5090" i="20"/>
  <c r="AD5091" i="20"/>
  <c r="AD5092" i="20"/>
  <c r="AD5093" i="20"/>
  <c r="AD5094" i="20"/>
  <c r="AD5095" i="20"/>
  <c r="AD5096" i="20"/>
  <c r="AD5097" i="20"/>
  <c r="AD5098" i="20"/>
  <c r="AD5099" i="20"/>
  <c r="AD5100" i="20"/>
  <c r="AD5101" i="20"/>
  <c r="AD5102" i="20"/>
  <c r="AD5103" i="20"/>
  <c r="AD5104" i="20"/>
  <c r="AD5105" i="20"/>
  <c r="AD5106" i="20"/>
  <c r="AD5107" i="20"/>
  <c r="AD5108" i="20"/>
  <c r="AD5109" i="20"/>
  <c r="AD5110" i="20"/>
  <c r="AD5111" i="20"/>
  <c r="AD5112" i="20"/>
  <c r="AD5113" i="20"/>
  <c r="AD5114" i="20"/>
  <c r="AD5115" i="20"/>
  <c r="AD5116" i="20"/>
  <c r="AD5117" i="20"/>
  <c r="AD5118" i="20"/>
  <c r="AD5119" i="20"/>
  <c r="AD5120" i="20"/>
  <c r="AD5121" i="20"/>
  <c r="AD5122" i="20"/>
  <c r="AD5123" i="20"/>
  <c r="AD5124" i="20"/>
  <c r="AD5125" i="20"/>
  <c r="AD5126" i="20"/>
  <c r="AD5127" i="20"/>
  <c r="AD5128" i="20"/>
  <c r="AD5129" i="20"/>
  <c r="AD5130" i="20"/>
  <c r="AD5131" i="20"/>
  <c r="AD5132" i="20"/>
  <c r="AD5133" i="20"/>
  <c r="AD5134" i="20"/>
  <c r="AD5135" i="20"/>
  <c r="AD5136" i="20"/>
  <c r="AD5137" i="20"/>
  <c r="AD5138" i="20"/>
  <c r="AD5139" i="20"/>
  <c r="AD5140" i="20"/>
  <c r="AD5141" i="20"/>
  <c r="AD5142" i="20"/>
  <c r="AD5143" i="20"/>
  <c r="AD5144" i="20"/>
  <c r="AD5145" i="20"/>
  <c r="AD5146" i="20"/>
  <c r="AD5147" i="20"/>
  <c r="AD5148" i="20"/>
  <c r="AD5149" i="20"/>
  <c r="AD5150" i="20"/>
  <c r="AD5151" i="20"/>
  <c r="AD5152" i="20"/>
  <c r="AD5153" i="20"/>
  <c r="AD5154" i="20"/>
  <c r="AD5155" i="20"/>
  <c r="AD5156" i="20"/>
  <c r="AD5157" i="20"/>
  <c r="AD5158" i="20"/>
  <c r="AD5159" i="20"/>
  <c r="AD5160" i="20"/>
  <c r="AD5161" i="20"/>
  <c r="AD5162" i="20"/>
  <c r="AD5163" i="20"/>
  <c r="AD5164" i="20"/>
  <c r="AD5165" i="20"/>
  <c r="AD5166" i="20"/>
  <c r="AD5167" i="20"/>
  <c r="AD5168" i="20"/>
  <c r="AD5169" i="20"/>
  <c r="AD5170" i="20"/>
  <c r="AD5171" i="20"/>
  <c r="AD5172" i="20"/>
  <c r="AD5173" i="20"/>
  <c r="AD5174" i="20"/>
  <c r="AD5175" i="20"/>
  <c r="AD5176" i="20"/>
  <c r="AD5177" i="20"/>
  <c r="AD5178" i="20"/>
  <c r="AD5179" i="20"/>
  <c r="AD5180" i="20"/>
  <c r="AD5181" i="20"/>
  <c r="AD5182" i="20"/>
  <c r="AD5183" i="20"/>
  <c r="AD5184" i="20"/>
  <c r="AD5185" i="20"/>
  <c r="AD5186" i="20"/>
  <c r="AD5187" i="20"/>
  <c r="AD5188" i="20"/>
  <c r="AD5189" i="20"/>
  <c r="AD5190" i="20"/>
  <c r="AD5191" i="20"/>
  <c r="AD5192" i="20"/>
  <c r="AD5193" i="20"/>
  <c r="AD5194" i="20"/>
  <c r="AD5195" i="20"/>
  <c r="AD5196" i="20"/>
  <c r="AD5197" i="20"/>
  <c r="AD5198" i="20"/>
  <c r="AD5199" i="20"/>
  <c r="AD5200" i="20"/>
  <c r="AD5201" i="20"/>
  <c r="AD5202" i="20"/>
  <c r="AD5203" i="20"/>
  <c r="AD5204" i="20"/>
  <c r="AD5205" i="20"/>
  <c r="AD5206" i="20"/>
  <c r="AD5207" i="20"/>
  <c r="AD5208" i="20"/>
  <c r="AD5209" i="20"/>
  <c r="AD5210" i="20"/>
  <c r="AD5211" i="20"/>
  <c r="AD5212" i="20"/>
  <c r="AD5213" i="20"/>
  <c r="AD5214" i="20"/>
  <c r="AD5215" i="20"/>
  <c r="AD5216" i="20"/>
  <c r="AD5217" i="20"/>
  <c r="AD5218" i="20"/>
  <c r="AD5219" i="20"/>
  <c r="AD5220" i="20"/>
  <c r="AD5221" i="20"/>
  <c r="AD5222" i="20"/>
  <c r="AD5223" i="20"/>
  <c r="AD5224" i="20"/>
  <c r="AD5225" i="20"/>
  <c r="AD5226" i="20"/>
  <c r="AD5227" i="20"/>
  <c r="AD5228" i="20"/>
  <c r="AD5229" i="20"/>
  <c r="AD5230" i="20"/>
  <c r="AD5231" i="20"/>
  <c r="AD5232" i="20"/>
  <c r="AD5233" i="20"/>
  <c r="AD5234" i="20"/>
  <c r="AD5235" i="20"/>
  <c r="AD5236" i="20"/>
  <c r="AD5237" i="20"/>
  <c r="AD5238" i="20"/>
  <c r="AD5239" i="20"/>
  <c r="AD5240" i="20"/>
  <c r="AD5241" i="20"/>
  <c r="AD5242" i="20"/>
  <c r="AD5243" i="20"/>
  <c r="AD5244" i="20"/>
  <c r="AD5245" i="20"/>
  <c r="AD5246" i="20"/>
  <c r="AD5247" i="20"/>
  <c r="AD5248" i="20"/>
  <c r="AD5249" i="20"/>
  <c r="AD5250" i="20"/>
  <c r="AD5251" i="20"/>
  <c r="AD5252" i="20"/>
  <c r="AD5253" i="20"/>
  <c r="AD5254" i="20"/>
  <c r="AD5255" i="20"/>
  <c r="AD5256" i="20"/>
  <c r="AD5257" i="20"/>
  <c r="AD5258" i="20"/>
  <c r="AD5259" i="20"/>
  <c r="AD5260" i="20"/>
  <c r="AD5261" i="20"/>
  <c r="AD5262" i="20"/>
  <c r="AD5263" i="20"/>
  <c r="AD5264" i="20"/>
  <c r="AD5265" i="20"/>
  <c r="AD5266" i="20"/>
  <c r="AD5267" i="20"/>
  <c r="AD5268" i="20"/>
  <c r="AD5269" i="20"/>
  <c r="AD5270" i="20"/>
  <c r="AD5271" i="20"/>
  <c r="AD5272" i="20"/>
  <c r="AD5273" i="20"/>
  <c r="AD5274" i="20"/>
  <c r="AD5275" i="20"/>
  <c r="AD5276" i="20"/>
  <c r="AD5277" i="20"/>
  <c r="AD5278" i="20"/>
  <c r="AD5279" i="20"/>
  <c r="AD5280" i="20"/>
  <c r="AD5281" i="20"/>
  <c r="AD5282" i="20"/>
  <c r="AD5283" i="20"/>
  <c r="AD5284" i="20"/>
  <c r="AD5285" i="20"/>
  <c r="AD5286" i="20"/>
  <c r="AD5287" i="20"/>
  <c r="AD5288" i="20"/>
  <c r="AD5289" i="20"/>
  <c r="AD5290" i="20"/>
  <c r="AD5291" i="20"/>
  <c r="AD5292" i="20"/>
  <c r="AD5293" i="20"/>
  <c r="AD5294" i="20"/>
  <c r="AD5295" i="20"/>
  <c r="AD5296" i="20"/>
  <c r="AD5297" i="20"/>
  <c r="AD5298" i="20"/>
  <c r="AD5299" i="20"/>
  <c r="AD5300" i="20"/>
  <c r="AD5301" i="20"/>
  <c r="AD5302" i="20"/>
  <c r="AD5303" i="20"/>
  <c r="AD5304" i="20"/>
  <c r="AD5305" i="20"/>
  <c r="AD5306" i="20"/>
  <c r="AD5307" i="20"/>
  <c r="AD5308" i="20"/>
  <c r="AD5309" i="20"/>
  <c r="AD5310" i="20"/>
  <c r="AD5311" i="20"/>
  <c r="AD5312" i="20"/>
  <c r="AD5313" i="20"/>
  <c r="AD5314" i="20"/>
  <c r="AD5315" i="20"/>
  <c r="AD5316" i="20"/>
  <c r="AD5317" i="20"/>
  <c r="AD5318" i="20"/>
  <c r="AD5319" i="20"/>
  <c r="AD5320" i="20"/>
  <c r="AD5321" i="20"/>
  <c r="AD5322" i="20"/>
  <c r="AD5323" i="20"/>
  <c r="AD5324" i="20"/>
  <c r="AD5325" i="20"/>
  <c r="AD5326" i="20"/>
  <c r="AD5327" i="20"/>
  <c r="AD5328" i="20"/>
  <c r="AD5329" i="20"/>
  <c r="AD5330" i="20"/>
  <c r="AD5331" i="20"/>
  <c r="AD5332" i="20"/>
  <c r="AD5333" i="20"/>
  <c r="AD5334" i="20"/>
  <c r="AD5335" i="20"/>
  <c r="AD5336" i="20"/>
  <c r="AD5337" i="20"/>
  <c r="AD5338" i="20"/>
  <c r="AD5339" i="20"/>
  <c r="AD5340" i="20"/>
  <c r="AD5341" i="20"/>
  <c r="AD5342" i="20"/>
  <c r="AD5343" i="20"/>
  <c r="AD5344" i="20"/>
  <c r="AD5345" i="20"/>
  <c r="AD5346" i="20"/>
  <c r="AD5347" i="20"/>
  <c r="AD5348" i="20"/>
  <c r="AD5349" i="20"/>
  <c r="AD5350" i="20"/>
  <c r="AD5351" i="20"/>
  <c r="AD5352" i="20"/>
  <c r="AD5353" i="20"/>
  <c r="AD5354" i="20"/>
  <c r="AD5355" i="20"/>
  <c r="AD5356" i="20"/>
  <c r="AD5357" i="20"/>
  <c r="AD5358" i="20"/>
  <c r="AD5359" i="20"/>
  <c r="AD5360" i="20"/>
  <c r="AD5361" i="20"/>
  <c r="AD5362" i="20"/>
  <c r="AD5363" i="20"/>
  <c r="AD5364" i="20"/>
  <c r="AD5365" i="20"/>
  <c r="AD5366" i="20"/>
  <c r="AD5367" i="20"/>
  <c r="AD5368" i="20"/>
  <c r="AD5369" i="20"/>
  <c r="AD5370" i="20"/>
  <c r="AD5371" i="20"/>
  <c r="AD5372" i="20"/>
  <c r="AD5373" i="20"/>
  <c r="AD5374" i="20"/>
  <c r="AD5375" i="20"/>
  <c r="AD5376" i="20"/>
  <c r="AD5377" i="20"/>
  <c r="AD5378" i="20"/>
  <c r="AD5379" i="20"/>
  <c r="AD5380" i="20"/>
  <c r="AD5381" i="20"/>
  <c r="AD5382" i="20"/>
  <c r="AD5383" i="20"/>
  <c r="AD5384" i="20"/>
  <c r="AD5385" i="20"/>
  <c r="AD5386" i="20"/>
  <c r="AD5387" i="20"/>
  <c r="AD5388" i="20"/>
  <c r="AD5389" i="20"/>
  <c r="AD5390" i="20"/>
  <c r="AD5391" i="20"/>
  <c r="AD5392" i="20"/>
  <c r="AD5393" i="20"/>
  <c r="AD5394" i="20"/>
  <c r="AD5395" i="20"/>
  <c r="AD5396" i="20"/>
  <c r="AD5397" i="20"/>
  <c r="AD5398" i="20"/>
  <c r="AD5399" i="20"/>
  <c r="AD5400" i="20"/>
  <c r="AD5401" i="20"/>
  <c r="AD5402" i="20"/>
  <c r="AD5403" i="20"/>
  <c r="AD5404" i="20"/>
  <c r="AD5405" i="20"/>
  <c r="AD5406" i="20"/>
  <c r="AD5407" i="20"/>
  <c r="AD5408" i="20"/>
  <c r="AD5409" i="20"/>
  <c r="AD5410" i="20"/>
  <c r="AD5411" i="20"/>
  <c r="AD5412" i="20"/>
  <c r="AD5413" i="20"/>
  <c r="AD5414" i="20"/>
  <c r="AD5415" i="20"/>
  <c r="AD5416" i="20"/>
  <c r="AD5417" i="20"/>
  <c r="AD5418" i="20"/>
  <c r="AD5419" i="20"/>
  <c r="AD5420" i="20"/>
  <c r="AD5421" i="20"/>
  <c r="AD5422" i="20"/>
  <c r="AD5423" i="20"/>
  <c r="AD5424" i="20"/>
  <c r="AD5425" i="20"/>
  <c r="AD5426" i="20"/>
  <c r="AD5427" i="20"/>
  <c r="AD5428" i="20"/>
  <c r="AD5429" i="20"/>
  <c r="AD5430" i="20"/>
  <c r="AD5431" i="20"/>
  <c r="AD5432" i="20"/>
  <c r="AD5433" i="20"/>
  <c r="AD5434" i="20"/>
  <c r="AD5435" i="20"/>
  <c r="AD5436" i="20"/>
  <c r="AD5437" i="20"/>
  <c r="AD5438" i="20"/>
  <c r="AD5439" i="20"/>
  <c r="AD5440" i="20"/>
  <c r="AD5441" i="20"/>
  <c r="AD5442" i="20"/>
  <c r="AD5443" i="20"/>
  <c r="AD5444" i="20"/>
  <c r="AD5445" i="20"/>
  <c r="AD5446" i="20"/>
  <c r="AD5447" i="20"/>
  <c r="AD5448" i="20"/>
  <c r="AD5449" i="20"/>
  <c r="AD5450" i="20"/>
  <c r="AD5451" i="20"/>
  <c r="AD5452" i="20"/>
  <c r="AD5453" i="20"/>
  <c r="AD5454" i="20"/>
  <c r="AD5455" i="20"/>
  <c r="AD5456" i="20"/>
  <c r="AD5457" i="20"/>
  <c r="AD5458" i="20"/>
  <c r="AD5459" i="20"/>
  <c r="AD5460" i="20"/>
  <c r="AD5461" i="20"/>
  <c r="AD5462" i="20"/>
  <c r="AD5463" i="20"/>
  <c r="AD5464" i="20"/>
  <c r="AD5465" i="20"/>
  <c r="AD5466" i="20"/>
  <c r="AD5467" i="20"/>
  <c r="AD5468" i="20"/>
  <c r="AD5469" i="20"/>
  <c r="AD5470" i="20"/>
  <c r="AD5471" i="20"/>
  <c r="AD5472" i="20"/>
  <c r="AD5473" i="20"/>
  <c r="AD5474" i="20"/>
  <c r="AD5475" i="20"/>
  <c r="AD5476" i="20"/>
  <c r="AD5477" i="20"/>
  <c r="AD5478" i="20"/>
  <c r="AD5479" i="20"/>
  <c r="AD5480" i="20"/>
  <c r="AD5481" i="20"/>
  <c r="AD5482" i="20"/>
  <c r="AD5483" i="20"/>
  <c r="AD5484" i="20"/>
  <c r="AD5485" i="20"/>
  <c r="AD5486" i="20"/>
  <c r="AD5487" i="20"/>
  <c r="AD5488" i="20"/>
  <c r="AD5489" i="20"/>
  <c r="AD5490" i="20"/>
  <c r="AD5491" i="20"/>
  <c r="AD5492" i="20"/>
  <c r="AD5493" i="20"/>
  <c r="AD5494" i="20"/>
  <c r="AD5495" i="20"/>
  <c r="AD5496" i="20"/>
  <c r="AD5497" i="20"/>
  <c r="AD5498" i="20"/>
  <c r="AD5499" i="20"/>
  <c r="AD5500" i="20"/>
  <c r="AD5501" i="20"/>
  <c r="AD5502" i="20"/>
  <c r="AD5503" i="20"/>
  <c r="AD5504" i="20"/>
  <c r="AD5505" i="20"/>
  <c r="AD5506" i="20"/>
  <c r="AD5507" i="20"/>
  <c r="AD5508" i="20"/>
  <c r="AD5509" i="20"/>
  <c r="AD5510" i="20"/>
  <c r="AD5511" i="20"/>
  <c r="AD5512" i="20"/>
  <c r="AD5513" i="20"/>
  <c r="AD5514" i="20"/>
  <c r="AD5515" i="20"/>
  <c r="AD5516" i="20"/>
  <c r="AD5517" i="20"/>
  <c r="AD5518" i="20"/>
  <c r="AD5519" i="20"/>
  <c r="AD5520" i="20"/>
  <c r="AD5521" i="20"/>
  <c r="AD5522" i="20"/>
  <c r="AD5523" i="20"/>
  <c r="AD5524" i="20"/>
  <c r="AD5525" i="20"/>
  <c r="AD5526" i="20"/>
  <c r="AD5527" i="20"/>
  <c r="AD5528" i="20"/>
  <c r="AD5529" i="20"/>
  <c r="AD5530" i="20"/>
  <c r="AD5531" i="20"/>
  <c r="AD5532" i="20"/>
  <c r="AD5533" i="20"/>
  <c r="AD5534" i="20"/>
  <c r="AD5535" i="20"/>
  <c r="AD5536" i="20"/>
  <c r="AD5537" i="20"/>
  <c r="AD5538" i="20"/>
  <c r="AD5539" i="20"/>
  <c r="AD5540" i="20"/>
  <c r="AD5541" i="20"/>
  <c r="AD5542" i="20"/>
  <c r="AD5543" i="20"/>
  <c r="AD5544" i="20"/>
  <c r="AD5545" i="20"/>
  <c r="AD5546" i="20"/>
  <c r="AD5547" i="20"/>
  <c r="AD5548" i="20"/>
  <c r="AD5549" i="20"/>
  <c r="AD5550" i="20"/>
  <c r="AD5551" i="20"/>
  <c r="AD5552" i="20"/>
  <c r="AD5553" i="20"/>
  <c r="AD5554" i="20"/>
  <c r="AD5555" i="20"/>
  <c r="AD5556" i="20"/>
  <c r="AD5557" i="20"/>
  <c r="AD5558" i="20"/>
  <c r="AD5559" i="20"/>
  <c r="AD5560" i="20"/>
  <c r="AD5561" i="20"/>
  <c r="AD5562" i="20"/>
  <c r="AD5563" i="20"/>
  <c r="AD5564" i="20"/>
  <c r="AD5565" i="20"/>
  <c r="AD5566" i="20"/>
  <c r="AD5567" i="20"/>
  <c r="AD5568" i="20"/>
  <c r="AD5569" i="20"/>
  <c r="AD5570" i="20"/>
  <c r="AD5571" i="20"/>
  <c r="AD5572" i="20"/>
  <c r="AD5573" i="20"/>
  <c r="AD5574" i="20"/>
  <c r="AD5575" i="20"/>
  <c r="AD5576" i="20"/>
  <c r="AD5577" i="20"/>
  <c r="AD5578" i="20"/>
  <c r="AD5579" i="20"/>
  <c r="AD5580" i="20"/>
  <c r="AD5581" i="20"/>
  <c r="AD5582" i="20"/>
  <c r="AD5583" i="20"/>
  <c r="AD5584" i="20"/>
  <c r="AD5585" i="20"/>
  <c r="AD5586" i="20"/>
  <c r="AD5587" i="20"/>
  <c r="AD5588" i="20"/>
  <c r="AD5589" i="20"/>
  <c r="AD5590" i="20"/>
  <c r="AD5591" i="20"/>
  <c r="AD5592" i="20"/>
  <c r="AD5593" i="20"/>
  <c r="AD5594" i="20"/>
  <c r="AD5595" i="20"/>
  <c r="AD5596" i="20"/>
  <c r="AD5597" i="20"/>
  <c r="AD5598" i="20"/>
  <c r="AD5599" i="20"/>
  <c r="AD5600" i="20"/>
  <c r="AD5601" i="20"/>
  <c r="AD5602" i="20"/>
  <c r="AD5603" i="20"/>
  <c r="AD5604" i="20"/>
  <c r="AD5605" i="20"/>
  <c r="AD5606" i="20"/>
  <c r="AD5607" i="20"/>
  <c r="AD5608" i="20"/>
  <c r="AD5609" i="20"/>
  <c r="AD5610" i="20"/>
  <c r="AD5611" i="20"/>
  <c r="AD5612" i="20"/>
  <c r="AD5613" i="20"/>
  <c r="AD5614" i="20"/>
  <c r="AD5615" i="20"/>
  <c r="AD5616" i="20"/>
  <c r="AD5617" i="20"/>
  <c r="AD5618" i="20"/>
  <c r="AD5619" i="20"/>
  <c r="AD5620" i="20"/>
  <c r="AD5621" i="20"/>
  <c r="AD5622" i="20"/>
  <c r="AD5623" i="20"/>
  <c r="AD5624" i="20"/>
  <c r="AD5625" i="20"/>
  <c r="AD5626" i="20"/>
  <c r="AD5627" i="20"/>
  <c r="AD5628" i="20"/>
  <c r="AD5629" i="20"/>
  <c r="AD5630" i="20"/>
  <c r="AD5631" i="20"/>
  <c r="AD5632" i="20"/>
  <c r="AD5633" i="20"/>
  <c r="AD5634" i="20"/>
  <c r="AD5635" i="20"/>
  <c r="AD5636" i="20"/>
  <c r="AD5637" i="20"/>
  <c r="AD5638" i="20"/>
  <c r="AD5639" i="20"/>
  <c r="AD5640" i="20"/>
  <c r="AD5641" i="20"/>
  <c r="AD5642" i="20"/>
  <c r="AD5643" i="20"/>
  <c r="AD5644" i="20"/>
  <c r="AD5645" i="20"/>
  <c r="AD5646" i="20"/>
  <c r="AD5647" i="20"/>
  <c r="AD5648" i="20"/>
  <c r="AD5649" i="20"/>
  <c r="AD5650" i="20"/>
  <c r="AD5651" i="20"/>
  <c r="AD5652" i="20"/>
  <c r="AD5653" i="20"/>
  <c r="AD5654" i="20"/>
  <c r="AD5655" i="20"/>
  <c r="AD5656" i="20"/>
  <c r="AD5657" i="20"/>
  <c r="AD5658" i="20"/>
  <c r="AD5659" i="20"/>
  <c r="AD5660" i="20"/>
  <c r="AD5661" i="20"/>
  <c r="AD5662" i="20"/>
  <c r="AD5663" i="20"/>
  <c r="AD5664" i="20"/>
  <c r="AD5665" i="20"/>
  <c r="AD5666" i="20"/>
  <c r="AD5667" i="20"/>
  <c r="AD5668" i="20"/>
  <c r="AD5669" i="20"/>
  <c r="AD5670" i="20"/>
  <c r="AD5671" i="20"/>
  <c r="AD5672" i="20"/>
  <c r="AD5673" i="20"/>
  <c r="AD5674" i="20"/>
  <c r="AD5675" i="20"/>
  <c r="AD5676" i="20"/>
  <c r="AD5677" i="20"/>
  <c r="AD5678" i="20"/>
  <c r="AD5679" i="20"/>
  <c r="AD5680" i="20"/>
  <c r="AD5681" i="20"/>
  <c r="AD5682" i="20"/>
  <c r="AD5683" i="20"/>
  <c r="AD5684" i="20"/>
  <c r="AD5685" i="20"/>
  <c r="AD5686" i="20"/>
  <c r="AD5687" i="20"/>
  <c r="AD5688" i="20"/>
  <c r="AD5689" i="20"/>
  <c r="AD5690" i="20"/>
  <c r="AD5691" i="20"/>
  <c r="AD5692" i="20"/>
  <c r="AD5693" i="20"/>
  <c r="AD5694" i="20"/>
  <c r="AD5695" i="20"/>
  <c r="AD5696" i="20"/>
  <c r="AD5697" i="20"/>
  <c r="AD5698" i="20"/>
  <c r="AD5699" i="20"/>
  <c r="AD5700" i="20"/>
  <c r="AD5701" i="20"/>
  <c r="AD5702" i="20"/>
  <c r="AD5703" i="20"/>
  <c r="AD5704" i="20"/>
  <c r="AD5705" i="20"/>
  <c r="AD5706" i="20"/>
  <c r="AD5707" i="20"/>
  <c r="AD5708" i="20"/>
  <c r="AD5709" i="20"/>
  <c r="AD5710" i="20"/>
  <c r="AD5711" i="20"/>
  <c r="AD5712" i="20"/>
  <c r="AD5713" i="20"/>
  <c r="AD5714" i="20"/>
  <c r="AD5715" i="20"/>
  <c r="AD5716" i="20"/>
  <c r="AD5717" i="20"/>
  <c r="AD5718" i="20"/>
  <c r="AD5719" i="20"/>
  <c r="AD5720" i="20"/>
  <c r="AD5721" i="20"/>
  <c r="AD5722" i="20"/>
  <c r="AD5723" i="20"/>
  <c r="AD5724" i="20"/>
  <c r="AD5725" i="20"/>
  <c r="AD5726" i="20"/>
  <c r="AD5727" i="20"/>
  <c r="AD5728" i="20"/>
  <c r="AD5729" i="20"/>
  <c r="AD5730" i="20"/>
  <c r="AD5731" i="20"/>
  <c r="AD5732" i="20"/>
  <c r="AD5733" i="20"/>
  <c r="AD5734" i="20"/>
  <c r="AD5735" i="20"/>
  <c r="AD5736" i="20"/>
  <c r="AD5737" i="20"/>
  <c r="AD5738" i="20"/>
  <c r="AD5739" i="20"/>
  <c r="AD5740" i="20"/>
  <c r="AD5741" i="20"/>
  <c r="AD5742" i="20"/>
  <c r="AD5743" i="20"/>
  <c r="AD5744" i="20"/>
  <c r="AD5745" i="20"/>
  <c r="AD5746" i="20"/>
  <c r="AD5747" i="20"/>
  <c r="AD5748" i="20"/>
  <c r="AD5749" i="20"/>
  <c r="AD5750" i="20"/>
  <c r="AD5751" i="20"/>
  <c r="AD5752" i="20"/>
  <c r="AD5753" i="20"/>
  <c r="AD5754" i="20"/>
  <c r="AD5755" i="20"/>
  <c r="AD5756" i="20"/>
  <c r="AD5757" i="20"/>
  <c r="AD5758" i="20"/>
  <c r="AD5759" i="20"/>
  <c r="AD5760" i="20"/>
  <c r="AD5761" i="20"/>
  <c r="AD5762" i="20"/>
  <c r="AD5763" i="20"/>
  <c r="AD5764" i="20"/>
  <c r="AD5765" i="20"/>
  <c r="AD5766" i="20"/>
  <c r="AD5767" i="20"/>
  <c r="AD5768" i="20"/>
  <c r="AD5769" i="20"/>
  <c r="AD5770" i="20"/>
  <c r="AD5771" i="20"/>
  <c r="AD5772" i="20"/>
  <c r="AD5773" i="20"/>
  <c r="AD5774" i="20"/>
  <c r="AD5775" i="20"/>
  <c r="AD5776" i="20"/>
  <c r="AD5777" i="20"/>
  <c r="AD5778" i="20"/>
  <c r="AD5779" i="20"/>
  <c r="AD5780" i="20"/>
  <c r="AD5781" i="20"/>
  <c r="AD5782" i="20"/>
  <c r="AD5783" i="20"/>
  <c r="AD5784" i="20"/>
  <c r="AD5785" i="20"/>
  <c r="AD5786" i="20"/>
  <c r="AD5787" i="20"/>
  <c r="AD5788" i="20"/>
  <c r="AD5789" i="20"/>
  <c r="AD5790" i="20"/>
  <c r="AD5791" i="20"/>
  <c r="AD5792" i="20"/>
  <c r="AD5793" i="20"/>
  <c r="AD5794" i="20"/>
  <c r="AD5795" i="20"/>
  <c r="AD5796" i="20"/>
  <c r="AD5797" i="20"/>
  <c r="AD5798" i="20"/>
  <c r="AD5799" i="20"/>
  <c r="AD5800" i="20"/>
  <c r="AD5801" i="20"/>
  <c r="AD5802" i="20"/>
  <c r="AD5803" i="20"/>
  <c r="AD5804" i="20"/>
  <c r="AD5805" i="20"/>
  <c r="AD5806" i="20"/>
  <c r="AD5807" i="20"/>
  <c r="AD5808" i="20"/>
  <c r="AD5809" i="20"/>
  <c r="AD5810" i="20"/>
  <c r="AD5811" i="20"/>
  <c r="AD5812" i="20"/>
  <c r="AD5813" i="20"/>
  <c r="AD5814" i="20"/>
  <c r="AD5815" i="20"/>
  <c r="AD5816" i="20"/>
  <c r="AD5817" i="20"/>
  <c r="AD5818" i="20"/>
  <c r="AD5819" i="20"/>
  <c r="AD5820" i="20"/>
  <c r="AD5821" i="20"/>
  <c r="AD5822" i="20"/>
  <c r="AD5823" i="20"/>
  <c r="AD5824" i="20"/>
  <c r="AD5825" i="20"/>
  <c r="AD5826" i="20"/>
  <c r="AD5827" i="20"/>
  <c r="AD5828" i="20"/>
  <c r="AD5829" i="20"/>
  <c r="AD5830" i="20"/>
  <c r="AD5831" i="20"/>
  <c r="AD5832" i="20"/>
  <c r="AD5833" i="20"/>
  <c r="AD5834" i="20"/>
  <c r="AD5835" i="20"/>
  <c r="AD5836" i="20"/>
  <c r="AD5837" i="20"/>
  <c r="AD5838" i="20"/>
  <c r="AD5839" i="20"/>
  <c r="AD5840" i="20"/>
  <c r="AD5841" i="20"/>
  <c r="AD5842" i="20"/>
  <c r="AD5843" i="20"/>
  <c r="AD5844" i="20"/>
  <c r="AD5845" i="20"/>
  <c r="AD5846" i="20"/>
  <c r="AD5847" i="20"/>
  <c r="AD5848" i="20"/>
  <c r="AD5849" i="20"/>
  <c r="AD5850" i="20"/>
  <c r="AD5851" i="20"/>
  <c r="AD5852" i="20"/>
  <c r="AD5853" i="20"/>
  <c r="AD5854" i="20"/>
  <c r="AD5855" i="20"/>
  <c r="AD5856" i="20"/>
  <c r="AD5857" i="20"/>
  <c r="AD5858" i="20"/>
  <c r="AD5859" i="20"/>
  <c r="AD5860" i="20"/>
  <c r="AD5861" i="20"/>
  <c r="AD5862" i="20"/>
  <c r="AD5863" i="20"/>
  <c r="AD5864" i="20"/>
  <c r="AD5865" i="20"/>
  <c r="AD5866" i="20"/>
  <c r="AD5867" i="20"/>
  <c r="AD5868" i="20"/>
  <c r="AD5869" i="20"/>
  <c r="AD5870" i="20"/>
  <c r="AD5871" i="20"/>
  <c r="AD5872" i="20"/>
  <c r="AD5873" i="20"/>
  <c r="AD5874" i="20"/>
  <c r="AD5875" i="20"/>
  <c r="AD5876" i="20"/>
  <c r="AD5877" i="20"/>
  <c r="AD5878" i="20"/>
  <c r="AD5879" i="20"/>
  <c r="AD5880" i="20"/>
  <c r="AD5881" i="20"/>
  <c r="AD5882" i="20"/>
  <c r="AD5883" i="20"/>
  <c r="AD5884" i="20"/>
  <c r="AD5885" i="20"/>
  <c r="AD5886" i="20"/>
  <c r="AD5887" i="20"/>
  <c r="AD5888" i="20"/>
  <c r="AD5889" i="20"/>
  <c r="AD5890" i="20"/>
  <c r="AD5891" i="20"/>
  <c r="AD5892" i="20"/>
  <c r="AD5893" i="20"/>
  <c r="AD5894" i="20"/>
  <c r="AD5895" i="20"/>
  <c r="AD5896" i="20"/>
  <c r="AD5897" i="20"/>
  <c r="AD5898" i="20"/>
  <c r="AD5899" i="20"/>
  <c r="AD5900" i="20"/>
  <c r="AD5901" i="20"/>
  <c r="AD5902" i="20"/>
  <c r="AD5903" i="20"/>
  <c r="AD5904" i="20"/>
  <c r="AD5905" i="20"/>
  <c r="AD5906" i="20"/>
  <c r="AD5907" i="20"/>
  <c r="AD5908" i="20"/>
  <c r="AD5909" i="20"/>
  <c r="AD5910" i="20"/>
  <c r="AD5911" i="20"/>
  <c r="AD5912" i="20"/>
  <c r="AD5913" i="20"/>
  <c r="AD5914" i="20"/>
  <c r="AD5915" i="20"/>
  <c r="AD5916" i="20"/>
  <c r="AD5917" i="20"/>
  <c r="AD5918" i="20"/>
  <c r="AD5919" i="20"/>
  <c r="AD5920" i="20"/>
  <c r="AD5921" i="20"/>
  <c r="AD5922" i="20"/>
  <c r="AD5923" i="20"/>
  <c r="AD5924" i="20"/>
  <c r="AD5925" i="20"/>
  <c r="AD5926" i="20"/>
  <c r="AD5927" i="20"/>
  <c r="AD5928" i="20"/>
  <c r="AD5929" i="20"/>
  <c r="AD5930" i="20"/>
  <c r="AD5931" i="20"/>
  <c r="AD5932" i="20"/>
  <c r="AD5933" i="20"/>
  <c r="AD5934" i="20"/>
  <c r="AD5935" i="20"/>
  <c r="AD5936" i="20"/>
  <c r="AD5937" i="20"/>
  <c r="AD5938" i="20"/>
  <c r="AD5939" i="20"/>
  <c r="AD5940" i="20"/>
  <c r="AD5941" i="20"/>
  <c r="AD5942" i="20"/>
  <c r="AD5943" i="20"/>
  <c r="AD5944" i="20"/>
  <c r="AD5945" i="20"/>
  <c r="AD5946" i="20"/>
  <c r="AD5947" i="20"/>
  <c r="AD5948" i="20"/>
  <c r="AD5949" i="20"/>
  <c r="AD5950" i="20"/>
  <c r="AD5951" i="20"/>
  <c r="AD5952" i="20"/>
  <c r="AD5953" i="20"/>
  <c r="AD5954" i="20"/>
  <c r="AD5955" i="20"/>
  <c r="AD5956" i="20"/>
  <c r="AD5957" i="20"/>
  <c r="AD5958" i="20"/>
  <c r="AD5959" i="20"/>
  <c r="AD5960" i="20"/>
  <c r="AD5961" i="20"/>
  <c r="AD5962" i="20"/>
  <c r="AD5963" i="20"/>
  <c r="AD5964" i="20"/>
  <c r="AD5965" i="20"/>
  <c r="AD5966" i="20"/>
  <c r="AD5967" i="20"/>
  <c r="AD5968" i="20"/>
  <c r="AD5969" i="20"/>
  <c r="AD5970" i="20"/>
  <c r="AD5971" i="20"/>
  <c r="AD5972" i="20"/>
  <c r="AD5973" i="20"/>
  <c r="AD5974" i="20"/>
  <c r="AD5975" i="20"/>
  <c r="AD5976" i="20"/>
  <c r="AD5977" i="20"/>
  <c r="AD5978" i="20"/>
  <c r="AD5979" i="20"/>
  <c r="AD5980" i="20"/>
  <c r="AD5981" i="20"/>
  <c r="AD5982" i="20"/>
  <c r="AD5983" i="20"/>
  <c r="AD5984" i="20"/>
  <c r="AD5985" i="20"/>
  <c r="AD5986" i="20"/>
  <c r="AD5987" i="20"/>
  <c r="AD5988" i="20"/>
  <c r="AD5989" i="20"/>
  <c r="AD5990" i="20"/>
  <c r="AD5991" i="20"/>
  <c r="AD5992" i="20"/>
  <c r="AD5993" i="20"/>
  <c r="AD5994" i="20"/>
  <c r="AD5995" i="20"/>
  <c r="AD5996" i="20"/>
  <c r="AD5997" i="20"/>
  <c r="AD5998" i="20"/>
  <c r="AD5999" i="20"/>
  <c r="AD6000" i="20"/>
  <c r="AD6001" i="20"/>
  <c r="AD6002" i="20"/>
  <c r="AD6003" i="20"/>
  <c r="AD6004" i="20"/>
  <c r="AD6005" i="20"/>
  <c r="AD6006" i="20"/>
  <c r="AD6007" i="20"/>
  <c r="AD6008" i="20"/>
  <c r="AD6009" i="20"/>
  <c r="AD6010" i="20"/>
  <c r="AD6011" i="20"/>
  <c r="AD6012" i="20"/>
  <c r="AD6013" i="20"/>
  <c r="AD6014" i="20"/>
  <c r="AD6015" i="20"/>
  <c r="AD6016" i="20"/>
  <c r="AD6017" i="20"/>
  <c r="AD6018" i="20"/>
  <c r="AD6019" i="20"/>
  <c r="AD6020" i="20"/>
  <c r="AD6021" i="20"/>
  <c r="AD6022" i="20"/>
  <c r="AD6023" i="20"/>
  <c r="AD6024" i="20"/>
  <c r="AD6025" i="20"/>
  <c r="AD6026" i="20"/>
  <c r="AD6027" i="20"/>
  <c r="AD6028" i="20"/>
  <c r="AD6029" i="20"/>
  <c r="AD6030" i="20"/>
  <c r="AD6031" i="20"/>
  <c r="AD6032" i="20"/>
  <c r="AD6033" i="20"/>
  <c r="AD6034" i="20"/>
  <c r="AD6035" i="20"/>
  <c r="AD6036" i="20"/>
  <c r="AD6037" i="20"/>
  <c r="AD6038" i="20"/>
  <c r="AD6039" i="20"/>
  <c r="AD6040" i="20"/>
  <c r="AD6041" i="20"/>
  <c r="AD6042" i="20"/>
  <c r="AD6043" i="20"/>
  <c r="AD6044" i="20"/>
  <c r="AD6045" i="20"/>
  <c r="AD6046" i="20"/>
  <c r="AD6047" i="20"/>
  <c r="AD6048" i="20"/>
  <c r="AD6049" i="20"/>
  <c r="AD6050" i="20"/>
  <c r="AD6051" i="20"/>
  <c r="AD6052" i="20"/>
  <c r="AD6053" i="20"/>
  <c r="AD6054" i="20"/>
  <c r="AD6055" i="20"/>
  <c r="AD6056" i="20"/>
  <c r="AD6057" i="20"/>
  <c r="AD6058" i="20"/>
  <c r="AD6059" i="20"/>
  <c r="AD6060" i="20"/>
  <c r="AD6061" i="20"/>
  <c r="AD6062" i="20"/>
  <c r="AD6063" i="20"/>
  <c r="AD6064" i="20"/>
  <c r="AD6065" i="20"/>
  <c r="AD6066" i="20"/>
  <c r="AD6067" i="20"/>
  <c r="AD6068" i="20"/>
  <c r="AD6069" i="20"/>
  <c r="AD6070" i="20"/>
  <c r="AD6071" i="20"/>
  <c r="AD6072" i="20"/>
  <c r="AD6073" i="20"/>
  <c r="AD6074" i="20"/>
  <c r="AD6075" i="20"/>
  <c r="AD6076" i="20"/>
  <c r="AD6077" i="20"/>
  <c r="AD6078" i="20"/>
  <c r="AD6079" i="20"/>
  <c r="AD6080" i="20"/>
  <c r="AD6081" i="20"/>
  <c r="AD6082" i="20"/>
  <c r="AD6083" i="20"/>
  <c r="AD6084" i="20"/>
  <c r="AD6085" i="20"/>
  <c r="AD6086" i="20"/>
  <c r="AD6087" i="20"/>
  <c r="AD6088" i="20"/>
  <c r="AD6089" i="20"/>
  <c r="AD6090" i="20"/>
  <c r="AD6091" i="20"/>
  <c r="AD6092" i="20"/>
  <c r="AD6093" i="20"/>
  <c r="AD6094" i="20"/>
  <c r="AD6095" i="20"/>
  <c r="AD6096" i="20"/>
  <c r="AD6097" i="20"/>
  <c r="AD6098" i="20"/>
  <c r="AD6099" i="20"/>
  <c r="AD6100" i="20"/>
  <c r="AD6101" i="20"/>
  <c r="AD6102" i="20"/>
  <c r="AD6103" i="20"/>
  <c r="AD6104" i="20"/>
  <c r="AD6105" i="20"/>
  <c r="AD6106" i="20"/>
  <c r="AD6107" i="20"/>
  <c r="AD6108" i="20"/>
  <c r="AD6109" i="20"/>
  <c r="AD6110" i="20"/>
  <c r="AD6111" i="20"/>
  <c r="AD6112" i="20"/>
  <c r="AD6113" i="20"/>
  <c r="AD6114" i="20"/>
  <c r="AD6115" i="20"/>
  <c r="AD6116" i="20"/>
  <c r="AD6117" i="20"/>
  <c r="AD6118" i="20"/>
  <c r="AD6119" i="20"/>
  <c r="AD6120" i="20"/>
  <c r="AD6121" i="20"/>
  <c r="AD6122" i="20"/>
  <c r="AD6123" i="20"/>
  <c r="AD6124" i="20"/>
  <c r="AD6125" i="20"/>
  <c r="AD6126" i="20"/>
  <c r="AD6127" i="20"/>
  <c r="AD6128" i="20"/>
  <c r="AD6129" i="20"/>
  <c r="AD6130" i="20"/>
  <c r="AD6131" i="20"/>
  <c r="AD6132" i="20"/>
  <c r="AD6133" i="20"/>
  <c r="AD6134" i="20"/>
  <c r="AD6135" i="20"/>
  <c r="AD6136" i="20"/>
  <c r="AD6137" i="20"/>
  <c r="AD6138" i="20"/>
  <c r="AD6139" i="20"/>
  <c r="AD6140" i="20"/>
  <c r="AD6141" i="20"/>
  <c r="AD6142" i="20"/>
  <c r="AD6143" i="20"/>
  <c r="AD6144" i="20"/>
  <c r="AD6145" i="20"/>
  <c r="AD6146" i="20"/>
  <c r="AD6147" i="20"/>
  <c r="AD6148" i="20"/>
  <c r="AD6149" i="20"/>
  <c r="AD6150" i="20"/>
  <c r="AD6151" i="20"/>
  <c r="AD6152" i="20"/>
  <c r="AD6153" i="20"/>
  <c r="AD6154" i="20"/>
  <c r="AD6155" i="20"/>
  <c r="AD6156" i="20"/>
  <c r="AD6157" i="20"/>
  <c r="AD6158" i="20"/>
  <c r="AD6159" i="20"/>
  <c r="AD6160" i="20"/>
  <c r="AD6161" i="20"/>
  <c r="AD6162" i="20"/>
  <c r="AD6163" i="20"/>
  <c r="AD6164" i="20"/>
  <c r="AD6165" i="20"/>
  <c r="AD6166" i="20"/>
  <c r="AD6167" i="20"/>
  <c r="AD6168" i="20"/>
  <c r="AD6169" i="20"/>
  <c r="AD6170" i="20"/>
  <c r="AD6171" i="20"/>
  <c r="AD6172" i="20"/>
  <c r="AD6173" i="20"/>
  <c r="AD6174" i="20"/>
  <c r="AD6175" i="20"/>
  <c r="AD6176" i="20"/>
  <c r="AD6177" i="20"/>
  <c r="AD6178" i="20"/>
  <c r="AD6179" i="20"/>
  <c r="AD6180" i="20"/>
  <c r="AD6181" i="20"/>
  <c r="AD6182" i="20"/>
  <c r="AD6183" i="20"/>
  <c r="AD6184" i="20"/>
  <c r="AD6185" i="20"/>
  <c r="AD6186" i="20"/>
  <c r="AD6187" i="20"/>
  <c r="AD6188" i="20"/>
  <c r="AD6189" i="20"/>
  <c r="AD6190" i="20"/>
  <c r="AD6191" i="20"/>
  <c r="AD6192" i="20"/>
  <c r="AD6193" i="20"/>
  <c r="AD6194" i="20"/>
  <c r="AD6195" i="20"/>
  <c r="AD6196" i="20"/>
  <c r="AD6197" i="20"/>
  <c r="AD6198" i="20"/>
  <c r="AD6199" i="20"/>
  <c r="AD6200" i="20"/>
  <c r="AD6201" i="20"/>
  <c r="AD6202" i="20"/>
  <c r="AD6203" i="20"/>
  <c r="AD6204" i="20"/>
  <c r="AD6205" i="20"/>
  <c r="AD6206" i="20"/>
  <c r="AD6207" i="20"/>
  <c r="AD6208" i="20"/>
  <c r="AD6209" i="20"/>
  <c r="AD6210" i="20"/>
  <c r="AD6211" i="20"/>
  <c r="AD6212" i="20"/>
  <c r="AD6213" i="20"/>
  <c r="AD6214" i="20"/>
  <c r="AD6215" i="20"/>
  <c r="AD6216" i="20"/>
  <c r="AD6217" i="20"/>
  <c r="AD6218" i="20"/>
  <c r="AD6219" i="20"/>
  <c r="AD6220" i="20"/>
  <c r="AD6221" i="20"/>
  <c r="AD6222" i="20"/>
  <c r="AD6223" i="20"/>
  <c r="AD6224" i="20"/>
  <c r="AD6225" i="20"/>
  <c r="AD6226" i="20"/>
  <c r="AD6227" i="20"/>
  <c r="AD6228" i="20"/>
  <c r="AD6229" i="20"/>
  <c r="AD6230" i="20"/>
  <c r="AD6231" i="20"/>
  <c r="AD6232" i="20"/>
  <c r="AD6233" i="20"/>
  <c r="AD6234" i="20"/>
  <c r="AD6235" i="20"/>
  <c r="AD6236" i="20"/>
  <c r="AD6237" i="20"/>
  <c r="AD6238" i="20"/>
  <c r="AD6239" i="20"/>
  <c r="AD6240" i="20"/>
  <c r="AD6241" i="20"/>
  <c r="AD6242" i="20"/>
  <c r="AD6243" i="20"/>
  <c r="AD6244" i="20"/>
  <c r="AD6245" i="20"/>
  <c r="AD6246" i="20"/>
  <c r="AD6247" i="20"/>
  <c r="AD6248" i="20"/>
  <c r="AD6249" i="20"/>
  <c r="AD6250" i="20"/>
  <c r="AD6251" i="20"/>
  <c r="AD6252" i="20"/>
  <c r="AD6253" i="20"/>
  <c r="AD6254" i="20"/>
  <c r="AD6255" i="20"/>
  <c r="AD6256" i="20"/>
  <c r="AD6257" i="20"/>
  <c r="AD6258" i="20"/>
  <c r="AD6259" i="20"/>
  <c r="AD6260" i="20"/>
  <c r="AD6261" i="20"/>
  <c r="AD6262" i="20"/>
  <c r="AD6263" i="20"/>
  <c r="AD6264" i="20"/>
  <c r="AD6265" i="20"/>
  <c r="AD6266" i="20"/>
  <c r="AD6267" i="20"/>
  <c r="AD6268" i="20"/>
  <c r="AD6269" i="20"/>
  <c r="AD6270" i="20"/>
  <c r="AD6271" i="20"/>
  <c r="AD6272" i="20"/>
  <c r="AD6273" i="20"/>
  <c r="AD6274" i="20"/>
  <c r="AD6275" i="20"/>
  <c r="AD6276" i="20"/>
  <c r="AD6277" i="20"/>
  <c r="AD6278" i="20"/>
  <c r="AD6279" i="20"/>
  <c r="AD6280" i="20"/>
  <c r="AD6281" i="20"/>
  <c r="AD6282" i="20"/>
  <c r="AD6283" i="20"/>
  <c r="AD6284" i="20"/>
  <c r="AD6285" i="20"/>
  <c r="AD6286" i="20"/>
  <c r="AD6287" i="20"/>
  <c r="AD6288" i="20"/>
  <c r="AD6289" i="20"/>
  <c r="AD6290" i="20"/>
  <c r="AD6291" i="20"/>
  <c r="AD6292" i="20"/>
  <c r="AD6293" i="20"/>
  <c r="AD6294" i="20"/>
  <c r="AD6295" i="20"/>
  <c r="AD6296" i="20"/>
  <c r="AD6297" i="20"/>
  <c r="AD6298" i="20"/>
  <c r="AD6299" i="20"/>
  <c r="AD6300" i="20"/>
  <c r="AD6301" i="20"/>
  <c r="AD6302" i="20"/>
  <c r="AD6303" i="20"/>
  <c r="AD6304" i="20"/>
  <c r="AD6305" i="20"/>
  <c r="AD6306" i="20"/>
  <c r="AD6307" i="20"/>
  <c r="AD6308" i="20"/>
  <c r="AD6309" i="20"/>
  <c r="AD6310" i="20"/>
  <c r="AD6311" i="20"/>
  <c r="AD6312" i="20"/>
  <c r="AD6313" i="20"/>
  <c r="AD6314" i="20"/>
  <c r="AD6315" i="20"/>
  <c r="AD6316" i="20"/>
  <c r="AD6317" i="20"/>
  <c r="AD6318" i="20"/>
  <c r="AD6319" i="20"/>
  <c r="AD6320" i="20"/>
  <c r="AD6321" i="20"/>
  <c r="AD6322" i="20"/>
  <c r="AD6323" i="20"/>
  <c r="AD6324" i="20"/>
  <c r="AD6325" i="20"/>
  <c r="AD6326" i="20"/>
  <c r="AD6327" i="20"/>
  <c r="AD6328" i="20"/>
  <c r="AD6329" i="20"/>
  <c r="AD6330" i="20"/>
  <c r="AD6331" i="20"/>
  <c r="AD6332" i="20"/>
  <c r="AD6333" i="20"/>
  <c r="AD6334" i="20"/>
  <c r="AD6335" i="20"/>
  <c r="AD6336" i="20"/>
  <c r="AD6337" i="20"/>
  <c r="AD6338" i="20"/>
  <c r="AD6339" i="20"/>
  <c r="AD6340" i="20"/>
  <c r="AD6341" i="20"/>
  <c r="AD6342" i="20"/>
  <c r="AD6343" i="20"/>
  <c r="AD6344" i="20"/>
  <c r="AD6345" i="20"/>
  <c r="AD6346" i="20"/>
  <c r="AD6347" i="20"/>
  <c r="AD6348" i="20"/>
  <c r="AD6349" i="20"/>
  <c r="AD6350" i="20"/>
  <c r="AD6351" i="20"/>
  <c r="AD6352" i="20"/>
  <c r="AD6353" i="20"/>
  <c r="AD6354" i="20"/>
  <c r="AD6355" i="20"/>
  <c r="AD6356" i="20"/>
  <c r="AD6357" i="20"/>
  <c r="AD6358" i="20"/>
  <c r="AD6359" i="20"/>
  <c r="AD6360" i="20"/>
  <c r="AD6361" i="20"/>
  <c r="AD6362" i="20"/>
  <c r="AD6363" i="20"/>
  <c r="AD6364" i="20"/>
  <c r="AD6365" i="20"/>
  <c r="AD6366" i="20"/>
  <c r="AD6367" i="20"/>
  <c r="AD6368" i="20"/>
  <c r="AD6369" i="20"/>
  <c r="AD6370" i="20"/>
  <c r="AD6371" i="20"/>
  <c r="AD6372" i="20"/>
  <c r="AD6373" i="20"/>
  <c r="AD6374" i="20"/>
  <c r="AD6375" i="20"/>
  <c r="AD6376" i="20"/>
  <c r="AD6377" i="20"/>
  <c r="AD6378" i="20"/>
  <c r="AD6379" i="20"/>
  <c r="AD6380" i="20"/>
  <c r="AD6381" i="20"/>
  <c r="AD6382" i="20"/>
  <c r="AD6383" i="20"/>
  <c r="AD6384" i="20"/>
  <c r="AD6385" i="20"/>
  <c r="AD6386" i="20"/>
  <c r="AD6387" i="20"/>
  <c r="AD6388" i="20"/>
  <c r="AD6389" i="20"/>
  <c r="AD6390" i="20"/>
  <c r="AD6391" i="20"/>
  <c r="AD6392" i="20"/>
  <c r="AD6393" i="20"/>
  <c r="AD6394" i="20"/>
  <c r="AD6395" i="20"/>
  <c r="AD6396" i="20"/>
  <c r="AD6397" i="20"/>
  <c r="AD6398" i="20"/>
  <c r="AD6399" i="20"/>
  <c r="AD6400" i="20"/>
  <c r="AD6401" i="20"/>
  <c r="AD6402" i="20"/>
  <c r="AD6403" i="20"/>
  <c r="AD6404" i="20"/>
  <c r="AD6405" i="20"/>
  <c r="AD6406" i="20"/>
  <c r="AD6407" i="20"/>
  <c r="AD6408" i="20"/>
  <c r="AD6409" i="20"/>
  <c r="AD6410" i="20"/>
  <c r="AD6411" i="20"/>
  <c r="AD6412" i="20"/>
  <c r="AD6413" i="20"/>
  <c r="AD6414" i="20"/>
  <c r="AD6415" i="20"/>
  <c r="AD6416" i="20"/>
  <c r="AD6417" i="20"/>
  <c r="AD6418" i="20"/>
  <c r="AD6419" i="20"/>
  <c r="AD6420" i="20"/>
  <c r="AD6421" i="20"/>
  <c r="AD6422" i="20"/>
  <c r="AD6423" i="20"/>
  <c r="AD6424" i="20"/>
  <c r="AD6425" i="20"/>
  <c r="AD6426" i="20"/>
  <c r="AD6427" i="20"/>
  <c r="AD6428" i="20"/>
  <c r="AD6429" i="20"/>
  <c r="AD6430" i="20"/>
  <c r="AD6431" i="20"/>
  <c r="AD6432" i="20"/>
  <c r="AD6433" i="20"/>
  <c r="AD6434" i="20"/>
  <c r="AD6435" i="20"/>
  <c r="AD6436" i="20"/>
  <c r="AD6437" i="20"/>
  <c r="AD6438" i="20"/>
  <c r="AD6439" i="20"/>
  <c r="AD6440" i="20"/>
  <c r="AD6441" i="20"/>
  <c r="AD6442" i="20"/>
  <c r="AD6443" i="20"/>
  <c r="AD6444" i="20"/>
  <c r="AD6445" i="20"/>
  <c r="AD6446" i="20"/>
  <c r="AD6447" i="20"/>
  <c r="AD6448" i="20"/>
  <c r="AD6449" i="20"/>
  <c r="AD6450" i="20"/>
  <c r="AD6451" i="20"/>
  <c r="AD6452" i="20"/>
  <c r="AD6453" i="20"/>
  <c r="AD6454" i="20"/>
  <c r="AD6455" i="20"/>
  <c r="AD6456" i="20"/>
  <c r="AD6457" i="20"/>
  <c r="AD6458" i="20"/>
  <c r="AD6459" i="20"/>
  <c r="AD6460" i="20"/>
  <c r="AD6461" i="20"/>
  <c r="AD6462" i="20"/>
  <c r="AD6463" i="20"/>
  <c r="AD6464" i="20"/>
  <c r="AD6465" i="20"/>
  <c r="AD6466" i="20"/>
  <c r="AD6467" i="20"/>
  <c r="AD6468" i="20"/>
  <c r="AD6469" i="20"/>
  <c r="AD6470" i="20"/>
  <c r="AD6471" i="20"/>
  <c r="AD6472" i="20"/>
  <c r="AD6473" i="20"/>
  <c r="AD6474" i="20"/>
  <c r="AD6475" i="20"/>
  <c r="AD6476" i="20"/>
  <c r="AD6477" i="20"/>
  <c r="AD6478" i="20"/>
  <c r="AD6479" i="20"/>
  <c r="AD6480" i="20"/>
  <c r="AD6481" i="20"/>
  <c r="AD6482" i="20"/>
  <c r="AD6483" i="20"/>
  <c r="AD6484" i="20"/>
  <c r="AD6485" i="20"/>
  <c r="AD6486" i="20"/>
  <c r="AD6487" i="20"/>
  <c r="AD6488" i="20"/>
  <c r="AD6489" i="20"/>
  <c r="AD6490" i="20"/>
  <c r="AD6491" i="20"/>
  <c r="AD6492" i="20"/>
  <c r="AD6493" i="20"/>
  <c r="AD6494" i="20"/>
  <c r="AD6495" i="20"/>
  <c r="AD6496" i="20"/>
  <c r="AD6497" i="20"/>
  <c r="AD6498" i="20"/>
  <c r="AD6499" i="20"/>
  <c r="AD6500" i="20"/>
  <c r="AD6501" i="20"/>
  <c r="AD6502" i="20"/>
  <c r="AD6503" i="20"/>
  <c r="AD6504" i="20"/>
  <c r="AD6505" i="20"/>
  <c r="AD6506" i="20"/>
  <c r="AD6507" i="20"/>
  <c r="AD6508" i="20"/>
  <c r="AD6509" i="20"/>
  <c r="AD6510" i="20"/>
  <c r="AD6511" i="20"/>
  <c r="AD6512" i="20"/>
  <c r="AD6513" i="20"/>
  <c r="AD6514" i="20"/>
  <c r="AD6515" i="20"/>
  <c r="AD6516" i="20"/>
  <c r="AD6517" i="20"/>
  <c r="AD6518" i="20"/>
  <c r="AD6519" i="20"/>
  <c r="AD6520" i="20"/>
  <c r="AD6521" i="20"/>
  <c r="AD6522" i="20"/>
  <c r="AD6523" i="20"/>
  <c r="AD6524" i="20"/>
  <c r="AD6525" i="20"/>
  <c r="AD6526" i="20"/>
  <c r="AD6527" i="20"/>
  <c r="AD6528" i="20"/>
  <c r="AD6529" i="20"/>
  <c r="AD6530" i="20"/>
  <c r="AD6531" i="20"/>
  <c r="AD6532" i="20"/>
  <c r="AD6533" i="20"/>
  <c r="AD6534" i="20"/>
  <c r="AD6535" i="20"/>
  <c r="AD6536" i="20"/>
  <c r="AD6537" i="20"/>
  <c r="AD6538" i="20"/>
  <c r="AD6539" i="20"/>
  <c r="AD6540" i="20"/>
  <c r="AD6541" i="20"/>
  <c r="AD6542" i="20"/>
  <c r="AD6543" i="20"/>
  <c r="AD6544" i="20"/>
  <c r="AD6545" i="20"/>
  <c r="AD6546" i="20"/>
  <c r="AD6547" i="20"/>
  <c r="AD6548" i="20"/>
  <c r="AD6549" i="20"/>
  <c r="AD6550" i="20"/>
  <c r="AD6551" i="20"/>
  <c r="AD6552" i="20"/>
  <c r="AD6553" i="20"/>
  <c r="AD6554" i="20"/>
  <c r="AD6555" i="20"/>
  <c r="AD6556" i="20"/>
  <c r="AD6557" i="20"/>
  <c r="AD6558" i="20"/>
  <c r="AD6559" i="20"/>
  <c r="AD6560" i="20"/>
  <c r="AD6561" i="20"/>
  <c r="AD6562" i="20"/>
  <c r="AD6563" i="20"/>
  <c r="AD6564" i="20"/>
  <c r="AD6565" i="20"/>
  <c r="AD6566" i="20"/>
  <c r="AD6567" i="20"/>
  <c r="AD6568" i="20"/>
  <c r="AD6569" i="20"/>
  <c r="AD6570" i="20"/>
  <c r="AD6571" i="20"/>
  <c r="AD6572" i="20"/>
  <c r="AD6573" i="20"/>
  <c r="AD6574" i="20"/>
  <c r="AD6575" i="20"/>
  <c r="AD6576" i="20"/>
  <c r="AD6577" i="20"/>
  <c r="AD6578" i="20"/>
  <c r="AD6579" i="20"/>
  <c r="AD6580" i="20"/>
  <c r="AD6581" i="20"/>
  <c r="AD6582" i="20"/>
  <c r="AD6583" i="20"/>
  <c r="AD6584" i="20"/>
  <c r="AD6585" i="20"/>
  <c r="AD6586" i="20"/>
  <c r="AD6587" i="20"/>
  <c r="AD6588" i="20"/>
  <c r="AD6589" i="20"/>
  <c r="AD6590" i="20"/>
  <c r="AD6591" i="20"/>
  <c r="AD6592" i="20"/>
  <c r="AD6593" i="20"/>
  <c r="AD6594" i="20"/>
  <c r="AD6595" i="20"/>
  <c r="AD6596" i="20"/>
  <c r="AD6597" i="20"/>
  <c r="AD6598" i="20"/>
  <c r="AD6599" i="20"/>
  <c r="AD6600" i="20"/>
  <c r="AD6601" i="20"/>
  <c r="AD6602" i="20"/>
  <c r="AD6603" i="20"/>
  <c r="AD6604" i="20"/>
  <c r="AD6605" i="20"/>
  <c r="AD6606" i="20"/>
  <c r="AD6607" i="20"/>
  <c r="AD6608" i="20"/>
  <c r="AD6609" i="20"/>
  <c r="AD6610" i="20"/>
  <c r="AD6611" i="20"/>
  <c r="AD6612" i="20"/>
  <c r="AD6613" i="20"/>
  <c r="AD6614" i="20"/>
  <c r="AD6615" i="20"/>
  <c r="AD6616" i="20"/>
  <c r="AD6617" i="20"/>
  <c r="AD6618" i="20"/>
  <c r="AD6619" i="20"/>
  <c r="AD6620" i="20"/>
  <c r="AD6621" i="20"/>
  <c r="AD6622" i="20"/>
  <c r="AD6623" i="20"/>
  <c r="AD6624" i="20"/>
  <c r="AD6625" i="20"/>
  <c r="AD6626" i="20"/>
  <c r="AD6627" i="20"/>
  <c r="AD6628" i="20"/>
  <c r="AD6629" i="20"/>
  <c r="AD6630" i="20"/>
  <c r="AD6631" i="20"/>
  <c r="AD6632" i="20"/>
  <c r="AD6633" i="20"/>
  <c r="AD6634" i="20"/>
  <c r="AD6635" i="20"/>
  <c r="AD6636" i="20"/>
  <c r="AD6637" i="20"/>
  <c r="AD6638" i="20"/>
  <c r="AD6639" i="20"/>
  <c r="AD6640" i="20"/>
  <c r="AD6641" i="20"/>
  <c r="AD6642" i="20"/>
  <c r="AD6643" i="20"/>
  <c r="AD6644" i="20"/>
  <c r="AD6645" i="20"/>
  <c r="AD6646" i="20"/>
  <c r="AD6647" i="20"/>
  <c r="AD6648" i="20"/>
  <c r="AD6649" i="20"/>
  <c r="AD6650" i="20"/>
  <c r="AD6651" i="20"/>
  <c r="AD6652" i="20"/>
  <c r="AD6653" i="20"/>
  <c r="AD6654" i="20"/>
  <c r="AD6655" i="20"/>
  <c r="AD6656" i="20"/>
  <c r="AD6657" i="20"/>
  <c r="AD6658" i="20"/>
  <c r="AD6659" i="20"/>
  <c r="AD6660" i="20"/>
  <c r="AD6661" i="20"/>
  <c r="AD6662" i="20"/>
  <c r="AD6663" i="20"/>
  <c r="AD6664" i="20"/>
  <c r="AD6665" i="20"/>
  <c r="AD6666" i="20"/>
  <c r="AD6667" i="20"/>
  <c r="AD6668" i="20"/>
  <c r="AD6669" i="20"/>
  <c r="AD6670" i="20"/>
  <c r="AD6671" i="20"/>
  <c r="AD6672" i="20"/>
  <c r="AD6673" i="20"/>
  <c r="AD6674" i="20"/>
  <c r="AD6675" i="20"/>
  <c r="AD6676" i="20"/>
  <c r="AD6677" i="20"/>
  <c r="AD6678" i="20"/>
  <c r="AD6679" i="20"/>
  <c r="AD6680" i="20"/>
  <c r="AD6681" i="20"/>
  <c r="AD6682" i="20"/>
  <c r="AD6683" i="20"/>
  <c r="AD6684" i="20"/>
  <c r="AD6685" i="20"/>
  <c r="AD6686" i="20"/>
  <c r="AD6687" i="20"/>
  <c r="AD6688" i="20"/>
  <c r="AD6689" i="20"/>
  <c r="AD6690" i="20"/>
  <c r="AD6691" i="20"/>
  <c r="AD6692" i="20"/>
  <c r="AD6693" i="20"/>
  <c r="AD6694" i="20"/>
  <c r="AD6695" i="20"/>
  <c r="AD6696" i="20"/>
  <c r="AD6697" i="20"/>
  <c r="AD6698" i="20"/>
  <c r="AD6699" i="20"/>
  <c r="AD6700" i="20"/>
  <c r="AD6701" i="20"/>
  <c r="AD6702" i="20"/>
  <c r="AD6703" i="20"/>
  <c r="AD6704" i="20"/>
  <c r="AD6705" i="20"/>
  <c r="AD6706" i="20"/>
  <c r="AD6707" i="20"/>
  <c r="AD6708" i="20"/>
  <c r="AD6709" i="20"/>
  <c r="AD6710" i="20"/>
  <c r="AD6711" i="20"/>
  <c r="AD6712" i="20"/>
  <c r="AD6713" i="20"/>
  <c r="AD6714" i="20"/>
  <c r="AD6715" i="20"/>
  <c r="AD6716" i="20"/>
  <c r="AD6717" i="20"/>
  <c r="AD6718" i="20"/>
  <c r="AD6719" i="20"/>
  <c r="AD6720" i="20"/>
  <c r="AD6721" i="20"/>
  <c r="AD6722" i="20"/>
  <c r="AD6723" i="20"/>
  <c r="AD6724" i="20"/>
  <c r="AD6725" i="20"/>
  <c r="AD6726" i="20"/>
  <c r="AD6727" i="20"/>
  <c r="AD6728" i="20"/>
  <c r="AD6729" i="20"/>
  <c r="AD6730" i="20"/>
  <c r="AD6731" i="20"/>
  <c r="AD6732" i="20"/>
  <c r="AD6733" i="20"/>
  <c r="AD6734" i="20"/>
  <c r="AD6735" i="20"/>
  <c r="AD6736" i="20"/>
  <c r="AD6737" i="20"/>
  <c r="AD6738" i="20"/>
  <c r="AD6739" i="20"/>
  <c r="AD6740" i="20"/>
  <c r="AD6741" i="20"/>
  <c r="AD6742" i="20"/>
  <c r="AD6743" i="20"/>
  <c r="AD6744" i="20"/>
  <c r="AD6745" i="20"/>
  <c r="AD6746" i="20"/>
  <c r="AD6747" i="20"/>
  <c r="AD6748" i="20"/>
  <c r="AD6749" i="20"/>
  <c r="AD6750" i="20"/>
  <c r="AD6751" i="20"/>
  <c r="AD6752" i="20"/>
  <c r="AD6753" i="20"/>
  <c r="AD6754" i="20"/>
  <c r="AD6755" i="20"/>
  <c r="AD6756" i="20"/>
  <c r="AD6757" i="20"/>
  <c r="AD6758" i="20"/>
  <c r="AD6759" i="20"/>
  <c r="AD6760" i="20"/>
  <c r="AD6761" i="20"/>
  <c r="AD6762" i="20"/>
  <c r="AD6763" i="20"/>
  <c r="AD6764" i="20"/>
  <c r="AD6765" i="20"/>
  <c r="AD6766" i="20"/>
  <c r="AD6767" i="20"/>
  <c r="AD6768" i="20"/>
  <c r="AD6769" i="20"/>
  <c r="AD6770" i="20"/>
  <c r="AD6771" i="20"/>
  <c r="AD6772" i="20"/>
  <c r="AD6773" i="20"/>
  <c r="AD6774" i="20"/>
  <c r="AD6775" i="20"/>
  <c r="AD6776" i="20"/>
  <c r="AD6777" i="20"/>
  <c r="AD6778" i="20"/>
  <c r="AD6779" i="20"/>
  <c r="AD6780" i="20"/>
  <c r="AD6781" i="20"/>
  <c r="AD6782" i="20"/>
  <c r="AD6783" i="20"/>
  <c r="AD6784" i="20"/>
  <c r="AD6785" i="20"/>
  <c r="AD6786" i="20"/>
  <c r="AD6787" i="20"/>
  <c r="AD6788" i="20"/>
  <c r="AD6789" i="20"/>
  <c r="AD6790" i="20"/>
  <c r="AD6791" i="20"/>
  <c r="AD6792" i="20"/>
  <c r="AD6793" i="20"/>
  <c r="AD6794" i="20"/>
  <c r="AD6795" i="20"/>
  <c r="AD6796" i="20"/>
  <c r="AD6797" i="20"/>
  <c r="AD6798" i="20"/>
  <c r="AD6799" i="20"/>
  <c r="AD6800" i="20"/>
  <c r="AD6801" i="20"/>
  <c r="AD6802" i="20"/>
  <c r="AD6803" i="20"/>
  <c r="AD6804" i="20"/>
  <c r="AD6805" i="20"/>
  <c r="AD6806" i="20"/>
  <c r="AD6807" i="20"/>
  <c r="AD6808" i="20"/>
  <c r="AD6809" i="20"/>
  <c r="AD6810" i="20"/>
  <c r="AD6811" i="20"/>
  <c r="AD6812" i="20"/>
  <c r="AD6813" i="20"/>
  <c r="AD6814" i="20"/>
  <c r="AD6815" i="20"/>
  <c r="AD6816" i="20"/>
  <c r="AD6817" i="20"/>
  <c r="AD6818" i="20"/>
  <c r="AD6819" i="20"/>
  <c r="AD6820" i="20"/>
  <c r="AD6821" i="20"/>
  <c r="AD6822" i="20"/>
  <c r="AD6823" i="20"/>
  <c r="AD6824" i="20"/>
  <c r="AD6825" i="20"/>
  <c r="AD6826" i="20"/>
  <c r="AD6827" i="20"/>
  <c r="AD6828" i="20"/>
  <c r="AD6829" i="20"/>
  <c r="AD6830" i="20"/>
  <c r="AD6831" i="20"/>
  <c r="AD6832" i="20"/>
  <c r="AD6833" i="20"/>
  <c r="AD6834" i="20"/>
  <c r="AD6835" i="20"/>
  <c r="AD6836" i="20"/>
  <c r="AD6837" i="20"/>
  <c r="AD6838" i="20"/>
  <c r="AD6839" i="20"/>
  <c r="AD6840" i="20"/>
  <c r="AD6841" i="20"/>
  <c r="AD6842" i="20"/>
  <c r="AD6843" i="20"/>
  <c r="AD6844" i="20"/>
  <c r="AD6845" i="20"/>
  <c r="AD6846" i="20"/>
  <c r="AD6847" i="20"/>
  <c r="AD6848" i="20"/>
  <c r="AD6849" i="20"/>
  <c r="AD6850" i="20"/>
  <c r="AD6851" i="20"/>
  <c r="AD6852" i="20"/>
  <c r="AD6853" i="20"/>
  <c r="AD6854" i="20"/>
  <c r="AD6855" i="20"/>
  <c r="AD6856" i="20"/>
  <c r="AD6857" i="20"/>
  <c r="AD6858" i="20"/>
  <c r="AD6859" i="20"/>
  <c r="AD6860" i="20"/>
  <c r="AD6861" i="20"/>
  <c r="AD6862" i="20"/>
  <c r="AD6863" i="20"/>
  <c r="AD6864" i="20"/>
  <c r="AD6865" i="20"/>
  <c r="AD6866" i="20"/>
  <c r="AD6867" i="20"/>
  <c r="AD6868" i="20"/>
  <c r="AD6869" i="20"/>
  <c r="AD6870" i="20"/>
  <c r="AD6871" i="20"/>
  <c r="AD6872" i="20"/>
  <c r="AD6873" i="20"/>
  <c r="AD6874" i="20"/>
  <c r="AD6875" i="20"/>
  <c r="AD6876" i="20"/>
  <c r="AD6877" i="20"/>
  <c r="AD6878" i="20"/>
  <c r="AD6879" i="20"/>
  <c r="AD6880" i="20"/>
  <c r="AD6881" i="20"/>
  <c r="AD6882" i="20"/>
  <c r="AD6883" i="20"/>
  <c r="AD6884" i="20"/>
  <c r="AD6885" i="20"/>
  <c r="AD6886" i="20"/>
  <c r="AD6887" i="20"/>
  <c r="AD6888" i="20"/>
  <c r="AD6889" i="20"/>
  <c r="AD6890" i="20"/>
  <c r="AD6891" i="20"/>
  <c r="AD6892" i="20"/>
  <c r="AD6893" i="20"/>
  <c r="AD6894" i="20"/>
  <c r="AD6895" i="20"/>
  <c r="AD6896" i="20"/>
  <c r="AD6897" i="20"/>
  <c r="AD6898" i="20"/>
  <c r="AD6899" i="20"/>
  <c r="AD6900" i="20"/>
  <c r="AD6901" i="20"/>
  <c r="AD6902" i="20"/>
  <c r="AD6903" i="20"/>
  <c r="AD6904" i="20"/>
  <c r="AD6905" i="20"/>
  <c r="AD6906" i="20"/>
  <c r="AD6907" i="20"/>
  <c r="AD6908" i="20"/>
  <c r="AD6909" i="20"/>
  <c r="AD6910" i="20"/>
  <c r="AD6911" i="20"/>
  <c r="AD6912" i="20"/>
  <c r="AD6913" i="20"/>
  <c r="AD6914" i="20"/>
  <c r="AD6915" i="20"/>
  <c r="AD6916" i="20"/>
  <c r="AD6917" i="20"/>
  <c r="AD6918" i="20"/>
  <c r="AD6919" i="20"/>
  <c r="AD6920" i="20"/>
  <c r="AD6921" i="20"/>
  <c r="AD6922" i="20"/>
  <c r="AD6923" i="20"/>
  <c r="AD6924" i="20"/>
  <c r="AD6925" i="20"/>
  <c r="AD6926" i="20"/>
  <c r="AD6927" i="20"/>
  <c r="AD6928" i="20"/>
  <c r="AD6929" i="20"/>
  <c r="AD6930" i="20"/>
  <c r="AD6931" i="20"/>
  <c r="AD6932" i="20"/>
  <c r="AD6933" i="20"/>
  <c r="AD6934" i="20"/>
  <c r="AD6935" i="20"/>
  <c r="AD6936" i="20"/>
  <c r="AD6937" i="20"/>
  <c r="AD6938" i="20"/>
  <c r="AD6939" i="20"/>
  <c r="AD6940" i="20"/>
  <c r="AD6941" i="20"/>
  <c r="AD6942" i="20"/>
  <c r="AD6943" i="20"/>
  <c r="AD6944" i="20"/>
  <c r="AD6945" i="20"/>
  <c r="AD6946" i="20"/>
  <c r="AD6947" i="20"/>
  <c r="AD6948" i="20"/>
  <c r="AD6949" i="20"/>
  <c r="AD6950" i="20"/>
  <c r="AD6951" i="20"/>
  <c r="AD6952" i="20"/>
  <c r="AD6953" i="20"/>
  <c r="AD6954" i="20"/>
  <c r="AD6955" i="20"/>
  <c r="AD6956" i="20"/>
  <c r="AD6957" i="20"/>
  <c r="AD6958" i="20"/>
  <c r="AD6959" i="20"/>
  <c r="AD6960" i="20"/>
  <c r="AD6961" i="20"/>
  <c r="AD6962" i="20"/>
  <c r="AD6963" i="20"/>
  <c r="AD6964" i="20"/>
  <c r="AD6965" i="20"/>
  <c r="AD6966" i="20"/>
  <c r="AD6967" i="20"/>
  <c r="AD6968" i="20"/>
  <c r="AD6969" i="20"/>
  <c r="AD6970" i="20"/>
  <c r="AD6971" i="20"/>
  <c r="AD6972" i="20"/>
  <c r="AD6973" i="20"/>
  <c r="AD6974" i="20"/>
  <c r="AD6975" i="20"/>
  <c r="AD6976" i="20"/>
  <c r="AD6977" i="20"/>
  <c r="AD6978" i="20"/>
  <c r="AD6979" i="20"/>
  <c r="AD6980" i="20"/>
  <c r="AD6981" i="20"/>
  <c r="AD6982" i="20"/>
  <c r="AD6983" i="20"/>
  <c r="AD6984" i="20"/>
  <c r="AD6985" i="20"/>
  <c r="AD6986" i="20"/>
  <c r="AD6987" i="20"/>
  <c r="AD6988" i="20"/>
  <c r="AD6989" i="20"/>
  <c r="AD6990" i="20"/>
  <c r="AD6991" i="20"/>
  <c r="AD6992" i="20"/>
  <c r="AD6993" i="20"/>
  <c r="AD6994" i="20"/>
  <c r="AD6995" i="20"/>
  <c r="AD6996" i="20"/>
  <c r="AD6997" i="20"/>
  <c r="AD6998" i="20"/>
  <c r="AD6999" i="20"/>
  <c r="AD7000" i="20"/>
  <c r="AD7001" i="20"/>
  <c r="AD7002" i="20"/>
  <c r="AD7003" i="20"/>
  <c r="AD7004" i="20"/>
  <c r="AD7005" i="20"/>
  <c r="AD7006" i="20"/>
  <c r="AD7007" i="20"/>
  <c r="AD7008" i="20"/>
  <c r="AD7009" i="20"/>
  <c r="AD7010" i="20"/>
  <c r="AD7011" i="20"/>
  <c r="AD7012" i="20"/>
  <c r="AD7013" i="20"/>
  <c r="AD7014" i="20"/>
  <c r="AD7015" i="20"/>
  <c r="AD7016" i="20"/>
  <c r="AD7017" i="20"/>
  <c r="AD7018" i="20"/>
  <c r="AD7019" i="20"/>
  <c r="AD7020" i="20"/>
  <c r="AD7021" i="20"/>
  <c r="AD7022" i="20"/>
  <c r="AD7023" i="20"/>
  <c r="AD7024" i="20"/>
  <c r="AD7025" i="20"/>
  <c r="AD7026" i="20"/>
  <c r="AD7027" i="20"/>
  <c r="AD7028" i="20"/>
  <c r="AD7029" i="20"/>
  <c r="AD7030" i="20"/>
  <c r="AD7031" i="20"/>
  <c r="AD7032" i="20"/>
  <c r="AD7033" i="20"/>
  <c r="AD7034" i="20"/>
  <c r="AD7035" i="20"/>
  <c r="AD7036" i="20"/>
  <c r="AD7037" i="20"/>
  <c r="AD7038" i="20"/>
  <c r="AD7039" i="20"/>
  <c r="AD7040" i="20"/>
  <c r="AD7041" i="20"/>
  <c r="AD7042" i="20"/>
  <c r="AD7043" i="20"/>
  <c r="AD7044" i="20"/>
  <c r="AD7045" i="20"/>
  <c r="AD7046" i="20"/>
  <c r="AD7047" i="20"/>
  <c r="AD7048" i="20"/>
  <c r="AD7049" i="20"/>
  <c r="AD7050" i="20"/>
  <c r="AD7051" i="20"/>
  <c r="AD7052" i="20"/>
  <c r="AD7053" i="20"/>
  <c r="AD7054" i="20"/>
  <c r="AD7055" i="20"/>
  <c r="AD7056" i="20"/>
  <c r="AD7057" i="20"/>
  <c r="AD7058" i="20"/>
  <c r="AD7059" i="20"/>
  <c r="AD7060" i="20"/>
  <c r="AD7061" i="20"/>
  <c r="AD7062" i="20"/>
  <c r="AD7063" i="20"/>
  <c r="AD7064" i="20"/>
  <c r="AD7065" i="20"/>
  <c r="AD7066" i="20"/>
  <c r="AD7067" i="20"/>
  <c r="AD7068" i="20"/>
  <c r="AD7069" i="20"/>
  <c r="AD7070" i="20"/>
  <c r="AD7071" i="20"/>
  <c r="AD7072" i="20"/>
  <c r="AD7073" i="20"/>
  <c r="AD7074" i="20"/>
  <c r="AD7075" i="20"/>
  <c r="AD7076" i="20"/>
  <c r="AD7077" i="20"/>
  <c r="AD7078" i="20"/>
  <c r="AD7079" i="20"/>
  <c r="AD7080" i="20"/>
  <c r="AD7081" i="20"/>
  <c r="AD7082" i="20"/>
  <c r="AD7083" i="20"/>
  <c r="AD7084" i="20"/>
  <c r="AD7085" i="20"/>
  <c r="AD7086" i="20"/>
  <c r="AD7087" i="20"/>
  <c r="AD7088" i="20"/>
  <c r="AD7089" i="20"/>
  <c r="AD7090" i="20"/>
  <c r="AD7091" i="20"/>
  <c r="AD7092" i="20"/>
  <c r="AD7093" i="20"/>
  <c r="AD7094" i="20"/>
  <c r="AD7095" i="20"/>
  <c r="AD7096" i="20"/>
  <c r="AD7097" i="20"/>
  <c r="AD7098" i="20"/>
  <c r="AD7099" i="20"/>
  <c r="AD7100" i="20"/>
  <c r="AD7101" i="20"/>
  <c r="AD7102" i="20"/>
  <c r="AD7103" i="20"/>
  <c r="AD7104" i="20"/>
  <c r="AD7105" i="20"/>
  <c r="AD7106" i="20"/>
  <c r="AD7107" i="20"/>
  <c r="AD7108" i="20"/>
  <c r="AD7109" i="20"/>
  <c r="AD7110" i="20"/>
  <c r="AD7111" i="20"/>
  <c r="AD7112" i="20"/>
  <c r="AD7113" i="20"/>
  <c r="AD7114" i="20"/>
  <c r="AD7115" i="20"/>
  <c r="AD7116" i="20"/>
  <c r="AD7117" i="20"/>
  <c r="AD7118" i="20"/>
  <c r="AD7119" i="20"/>
  <c r="AD7120" i="20"/>
  <c r="AD7121" i="20"/>
  <c r="AD7122" i="20"/>
  <c r="AD7123" i="20"/>
  <c r="AD7124" i="20"/>
  <c r="AD7125" i="20"/>
  <c r="AD7126" i="20"/>
  <c r="AD7127" i="20"/>
  <c r="AD7128" i="20"/>
  <c r="AD7129" i="20"/>
  <c r="AD7130" i="20"/>
  <c r="AD7131" i="20"/>
  <c r="AD7132" i="20"/>
  <c r="AD7133" i="20"/>
  <c r="AD7134" i="20"/>
  <c r="AD7135" i="20"/>
  <c r="AD7136" i="20"/>
  <c r="AD7137" i="20"/>
  <c r="AD7138" i="20"/>
  <c r="AD7139" i="20"/>
  <c r="AD7140" i="20"/>
  <c r="AD7141" i="20"/>
  <c r="AD7142" i="20"/>
  <c r="AD7143" i="20"/>
  <c r="AD7144" i="20"/>
  <c r="AD7145" i="20"/>
  <c r="AD7146" i="20"/>
  <c r="AD7147" i="20"/>
  <c r="AD7148" i="20"/>
  <c r="AD7149" i="20"/>
  <c r="AD7150" i="20"/>
  <c r="AD7151" i="20"/>
  <c r="AD7152" i="20"/>
  <c r="AD7153" i="20"/>
  <c r="AD7154" i="20"/>
  <c r="AD7155" i="20"/>
  <c r="AD7156" i="20"/>
  <c r="AD7157" i="20"/>
  <c r="AD7158" i="20"/>
  <c r="AD7159" i="20"/>
  <c r="AD7160" i="20"/>
  <c r="AD7161" i="20"/>
  <c r="AD7162" i="20"/>
  <c r="AD7163" i="20"/>
  <c r="AD7164" i="20"/>
  <c r="AD7165" i="20"/>
  <c r="AD7166" i="20"/>
  <c r="AD7167" i="20"/>
  <c r="AD7168" i="20"/>
  <c r="AD7169" i="20"/>
  <c r="AD7170" i="20"/>
  <c r="AD7171" i="20"/>
  <c r="AD7172" i="20"/>
  <c r="AD7173" i="20"/>
  <c r="AD7174" i="20"/>
  <c r="AD7175" i="20"/>
  <c r="AD7176" i="20"/>
  <c r="AD7177" i="20"/>
  <c r="AD7178" i="20"/>
  <c r="AD7179" i="20"/>
  <c r="AD7180" i="20"/>
  <c r="AD7181" i="20"/>
  <c r="AD7182" i="20"/>
  <c r="AD7183" i="20"/>
  <c r="AD7184" i="20"/>
  <c r="AD7185" i="20"/>
  <c r="AD7186" i="20"/>
  <c r="AD7187" i="20"/>
  <c r="AD7188" i="20"/>
  <c r="AD7189" i="20"/>
  <c r="AD7190" i="20"/>
  <c r="AD7191" i="20"/>
  <c r="AD7192" i="20"/>
  <c r="AD7193" i="20"/>
  <c r="AD7194" i="20"/>
  <c r="AD7195" i="20"/>
  <c r="AD7196" i="20"/>
  <c r="AD7197" i="20"/>
  <c r="AD7198" i="20"/>
  <c r="AD7199" i="20"/>
  <c r="AD7200" i="20"/>
  <c r="AD7201" i="20"/>
  <c r="AD7202" i="20"/>
  <c r="AD7203" i="20"/>
  <c r="AD7204" i="20"/>
  <c r="AD7205" i="20"/>
  <c r="AD7206" i="20"/>
  <c r="AD7207" i="20"/>
  <c r="AD7208" i="20"/>
  <c r="AD7209" i="20"/>
  <c r="AD7210" i="20"/>
  <c r="AD7211" i="20"/>
  <c r="AD7212" i="20"/>
  <c r="AD7213" i="20"/>
  <c r="AD7214" i="20"/>
  <c r="AD7215" i="20"/>
  <c r="AD7216" i="20"/>
  <c r="AD7217" i="20"/>
  <c r="AD7218" i="20"/>
  <c r="AD7219" i="20"/>
  <c r="AD7220" i="20"/>
  <c r="AD7221" i="20"/>
  <c r="AD7222" i="20"/>
  <c r="AD7223" i="20"/>
  <c r="AD7224" i="20"/>
  <c r="AD7225" i="20"/>
  <c r="AD7226" i="20"/>
  <c r="AD7227" i="20"/>
  <c r="AD7228" i="20"/>
  <c r="AD7229" i="20"/>
  <c r="AD7230" i="20"/>
  <c r="AD7231" i="20"/>
  <c r="AD7232" i="20"/>
  <c r="AD7233" i="20"/>
  <c r="AD7234" i="20"/>
  <c r="AD7235" i="20"/>
  <c r="AD7236" i="20"/>
  <c r="AD7237" i="20"/>
  <c r="AD7238" i="20"/>
  <c r="AD7239" i="20"/>
  <c r="AD7240" i="20"/>
  <c r="AD7241" i="20"/>
  <c r="AD7242" i="20"/>
  <c r="AD7243" i="20"/>
  <c r="AD7244" i="20"/>
  <c r="AD7245" i="20"/>
  <c r="AD7246" i="20"/>
  <c r="AD7247" i="20"/>
  <c r="AD7248" i="20"/>
  <c r="AD7249" i="20"/>
  <c r="AD7250" i="20"/>
  <c r="AD7251" i="20"/>
  <c r="AD7252" i="20"/>
  <c r="AD7253" i="20"/>
  <c r="AD7254" i="20"/>
  <c r="AD7255" i="20"/>
  <c r="AD7256" i="20"/>
  <c r="AD7257" i="20"/>
  <c r="AD7258" i="20"/>
  <c r="AD7259" i="20"/>
  <c r="AD7260" i="20"/>
  <c r="AD7261" i="20"/>
  <c r="AD7262" i="20"/>
  <c r="AD7263" i="20"/>
  <c r="AD7264" i="20"/>
  <c r="AD7265" i="20"/>
  <c r="AD7266" i="20"/>
  <c r="AD7267" i="20"/>
  <c r="AD7268" i="20"/>
  <c r="AD7269" i="20"/>
  <c r="AD7270" i="20"/>
  <c r="AD7271" i="20"/>
  <c r="AD7272" i="20"/>
  <c r="AD7273" i="20"/>
  <c r="AD7274" i="20"/>
  <c r="AD7275" i="20"/>
  <c r="AD7276" i="20"/>
  <c r="AD7277" i="20"/>
  <c r="AD7278" i="20"/>
  <c r="AD7279" i="20"/>
  <c r="AD7280" i="20"/>
  <c r="AD7281" i="20"/>
  <c r="AD7282" i="20"/>
  <c r="AD7283" i="20"/>
  <c r="AD7284" i="20"/>
  <c r="AD7285" i="20"/>
  <c r="AD7286" i="20"/>
  <c r="AD7287" i="20"/>
  <c r="AD7288" i="20"/>
  <c r="AD7289" i="20"/>
  <c r="AD7290" i="20"/>
  <c r="AD7291" i="20"/>
  <c r="AD7292" i="20"/>
  <c r="AD7293" i="20"/>
  <c r="AD7294" i="20"/>
  <c r="AD7295" i="20"/>
  <c r="AD7296" i="20"/>
  <c r="AD7297" i="20"/>
  <c r="AD7298" i="20"/>
  <c r="AD7299" i="20"/>
  <c r="AD7300" i="20"/>
  <c r="AD7301" i="20"/>
  <c r="AD7302" i="20"/>
  <c r="AD7303" i="20"/>
  <c r="AD7304" i="20"/>
  <c r="AD7305" i="20"/>
  <c r="AD7306" i="20"/>
  <c r="AD7307" i="20"/>
  <c r="AD7308" i="20"/>
  <c r="AD7309" i="20"/>
  <c r="AD7310" i="20"/>
  <c r="AD7311" i="20"/>
  <c r="AD7312" i="20"/>
  <c r="AD7313" i="20"/>
  <c r="AD7314" i="20"/>
  <c r="AD7315" i="20"/>
  <c r="AD7316" i="20"/>
  <c r="AD7317" i="20"/>
  <c r="AD7318" i="20"/>
  <c r="AD7319" i="20"/>
  <c r="AD7320" i="20"/>
  <c r="AD7321" i="20"/>
  <c r="AD7322" i="20"/>
  <c r="AD7323" i="20"/>
  <c r="AD7324" i="20"/>
  <c r="AD7325" i="20"/>
  <c r="AD7326" i="20"/>
  <c r="AD7327" i="20"/>
  <c r="AD7328" i="20"/>
  <c r="AD7329" i="20"/>
  <c r="AD7330" i="20"/>
  <c r="AD7331" i="20"/>
  <c r="AD7332" i="20"/>
  <c r="AD7333" i="20"/>
  <c r="AD7334" i="20"/>
  <c r="AD7335" i="20"/>
  <c r="AD7336" i="20"/>
  <c r="AD7337" i="20"/>
  <c r="AD7338" i="20"/>
  <c r="AD7339" i="20"/>
  <c r="AD7340" i="20"/>
  <c r="AD7341" i="20"/>
  <c r="AD7342" i="20"/>
  <c r="AD7343" i="20"/>
  <c r="AD7344" i="20"/>
  <c r="AD7345" i="20"/>
  <c r="AD7346" i="20"/>
  <c r="AD7347" i="20"/>
  <c r="AD7348" i="20"/>
  <c r="AD7349" i="20"/>
  <c r="AD7350" i="20"/>
  <c r="AD7351" i="20"/>
  <c r="AD7352" i="20"/>
  <c r="AD7353" i="20"/>
  <c r="AD7354" i="20"/>
  <c r="AD7355" i="20"/>
  <c r="AD7356" i="20"/>
  <c r="AD7357" i="20"/>
  <c r="AD7358" i="20"/>
  <c r="AD7359" i="20"/>
  <c r="AD7360" i="20"/>
  <c r="AD7361" i="20"/>
  <c r="AD7362" i="20"/>
  <c r="AD7363" i="20"/>
  <c r="AD7364" i="20"/>
  <c r="AD7365" i="20"/>
  <c r="AD7366" i="20"/>
  <c r="AD7367" i="20"/>
  <c r="AD7368" i="20"/>
  <c r="AD7369" i="20"/>
  <c r="AD7370" i="20"/>
  <c r="AD7371" i="20"/>
  <c r="AD7372" i="20"/>
  <c r="AD7373" i="20"/>
  <c r="AD7374" i="20"/>
  <c r="AD7375" i="20"/>
  <c r="AD7376" i="20"/>
  <c r="AD7377" i="20"/>
  <c r="AD7378" i="20"/>
  <c r="AD7379" i="20"/>
  <c r="AD7380" i="20"/>
  <c r="AD7381" i="20"/>
  <c r="AD7382" i="20"/>
  <c r="AD7383" i="20"/>
  <c r="AD7384" i="20"/>
  <c r="AD7385" i="20"/>
  <c r="AD7386" i="20"/>
  <c r="AD7387" i="20"/>
  <c r="AD7388" i="20"/>
  <c r="AD7389" i="20"/>
  <c r="AD7390" i="20"/>
  <c r="AD7391" i="20"/>
  <c r="AD7392" i="20"/>
  <c r="AD7393" i="20"/>
  <c r="AD7394" i="20"/>
  <c r="AD7395" i="20"/>
  <c r="AD7396" i="20"/>
  <c r="AD7397" i="20"/>
  <c r="AD7398" i="20"/>
  <c r="AD7399" i="20"/>
  <c r="AD7400" i="20"/>
  <c r="AD7401" i="20"/>
  <c r="AD7402" i="20"/>
  <c r="AD7403" i="20"/>
  <c r="AD7404" i="20"/>
  <c r="AD7405" i="20"/>
  <c r="AD7406" i="20"/>
  <c r="AD7407" i="20"/>
  <c r="AD7408" i="20"/>
  <c r="AD7409" i="20"/>
  <c r="AD7410" i="20"/>
  <c r="AD7411" i="20"/>
  <c r="AD7412" i="20"/>
  <c r="AD7413" i="20"/>
  <c r="AD7414" i="20"/>
  <c r="AD7415" i="20"/>
  <c r="AD7416" i="20"/>
  <c r="AD7417" i="20"/>
  <c r="AD7418" i="20"/>
  <c r="AD7419" i="20"/>
  <c r="AD7420" i="20"/>
  <c r="AD7421" i="20"/>
  <c r="AD7422" i="20"/>
  <c r="AD7423" i="20"/>
  <c r="AD7424" i="20"/>
  <c r="AD7425" i="20"/>
  <c r="AD7426" i="20"/>
  <c r="AD7427" i="20"/>
  <c r="AD7428" i="20"/>
  <c r="AD7429" i="20"/>
  <c r="AD7430" i="20"/>
  <c r="AD7431" i="20"/>
  <c r="AD7432" i="20"/>
  <c r="AD7433" i="20"/>
  <c r="AD7434" i="20"/>
  <c r="AD7435" i="20"/>
  <c r="AD7436" i="20"/>
  <c r="AD7437" i="20"/>
  <c r="AD7438" i="20"/>
  <c r="AD7439" i="20"/>
  <c r="AD7440" i="20"/>
  <c r="AD7441" i="20"/>
  <c r="AD7442" i="20"/>
  <c r="AD7443" i="20"/>
  <c r="AD7444" i="20"/>
  <c r="AD7445" i="20"/>
  <c r="AD7446" i="20"/>
  <c r="AD7447" i="20"/>
  <c r="AD7448" i="20"/>
  <c r="AD7449" i="20"/>
  <c r="AD7450" i="20"/>
  <c r="AD7451" i="20"/>
  <c r="AD7452" i="20"/>
  <c r="AD7453" i="20"/>
  <c r="AD7454" i="20"/>
  <c r="AD7455" i="20"/>
  <c r="AD7456" i="20"/>
  <c r="AD7457" i="20"/>
  <c r="AD7458" i="20"/>
  <c r="AD7459" i="20"/>
  <c r="AD7460" i="20"/>
  <c r="AD7461" i="20"/>
  <c r="AD7462" i="20"/>
  <c r="AD7463" i="20"/>
  <c r="AD7464" i="20"/>
  <c r="AD7465" i="20"/>
  <c r="AD7466" i="20"/>
  <c r="AD7467" i="20"/>
  <c r="AD7468" i="20"/>
  <c r="AD7469" i="20"/>
  <c r="AD7470" i="20"/>
  <c r="AD7471" i="20"/>
  <c r="AD7472" i="20"/>
  <c r="AD7473" i="20"/>
  <c r="AD7474" i="20"/>
  <c r="AD7475" i="20"/>
  <c r="AD7476" i="20"/>
  <c r="AD7477" i="20"/>
  <c r="AD7478" i="20"/>
  <c r="AD7479" i="20"/>
  <c r="AD7480" i="20"/>
  <c r="AD7481" i="20"/>
  <c r="AD7482" i="20"/>
  <c r="AD7483" i="20"/>
  <c r="AD7484" i="20"/>
  <c r="AD7485" i="20"/>
  <c r="AD7486" i="20"/>
  <c r="AD7487" i="20"/>
  <c r="AD7488" i="20"/>
  <c r="AD7489" i="20"/>
  <c r="AD7490" i="20"/>
  <c r="AD7491" i="20"/>
  <c r="AD7492" i="20"/>
  <c r="AD7493" i="20"/>
  <c r="AD7494" i="20"/>
  <c r="AD7495" i="20"/>
  <c r="AD7496" i="20"/>
  <c r="AD7497" i="20"/>
  <c r="AD7498" i="20"/>
  <c r="AD7499" i="20"/>
  <c r="AD7500" i="20"/>
  <c r="AD7501" i="20"/>
  <c r="AD7502" i="20"/>
  <c r="AD7503" i="20"/>
  <c r="AD7504" i="20"/>
  <c r="AD7505" i="20"/>
  <c r="AD7506" i="20"/>
  <c r="AD7507" i="20"/>
  <c r="AD7508" i="20"/>
  <c r="AD7509" i="20"/>
  <c r="AD7510" i="20"/>
  <c r="AD7511" i="20"/>
  <c r="AD7512" i="20"/>
  <c r="AD7513" i="20"/>
  <c r="AD7514" i="20"/>
  <c r="AD7515" i="20"/>
  <c r="AD7516" i="20"/>
  <c r="AD7517" i="20"/>
  <c r="AD7518" i="20"/>
  <c r="AD7519" i="20"/>
  <c r="AD7520" i="20"/>
  <c r="AD7521" i="20"/>
  <c r="AD7522" i="20"/>
  <c r="AD7523" i="20"/>
  <c r="AD7524" i="20"/>
  <c r="AD7525" i="20"/>
  <c r="AD7526" i="20"/>
  <c r="AD7527" i="20"/>
  <c r="AD7528" i="20"/>
  <c r="AD7529" i="20"/>
  <c r="AD7530" i="20"/>
  <c r="AD7531" i="20"/>
  <c r="AD7532" i="20"/>
  <c r="AD7533" i="20"/>
  <c r="AD7534" i="20"/>
  <c r="AD7535" i="20"/>
  <c r="AD7536" i="20"/>
  <c r="AD7537" i="20"/>
  <c r="AD7538" i="20"/>
  <c r="AD7539" i="20"/>
  <c r="AD7540" i="20"/>
  <c r="AD7541" i="20"/>
  <c r="AD7542" i="20"/>
  <c r="AD7543" i="20"/>
  <c r="AD7544" i="20"/>
  <c r="AD7545" i="20"/>
  <c r="AD7546" i="20"/>
  <c r="AD7547" i="20"/>
  <c r="AD7548" i="20"/>
  <c r="AD7549" i="20"/>
  <c r="AD7550" i="20"/>
  <c r="AD7551" i="20"/>
  <c r="AD7552" i="20"/>
  <c r="AD7553" i="20"/>
  <c r="AD7554" i="20"/>
  <c r="AD7555" i="20"/>
  <c r="AD7556" i="20"/>
  <c r="AD7557" i="20"/>
  <c r="AD7558" i="20"/>
  <c r="AD7559" i="20"/>
  <c r="AD7560" i="20"/>
  <c r="AD7561" i="20"/>
  <c r="AD7562" i="20"/>
  <c r="AD7563" i="20"/>
  <c r="AD7564" i="20"/>
  <c r="AD7565" i="20"/>
  <c r="AD7566" i="20"/>
  <c r="AD7567" i="20"/>
  <c r="AD7568" i="20"/>
  <c r="AD7569" i="20"/>
  <c r="AD7570" i="20"/>
  <c r="AD7571" i="20"/>
  <c r="AD7572" i="20"/>
  <c r="AD7573" i="20"/>
  <c r="AD7574" i="20"/>
  <c r="AD7575" i="20"/>
  <c r="AD7576" i="20"/>
  <c r="AD7577" i="20"/>
  <c r="AD7578" i="20"/>
  <c r="AD7579" i="20"/>
  <c r="AD7580" i="20"/>
  <c r="AD7581" i="20"/>
  <c r="AD7582" i="20"/>
  <c r="AD7583" i="20"/>
  <c r="AD7584" i="20"/>
  <c r="AD7585" i="20"/>
  <c r="AD7586" i="20"/>
  <c r="AD7587" i="20"/>
  <c r="AD7588" i="20"/>
  <c r="AD7589" i="20"/>
  <c r="AD7590" i="20"/>
  <c r="AD7591" i="20"/>
  <c r="AD7592" i="20"/>
  <c r="AD7593" i="20"/>
  <c r="AD7594" i="20"/>
  <c r="AD7595" i="20"/>
  <c r="AD7596" i="20"/>
  <c r="AD7597" i="20"/>
  <c r="AD7598" i="20"/>
  <c r="AD7599" i="20"/>
  <c r="AD7600" i="20"/>
  <c r="AD7601" i="20"/>
  <c r="AD7602" i="20"/>
  <c r="AD7603" i="20"/>
  <c r="AD7604" i="20"/>
  <c r="AD7605" i="20"/>
  <c r="AD7606" i="20"/>
  <c r="AD7607" i="20"/>
  <c r="AD7608" i="20"/>
  <c r="AD7609" i="20"/>
  <c r="AD7610" i="20"/>
  <c r="AD7611" i="20"/>
  <c r="AD7612" i="20"/>
  <c r="AD7613" i="20"/>
  <c r="AD7614" i="20"/>
  <c r="AD7615" i="20"/>
  <c r="AD7616" i="20"/>
  <c r="AD7617" i="20"/>
  <c r="AD7618" i="20"/>
  <c r="AD7619" i="20"/>
  <c r="AD7620" i="20"/>
  <c r="AD7621" i="20"/>
  <c r="AD7622" i="20"/>
  <c r="AD7623" i="20"/>
  <c r="AD7624" i="20"/>
  <c r="AD7625" i="20"/>
  <c r="AD7626" i="20"/>
  <c r="AD7627" i="20"/>
  <c r="AD7628" i="20"/>
  <c r="AD7629" i="20"/>
  <c r="AD7630" i="20"/>
  <c r="AD7631" i="20"/>
  <c r="AD7632" i="20"/>
  <c r="AD7633" i="20"/>
  <c r="AD7634" i="20"/>
  <c r="AD7635" i="20"/>
  <c r="AD7636" i="20"/>
  <c r="AD7637" i="20"/>
  <c r="AD7638" i="20"/>
  <c r="AD7639" i="20"/>
  <c r="AD7640" i="20"/>
  <c r="AD7641" i="20"/>
  <c r="AD7642" i="20"/>
  <c r="AD7643" i="20"/>
  <c r="AD7644" i="20"/>
  <c r="AD7645" i="20"/>
  <c r="AD7646" i="20"/>
  <c r="AD7647" i="20"/>
  <c r="AD7648" i="20"/>
  <c r="AD7649" i="20"/>
  <c r="AD7650" i="20"/>
  <c r="AD7651" i="20"/>
  <c r="AD7652" i="20"/>
  <c r="AD7653" i="20"/>
  <c r="AD7654" i="20"/>
  <c r="AD7655" i="20"/>
  <c r="AD7656" i="20"/>
  <c r="AD7657" i="20"/>
  <c r="AD7658" i="20"/>
  <c r="AD7659" i="20"/>
  <c r="AD7660" i="20"/>
  <c r="AD7661" i="20"/>
  <c r="AD7662" i="20"/>
  <c r="AD7663" i="20"/>
  <c r="AD7664" i="20"/>
  <c r="AD7665" i="20"/>
  <c r="AD7666" i="20"/>
  <c r="AD7667" i="20"/>
  <c r="AD7668" i="20"/>
  <c r="AD7669" i="20"/>
  <c r="AD7670" i="20"/>
  <c r="AD7671" i="20"/>
  <c r="AD7672" i="20"/>
  <c r="AD7673" i="20"/>
  <c r="AD7674" i="20"/>
  <c r="AD7675" i="20"/>
  <c r="AD7676" i="20"/>
  <c r="AD7677" i="20"/>
  <c r="AD7678" i="20"/>
  <c r="AD7679" i="20"/>
  <c r="AD7680" i="20"/>
  <c r="AD7681" i="20"/>
  <c r="AD7682" i="20"/>
  <c r="AD7683" i="20"/>
  <c r="AD7684" i="20"/>
  <c r="AD7685" i="20"/>
  <c r="AD7686" i="20"/>
  <c r="AD7687" i="20"/>
  <c r="AD7688" i="20"/>
  <c r="AD7689" i="20"/>
  <c r="AD7690" i="20"/>
  <c r="AD7691" i="20"/>
  <c r="AD7692" i="20"/>
  <c r="AD7693" i="20"/>
  <c r="AD7694" i="20"/>
  <c r="AD7695" i="20"/>
  <c r="AD7696" i="20"/>
  <c r="AD7697" i="20"/>
  <c r="AD7698" i="20"/>
  <c r="AD7699" i="20"/>
  <c r="AD7700" i="20"/>
  <c r="AD7701" i="20"/>
  <c r="AD7702" i="20"/>
  <c r="AD7703" i="20"/>
  <c r="AD7704" i="20"/>
  <c r="AD7705" i="20"/>
  <c r="AD7706" i="20"/>
  <c r="AD7707" i="20"/>
  <c r="AD7708" i="20"/>
  <c r="AD7709" i="20"/>
  <c r="AD7710" i="20"/>
  <c r="AD7711" i="20"/>
  <c r="AD7712" i="20"/>
  <c r="AD7713" i="20"/>
  <c r="AD7714" i="20"/>
  <c r="AD7715" i="20"/>
  <c r="AD7716" i="20"/>
  <c r="AD7717" i="20"/>
  <c r="AD7718" i="20"/>
  <c r="AD7719" i="20"/>
  <c r="AD7720" i="20"/>
  <c r="AD7721" i="20"/>
  <c r="AD7722" i="20"/>
  <c r="AD7723" i="20"/>
  <c r="AD7724" i="20"/>
  <c r="AD7725" i="20"/>
  <c r="AD7726" i="20"/>
  <c r="AD7727" i="20"/>
  <c r="AD7728" i="20"/>
  <c r="AD7729" i="20"/>
  <c r="AD7730" i="20"/>
  <c r="AD7731" i="20"/>
  <c r="AD7732" i="20"/>
  <c r="AD7733" i="20"/>
  <c r="AD7734" i="20"/>
  <c r="AD7735" i="20"/>
  <c r="AD7736" i="20"/>
  <c r="AD7737" i="20"/>
  <c r="AD7738" i="20"/>
  <c r="AD7739" i="20"/>
  <c r="AD7740" i="20"/>
  <c r="AD7741" i="20"/>
  <c r="AD7742" i="20"/>
  <c r="AD7743" i="20"/>
  <c r="AD7744" i="20"/>
  <c r="AD7745" i="20"/>
  <c r="AD7746" i="20"/>
  <c r="AD7747" i="20"/>
  <c r="AD7748" i="20"/>
  <c r="AD7749" i="20"/>
  <c r="AD7750" i="20"/>
  <c r="AD7751" i="20"/>
  <c r="AD7752" i="20"/>
  <c r="AD7753" i="20"/>
  <c r="AD7754" i="20"/>
  <c r="AD7755" i="20"/>
  <c r="AD7756" i="20"/>
  <c r="AD7757" i="20"/>
  <c r="AD7758" i="20"/>
  <c r="AD7759" i="20"/>
  <c r="AD7760" i="20"/>
  <c r="AD7761" i="20"/>
  <c r="AD7762" i="20"/>
  <c r="AD7763" i="20"/>
  <c r="AD7764" i="20"/>
  <c r="AD7765" i="20"/>
  <c r="AD7766" i="20"/>
  <c r="AD7767" i="20"/>
  <c r="AD7768" i="20"/>
  <c r="AD7769" i="20"/>
  <c r="AD7770" i="20"/>
  <c r="AD7771" i="20"/>
  <c r="AD7772" i="20"/>
  <c r="AD7773" i="20"/>
  <c r="AD7774" i="20"/>
  <c r="AD7775" i="20"/>
  <c r="AD7776" i="20"/>
  <c r="AD7777" i="20"/>
  <c r="AD7778" i="20"/>
  <c r="AD7779" i="20"/>
  <c r="AD7780" i="20"/>
  <c r="AD7781" i="20"/>
  <c r="AD7782" i="20"/>
  <c r="AD7783" i="20"/>
  <c r="AD7784" i="20"/>
  <c r="AD7785" i="20"/>
  <c r="AD7786" i="20"/>
  <c r="AD7787" i="20"/>
  <c r="AD7788" i="20"/>
  <c r="AD7789" i="20"/>
  <c r="AD7790" i="20"/>
  <c r="AD7791" i="20"/>
  <c r="AD7792" i="20"/>
  <c r="AD7793" i="20"/>
  <c r="AD7794" i="20"/>
  <c r="AD7795" i="20"/>
  <c r="AD7796" i="20"/>
  <c r="AD7797" i="20"/>
  <c r="AD7798" i="20"/>
  <c r="AD7799" i="20"/>
  <c r="AD7800" i="20"/>
  <c r="AD7801" i="20"/>
  <c r="AD7802" i="20"/>
  <c r="AD7803" i="20"/>
  <c r="AD7804" i="20"/>
  <c r="AD7805" i="20"/>
  <c r="AD7806" i="20"/>
  <c r="AD7807" i="20"/>
  <c r="AD7808" i="20"/>
  <c r="AD7809" i="20"/>
  <c r="AD7810" i="20"/>
  <c r="AD7811" i="20"/>
  <c r="AD7812" i="20"/>
  <c r="AD7813" i="20"/>
  <c r="AD7814" i="20"/>
  <c r="AD7815" i="20"/>
  <c r="AD7816" i="20"/>
  <c r="AD7817" i="20"/>
  <c r="AD7818" i="20"/>
  <c r="AD7819" i="20"/>
  <c r="AD7820" i="20"/>
  <c r="AD7821" i="20"/>
  <c r="AD7822" i="20"/>
  <c r="AD7823" i="20"/>
  <c r="AD7824" i="20"/>
  <c r="AD7825" i="20"/>
  <c r="AD7826" i="20"/>
  <c r="AD7827" i="20"/>
  <c r="AD7828" i="20"/>
  <c r="AD7829" i="20"/>
  <c r="AD7830" i="20"/>
  <c r="AD7831" i="20"/>
  <c r="AD7832" i="20"/>
  <c r="AD7833" i="20"/>
  <c r="AD7834" i="20"/>
  <c r="AD7835" i="20"/>
  <c r="AD7836" i="20"/>
  <c r="AD7837" i="20"/>
  <c r="AD7838" i="20"/>
  <c r="AD7839" i="20"/>
  <c r="AD7840" i="20"/>
  <c r="AD7841" i="20"/>
  <c r="AD7842" i="20"/>
  <c r="AD7843" i="20"/>
  <c r="AD7844" i="20"/>
  <c r="AD7845" i="20"/>
  <c r="AD7846" i="20"/>
  <c r="AD7847" i="20"/>
  <c r="AD7848" i="20"/>
  <c r="AD7849" i="20"/>
  <c r="AD7850" i="20"/>
  <c r="AD7851" i="20"/>
  <c r="AD7852" i="20"/>
  <c r="AD7853" i="20"/>
  <c r="AD7854" i="20"/>
  <c r="AD7855" i="20"/>
  <c r="AD7856" i="20"/>
  <c r="AD7857" i="20"/>
  <c r="AD7858" i="20"/>
  <c r="AD7859" i="20"/>
  <c r="AD7860" i="20"/>
  <c r="AD7861" i="20"/>
  <c r="AD7862" i="20"/>
  <c r="AD7863" i="20"/>
  <c r="AD7864" i="20"/>
  <c r="AD7865" i="20"/>
  <c r="AD7866" i="20"/>
  <c r="AD7867" i="20"/>
  <c r="AD7868" i="20"/>
  <c r="AD7869" i="20"/>
  <c r="AD7870" i="20"/>
  <c r="AD7871" i="20"/>
  <c r="AD7872" i="20"/>
  <c r="AD7873" i="20"/>
  <c r="AD7874" i="20"/>
  <c r="AD7875" i="20"/>
  <c r="AD7876" i="20"/>
  <c r="AD7877" i="20"/>
  <c r="AD7878" i="20"/>
  <c r="AD7879" i="20"/>
  <c r="AD7880" i="20"/>
  <c r="AD7881" i="20"/>
  <c r="AD7882" i="20"/>
  <c r="AD7883" i="20"/>
  <c r="AD7884" i="20"/>
  <c r="AD7885" i="20"/>
  <c r="AD7886" i="20"/>
  <c r="AD7887" i="20"/>
  <c r="AD7888" i="20"/>
  <c r="AD7889" i="20"/>
  <c r="AD7890" i="20"/>
  <c r="AD7891" i="20"/>
  <c r="AD7892" i="20"/>
  <c r="AD7893" i="20"/>
  <c r="AD7894" i="20"/>
  <c r="AD7895" i="20"/>
  <c r="AD7896" i="20"/>
  <c r="AD7897" i="20"/>
  <c r="AD7898" i="20"/>
  <c r="AD7899" i="20"/>
  <c r="AD7900" i="20"/>
  <c r="AD7901" i="20"/>
  <c r="AD7902" i="20"/>
  <c r="AD7903" i="20"/>
  <c r="AD7904" i="20"/>
  <c r="AD7905" i="20"/>
  <c r="AD7906" i="20"/>
  <c r="AD7907" i="20"/>
  <c r="AD7908" i="20"/>
  <c r="AD7909" i="20"/>
  <c r="AD7910" i="20"/>
  <c r="AD7911" i="20"/>
  <c r="AD7912" i="20"/>
  <c r="AD7913" i="20"/>
  <c r="AD7914" i="20"/>
  <c r="AD7915" i="20"/>
  <c r="AD7916" i="20"/>
  <c r="AD7917" i="20"/>
  <c r="AD7918" i="20"/>
  <c r="AD7919" i="20"/>
  <c r="AD7920" i="20"/>
  <c r="AD7921" i="20"/>
  <c r="AD7922" i="20"/>
  <c r="AD7923" i="20"/>
  <c r="AD7924" i="20"/>
  <c r="AD7925" i="20"/>
  <c r="AD7926" i="20"/>
  <c r="AD7927" i="20"/>
  <c r="AD7928" i="20"/>
  <c r="AD7929" i="20"/>
  <c r="AD7930" i="20"/>
  <c r="AD7931" i="20"/>
  <c r="AD7932" i="20"/>
  <c r="AD7933" i="20"/>
  <c r="AD7934" i="20"/>
  <c r="AD7935" i="20"/>
  <c r="AD7936" i="20"/>
  <c r="AD7937" i="20"/>
  <c r="AD7938" i="20"/>
  <c r="AD7939" i="20"/>
  <c r="AD7940" i="20"/>
  <c r="AD7941" i="20"/>
  <c r="AD7942" i="20"/>
  <c r="AD7943" i="20"/>
  <c r="AD7944" i="20"/>
  <c r="AD7945" i="20"/>
  <c r="AD7946" i="20"/>
  <c r="AD7947" i="20"/>
  <c r="AD7948" i="20"/>
  <c r="AD7949" i="20"/>
  <c r="AD7950" i="20"/>
  <c r="AD7951" i="20"/>
  <c r="AD7952" i="20"/>
  <c r="AD7953" i="20"/>
  <c r="AD7954" i="20"/>
  <c r="AD7955" i="20"/>
  <c r="AD7956" i="20"/>
  <c r="AD7957" i="20"/>
  <c r="AD7958" i="20"/>
  <c r="AD7959" i="20"/>
  <c r="AD7960" i="20"/>
  <c r="AD7961" i="20"/>
  <c r="AD7962" i="20"/>
  <c r="AD7963" i="20"/>
  <c r="AD7964" i="20"/>
  <c r="AD7965" i="20"/>
  <c r="AD7966" i="20"/>
  <c r="AD7967" i="20"/>
  <c r="AD7968" i="20"/>
  <c r="AD7969" i="20"/>
  <c r="AD7970" i="20"/>
  <c r="AD7971" i="20"/>
  <c r="AD7972" i="20"/>
  <c r="AD7973" i="20"/>
  <c r="AD7974" i="20"/>
  <c r="AD7975" i="20"/>
  <c r="AD7976" i="20"/>
  <c r="AD7977" i="20"/>
  <c r="AD7978" i="20"/>
  <c r="AD7979" i="20"/>
  <c r="AD7980" i="20"/>
  <c r="AD7981" i="20"/>
  <c r="AD7982" i="20"/>
  <c r="AD7983" i="20"/>
  <c r="AD7984" i="20"/>
  <c r="AD7985" i="20"/>
  <c r="AD7986" i="20"/>
  <c r="AD7987" i="20"/>
  <c r="AD7988" i="20"/>
  <c r="AD7989" i="20"/>
  <c r="AD7990" i="20"/>
  <c r="AD7991" i="20"/>
  <c r="AD7992" i="20"/>
  <c r="AD7993" i="20"/>
  <c r="AD7994" i="20"/>
  <c r="AD7995" i="20"/>
  <c r="AD7996" i="20"/>
  <c r="AD7997" i="20"/>
  <c r="AD7998" i="20"/>
  <c r="AD7999" i="20"/>
  <c r="AD8000" i="20"/>
  <c r="AD8001" i="20"/>
  <c r="AD8002" i="20"/>
  <c r="AD8003" i="20"/>
  <c r="AD8004" i="20"/>
  <c r="AD8005" i="20"/>
  <c r="AD8006" i="20"/>
  <c r="AD8007" i="20"/>
  <c r="AD8008" i="20"/>
  <c r="AD8009" i="20"/>
  <c r="AD8010" i="20"/>
  <c r="AD8011" i="20"/>
  <c r="AD8012" i="20"/>
  <c r="AD8013" i="20"/>
  <c r="AD8014" i="20"/>
  <c r="AD8015" i="20"/>
  <c r="AD8016" i="20"/>
  <c r="AD8017" i="20"/>
  <c r="AD8018" i="20"/>
  <c r="AD8019" i="20"/>
  <c r="AD8020" i="20"/>
  <c r="AD8021" i="20"/>
  <c r="AD8022" i="20"/>
  <c r="AD8023" i="20"/>
  <c r="AD8024" i="20"/>
  <c r="AD8025" i="20"/>
  <c r="AD8026" i="20"/>
  <c r="AD8027" i="20"/>
  <c r="AD8028" i="20"/>
  <c r="AD8029" i="20"/>
  <c r="AD8030" i="20"/>
  <c r="AD8031" i="20"/>
  <c r="AD8032" i="20"/>
  <c r="AD8033" i="20"/>
  <c r="AD8034" i="20"/>
  <c r="AD8035" i="20"/>
  <c r="AD8036" i="20"/>
  <c r="AD8037" i="20"/>
  <c r="AD8038" i="20"/>
  <c r="AD8039" i="20"/>
  <c r="AD8040" i="20"/>
  <c r="AD8041" i="20"/>
  <c r="AD8042" i="20"/>
  <c r="AD8043" i="20"/>
  <c r="AD8044" i="20"/>
  <c r="AD8045" i="20"/>
  <c r="AD8046" i="20"/>
  <c r="AD8047" i="20"/>
  <c r="AD8048" i="20"/>
  <c r="AD8049" i="20"/>
  <c r="AD8050" i="20"/>
  <c r="AD8051" i="20"/>
  <c r="AD8052" i="20"/>
  <c r="AD8053" i="20"/>
  <c r="AD8054" i="20"/>
  <c r="AD8055" i="20"/>
  <c r="AD8056" i="20"/>
  <c r="AD8057" i="20"/>
  <c r="AD8058" i="20"/>
  <c r="AD8059" i="20"/>
  <c r="AD8060" i="20"/>
  <c r="AD8061" i="20"/>
  <c r="AD8062" i="20"/>
  <c r="AD8063" i="20"/>
  <c r="AD8064" i="20"/>
  <c r="AD8065" i="20"/>
  <c r="AD8066" i="20"/>
  <c r="AD8067" i="20"/>
  <c r="AD8068" i="20"/>
  <c r="AD8069" i="20"/>
  <c r="AD8070" i="20"/>
  <c r="AD8071" i="20"/>
  <c r="AD8072" i="20"/>
  <c r="AD8073" i="20"/>
  <c r="AD8074" i="20"/>
  <c r="AD8075" i="20"/>
  <c r="AD8076" i="20"/>
  <c r="AD8077" i="20"/>
  <c r="AD8078" i="20"/>
  <c r="AD8079" i="20"/>
  <c r="AD8080" i="20"/>
  <c r="AD8081" i="20"/>
  <c r="AD8082" i="20"/>
  <c r="AD8083" i="20"/>
  <c r="AD8084" i="20"/>
  <c r="AD8085" i="20"/>
  <c r="AD8086" i="20"/>
  <c r="AD8087" i="20"/>
  <c r="AD8088" i="20"/>
  <c r="AD8089" i="20"/>
  <c r="AD8090" i="20"/>
  <c r="AD8091" i="20"/>
  <c r="AD8092" i="20"/>
  <c r="AD8093" i="20"/>
  <c r="AD8094" i="20"/>
  <c r="AD8095" i="20"/>
  <c r="AD8096" i="20"/>
  <c r="AD8097" i="20"/>
  <c r="AD8098" i="20"/>
  <c r="AD8099" i="20"/>
  <c r="AD8100" i="20"/>
  <c r="AD8101" i="20"/>
  <c r="AD8102" i="20"/>
  <c r="AD8103" i="20"/>
  <c r="AD8104" i="20"/>
  <c r="AD8105" i="20"/>
  <c r="AD8106" i="20"/>
  <c r="AD8107" i="20"/>
  <c r="AD8108" i="20"/>
  <c r="AD8109" i="20"/>
  <c r="AD8110" i="20"/>
  <c r="AD8111" i="20"/>
  <c r="AD8112" i="20"/>
  <c r="AD8113" i="20"/>
  <c r="AD8114" i="20"/>
  <c r="AD8115" i="20"/>
  <c r="AD8116" i="20"/>
  <c r="AD8117" i="20"/>
  <c r="AD8118" i="20"/>
  <c r="AD8119" i="20"/>
  <c r="AD8120" i="20"/>
  <c r="AD8121" i="20"/>
  <c r="AD8122" i="20"/>
  <c r="AD8123" i="20"/>
  <c r="AD8124" i="20"/>
  <c r="AD8125" i="20"/>
  <c r="AD8126" i="20"/>
  <c r="AD8127" i="20"/>
  <c r="AD8128" i="20"/>
  <c r="AD8129" i="20"/>
  <c r="AD8130" i="20"/>
  <c r="AD8131" i="20"/>
  <c r="AD8132" i="20"/>
  <c r="AD8133" i="20"/>
  <c r="AD8134" i="20"/>
  <c r="AD8135" i="20"/>
  <c r="AD8136" i="20"/>
  <c r="AD8137" i="20"/>
  <c r="AD8138" i="20"/>
  <c r="AD8139" i="20"/>
  <c r="AD8140" i="20"/>
  <c r="AD8141" i="20"/>
  <c r="AD8142" i="20"/>
  <c r="AD8143" i="20"/>
  <c r="AD8144" i="20"/>
  <c r="AD8145" i="20"/>
  <c r="AD8146" i="20"/>
  <c r="AD8147" i="20"/>
  <c r="AD8148" i="20"/>
  <c r="AD8149" i="20"/>
  <c r="AD8150" i="20"/>
  <c r="AD8151" i="20"/>
  <c r="AD8152" i="20"/>
  <c r="AD8153" i="20"/>
  <c r="AD8154" i="20"/>
  <c r="AD8155" i="20"/>
  <c r="AD8156" i="20"/>
  <c r="AD8157" i="20"/>
  <c r="AD8158" i="20"/>
  <c r="AD8159" i="20"/>
  <c r="AD8160" i="20"/>
  <c r="AD8161" i="20"/>
  <c r="AD8162" i="20"/>
  <c r="AD8163" i="20"/>
  <c r="AD8164" i="20"/>
  <c r="AD8165" i="20"/>
  <c r="AD8166" i="20"/>
  <c r="AD8167" i="20"/>
  <c r="AD8168" i="20"/>
  <c r="AD8169" i="20"/>
  <c r="AD8170" i="20"/>
  <c r="AD8171" i="20"/>
  <c r="AD8172" i="20"/>
  <c r="AD8173" i="20"/>
  <c r="AD8174" i="20"/>
  <c r="AD8175" i="20"/>
  <c r="AD8176" i="20"/>
  <c r="AD8177" i="20"/>
  <c r="AD8178" i="20"/>
  <c r="AD8179" i="20"/>
  <c r="AD8180" i="20"/>
  <c r="AD8181" i="20"/>
  <c r="AD8182" i="20"/>
  <c r="AD8183" i="20"/>
  <c r="AD8184" i="20"/>
  <c r="AD8185" i="20"/>
  <c r="AD8186" i="20"/>
  <c r="AD8187" i="20"/>
  <c r="AD8188" i="20"/>
  <c r="AD8189" i="20"/>
  <c r="AD8190" i="20"/>
  <c r="AD8191" i="20"/>
  <c r="AD8192" i="20"/>
  <c r="AD8193" i="20"/>
  <c r="AD8194" i="20"/>
  <c r="AD8195" i="20"/>
  <c r="AD8196" i="20"/>
  <c r="AD8197" i="20"/>
  <c r="AD8198" i="20"/>
  <c r="AD8199" i="20"/>
  <c r="AD8200" i="20"/>
  <c r="AD8201" i="20"/>
  <c r="AD8202" i="20"/>
  <c r="AD8203" i="20"/>
  <c r="AD8204" i="20"/>
  <c r="AD8205" i="20"/>
  <c r="AD8206" i="20"/>
  <c r="AD8207" i="20"/>
  <c r="AD8208" i="20"/>
  <c r="AD8209" i="20"/>
  <c r="AD8210" i="20"/>
  <c r="AD8211" i="20"/>
  <c r="AD8212" i="20"/>
  <c r="AD8213" i="20"/>
  <c r="AD8214" i="20"/>
  <c r="AD8215" i="20"/>
  <c r="AD8216" i="20"/>
  <c r="AD8217" i="20"/>
  <c r="AD8218" i="20"/>
  <c r="AD8219" i="20"/>
  <c r="AD8220" i="20"/>
  <c r="AD8221" i="20"/>
  <c r="AD8222" i="20"/>
  <c r="AD8223" i="20"/>
  <c r="AD8224" i="20"/>
  <c r="AD8225" i="20"/>
  <c r="AD8226" i="20"/>
  <c r="AD8227" i="20"/>
  <c r="AD8228" i="20"/>
  <c r="AD8229" i="20"/>
  <c r="AD8230" i="20"/>
  <c r="AD8231" i="20"/>
  <c r="AD8232" i="20"/>
  <c r="AD8233" i="20"/>
  <c r="AD8234" i="20"/>
  <c r="AD8235" i="20"/>
  <c r="AD8236" i="20"/>
  <c r="AD8237" i="20"/>
  <c r="AD8238" i="20"/>
  <c r="AD8239" i="20"/>
  <c r="AD8240" i="20"/>
  <c r="AD8241" i="20"/>
  <c r="AD8242" i="20"/>
  <c r="AD8243" i="20"/>
  <c r="AD8244" i="20"/>
  <c r="AD8245" i="20"/>
  <c r="AD8246" i="20"/>
  <c r="AD8247" i="20"/>
  <c r="AD8248" i="20"/>
  <c r="AD8249" i="20"/>
  <c r="AD8250" i="20"/>
  <c r="AD8251" i="20"/>
  <c r="AD8252" i="20"/>
  <c r="AD8253" i="20"/>
  <c r="AD8254" i="20"/>
  <c r="AD8255" i="20"/>
  <c r="AD8256" i="20"/>
  <c r="AD8257" i="20"/>
  <c r="AD8258" i="20"/>
  <c r="AD8259" i="20"/>
  <c r="AD8260" i="20"/>
  <c r="AD8261" i="20"/>
  <c r="AD8262" i="20"/>
  <c r="AD8263" i="20"/>
  <c r="AD8264" i="20"/>
  <c r="AD8265" i="20"/>
  <c r="AD8266" i="20"/>
  <c r="AD8267" i="20"/>
  <c r="AD8268" i="20"/>
  <c r="AD8269" i="20"/>
  <c r="AD8270" i="20"/>
  <c r="AD8271" i="20"/>
  <c r="AD8272" i="20"/>
  <c r="AD8273" i="20"/>
  <c r="AD8274" i="20"/>
  <c r="AD8275" i="20"/>
  <c r="AD8276" i="20"/>
  <c r="AD8277" i="20"/>
  <c r="AD8278" i="20"/>
  <c r="AD8279" i="20"/>
  <c r="AD8280" i="20"/>
  <c r="AD8281" i="20"/>
  <c r="AD8282" i="20"/>
  <c r="AD8283" i="20"/>
  <c r="AD8284" i="20"/>
  <c r="AD8285" i="20"/>
  <c r="AD8286" i="20"/>
  <c r="AD8287" i="20"/>
  <c r="AD8288" i="20"/>
  <c r="AD8289" i="20"/>
  <c r="AD8290" i="20"/>
  <c r="AD8291" i="20"/>
  <c r="AD8292" i="20"/>
  <c r="AD8293" i="20"/>
  <c r="AD8294" i="20"/>
  <c r="AD8295" i="20"/>
  <c r="AD8296" i="20"/>
  <c r="AD8297" i="20"/>
  <c r="AD8298" i="20"/>
  <c r="AD8299" i="20"/>
  <c r="AD8300" i="20"/>
  <c r="AD8301" i="20"/>
  <c r="AD8302" i="20"/>
  <c r="AD8303" i="20"/>
  <c r="AD8304" i="20"/>
  <c r="AD8305" i="20"/>
  <c r="AD8306" i="20"/>
  <c r="AD8307" i="20"/>
  <c r="AD8308" i="20"/>
  <c r="AD8309" i="20"/>
  <c r="AD8310" i="20"/>
  <c r="AD8311" i="20"/>
  <c r="AD8312" i="20"/>
  <c r="AD8313" i="20"/>
  <c r="AD8314" i="20"/>
  <c r="AD8315" i="20"/>
  <c r="AD8316" i="20"/>
  <c r="AD8317" i="20"/>
  <c r="AD8318" i="20"/>
  <c r="AD8319" i="20"/>
  <c r="AD8320" i="20"/>
  <c r="AD8321" i="20"/>
  <c r="AD8322" i="20"/>
  <c r="AD8323" i="20"/>
  <c r="AD8324" i="20"/>
  <c r="AD8325" i="20"/>
  <c r="AD8326" i="20"/>
  <c r="AD8327" i="20"/>
  <c r="AD8328" i="20"/>
  <c r="AD8329" i="20"/>
  <c r="AD8330" i="20"/>
  <c r="AD8331" i="20"/>
  <c r="AD8332" i="20"/>
  <c r="AD8333" i="20"/>
  <c r="AD8334" i="20"/>
  <c r="AD8335" i="20"/>
  <c r="AD8336" i="20"/>
  <c r="AD8337" i="20"/>
  <c r="AD8338" i="20"/>
  <c r="AD8339" i="20"/>
  <c r="AD8340" i="20"/>
  <c r="AD8341" i="20"/>
  <c r="AD8342" i="20"/>
  <c r="AD8343" i="20"/>
  <c r="AD8344" i="20"/>
  <c r="AD8345" i="20"/>
  <c r="AD8346" i="20"/>
  <c r="AD8347" i="20"/>
  <c r="AD8348" i="20"/>
  <c r="AD8349" i="20"/>
  <c r="AD8350" i="20"/>
  <c r="AD8351" i="20"/>
  <c r="AD8352" i="20"/>
  <c r="AD8353" i="20"/>
  <c r="AD8354" i="20"/>
  <c r="AD8355" i="20"/>
  <c r="AD8356" i="20"/>
  <c r="AD8357" i="20"/>
  <c r="AD8358" i="20"/>
  <c r="AD8359" i="20"/>
  <c r="AD8360" i="20"/>
  <c r="AD8361" i="20"/>
  <c r="AD8362" i="20"/>
  <c r="AD8363" i="20"/>
  <c r="AD8364" i="20"/>
  <c r="AD8365" i="20"/>
  <c r="AD8366" i="20"/>
  <c r="AD8367" i="20"/>
  <c r="AD8368" i="20"/>
  <c r="AD8369" i="20"/>
  <c r="AD8370" i="20"/>
  <c r="AD8371" i="20"/>
  <c r="AD8372" i="20"/>
  <c r="AD8373" i="20"/>
  <c r="AD8374" i="20"/>
  <c r="AD8375" i="20"/>
  <c r="AD8376" i="20"/>
  <c r="AD8377" i="20"/>
  <c r="AD8378" i="20"/>
  <c r="AD8379" i="20"/>
  <c r="AD8380" i="20"/>
  <c r="AD8381" i="20"/>
  <c r="AD8382" i="20"/>
  <c r="AD8383" i="20"/>
  <c r="AD8384" i="20"/>
  <c r="AD8385" i="20"/>
  <c r="AD8386" i="20"/>
  <c r="AD8387" i="20"/>
  <c r="AD8388" i="20"/>
  <c r="AD8389" i="20"/>
  <c r="AD8390" i="20"/>
  <c r="AD8391" i="20"/>
  <c r="AD8392" i="20"/>
  <c r="AD8393" i="20"/>
  <c r="AD8394" i="20"/>
  <c r="AD8395" i="20"/>
  <c r="AD8396" i="20"/>
  <c r="AD8397" i="20"/>
  <c r="AD8398" i="20"/>
  <c r="AD8399" i="20"/>
  <c r="AD8400" i="20"/>
  <c r="AD8401" i="20"/>
  <c r="AD8402" i="20"/>
  <c r="AD8403" i="20"/>
  <c r="AD8404" i="20"/>
  <c r="AD8405" i="20"/>
  <c r="AD8406" i="20"/>
  <c r="AD8407" i="20"/>
  <c r="AD8408" i="20"/>
  <c r="AD8409" i="20"/>
  <c r="AD8410" i="20"/>
  <c r="AD8411" i="20"/>
  <c r="AD8412" i="20"/>
  <c r="AD8413" i="20"/>
  <c r="AD8414" i="20"/>
  <c r="AD8415" i="20"/>
  <c r="AD8416" i="20"/>
  <c r="AD8417" i="20"/>
  <c r="AD8418" i="20"/>
  <c r="AD8419" i="20"/>
  <c r="AD8420" i="20"/>
  <c r="AD8421" i="20"/>
  <c r="AD8422" i="20"/>
  <c r="AD8423" i="20"/>
  <c r="AD8424" i="20"/>
  <c r="AD8425" i="20"/>
  <c r="AD8426" i="20"/>
  <c r="AD8427" i="20"/>
  <c r="AD8428" i="20"/>
  <c r="AD8429" i="20"/>
  <c r="AD8430" i="20"/>
  <c r="AD8431" i="20"/>
  <c r="AD8432" i="20"/>
  <c r="AD8433" i="20"/>
  <c r="AD8434" i="20"/>
  <c r="AD8435" i="20"/>
  <c r="AD8436" i="20"/>
  <c r="AD8437" i="20"/>
  <c r="AD8438" i="20"/>
  <c r="AD8439" i="20"/>
  <c r="AD8440" i="20"/>
  <c r="AD8441" i="20"/>
  <c r="AD8442" i="20"/>
  <c r="AD8443" i="20"/>
  <c r="AD8444" i="20"/>
  <c r="AD8445" i="20"/>
  <c r="AD8446" i="20"/>
  <c r="AD8447" i="20"/>
  <c r="AD8448" i="20"/>
  <c r="AD8449" i="20"/>
  <c r="AD8450" i="20"/>
  <c r="AD8451" i="20"/>
  <c r="AD8452" i="20"/>
  <c r="AD8453" i="20"/>
  <c r="AD8454" i="20"/>
  <c r="AD8455" i="20"/>
  <c r="AD8456" i="20"/>
  <c r="AD8457" i="20"/>
  <c r="AD8458" i="20"/>
  <c r="AD8459" i="20"/>
  <c r="AD8460" i="20"/>
  <c r="AD8461" i="20"/>
  <c r="AD8462" i="20"/>
  <c r="AD8463" i="20"/>
  <c r="AD8464" i="20"/>
  <c r="AD8465" i="20"/>
  <c r="AD8466" i="20"/>
  <c r="AD8467" i="20"/>
  <c r="AD8468" i="20"/>
  <c r="AD8469" i="20"/>
  <c r="AD8470" i="20"/>
  <c r="AD8471" i="20"/>
  <c r="AD8472" i="20"/>
  <c r="AD8473" i="20"/>
  <c r="AD8474" i="20"/>
  <c r="AD8475" i="20"/>
  <c r="AD8476" i="20"/>
  <c r="AD8477" i="20"/>
  <c r="AD8478" i="20"/>
  <c r="AD8479" i="20"/>
  <c r="AD8480" i="20"/>
  <c r="AD8481" i="20"/>
  <c r="AD8482" i="20"/>
  <c r="AD8483" i="20"/>
  <c r="AD8484" i="20"/>
  <c r="AD8485" i="20"/>
  <c r="AD8486" i="20"/>
  <c r="AD8487" i="20"/>
  <c r="AD8488" i="20"/>
  <c r="AD8489" i="20"/>
  <c r="AD8490" i="20"/>
  <c r="AD8491" i="20"/>
  <c r="AD8492" i="20"/>
  <c r="AD8493" i="20"/>
  <c r="AD8494" i="20"/>
  <c r="AD8495" i="20"/>
  <c r="AD8496" i="20"/>
  <c r="AD8497" i="20"/>
  <c r="AD8498" i="20"/>
  <c r="AD8499" i="20"/>
  <c r="AD8500" i="20"/>
  <c r="AD8501" i="20"/>
  <c r="AD8502" i="20"/>
  <c r="AD8503" i="20"/>
  <c r="AD8504" i="20"/>
  <c r="AD8505" i="20"/>
  <c r="AD8506" i="20"/>
  <c r="AD8507" i="20"/>
  <c r="AD8508" i="20"/>
  <c r="AD8509" i="20"/>
  <c r="AD8510" i="20"/>
  <c r="AD8511" i="20"/>
  <c r="AD8512" i="20"/>
  <c r="AD8513" i="20"/>
  <c r="AD8514" i="20"/>
  <c r="AD8515" i="20"/>
  <c r="AD8516" i="20"/>
  <c r="AD8517" i="20"/>
  <c r="AD8518" i="20"/>
  <c r="AD8519" i="20"/>
  <c r="AD8520" i="20"/>
  <c r="AD8521" i="20"/>
  <c r="AD8522" i="20"/>
  <c r="AD8523" i="20"/>
  <c r="AD8524" i="20"/>
  <c r="AD8525" i="20"/>
  <c r="AD8526" i="20"/>
  <c r="AD8527" i="20"/>
  <c r="AD8528" i="20"/>
  <c r="AD8529" i="20"/>
  <c r="AD8530" i="20"/>
  <c r="AD8531" i="20"/>
  <c r="AD8532" i="20"/>
  <c r="AD8533" i="20"/>
  <c r="AD8534" i="20"/>
  <c r="AD8535" i="20"/>
  <c r="AD8536" i="20"/>
  <c r="AD8537" i="20"/>
  <c r="AD8538" i="20"/>
  <c r="AD8539" i="20"/>
  <c r="AD8540" i="20"/>
  <c r="AD8541" i="20"/>
  <c r="AD8542" i="20"/>
  <c r="AD8543" i="20"/>
  <c r="AD8544" i="20"/>
  <c r="AD8545" i="20"/>
  <c r="AD8546" i="20"/>
  <c r="AD8547" i="20"/>
  <c r="AD8548" i="20"/>
  <c r="AD8549" i="20"/>
  <c r="AD8550" i="20"/>
  <c r="AD8551" i="20"/>
  <c r="AD8552" i="20"/>
  <c r="AD8553" i="20"/>
  <c r="AD8554" i="20"/>
  <c r="AD8555" i="20"/>
  <c r="AD8556" i="20"/>
  <c r="AD8557" i="20"/>
  <c r="AD8558" i="20"/>
  <c r="AD8559" i="20"/>
  <c r="AD8560" i="20"/>
  <c r="AD8561" i="20"/>
  <c r="AD8562" i="20"/>
  <c r="AD8563" i="20"/>
  <c r="AD8564" i="20"/>
  <c r="AD8565" i="20"/>
  <c r="AD8566" i="20"/>
  <c r="AD8567" i="20"/>
  <c r="AD8568" i="20"/>
  <c r="AD8569" i="20"/>
  <c r="AD8570" i="20"/>
  <c r="AD8571" i="20"/>
  <c r="AD8572" i="20"/>
  <c r="AD8573" i="20"/>
  <c r="AD8574" i="20"/>
  <c r="AD8575" i="20"/>
  <c r="AD8576" i="20"/>
  <c r="AD8577" i="20"/>
  <c r="AD8578" i="20"/>
  <c r="AD8579" i="20"/>
  <c r="AD8580" i="20"/>
  <c r="AD8581" i="20"/>
  <c r="AD8582" i="20"/>
  <c r="AD8583" i="20"/>
  <c r="AD8584" i="20"/>
  <c r="AD8585" i="20"/>
  <c r="AD8586" i="20"/>
  <c r="AD8587" i="20"/>
  <c r="AD8588" i="20"/>
  <c r="AD8589" i="20"/>
  <c r="AD8590" i="20"/>
  <c r="AD8591" i="20"/>
  <c r="AD8592" i="20"/>
  <c r="AD8593" i="20"/>
  <c r="AD8594" i="20"/>
  <c r="AD8595" i="20"/>
  <c r="AD8596" i="20"/>
  <c r="AD8597" i="20"/>
  <c r="AD8598" i="20"/>
  <c r="AD8599" i="20"/>
  <c r="AD8600" i="20"/>
  <c r="AD8601" i="20"/>
  <c r="AD8602" i="20"/>
  <c r="AD8603" i="20"/>
  <c r="AD8604" i="20"/>
  <c r="AD8605" i="20"/>
  <c r="AD8606" i="20"/>
  <c r="AD8607" i="20"/>
  <c r="AD8608" i="20"/>
  <c r="AD8609" i="20"/>
  <c r="AD8610" i="20"/>
  <c r="AD8611" i="20"/>
  <c r="AD8612" i="20"/>
  <c r="AD8613" i="20"/>
  <c r="AD8614" i="20"/>
  <c r="AD8615" i="20"/>
  <c r="AD8616" i="20"/>
  <c r="AD8617" i="20"/>
  <c r="AD8618" i="20"/>
  <c r="AD8619" i="20"/>
  <c r="AD8620" i="20"/>
  <c r="AD8621" i="20"/>
  <c r="AD8622" i="20"/>
  <c r="AD8623" i="20"/>
  <c r="AD8624" i="20"/>
  <c r="AD8625" i="20"/>
  <c r="AD8626" i="20"/>
  <c r="AD8627" i="20"/>
  <c r="AD8628" i="20"/>
  <c r="AD8629" i="20"/>
  <c r="AD8630" i="20"/>
  <c r="AD8631" i="20"/>
  <c r="AD8632" i="20"/>
  <c r="AD8633" i="20"/>
  <c r="AD8634" i="20"/>
  <c r="AD8635" i="20"/>
  <c r="AD8636" i="20"/>
  <c r="AD8637" i="20"/>
  <c r="AD8638" i="20"/>
  <c r="AD8639" i="20"/>
  <c r="AD8640" i="20"/>
  <c r="AD8641" i="20"/>
  <c r="AD8642" i="20"/>
  <c r="AD8643" i="20"/>
  <c r="AD8644" i="20"/>
  <c r="AD8645" i="20"/>
  <c r="AD8646" i="20"/>
  <c r="AD8647" i="20"/>
  <c r="AD8648" i="20"/>
  <c r="AD8649" i="20"/>
  <c r="AD8650" i="20"/>
  <c r="AD8651" i="20"/>
  <c r="AD8652" i="20"/>
  <c r="AD8653" i="20"/>
  <c r="AD8654" i="20"/>
  <c r="AD8655" i="20"/>
  <c r="AD8656" i="20"/>
  <c r="AD8657" i="20"/>
  <c r="AD8658" i="20"/>
  <c r="AD8659" i="20"/>
  <c r="AD8660" i="20"/>
  <c r="AD8661" i="20"/>
  <c r="AD8662" i="20"/>
  <c r="AD8663" i="20"/>
  <c r="AD8664" i="20"/>
  <c r="AD8665" i="20"/>
  <c r="AD8666" i="20"/>
  <c r="AD8667" i="20"/>
  <c r="AD8668" i="20"/>
  <c r="AD8669" i="20"/>
  <c r="AD8670" i="20"/>
  <c r="AD8671" i="20"/>
  <c r="AD8672" i="20"/>
  <c r="AD8673" i="20"/>
  <c r="AD8674" i="20"/>
  <c r="AD8675" i="20"/>
  <c r="AD8676" i="20"/>
  <c r="AD8677" i="20"/>
  <c r="AD8678" i="20"/>
  <c r="AD8679" i="20"/>
  <c r="AD8680" i="20"/>
  <c r="AD8681" i="20"/>
  <c r="AD8682" i="20"/>
  <c r="AD8683" i="20"/>
  <c r="AD8684" i="20"/>
  <c r="AD8685" i="20"/>
  <c r="AD8686" i="20"/>
  <c r="AD8687" i="20"/>
  <c r="AD8688" i="20"/>
  <c r="AD8689" i="20"/>
  <c r="AD8690" i="20"/>
  <c r="AD8691" i="20"/>
  <c r="AD8692" i="20"/>
  <c r="AD8693" i="20"/>
  <c r="AD8694" i="20"/>
  <c r="AD8695" i="20"/>
  <c r="AD8696" i="20"/>
  <c r="AD8697" i="20"/>
  <c r="AD8698" i="20"/>
  <c r="AD8699" i="20"/>
  <c r="AD8700" i="20"/>
  <c r="AD8701" i="20"/>
  <c r="AD8702" i="20"/>
  <c r="AD8703" i="20"/>
  <c r="AD8704" i="20"/>
  <c r="AD8705" i="20"/>
  <c r="AD8706" i="20"/>
  <c r="AD8707" i="20"/>
  <c r="AD8708" i="20"/>
  <c r="AD8709" i="20"/>
  <c r="AD8710" i="20"/>
  <c r="AD8711" i="20"/>
  <c r="AD8712" i="20"/>
  <c r="AD8713" i="20"/>
  <c r="AD8714" i="20"/>
  <c r="AD8715" i="20"/>
  <c r="AD8716" i="20"/>
  <c r="AD8717" i="20"/>
  <c r="AD8718" i="20"/>
  <c r="AD8719" i="20"/>
  <c r="AD8720" i="20"/>
  <c r="AD8721" i="20"/>
  <c r="AD8722" i="20"/>
  <c r="AD8723" i="20"/>
  <c r="AD8724" i="20"/>
  <c r="AD8725" i="20"/>
  <c r="AD8726" i="20"/>
  <c r="AD8727" i="20"/>
  <c r="AD8728" i="20"/>
  <c r="AD8729" i="20"/>
  <c r="AD8730" i="20"/>
  <c r="AD8731" i="20"/>
  <c r="AD8732" i="20"/>
  <c r="AD8733" i="20"/>
  <c r="AD8734" i="20"/>
  <c r="AD8735" i="20"/>
  <c r="AD8736" i="20"/>
  <c r="AD8737" i="20"/>
  <c r="AD8738" i="20"/>
  <c r="AD8739" i="20"/>
  <c r="AD8740" i="20"/>
  <c r="AD8741" i="20"/>
  <c r="AD8742" i="20"/>
  <c r="AD8743" i="20"/>
  <c r="AD8744" i="20"/>
  <c r="AD8745" i="20"/>
  <c r="AD8746" i="20"/>
  <c r="AD8747" i="20"/>
  <c r="AD8748" i="20"/>
  <c r="AD8749" i="20"/>
  <c r="AD8750" i="20"/>
  <c r="AD8751" i="20"/>
  <c r="AD8752" i="20"/>
  <c r="AD8753" i="20"/>
  <c r="AD8754" i="20"/>
  <c r="AD8755" i="20"/>
  <c r="AD8756" i="20"/>
  <c r="AD8757" i="20"/>
  <c r="AD8758" i="20"/>
  <c r="AD8759" i="20"/>
  <c r="AD8760" i="20"/>
  <c r="AD8761" i="20"/>
  <c r="AD8762" i="20"/>
  <c r="AD8763" i="20"/>
  <c r="AD8764" i="20"/>
  <c r="AD8765" i="20"/>
  <c r="AD8766" i="20"/>
  <c r="AD8767" i="20"/>
  <c r="AD8768" i="20"/>
  <c r="AD8769" i="20"/>
  <c r="AD8770" i="20"/>
  <c r="AD8771" i="20"/>
  <c r="AD8772" i="20"/>
  <c r="AD8773" i="20"/>
  <c r="AD8774" i="20"/>
  <c r="AD8775" i="20"/>
  <c r="AD8776" i="20"/>
  <c r="AD8777" i="20"/>
  <c r="AD8778" i="20"/>
  <c r="AD8779" i="20"/>
  <c r="AD8780" i="20"/>
  <c r="AD8781" i="20"/>
  <c r="AD8782" i="20"/>
  <c r="AD8783" i="20"/>
  <c r="AD8784" i="20"/>
  <c r="AD8785" i="20"/>
  <c r="AD8786" i="20"/>
  <c r="AD8787" i="20"/>
  <c r="AD8788" i="20"/>
  <c r="AD8789" i="20"/>
  <c r="AD8790" i="20"/>
  <c r="AD8791" i="20"/>
  <c r="AD8792" i="20"/>
  <c r="AD8793" i="20"/>
  <c r="AD8794" i="20"/>
  <c r="AD8795" i="20"/>
  <c r="AD8796" i="20"/>
  <c r="AD8797" i="20"/>
  <c r="AD8798" i="20"/>
  <c r="AD8799" i="20"/>
  <c r="AD8800" i="20"/>
  <c r="AD8801" i="20"/>
  <c r="AD8802" i="20"/>
  <c r="AD8803" i="20"/>
  <c r="AD8804" i="20"/>
  <c r="AD8805" i="20"/>
  <c r="AD8806" i="20"/>
  <c r="AD8807" i="20"/>
  <c r="AD8808" i="20"/>
  <c r="AD8809" i="20"/>
  <c r="AD8810" i="20"/>
  <c r="AD8811" i="20"/>
  <c r="AD8812" i="20"/>
  <c r="AD8813" i="20"/>
  <c r="AD8814" i="20"/>
  <c r="AD8815" i="20"/>
  <c r="AD8816" i="20"/>
  <c r="AD8817" i="20"/>
  <c r="AD8818" i="20"/>
  <c r="AD8819" i="20"/>
  <c r="AD8820" i="20"/>
  <c r="AD8821" i="20"/>
  <c r="AD8822" i="20"/>
  <c r="AD8823" i="20"/>
  <c r="AD8824" i="20"/>
  <c r="AD8825" i="20"/>
  <c r="AD8826" i="20"/>
  <c r="AD8827" i="20"/>
  <c r="AD8828" i="20"/>
  <c r="AD8829" i="20"/>
  <c r="AD8830" i="20"/>
  <c r="AD8831" i="20"/>
  <c r="AD8832" i="20"/>
  <c r="AD8833" i="20"/>
  <c r="AD8834" i="20"/>
  <c r="AD8835" i="20"/>
  <c r="AD8836" i="20"/>
  <c r="AD8837" i="20"/>
  <c r="AD8838" i="20"/>
  <c r="AD8839" i="20"/>
  <c r="AD8840" i="20"/>
  <c r="AD8841" i="20"/>
  <c r="AD8842" i="20"/>
  <c r="AD8843" i="20"/>
  <c r="AD8844" i="20"/>
  <c r="AD8845" i="20"/>
  <c r="AD8846" i="20"/>
  <c r="AD8847" i="20"/>
  <c r="AD8848" i="20"/>
  <c r="AD8849" i="20"/>
  <c r="AD8850" i="20"/>
  <c r="AD8851" i="20"/>
  <c r="AD8852" i="20"/>
  <c r="AD8853" i="20"/>
  <c r="AD8854" i="20"/>
  <c r="AD8855" i="20"/>
  <c r="AD8856" i="20"/>
  <c r="AD8857" i="20"/>
  <c r="AD8858" i="20"/>
  <c r="AD8859" i="20"/>
  <c r="AD8860" i="20"/>
  <c r="AD8861" i="20"/>
  <c r="AD8862" i="20"/>
  <c r="AD8863" i="20"/>
  <c r="AD8864" i="20"/>
  <c r="AD8865" i="20"/>
  <c r="AD8866" i="20"/>
  <c r="AD8867" i="20"/>
  <c r="AD8868" i="20"/>
  <c r="AD8869" i="20"/>
  <c r="AD8870" i="20"/>
  <c r="AD8871" i="20"/>
  <c r="AD8872" i="20"/>
  <c r="AD8873" i="20"/>
  <c r="AD8874" i="20"/>
  <c r="AD8875" i="20"/>
  <c r="AD8876" i="20"/>
  <c r="AD8877" i="20"/>
  <c r="AD8878" i="20"/>
  <c r="AD8879" i="20"/>
  <c r="AD8880" i="20"/>
  <c r="AD8881" i="20"/>
  <c r="AD8882" i="20"/>
  <c r="AD8883" i="20"/>
  <c r="AD8884" i="20"/>
  <c r="AD8885" i="20"/>
  <c r="AD8886" i="20"/>
  <c r="AD8887" i="20"/>
  <c r="AD8888" i="20"/>
  <c r="AD8889" i="20"/>
  <c r="AD8890" i="20"/>
  <c r="AD8891" i="20"/>
  <c r="AD8892" i="20"/>
  <c r="AD8893" i="20"/>
  <c r="AD8894" i="20"/>
  <c r="AD8895" i="20"/>
  <c r="AD8896" i="20"/>
  <c r="AD8897" i="20"/>
  <c r="AD8898" i="20"/>
  <c r="AD8899" i="20"/>
  <c r="AD8900" i="20"/>
  <c r="AD8901" i="20"/>
  <c r="AD8902" i="20"/>
  <c r="AD8903" i="20"/>
  <c r="AD8904" i="20"/>
  <c r="AD8905" i="20"/>
  <c r="AD8906" i="20"/>
  <c r="AD8907" i="20"/>
  <c r="AD8908" i="20"/>
  <c r="AD8909" i="20"/>
  <c r="AD8910" i="20"/>
  <c r="AD8911" i="20"/>
  <c r="AD8912" i="20"/>
  <c r="AD8913" i="20"/>
  <c r="AD8914" i="20"/>
  <c r="AD8915" i="20"/>
  <c r="AD8916" i="20"/>
  <c r="AD8917" i="20"/>
  <c r="AD8918" i="20"/>
  <c r="AD8919" i="20"/>
  <c r="AD8920" i="20"/>
  <c r="AD8921" i="20"/>
  <c r="AD8922" i="20"/>
  <c r="AD8923" i="20"/>
  <c r="AD8924" i="20"/>
  <c r="AD8925" i="20"/>
  <c r="AD8926" i="20"/>
  <c r="AD8927" i="20"/>
  <c r="AD8928" i="20"/>
  <c r="AD8929" i="20"/>
  <c r="AD8930" i="20"/>
  <c r="AD8931" i="20"/>
  <c r="AD8932" i="20"/>
  <c r="AD8933" i="20"/>
  <c r="AD8934" i="20"/>
  <c r="AD8935" i="20"/>
  <c r="AD8936" i="20"/>
  <c r="AD8937" i="20"/>
  <c r="AD8938" i="20"/>
  <c r="AD8939" i="20"/>
  <c r="AD8940" i="20"/>
  <c r="AD8941" i="20"/>
  <c r="AD8942" i="20"/>
  <c r="AD8943" i="20"/>
  <c r="AD8944" i="20"/>
  <c r="AD8945" i="20"/>
  <c r="AD8946" i="20"/>
  <c r="AD8947" i="20"/>
  <c r="AD8948" i="20"/>
  <c r="AD8949" i="20"/>
  <c r="AD8950" i="20"/>
  <c r="AD8951" i="20"/>
  <c r="AD8952" i="20"/>
  <c r="AD8953" i="20"/>
  <c r="AD8954" i="20"/>
  <c r="AD8955" i="20"/>
  <c r="AD8956" i="20"/>
  <c r="AD8957" i="20"/>
  <c r="AD8958" i="20"/>
  <c r="AD8959" i="20"/>
  <c r="AD8960" i="20"/>
  <c r="AD8961" i="20"/>
  <c r="AD8962" i="20"/>
  <c r="AD8963" i="20"/>
  <c r="AD8964" i="20"/>
  <c r="AD8965" i="20"/>
  <c r="AD8966" i="20"/>
  <c r="AD8967" i="20"/>
  <c r="AD8968" i="20"/>
  <c r="AD8969" i="20"/>
  <c r="AD8970" i="20"/>
  <c r="AD8971" i="20"/>
  <c r="AD8972" i="20"/>
  <c r="AD8973" i="20"/>
  <c r="AD8974" i="20"/>
  <c r="AD8975" i="20"/>
  <c r="AD8976" i="20"/>
  <c r="AD8977" i="20"/>
  <c r="AD8978" i="20"/>
  <c r="AD8979" i="20"/>
  <c r="AD8980" i="20"/>
  <c r="AD8981" i="20"/>
  <c r="AD8982" i="20"/>
  <c r="AD8983" i="20"/>
  <c r="AD8984" i="20"/>
  <c r="AD8985" i="20"/>
  <c r="AD8986" i="20"/>
  <c r="AD8987" i="20"/>
  <c r="AD8988" i="20"/>
  <c r="AD8989" i="20"/>
  <c r="AD8990" i="20"/>
  <c r="AD8991" i="20"/>
  <c r="AD8992" i="20"/>
  <c r="AD8993" i="20"/>
  <c r="AD8994" i="20"/>
  <c r="AD8995" i="20"/>
  <c r="AD8996" i="20"/>
  <c r="AD8997" i="20"/>
  <c r="AD8998" i="20"/>
  <c r="AD8999" i="20"/>
  <c r="AD9000" i="20"/>
  <c r="AD9001" i="20"/>
  <c r="AD9002" i="20"/>
  <c r="AD9003" i="20"/>
  <c r="AD9004" i="20"/>
  <c r="AD9005" i="20"/>
  <c r="AD9006" i="20"/>
  <c r="AD9007" i="20"/>
  <c r="AD9008" i="20"/>
  <c r="AD9009" i="20"/>
  <c r="AD9010" i="20"/>
  <c r="AD9011" i="20"/>
  <c r="AD9012" i="20"/>
  <c r="AD9013" i="20"/>
  <c r="AD9014" i="20"/>
  <c r="AD9015" i="20"/>
  <c r="AD9016" i="20"/>
  <c r="AD9017" i="20"/>
  <c r="AD9018" i="20"/>
  <c r="AD9019" i="20"/>
  <c r="AD9020" i="20"/>
  <c r="AD9021" i="20"/>
  <c r="AD9022" i="20"/>
  <c r="AD9023" i="20"/>
  <c r="AD9024" i="20"/>
  <c r="AD9025" i="20"/>
  <c r="AD9026" i="20"/>
  <c r="AD9027" i="20"/>
  <c r="AD9028" i="20"/>
  <c r="AD9029" i="20"/>
  <c r="AD9030" i="20"/>
  <c r="AD9031" i="20"/>
  <c r="AD9032" i="20"/>
  <c r="AD9033" i="20"/>
  <c r="AD9034" i="20"/>
  <c r="AD9035" i="20"/>
  <c r="AD9036" i="20"/>
  <c r="AD9037" i="20"/>
  <c r="AD9038" i="20"/>
  <c r="AD9039" i="20"/>
  <c r="AD9040" i="20"/>
  <c r="AD9041" i="20"/>
  <c r="AD9042" i="20"/>
  <c r="AD9043" i="20"/>
  <c r="AD9044" i="20"/>
  <c r="AD9045" i="20"/>
  <c r="AD9046" i="20"/>
  <c r="AD9047" i="20"/>
  <c r="AD9048" i="20"/>
  <c r="AD9049" i="20"/>
  <c r="AD9050" i="20"/>
  <c r="AD9051" i="20"/>
  <c r="AD9052" i="20"/>
  <c r="AD9053" i="20"/>
  <c r="AD9054" i="20"/>
  <c r="AD9055" i="20"/>
  <c r="AD9056" i="20"/>
  <c r="AD9057" i="20"/>
  <c r="AD9058" i="20"/>
  <c r="AD9059" i="20"/>
  <c r="AD9060" i="20"/>
  <c r="AD9061" i="20"/>
  <c r="AD9062" i="20"/>
  <c r="AD9063" i="20"/>
  <c r="AD9064" i="20"/>
  <c r="AD9065" i="20"/>
  <c r="AD9066" i="20"/>
  <c r="AD9067" i="20"/>
  <c r="AD9068" i="20"/>
  <c r="AD9069" i="20"/>
  <c r="AD9070" i="20"/>
  <c r="AD9071" i="20"/>
  <c r="AD9072" i="20"/>
  <c r="AD9073" i="20"/>
  <c r="AD9074" i="20"/>
  <c r="AD9075" i="20"/>
  <c r="AD9076" i="20"/>
  <c r="AD9077" i="20"/>
  <c r="AD9078" i="20"/>
  <c r="AD9079" i="20"/>
  <c r="AD9080" i="20"/>
  <c r="AD9081" i="20"/>
  <c r="AD9082" i="20"/>
  <c r="AD9083" i="20"/>
  <c r="AD9084" i="20"/>
  <c r="AD9085" i="20"/>
  <c r="AD9086" i="20"/>
  <c r="AD9087" i="20"/>
  <c r="AD9088" i="20"/>
  <c r="AD9089" i="20"/>
  <c r="AD9090" i="20"/>
  <c r="AD9091" i="20"/>
  <c r="AD9092" i="20"/>
  <c r="AD9093" i="20"/>
  <c r="AD9094" i="20"/>
  <c r="AD9095" i="20"/>
  <c r="AD9096" i="20"/>
  <c r="AD9097" i="20"/>
  <c r="AD9098" i="20"/>
  <c r="AD9099" i="20"/>
  <c r="AD9100" i="20"/>
  <c r="AD9101" i="20"/>
  <c r="AD9102" i="20"/>
  <c r="AD9103" i="20"/>
  <c r="AD9104" i="20"/>
  <c r="AD9105" i="20"/>
  <c r="AD9106" i="20"/>
  <c r="AD9107" i="20"/>
  <c r="AD9108" i="20"/>
  <c r="AD9109" i="20"/>
  <c r="AD9110" i="20"/>
  <c r="AD9111" i="20"/>
  <c r="AD9112" i="20"/>
  <c r="AD9113" i="20"/>
  <c r="AD9114" i="20"/>
  <c r="AD9115" i="20"/>
  <c r="AD9116" i="20"/>
  <c r="AD9117" i="20"/>
  <c r="AD9118" i="20"/>
  <c r="AD9119" i="20"/>
  <c r="AD9120" i="20"/>
  <c r="AD9121" i="20"/>
  <c r="AD9122" i="20"/>
  <c r="AD9123" i="20"/>
  <c r="AD9124" i="20"/>
  <c r="AD9125" i="20"/>
  <c r="AD9126" i="20"/>
  <c r="AD9127" i="20"/>
  <c r="AD9128" i="20"/>
  <c r="AD9129" i="20"/>
  <c r="AD9130" i="20"/>
  <c r="AD9131" i="20"/>
  <c r="AD9132" i="20"/>
  <c r="AD9133" i="20"/>
  <c r="AD9134" i="20"/>
  <c r="AD9135" i="20"/>
  <c r="AD9136" i="20"/>
  <c r="AD9137" i="20"/>
  <c r="AD9138" i="20"/>
  <c r="AD9139" i="20"/>
  <c r="AD9140" i="20"/>
  <c r="AD9141" i="20"/>
  <c r="AD9142" i="20"/>
  <c r="AD9143" i="20"/>
  <c r="AD9144" i="20"/>
  <c r="AD9145" i="20"/>
  <c r="AD9146" i="20"/>
  <c r="AD9147" i="20"/>
  <c r="AD9148" i="20"/>
  <c r="AD9149" i="20"/>
  <c r="AD9150" i="20"/>
  <c r="AD9151" i="20"/>
  <c r="AD9152" i="20"/>
  <c r="AD9153" i="20"/>
  <c r="AD9154" i="20"/>
  <c r="AD9155" i="20"/>
  <c r="AD9156" i="20"/>
  <c r="AD9157" i="20"/>
  <c r="AD9158" i="20"/>
  <c r="AD9159" i="20"/>
  <c r="AD9160" i="20"/>
  <c r="AD9161" i="20"/>
  <c r="AD9162" i="20"/>
  <c r="AD9163" i="20"/>
  <c r="AD9164" i="20"/>
  <c r="AD9165" i="20"/>
  <c r="AD9166" i="20"/>
  <c r="AD9167" i="20"/>
  <c r="AD9168" i="20"/>
  <c r="AD9169" i="20"/>
  <c r="AD9170" i="20"/>
  <c r="AD9171" i="20"/>
  <c r="AD9172" i="20"/>
  <c r="AD9173" i="20"/>
  <c r="AD9174" i="20"/>
  <c r="AD9175" i="20"/>
  <c r="AD9176" i="20"/>
  <c r="AD9177" i="20"/>
  <c r="AD9178" i="20"/>
  <c r="AD9179" i="20"/>
  <c r="AD9180" i="20"/>
  <c r="AD9181" i="20"/>
  <c r="AD9182" i="20"/>
  <c r="AD9183" i="20"/>
  <c r="AD9184" i="20"/>
  <c r="AD9185" i="20"/>
  <c r="AD9186" i="20"/>
  <c r="AD9187" i="20"/>
  <c r="AD9188" i="20"/>
  <c r="AD9189" i="20"/>
  <c r="AD9190" i="20"/>
  <c r="AD9191" i="20"/>
  <c r="AD9192" i="20"/>
  <c r="AD9193" i="20"/>
  <c r="AD9194" i="20"/>
  <c r="AD9195" i="20"/>
  <c r="AD9196" i="20"/>
  <c r="AD9197" i="20"/>
  <c r="AD9198" i="20"/>
  <c r="AD9199" i="20"/>
  <c r="AD9200" i="20"/>
  <c r="AD9201" i="20"/>
  <c r="AD9202" i="20"/>
  <c r="AD9203" i="20"/>
  <c r="AD9204" i="20"/>
  <c r="AD9205" i="20"/>
  <c r="AD9206" i="20"/>
  <c r="AD9207" i="20"/>
  <c r="AD9208" i="20"/>
  <c r="AD9209" i="20"/>
  <c r="AD9210" i="20"/>
  <c r="AD9211" i="20"/>
  <c r="AD9212" i="20"/>
  <c r="AD9213" i="20"/>
  <c r="AD9214" i="20"/>
  <c r="AD9215" i="20"/>
  <c r="AD9216" i="20"/>
  <c r="AD9217" i="20"/>
  <c r="AD9218" i="20"/>
  <c r="AD9219" i="20"/>
  <c r="AD9220" i="20"/>
  <c r="AD9221" i="20"/>
  <c r="AD9222" i="20"/>
  <c r="AD9223" i="20"/>
  <c r="AD9224" i="20"/>
  <c r="AD9225" i="20"/>
  <c r="AD9226" i="20"/>
  <c r="AD9227" i="20"/>
  <c r="AD9228" i="20"/>
  <c r="AD9229" i="20"/>
  <c r="AD9230" i="20"/>
  <c r="AD9231" i="20"/>
  <c r="AD9232" i="20"/>
  <c r="AD9233" i="20"/>
  <c r="AD9234" i="20"/>
  <c r="AD9235" i="20"/>
  <c r="AD9236" i="20"/>
  <c r="AD9237" i="20"/>
  <c r="AD9238" i="20"/>
  <c r="AD9239" i="20"/>
  <c r="AD9240" i="20"/>
  <c r="AD9241" i="20"/>
  <c r="AD9242" i="20"/>
  <c r="AD9243" i="20"/>
  <c r="AD9244" i="20"/>
  <c r="AD9245" i="20"/>
  <c r="AD9246" i="20"/>
  <c r="AD9247" i="20"/>
  <c r="AD9248" i="20"/>
  <c r="AD9249" i="20"/>
  <c r="AD9250" i="20"/>
  <c r="AD9251" i="20"/>
  <c r="AD9252" i="20"/>
  <c r="AD9253" i="20"/>
  <c r="AD9254" i="20"/>
  <c r="AD9255" i="20"/>
  <c r="AD9256" i="20"/>
  <c r="AD9257" i="20"/>
  <c r="AD9258" i="20"/>
  <c r="AD9259" i="20"/>
  <c r="AD9260" i="20"/>
  <c r="AD9261" i="20"/>
  <c r="AD9262" i="20"/>
  <c r="AD9263" i="20"/>
  <c r="AD9264" i="20"/>
  <c r="AD9265" i="20"/>
  <c r="AD9266" i="20"/>
  <c r="AD9267" i="20"/>
  <c r="AD9268" i="20"/>
  <c r="AD9269" i="20"/>
  <c r="AD9270" i="20"/>
  <c r="AD9271" i="20"/>
  <c r="AD9272" i="20"/>
  <c r="AD9273" i="20"/>
  <c r="AD9274" i="20"/>
  <c r="AD9275" i="20"/>
  <c r="AD9276" i="20"/>
  <c r="AD9277" i="20"/>
  <c r="AD9278" i="20"/>
  <c r="AD9279" i="20"/>
  <c r="AD9280" i="20"/>
  <c r="AD9281" i="20"/>
  <c r="AD9282" i="20"/>
  <c r="AD9283" i="20"/>
  <c r="AD9284" i="20"/>
  <c r="AD9285" i="20"/>
  <c r="AD9286" i="20"/>
  <c r="AD9287" i="20"/>
  <c r="AD9288" i="20"/>
  <c r="AD9289" i="20"/>
  <c r="AD9290" i="20"/>
  <c r="AD9291" i="20"/>
  <c r="AD9292" i="20"/>
  <c r="AD9293" i="20"/>
  <c r="AD9294" i="20"/>
  <c r="AD9295" i="20"/>
  <c r="AD9296" i="20"/>
  <c r="AD9297" i="20"/>
  <c r="AD9298" i="20"/>
  <c r="AD9299" i="20"/>
  <c r="AD9300" i="20"/>
  <c r="AD9301" i="20"/>
  <c r="AD9302" i="20"/>
  <c r="AD9303" i="20"/>
  <c r="AD9304" i="20"/>
  <c r="AD9305" i="20"/>
  <c r="AD9306" i="20"/>
  <c r="AD9307" i="20"/>
  <c r="AD9308" i="20"/>
  <c r="AD9309" i="20"/>
  <c r="AD9310" i="20"/>
  <c r="AD9311" i="20"/>
  <c r="AD9312" i="20"/>
  <c r="AD9313" i="20"/>
  <c r="AD9314" i="20"/>
  <c r="AD9315" i="20"/>
  <c r="AD9316" i="20"/>
  <c r="AD9317" i="20"/>
  <c r="AD9318" i="20"/>
  <c r="AD9319" i="20"/>
  <c r="AD9320" i="20"/>
  <c r="AD9321" i="20"/>
  <c r="AD9322" i="20"/>
  <c r="AD9323" i="20"/>
  <c r="AD9324" i="20"/>
  <c r="AD9325" i="20"/>
  <c r="AD9326" i="20"/>
  <c r="AD9327" i="20"/>
  <c r="AD9328" i="20"/>
  <c r="AD9329" i="20"/>
  <c r="AD9330" i="20"/>
  <c r="AD9331" i="20"/>
  <c r="AD9332" i="20"/>
  <c r="AD9333" i="20"/>
  <c r="AD9334" i="20"/>
  <c r="AD9335" i="20"/>
  <c r="AD9336" i="20"/>
  <c r="AD9337" i="20"/>
  <c r="AD9338" i="20"/>
  <c r="AD9339" i="20"/>
  <c r="AD9340" i="20"/>
  <c r="AD9341" i="20"/>
  <c r="AD9342" i="20"/>
  <c r="AD9343" i="20"/>
  <c r="AD9344" i="20"/>
  <c r="AD9345" i="20"/>
  <c r="AD9346" i="20"/>
  <c r="AD9347" i="20"/>
  <c r="AD9348" i="20"/>
  <c r="AD9349" i="20"/>
  <c r="AD9350" i="20"/>
  <c r="AD9351" i="20"/>
  <c r="AD9352" i="20"/>
  <c r="AD9353" i="20"/>
  <c r="AD9354" i="20"/>
  <c r="AD9355" i="20"/>
  <c r="AD9356" i="20"/>
  <c r="AD9357" i="20"/>
  <c r="AD9358" i="20"/>
  <c r="AD9359" i="20"/>
  <c r="AD9360" i="20"/>
  <c r="AD9361" i="20"/>
  <c r="AD9362" i="20"/>
  <c r="AD9363" i="20"/>
  <c r="AD9364" i="20"/>
  <c r="AD9365" i="20"/>
  <c r="AD9366" i="20"/>
  <c r="AD9367" i="20"/>
  <c r="AD9368" i="20"/>
  <c r="AD9369" i="20"/>
  <c r="AD9370" i="20"/>
  <c r="AD9371" i="20"/>
  <c r="AD9372" i="20"/>
  <c r="AD9373" i="20"/>
  <c r="AD9374" i="20"/>
  <c r="AD9375" i="20"/>
  <c r="AD9376" i="20"/>
  <c r="AD9377" i="20"/>
  <c r="AD9378" i="20"/>
  <c r="AD9379" i="20"/>
  <c r="AD9380" i="20"/>
  <c r="AD9381" i="20"/>
  <c r="AD9382" i="20"/>
  <c r="AD9383" i="20"/>
  <c r="AD9384" i="20"/>
  <c r="AD9385" i="20"/>
  <c r="AD9386" i="20"/>
  <c r="AD9387" i="20"/>
  <c r="AD9388" i="20"/>
  <c r="AD9389" i="20"/>
  <c r="AD9390" i="20"/>
  <c r="AD9391" i="20"/>
  <c r="AD9392" i="20"/>
  <c r="AD9393" i="20"/>
  <c r="AD9394" i="20"/>
  <c r="AD9395" i="20"/>
  <c r="AD9396" i="20"/>
  <c r="AD9397" i="20"/>
  <c r="AD9398" i="20"/>
  <c r="AD9399" i="20"/>
  <c r="AD9400" i="20"/>
  <c r="AD9401" i="20"/>
  <c r="AD9402" i="20"/>
  <c r="AD9403" i="20"/>
  <c r="AD9404" i="20"/>
  <c r="AD9405" i="20"/>
  <c r="AD9406" i="20"/>
  <c r="AD9407" i="20"/>
  <c r="AD9408" i="20"/>
  <c r="AD9409" i="20"/>
  <c r="AD9410" i="20"/>
  <c r="AD9411" i="20"/>
  <c r="AD9412" i="20"/>
  <c r="AD9413" i="20"/>
  <c r="AD9414" i="20"/>
  <c r="AD9415" i="20"/>
  <c r="AD9416" i="20"/>
  <c r="AD9417" i="20"/>
  <c r="AD9418" i="20"/>
  <c r="AD9419" i="20"/>
  <c r="AD9420" i="20"/>
  <c r="AD9421" i="20"/>
  <c r="AD9422" i="20"/>
  <c r="AD9423" i="20"/>
  <c r="AD9424" i="20"/>
  <c r="AD9425" i="20"/>
  <c r="AD9426" i="20"/>
  <c r="AD9427" i="20"/>
  <c r="AD9428" i="20"/>
  <c r="AD9429" i="20"/>
  <c r="AD9430" i="20"/>
  <c r="AD9431" i="20"/>
  <c r="AD9432" i="20"/>
  <c r="AD9433" i="20"/>
  <c r="AD9434" i="20"/>
  <c r="AD9435" i="20"/>
  <c r="AD9436" i="20"/>
  <c r="AD9437" i="20"/>
  <c r="AD9438" i="20"/>
  <c r="AD9439" i="20"/>
  <c r="AD9440" i="20"/>
  <c r="AD9441" i="20"/>
  <c r="AD9442" i="20"/>
  <c r="AD9443" i="20"/>
  <c r="AD9444" i="20"/>
  <c r="AD9445" i="20"/>
  <c r="AD9446" i="20"/>
  <c r="AD9447" i="20"/>
  <c r="AD9448" i="20"/>
  <c r="AD9449" i="20"/>
  <c r="AD9450" i="20"/>
  <c r="AD9451" i="20"/>
  <c r="AD9452" i="20"/>
  <c r="AD9453" i="20"/>
  <c r="AD9454" i="20"/>
  <c r="AD9455" i="20"/>
  <c r="AD9456" i="20"/>
  <c r="AD9457" i="20"/>
  <c r="AD9458" i="20"/>
  <c r="AD9459" i="20"/>
  <c r="AD9460" i="20"/>
  <c r="AD9461" i="20"/>
  <c r="AD9462" i="20"/>
  <c r="AD9463" i="20"/>
  <c r="AD9464" i="20"/>
  <c r="AD9465" i="20"/>
  <c r="AD9466" i="20"/>
  <c r="AD9467" i="20"/>
  <c r="AD9468" i="20"/>
  <c r="AD9469" i="20"/>
  <c r="AD9470" i="20"/>
  <c r="AD9471" i="20"/>
  <c r="AD9472" i="20"/>
  <c r="AD9473" i="20"/>
  <c r="AD9474" i="20"/>
  <c r="AD9475" i="20"/>
  <c r="AD9476" i="20"/>
  <c r="AD9477" i="20"/>
  <c r="AD9478" i="20"/>
  <c r="AD9479" i="20"/>
  <c r="AD9480" i="20"/>
  <c r="AD9481" i="20"/>
  <c r="AD9482" i="20"/>
  <c r="AD9483" i="20"/>
  <c r="AD9484" i="20"/>
  <c r="AD9485" i="20"/>
  <c r="AD9486" i="20"/>
  <c r="AD9487" i="20"/>
  <c r="AD9488" i="20"/>
  <c r="AD9489" i="20"/>
  <c r="AD9490" i="20"/>
  <c r="AD9491" i="20"/>
  <c r="AD9492" i="20"/>
  <c r="AD9493" i="20"/>
  <c r="AD9494" i="20"/>
  <c r="AD9495" i="20"/>
  <c r="AD9496" i="20"/>
  <c r="AD9497" i="20"/>
  <c r="AD9498" i="20"/>
  <c r="AD9499" i="20"/>
  <c r="AD9500" i="20"/>
  <c r="AD9501" i="20"/>
  <c r="AD9502" i="20"/>
  <c r="AD9503" i="20"/>
  <c r="AD9504" i="20"/>
  <c r="AD9505" i="20"/>
  <c r="AD9506" i="20"/>
  <c r="AD9507" i="20"/>
  <c r="AD9508" i="20"/>
  <c r="AD9509" i="20"/>
  <c r="AD9510" i="20"/>
  <c r="AD9511" i="20"/>
  <c r="AD9512" i="20"/>
  <c r="AD9513" i="20"/>
  <c r="AD9514" i="20"/>
  <c r="AD9515" i="20"/>
  <c r="AD9516" i="20"/>
  <c r="AD9517" i="20"/>
  <c r="AD9518" i="20"/>
  <c r="AD9519" i="20"/>
  <c r="AD9520" i="20"/>
  <c r="AD9521" i="20"/>
  <c r="AD9522" i="20"/>
  <c r="AD9523" i="20"/>
  <c r="AD9524" i="20"/>
  <c r="AD9525" i="20"/>
  <c r="AD9526" i="20"/>
  <c r="AD9527" i="20"/>
  <c r="AD9528" i="20"/>
  <c r="AD9529" i="20"/>
  <c r="AD9530" i="20"/>
  <c r="AD9531" i="20"/>
  <c r="AD9532" i="20"/>
  <c r="AD9533" i="20"/>
  <c r="AD9534" i="20"/>
  <c r="AD9535" i="20"/>
  <c r="AD9536" i="20"/>
  <c r="AD9537" i="20"/>
  <c r="AD9538" i="20"/>
  <c r="AD9539" i="20"/>
  <c r="AD9540" i="20"/>
  <c r="AD9541" i="20"/>
  <c r="AD9542" i="20"/>
  <c r="AD9543" i="20"/>
  <c r="AD9544" i="20"/>
  <c r="AD9545" i="20"/>
  <c r="AD9546" i="20"/>
  <c r="AD9547" i="20"/>
  <c r="AD9548" i="20"/>
  <c r="AD9549" i="20"/>
  <c r="AD9550" i="20"/>
  <c r="AD9551" i="20"/>
  <c r="AD9552" i="20"/>
  <c r="AD9553" i="20"/>
  <c r="AD9554" i="20"/>
  <c r="AD9555" i="20"/>
  <c r="AD9556" i="20"/>
  <c r="AD9557" i="20"/>
  <c r="AD9558" i="20"/>
  <c r="AD9559" i="20"/>
  <c r="AD9560" i="20"/>
  <c r="AD9561" i="20"/>
  <c r="AD9562" i="20"/>
  <c r="AD9563" i="20"/>
  <c r="AD9564" i="20"/>
  <c r="AD9565" i="20"/>
  <c r="AD9566" i="20"/>
  <c r="AD9567" i="20"/>
  <c r="AD9568" i="20"/>
  <c r="AD9569" i="20"/>
  <c r="AD9570" i="20"/>
  <c r="AD9571" i="20"/>
  <c r="AD9572" i="20"/>
  <c r="AD9573" i="20"/>
  <c r="AD9574" i="20"/>
  <c r="AD9575" i="20"/>
  <c r="AD9576" i="20"/>
  <c r="AD9577" i="20"/>
  <c r="AD9578" i="20"/>
  <c r="AD9579" i="20"/>
  <c r="AD9580" i="20"/>
  <c r="AD9581" i="20"/>
  <c r="AD9582" i="20"/>
  <c r="AD9583" i="20"/>
  <c r="AD9584" i="20"/>
  <c r="AD9585" i="20"/>
  <c r="AD9586" i="20"/>
  <c r="AD9587" i="20"/>
  <c r="AD9588" i="20"/>
  <c r="AD9589" i="20"/>
  <c r="AD9590" i="20"/>
  <c r="AD9591" i="20"/>
  <c r="AD9592" i="20"/>
  <c r="AD9593" i="20"/>
  <c r="AD9594" i="20"/>
  <c r="AD9595" i="20"/>
  <c r="AD9596" i="20"/>
  <c r="AD9597" i="20"/>
  <c r="AD9598" i="20"/>
  <c r="AD9599" i="20"/>
  <c r="AD9600" i="20"/>
  <c r="AD9601" i="20"/>
  <c r="AD9602" i="20"/>
  <c r="AD9603" i="20"/>
  <c r="AD9604" i="20"/>
  <c r="AD9605" i="20"/>
  <c r="AD9606" i="20"/>
  <c r="AD9607" i="20"/>
  <c r="AD9608" i="20"/>
  <c r="AD9609" i="20"/>
  <c r="AD9610" i="20"/>
  <c r="AD9611" i="20"/>
  <c r="AD9612" i="20"/>
  <c r="AD9613" i="20"/>
  <c r="AD9614" i="20"/>
  <c r="AD9615" i="20"/>
  <c r="AD9616" i="20"/>
  <c r="AD9617" i="20"/>
  <c r="AD9618" i="20"/>
  <c r="AD9619" i="20"/>
  <c r="AD9620" i="20"/>
  <c r="AD9621" i="20"/>
  <c r="AD9622" i="20"/>
  <c r="AD9623" i="20"/>
  <c r="AD9624" i="20"/>
  <c r="AD9625" i="20"/>
  <c r="AD9626" i="20"/>
  <c r="AD9627" i="20"/>
  <c r="AD9628" i="20"/>
  <c r="AD9629" i="20"/>
  <c r="AD9630" i="20"/>
  <c r="AD9631" i="20"/>
  <c r="AD9632" i="20"/>
  <c r="AD9633" i="20"/>
  <c r="AD9634" i="20"/>
  <c r="AD9635" i="20"/>
  <c r="AD9636" i="20"/>
  <c r="AD9637" i="20"/>
  <c r="AD9638" i="20"/>
  <c r="AD9639" i="20"/>
  <c r="AD9640" i="20"/>
  <c r="AD9641" i="20"/>
  <c r="AD9642" i="20"/>
  <c r="AD9643" i="20"/>
  <c r="AD9644" i="20"/>
  <c r="AD9645" i="20"/>
  <c r="AD9646" i="20"/>
  <c r="AD9647" i="20"/>
  <c r="AD9648" i="20"/>
  <c r="AD9649" i="20"/>
  <c r="AD9650" i="20"/>
  <c r="AD9651" i="20"/>
  <c r="AD9652" i="20"/>
  <c r="AD9653" i="20"/>
  <c r="AD9654" i="20"/>
  <c r="AD9655" i="20"/>
  <c r="AD9656" i="20"/>
  <c r="AD9657" i="20"/>
  <c r="AD9658" i="20"/>
  <c r="AD9659" i="20"/>
  <c r="AD9660" i="20"/>
  <c r="AD9661" i="20"/>
  <c r="AD9662" i="20"/>
  <c r="AD9663" i="20"/>
  <c r="AD9664" i="20"/>
  <c r="AD9665" i="20"/>
  <c r="AD9666" i="20"/>
  <c r="AD9667" i="20"/>
  <c r="AD9668" i="20"/>
  <c r="AD9669" i="20"/>
  <c r="AD9670" i="20"/>
  <c r="AD9671" i="20"/>
  <c r="AD9672" i="20"/>
  <c r="AD9673" i="20"/>
  <c r="AD9674" i="20"/>
  <c r="AD9675" i="20"/>
  <c r="AD9676" i="20"/>
  <c r="AD9677" i="20"/>
  <c r="AD9678" i="20"/>
  <c r="AD9679" i="20"/>
  <c r="AD9680" i="20"/>
  <c r="AD9681" i="20"/>
  <c r="AD9682" i="20"/>
  <c r="AD9683" i="20"/>
  <c r="AD9684" i="20"/>
  <c r="AD9685" i="20"/>
  <c r="AD9686" i="20"/>
  <c r="AD9687" i="20"/>
  <c r="AD9688" i="20"/>
  <c r="AD9689" i="20"/>
  <c r="AD9690" i="20"/>
  <c r="AD9691" i="20"/>
  <c r="AD9692" i="20"/>
  <c r="AD9693" i="20"/>
  <c r="AD9694" i="20"/>
  <c r="AD9695" i="20"/>
  <c r="AD9696" i="20"/>
  <c r="AD9697" i="20"/>
  <c r="AD9698" i="20"/>
  <c r="AD9699" i="20"/>
  <c r="AD9700" i="20"/>
  <c r="AD9701" i="20"/>
  <c r="AD9702" i="20"/>
  <c r="AD9703" i="20"/>
  <c r="AD9704" i="20"/>
  <c r="AD9705" i="20"/>
  <c r="AD9706" i="20"/>
  <c r="AD9707" i="20"/>
  <c r="AD9708" i="20"/>
  <c r="AD9709" i="20"/>
  <c r="AD9710" i="20"/>
  <c r="AD9711" i="20"/>
  <c r="AD9712" i="20"/>
  <c r="AD9713" i="20"/>
  <c r="AD9714" i="20"/>
  <c r="AD9715" i="20"/>
  <c r="AD9716" i="20"/>
  <c r="AD9717" i="20"/>
  <c r="AD9718" i="20"/>
  <c r="AD9719" i="20"/>
  <c r="AD9720" i="20"/>
  <c r="AD9721" i="20"/>
  <c r="AD9722" i="20"/>
  <c r="AD9723" i="20"/>
  <c r="AD9724" i="20"/>
  <c r="AD9725" i="20"/>
  <c r="AD9726" i="20"/>
  <c r="AD9727" i="20"/>
  <c r="AD9728" i="20"/>
  <c r="AD9729" i="20"/>
  <c r="AD9730" i="20"/>
  <c r="AD9731" i="20"/>
  <c r="AD9732" i="20"/>
  <c r="AD9733" i="20"/>
  <c r="AD9734" i="20"/>
  <c r="AD9735" i="20"/>
  <c r="AD9736" i="20"/>
  <c r="AD9737" i="20"/>
  <c r="AD9738" i="20"/>
  <c r="AD9739" i="20"/>
  <c r="AD9740" i="20"/>
  <c r="AD9741" i="20"/>
  <c r="AD9742" i="20"/>
  <c r="AD9743" i="20"/>
  <c r="AD9744" i="20"/>
  <c r="AD9745" i="20"/>
  <c r="AD9746" i="20"/>
  <c r="AD9747" i="20"/>
  <c r="AD9748" i="20"/>
  <c r="AD9749" i="20"/>
  <c r="AD9750" i="20"/>
  <c r="AD9751" i="20"/>
  <c r="AD9752" i="20"/>
  <c r="AD9753" i="20"/>
  <c r="AD9754" i="20"/>
  <c r="AD9755" i="20"/>
  <c r="AD9756" i="20"/>
  <c r="AD9757" i="20"/>
  <c r="AD9758" i="20"/>
  <c r="AD9759" i="20"/>
  <c r="AD9760" i="20"/>
  <c r="AD9761" i="20"/>
  <c r="AD9762" i="20"/>
  <c r="AD9763" i="20"/>
  <c r="AD9764" i="20"/>
  <c r="AD9765" i="20"/>
  <c r="AD9766" i="20"/>
  <c r="AD9767" i="20"/>
  <c r="AD9768" i="20"/>
  <c r="AD9769" i="20"/>
  <c r="AD9770" i="20"/>
  <c r="AD9771" i="20"/>
  <c r="AD9772" i="20"/>
  <c r="AD9773" i="20"/>
  <c r="AD9774" i="20"/>
  <c r="AD9775" i="20"/>
  <c r="AD9776" i="20"/>
  <c r="AD9777" i="20"/>
  <c r="AD9778" i="20"/>
  <c r="AD9779" i="20"/>
  <c r="AD9780" i="20"/>
  <c r="AD9781" i="20"/>
  <c r="AD9782" i="20"/>
  <c r="AD9783" i="20"/>
  <c r="AD9784" i="20"/>
  <c r="AD9785" i="20"/>
  <c r="AD9786" i="20"/>
  <c r="AD9787" i="20"/>
  <c r="AD9788" i="20"/>
  <c r="AD9789" i="20"/>
  <c r="AD9790" i="20"/>
  <c r="AD9791" i="20"/>
  <c r="AD9792" i="20"/>
  <c r="AD9793" i="20"/>
  <c r="AD9794" i="20"/>
  <c r="AD9795" i="20"/>
  <c r="AD9796" i="20"/>
  <c r="AD9797" i="20"/>
  <c r="AD9798" i="20"/>
  <c r="AD9799" i="20"/>
  <c r="AD9800" i="20"/>
  <c r="AD9801" i="20"/>
  <c r="AD9802" i="20"/>
  <c r="AD9803" i="20"/>
  <c r="AD9804" i="20"/>
  <c r="AD9805" i="20"/>
  <c r="AD9806" i="20"/>
  <c r="AD9807" i="20"/>
  <c r="AD9808" i="20"/>
  <c r="AD9809" i="20"/>
  <c r="AD9810" i="20"/>
  <c r="AD9811" i="20"/>
  <c r="AD9812" i="20"/>
  <c r="AD9813" i="20"/>
  <c r="AD9814" i="20"/>
  <c r="AD9815" i="20"/>
  <c r="AD9816" i="20"/>
  <c r="AD9817" i="20"/>
  <c r="AD9818" i="20"/>
  <c r="AD9819" i="20"/>
  <c r="AD9820" i="20"/>
  <c r="AD9821" i="20"/>
  <c r="AD9822" i="20"/>
  <c r="AD9823" i="20"/>
  <c r="AD9824" i="20"/>
  <c r="AD9825" i="20"/>
  <c r="AD9826" i="20"/>
  <c r="AD9827" i="20"/>
  <c r="AD9828" i="20"/>
  <c r="AD9829" i="20"/>
  <c r="AD9830" i="20"/>
  <c r="AD9831" i="20"/>
  <c r="AD9832" i="20"/>
  <c r="AD9833" i="20"/>
  <c r="AD9834" i="20"/>
  <c r="AD9835" i="20"/>
  <c r="AD9836" i="20"/>
  <c r="AD9837" i="20"/>
  <c r="AD9838" i="20"/>
  <c r="AD9839" i="20"/>
  <c r="AD9840" i="20"/>
  <c r="AD9841" i="20"/>
  <c r="AD9842" i="20"/>
  <c r="AD9843" i="20"/>
  <c r="AD9844" i="20"/>
  <c r="AD9845" i="20"/>
  <c r="AD9846" i="20"/>
  <c r="AD9847" i="20"/>
  <c r="AD9848" i="20"/>
  <c r="AD9849" i="20"/>
  <c r="AD9850" i="20"/>
  <c r="AD9851" i="20"/>
  <c r="AD9852" i="20"/>
  <c r="AD9853" i="20"/>
  <c r="AD9854" i="20"/>
  <c r="AD9855" i="20"/>
  <c r="AD9856" i="20"/>
  <c r="AD9857" i="20"/>
  <c r="AD9858" i="20"/>
  <c r="AD9859" i="20"/>
  <c r="AD9860" i="20"/>
  <c r="AD9861" i="20"/>
  <c r="AD9862" i="20"/>
  <c r="AD9863" i="20"/>
  <c r="AD9864" i="20"/>
  <c r="AD9865" i="20"/>
  <c r="AD9866" i="20"/>
  <c r="AD9867" i="20"/>
  <c r="AD9868" i="20"/>
  <c r="AD9869" i="20"/>
  <c r="AD9870" i="20"/>
  <c r="AD9871" i="20"/>
  <c r="AD9872" i="20"/>
  <c r="AD9873" i="20"/>
  <c r="AD9874" i="20"/>
  <c r="AD9875" i="20"/>
  <c r="AD9876" i="20"/>
  <c r="AD9877" i="20"/>
  <c r="AD9878" i="20"/>
  <c r="AD9879" i="20"/>
  <c r="AD9880" i="20"/>
  <c r="AD9881" i="20"/>
  <c r="AD9882" i="20"/>
  <c r="AD9883" i="20"/>
  <c r="AD9884" i="20"/>
  <c r="AD9885" i="20"/>
  <c r="AD9886" i="20"/>
  <c r="AD9887" i="20"/>
  <c r="AD9888" i="20"/>
  <c r="AD9889" i="20"/>
  <c r="AD9890" i="20"/>
  <c r="AD9891" i="20"/>
  <c r="AD9892" i="20"/>
  <c r="AD9893" i="20"/>
  <c r="AD9894" i="20"/>
  <c r="AD9895" i="20"/>
  <c r="AD9896" i="20"/>
  <c r="AD9897" i="20"/>
  <c r="AD9898" i="20"/>
  <c r="AD9899" i="20"/>
  <c r="AD9900" i="20"/>
  <c r="AD9901" i="20"/>
  <c r="AD9902" i="20"/>
  <c r="AD9903" i="20"/>
  <c r="AD9904" i="20"/>
  <c r="AD9905" i="20"/>
  <c r="AD9906" i="20"/>
  <c r="AD9907" i="20"/>
  <c r="AD9908" i="20"/>
  <c r="AD9909" i="20"/>
  <c r="AD9910" i="20"/>
  <c r="AD9911" i="20"/>
  <c r="AD9912" i="20"/>
  <c r="AD9913" i="20"/>
  <c r="AD9914" i="20"/>
  <c r="AD9915" i="20"/>
  <c r="AD9916" i="20"/>
  <c r="AD9917" i="20"/>
  <c r="AD9918" i="20"/>
  <c r="AD9919" i="20"/>
  <c r="AD9920" i="20"/>
  <c r="AD9921" i="20"/>
  <c r="AD9922" i="20"/>
  <c r="AD9923" i="20"/>
  <c r="AD9924" i="20"/>
  <c r="AD9925" i="20"/>
  <c r="AD9926" i="20"/>
  <c r="AD9927" i="20"/>
  <c r="AD9928" i="20"/>
  <c r="AD9929" i="20"/>
  <c r="AD9930" i="20"/>
  <c r="AD9931" i="20"/>
  <c r="AD9932" i="20"/>
  <c r="AD9933" i="20"/>
  <c r="AD9934" i="20"/>
  <c r="AD9935" i="20"/>
  <c r="AD9936" i="20"/>
  <c r="AD9937" i="20"/>
  <c r="AD9938" i="20"/>
  <c r="AD9939" i="20"/>
  <c r="AD9940" i="20"/>
  <c r="AD9941" i="20"/>
  <c r="AD9942" i="20"/>
  <c r="AD9943" i="20"/>
  <c r="AD9944" i="20"/>
  <c r="AD9945" i="20"/>
  <c r="AD9946" i="20"/>
  <c r="AD9947" i="20"/>
  <c r="AD9948" i="20"/>
  <c r="AD9949" i="20"/>
  <c r="AD9950" i="20"/>
  <c r="AD9951" i="20"/>
  <c r="AD9952" i="20"/>
  <c r="AD9953" i="20"/>
  <c r="AD9954" i="20"/>
  <c r="AD9955" i="20"/>
  <c r="AD9956" i="20"/>
  <c r="AD9957" i="20"/>
  <c r="AD9958" i="20"/>
  <c r="AD9959" i="20"/>
  <c r="AD9960" i="20"/>
  <c r="AD9961" i="20"/>
  <c r="AD9962" i="20"/>
  <c r="AD9963" i="20"/>
  <c r="AD9964" i="20"/>
  <c r="AD9965" i="20"/>
  <c r="AD9966" i="20"/>
  <c r="AD9967" i="20"/>
  <c r="AD9968" i="20"/>
  <c r="AD9969" i="20"/>
  <c r="AD9970" i="20"/>
  <c r="AD9971" i="20"/>
  <c r="AD9972" i="20"/>
  <c r="AD9973" i="20"/>
  <c r="AD9974" i="20"/>
  <c r="AD9975" i="20"/>
  <c r="AD9976" i="20"/>
  <c r="AD9977" i="20"/>
  <c r="AD9978" i="20"/>
  <c r="AD9979" i="20"/>
  <c r="AD9980" i="20"/>
  <c r="AD9981" i="20"/>
  <c r="AD9982" i="20"/>
  <c r="AD9983" i="20"/>
  <c r="AD9984" i="20"/>
  <c r="AD9985" i="20"/>
  <c r="AD9986" i="20"/>
  <c r="AD9987" i="20"/>
  <c r="AD9988" i="20"/>
  <c r="AD9989" i="20"/>
  <c r="AD9990" i="20"/>
  <c r="AD9991" i="20"/>
  <c r="AD9992" i="20"/>
  <c r="AD9993" i="20"/>
  <c r="AD9994" i="20"/>
  <c r="AD9995" i="20"/>
  <c r="AD9996" i="20"/>
  <c r="AD9997" i="20"/>
  <c r="AD9998" i="20"/>
  <c r="AD9999" i="20"/>
  <c r="AD10000" i="20"/>
  <c r="AD10001" i="20"/>
  <c r="AD10002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3" i="20"/>
  <c r="R12" i="20"/>
  <c r="S12" i="20"/>
  <c r="R22" i="20"/>
  <c r="S22" i="20"/>
  <c r="R32" i="20"/>
  <c r="S32" i="20"/>
  <c r="R42" i="20"/>
  <c r="S42" i="20"/>
  <c r="R52" i="20"/>
  <c r="S52" i="20"/>
  <c r="R62" i="20"/>
  <c r="S62" i="20"/>
  <c r="R72" i="20"/>
  <c r="S72" i="20"/>
  <c r="R82" i="20"/>
  <c r="S82" i="20"/>
  <c r="R92" i="20"/>
  <c r="S92" i="20"/>
  <c r="S98" i="20"/>
  <c r="R100" i="20"/>
  <c r="R110" i="20"/>
  <c r="S110" i="20"/>
  <c r="S118" i="20"/>
  <c r="R120" i="20"/>
  <c r="R172" i="20"/>
  <c r="S172" i="20"/>
  <c r="S176" i="20"/>
  <c r="R178" i="20"/>
  <c r="S180" i="20"/>
  <c r="R182" i="20"/>
  <c r="R192" i="20"/>
  <c r="S192" i="20"/>
  <c r="S196" i="20"/>
  <c r="R198" i="20"/>
  <c r="S200" i="20"/>
  <c r="R202" i="20"/>
  <c r="R208" i="20"/>
  <c r="S208" i="20"/>
  <c r="S210" i="20"/>
  <c r="R211" i="20"/>
  <c r="S212" i="20"/>
  <c r="R213" i="20"/>
  <c r="R218" i="20"/>
  <c r="S218" i="20"/>
  <c r="S220" i="20"/>
  <c r="R221" i="20"/>
  <c r="S222" i="20"/>
  <c r="R223" i="20"/>
  <c r="R228" i="20"/>
  <c r="S228" i="20"/>
  <c r="S230" i="20"/>
  <c r="R231" i="20"/>
  <c r="S232" i="20"/>
  <c r="R233" i="20"/>
  <c r="R238" i="20"/>
  <c r="S238" i="20"/>
  <c r="S240" i="20"/>
  <c r="R241" i="20"/>
  <c r="S242" i="20"/>
  <c r="R243" i="20"/>
  <c r="R248" i="20"/>
  <c r="S248" i="20"/>
  <c r="S250" i="20"/>
  <c r="R251" i="20"/>
  <c r="S252" i="20"/>
  <c r="R253" i="20"/>
  <c r="R258" i="20"/>
  <c r="S258" i="20"/>
  <c r="S260" i="20"/>
  <c r="R261" i="20"/>
  <c r="S262" i="20"/>
  <c r="R263" i="20"/>
  <c r="R268" i="20"/>
  <c r="S268" i="20"/>
  <c r="S270" i="20"/>
  <c r="R271" i="20"/>
  <c r="S272" i="20"/>
  <c r="R273" i="20"/>
  <c r="R278" i="20"/>
  <c r="S278" i="20"/>
  <c r="S280" i="20"/>
  <c r="R281" i="20"/>
  <c r="S282" i="20"/>
  <c r="R283" i="20"/>
  <c r="R288" i="20"/>
  <c r="S288" i="20"/>
  <c r="S290" i="20"/>
  <c r="R291" i="20"/>
  <c r="S292" i="20"/>
  <c r="R293" i="20"/>
  <c r="R3" i="20"/>
  <c r="K4" i="20"/>
  <c r="L4" i="20"/>
  <c r="S4" i="20" s="1"/>
  <c r="K5" i="20"/>
  <c r="R5" i="20" s="1"/>
  <c r="L5" i="20"/>
  <c r="K6" i="20"/>
  <c r="L6" i="20"/>
  <c r="S6" i="20" s="1"/>
  <c r="K7" i="20"/>
  <c r="R7" i="20" s="1"/>
  <c r="L7" i="20"/>
  <c r="K8" i="20"/>
  <c r="L8" i="20"/>
  <c r="K9" i="20"/>
  <c r="L9" i="20"/>
  <c r="K10" i="20"/>
  <c r="L10" i="20"/>
  <c r="K11" i="20"/>
  <c r="L11" i="20"/>
  <c r="K12" i="20"/>
  <c r="L12" i="20"/>
  <c r="K13" i="20"/>
  <c r="L13" i="20"/>
  <c r="K14" i="20"/>
  <c r="L14" i="20"/>
  <c r="S14" i="20" s="1"/>
  <c r="K15" i="20"/>
  <c r="R15" i="20" s="1"/>
  <c r="L15" i="20"/>
  <c r="K16" i="20"/>
  <c r="L16" i="20"/>
  <c r="S16" i="20" s="1"/>
  <c r="K17" i="20"/>
  <c r="R17" i="20" s="1"/>
  <c r="L17" i="20"/>
  <c r="K18" i="20"/>
  <c r="L18" i="20"/>
  <c r="K19" i="20"/>
  <c r="L19" i="20"/>
  <c r="K20" i="20"/>
  <c r="L20" i="20"/>
  <c r="K21" i="20"/>
  <c r="L21" i="20"/>
  <c r="K22" i="20"/>
  <c r="L22" i="20"/>
  <c r="K23" i="20"/>
  <c r="L23" i="20"/>
  <c r="K24" i="20"/>
  <c r="L24" i="20"/>
  <c r="S24" i="20" s="1"/>
  <c r="K25" i="20"/>
  <c r="R25" i="20" s="1"/>
  <c r="L25" i="20"/>
  <c r="K26" i="20"/>
  <c r="L26" i="20"/>
  <c r="S26" i="20" s="1"/>
  <c r="K27" i="20"/>
  <c r="R27" i="20" s="1"/>
  <c r="L27" i="20"/>
  <c r="K28" i="20"/>
  <c r="L28" i="20"/>
  <c r="K29" i="20"/>
  <c r="L29" i="20"/>
  <c r="K30" i="20"/>
  <c r="L30" i="20"/>
  <c r="K31" i="20"/>
  <c r="L31" i="20"/>
  <c r="K32" i="20"/>
  <c r="L32" i="20"/>
  <c r="K33" i="20"/>
  <c r="L33" i="20"/>
  <c r="K34" i="20"/>
  <c r="L34" i="20"/>
  <c r="S34" i="20" s="1"/>
  <c r="K35" i="20"/>
  <c r="R35" i="20" s="1"/>
  <c r="L35" i="20"/>
  <c r="K36" i="20"/>
  <c r="L36" i="20"/>
  <c r="S36" i="20" s="1"/>
  <c r="K37" i="20"/>
  <c r="R37" i="20" s="1"/>
  <c r="L37" i="20"/>
  <c r="K38" i="20"/>
  <c r="L38" i="20"/>
  <c r="K39" i="20"/>
  <c r="L39" i="20"/>
  <c r="K40" i="20"/>
  <c r="L40" i="20"/>
  <c r="K41" i="20"/>
  <c r="L41" i="20"/>
  <c r="K42" i="20"/>
  <c r="L42" i="20"/>
  <c r="K43" i="20"/>
  <c r="L43" i="20"/>
  <c r="K44" i="20"/>
  <c r="L44" i="20"/>
  <c r="S44" i="20" s="1"/>
  <c r="K45" i="20"/>
  <c r="R45" i="20" s="1"/>
  <c r="L45" i="20"/>
  <c r="K46" i="20"/>
  <c r="L46" i="20"/>
  <c r="S46" i="20" s="1"/>
  <c r="K47" i="20"/>
  <c r="R47" i="20" s="1"/>
  <c r="L47" i="20"/>
  <c r="K48" i="20"/>
  <c r="L48" i="20"/>
  <c r="K49" i="20"/>
  <c r="L49" i="20"/>
  <c r="K50" i="20"/>
  <c r="L50" i="20"/>
  <c r="K51" i="20"/>
  <c r="L51" i="20"/>
  <c r="K52" i="20"/>
  <c r="L52" i="20"/>
  <c r="K53" i="20"/>
  <c r="L53" i="20"/>
  <c r="K54" i="20"/>
  <c r="L54" i="20"/>
  <c r="S54" i="20" s="1"/>
  <c r="K55" i="20"/>
  <c r="R55" i="20" s="1"/>
  <c r="L55" i="20"/>
  <c r="K56" i="20"/>
  <c r="L56" i="20"/>
  <c r="S56" i="20" s="1"/>
  <c r="K57" i="20"/>
  <c r="R57" i="20" s="1"/>
  <c r="L57" i="20"/>
  <c r="K58" i="20"/>
  <c r="L58" i="20"/>
  <c r="K59" i="20"/>
  <c r="L59" i="20"/>
  <c r="K60" i="20"/>
  <c r="L60" i="20"/>
  <c r="K61" i="20"/>
  <c r="L61" i="20"/>
  <c r="K62" i="20"/>
  <c r="L62" i="20"/>
  <c r="K63" i="20"/>
  <c r="L63" i="20"/>
  <c r="K64" i="20"/>
  <c r="L64" i="20"/>
  <c r="S64" i="20" s="1"/>
  <c r="K65" i="20"/>
  <c r="R65" i="20" s="1"/>
  <c r="L65" i="20"/>
  <c r="K66" i="20"/>
  <c r="L66" i="20"/>
  <c r="S66" i="20" s="1"/>
  <c r="K67" i="20"/>
  <c r="R67" i="20" s="1"/>
  <c r="L67" i="20"/>
  <c r="K68" i="20"/>
  <c r="L68" i="20"/>
  <c r="K69" i="20"/>
  <c r="L69" i="20"/>
  <c r="K70" i="20"/>
  <c r="L70" i="20"/>
  <c r="K71" i="20"/>
  <c r="L71" i="20"/>
  <c r="K72" i="20"/>
  <c r="L72" i="20"/>
  <c r="K73" i="20"/>
  <c r="L73" i="20"/>
  <c r="K74" i="20"/>
  <c r="L74" i="20"/>
  <c r="S74" i="20" s="1"/>
  <c r="K75" i="20"/>
  <c r="R75" i="20" s="1"/>
  <c r="L75" i="20"/>
  <c r="K76" i="20"/>
  <c r="L76" i="20"/>
  <c r="S76" i="20" s="1"/>
  <c r="K77" i="20"/>
  <c r="R77" i="20" s="1"/>
  <c r="L77" i="20"/>
  <c r="K78" i="20"/>
  <c r="L78" i="20"/>
  <c r="K79" i="20"/>
  <c r="L79" i="20"/>
  <c r="K80" i="20"/>
  <c r="L80" i="20"/>
  <c r="K81" i="20"/>
  <c r="L81" i="20"/>
  <c r="K82" i="20"/>
  <c r="L82" i="20"/>
  <c r="K83" i="20"/>
  <c r="L83" i="20"/>
  <c r="K84" i="20"/>
  <c r="L84" i="20"/>
  <c r="S84" i="20" s="1"/>
  <c r="K85" i="20"/>
  <c r="R85" i="20" s="1"/>
  <c r="L85" i="20"/>
  <c r="K86" i="20"/>
  <c r="L86" i="20"/>
  <c r="S86" i="20" s="1"/>
  <c r="K87" i="20"/>
  <c r="R87" i="20" s="1"/>
  <c r="L87" i="20"/>
  <c r="K88" i="20"/>
  <c r="L88" i="20"/>
  <c r="K89" i="20"/>
  <c r="L89" i="20"/>
  <c r="K90" i="20"/>
  <c r="L90" i="20"/>
  <c r="K91" i="20"/>
  <c r="L91" i="20"/>
  <c r="K92" i="20"/>
  <c r="L92" i="20"/>
  <c r="K93" i="20"/>
  <c r="L93" i="20"/>
  <c r="K94" i="20"/>
  <c r="L94" i="20"/>
  <c r="S94" i="20" s="1"/>
  <c r="K95" i="20"/>
  <c r="L95" i="20"/>
  <c r="K96" i="20"/>
  <c r="R96" i="20" s="1"/>
  <c r="L96" i="20"/>
  <c r="K97" i="20"/>
  <c r="L97" i="20"/>
  <c r="K98" i="20"/>
  <c r="L98" i="20"/>
  <c r="K100" i="20"/>
  <c r="L100" i="20"/>
  <c r="K102" i="20"/>
  <c r="L102" i="20"/>
  <c r="K104" i="20"/>
  <c r="L104" i="20"/>
  <c r="K106" i="20"/>
  <c r="L106" i="20"/>
  <c r="K108" i="20"/>
  <c r="L108" i="20"/>
  <c r="K110" i="20"/>
  <c r="L110" i="20"/>
  <c r="K112" i="20"/>
  <c r="L112" i="20"/>
  <c r="K114" i="20"/>
  <c r="L114" i="20"/>
  <c r="S114" i="20" s="1"/>
  <c r="K116" i="20"/>
  <c r="R116" i="20" s="1"/>
  <c r="L116" i="20"/>
  <c r="K118" i="20"/>
  <c r="L118" i="20"/>
  <c r="K120" i="20"/>
  <c r="L120" i="20"/>
  <c r="K122" i="20"/>
  <c r="L122" i="20"/>
  <c r="K124" i="20"/>
  <c r="L124" i="20"/>
  <c r="K126" i="20"/>
  <c r="L126" i="20"/>
  <c r="K128" i="20"/>
  <c r="L128" i="20"/>
  <c r="K130" i="20"/>
  <c r="L130" i="20"/>
  <c r="K170" i="20"/>
  <c r="L170" i="20"/>
  <c r="K172" i="20"/>
  <c r="L172" i="20"/>
  <c r="K174" i="20"/>
  <c r="L174" i="20"/>
  <c r="K176" i="20"/>
  <c r="L176" i="20"/>
  <c r="K178" i="20"/>
  <c r="L178" i="20"/>
  <c r="K180" i="20"/>
  <c r="L180" i="20"/>
  <c r="K182" i="20"/>
  <c r="L182" i="20"/>
  <c r="K184" i="20"/>
  <c r="L184" i="20"/>
  <c r="K186" i="20"/>
  <c r="L186" i="20"/>
  <c r="K188" i="20"/>
  <c r="L188" i="20"/>
  <c r="K190" i="20"/>
  <c r="L190" i="20"/>
  <c r="K192" i="20"/>
  <c r="L192" i="20"/>
  <c r="K194" i="20"/>
  <c r="L194" i="20"/>
  <c r="K196" i="20"/>
  <c r="L196" i="20"/>
  <c r="K198" i="20"/>
  <c r="L198" i="20"/>
  <c r="K200" i="20"/>
  <c r="L200" i="20"/>
  <c r="K202" i="20"/>
  <c r="L202" i="20"/>
  <c r="K204" i="20"/>
  <c r="L204" i="20"/>
  <c r="K205" i="20"/>
  <c r="L205" i="20"/>
  <c r="K206" i="20"/>
  <c r="L206" i="20"/>
  <c r="K207" i="20"/>
  <c r="L207" i="20"/>
  <c r="K208" i="20"/>
  <c r="L208" i="20"/>
  <c r="K209" i="20"/>
  <c r="L209" i="20"/>
  <c r="K210" i="20"/>
  <c r="L210" i="20"/>
  <c r="K211" i="20"/>
  <c r="L211" i="20"/>
  <c r="K212" i="20"/>
  <c r="L212" i="20"/>
  <c r="K213" i="20"/>
  <c r="L213" i="20"/>
  <c r="K214" i="20"/>
  <c r="L214" i="20"/>
  <c r="K215" i="20"/>
  <c r="L215" i="20"/>
  <c r="K216" i="20"/>
  <c r="L216" i="20"/>
  <c r="K217" i="20"/>
  <c r="L217" i="20"/>
  <c r="K218" i="20"/>
  <c r="L218" i="20"/>
  <c r="K219" i="20"/>
  <c r="L219" i="20"/>
  <c r="K220" i="20"/>
  <c r="L220" i="20"/>
  <c r="K221" i="20"/>
  <c r="L221" i="20"/>
  <c r="K222" i="20"/>
  <c r="L222" i="20"/>
  <c r="K223" i="20"/>
  <c r="L223" i="20"/>
  <c r="K224" i="20"/>
  <c r="L224" i="20"/>
  <c r="K225" i="20"/>
  <c r="L225" i="20"/>
  <c r="K226" i="20"/>
  <c r="L226" i="20"/>
  <c r="K227" i="20"/>
  <c r="L227" i="20"/>
  <c r="K228" i="20"/>
  <c r="L228" i="20"/>
  <c r="K229" i="20"/>
  <c r="L229" i="20"/>
  <c r="K230" i="20"/>
  <c r="L230" i="20"/>
  <c r="K231" i="20"/>
  <c r="L231" i="20"/>
  <c r="K232" i="20"/>
  <c r="L232" i="20"/>
  <c r="K233" i="20"/>
  <c r="L233" i="20"/>
  <c r="K234" i="20"/>
  <c r="L234" i="20"/>
  <c r="K235" i="20"/>
  <c r="L235" i="20"/>
  <c r="K236" i="20"/>
  <c r="L236" i="20"/>
  <c r="K237" i="20"/>
  <c r="L237" i="20"/>
  <c r="K238" i="20"/>
  <c r="L238" i="20"/>
  <c r="K239" i="20"/>
  <c r="L239" i="20"/>
  <c r="K240" i="20"/>
  <c r="L240" i="20"/>
  <c r="K241" i="20"/>
  <c r="L241" i="20"/>
  <c r="K242" i="20"/>
  <c r="L242" i="20"/>
  <c r="K243" i="20"/>
  <c r="L243" i="20"/>
  <c r="K244" i="20"/>
  <c r="L244" i="20"/>
  <c r="K245" i="20"/>
  <c r="L245" i="20"/>
  <c r="K246" i="20"/>
  <c r="L246" i="20"/>
  <c r="K247" i="20"/>
  <c r="L247" i="20"/>
  <c r="K248" i="20"/>
  <c r="L248" i="20"/>
  <c r="K249" i="20"/>
  <c r="L249" i="20"/>
  <c r="K250" i="20"/>
  <c r="L250" i="20"/>
  <c r="K251" i="20"/>
  <c r="L251" i="20"/>
  <c r="K252" i="20"/>
  <c r="L252" i="20"/>
  <c r="K253" i="20"/>
  <c r="L253" i="20"/>
  <c r="K254" i="20"/>
  <c r="L254" i="20"/>
  <c r="K255" i="20"/>
  <c r="L255" i="20"/>
  <c r="K256" i="20"/>
  <c r="L256" i="20"/>
  <c r="K257" i="20"/>
  <c r="L257" i="20"/>
  <c r="K258" i="20"/>
  <c r="L258" i="20"/>
  <c r="K259" i="20"/>
  <c r="L259" i="20"/>
  <c r="K260" i="20"/>
  <c r="L260" i="20"/>
  <c r="K261" i="20"/>
  <c r="L261" i="20"/>
  <c r="K262" i="20"/>
  <c r="L262" i="20"/>
  <c r="K263" i="20"/>
  <c r="L263" i="20"/>
  <c r="K264" i="20"/>
  <c r="L264" i="20"/>
  <c r="K265" i="20"/>
  <c r="L265" i="20"/>
  <c r="K266" i="20"/>
  <c r="L266" i="20"/>
  <c r="K267" i="20"/>
  <c r="L267" i="20"/>
  <c r="K268" i="20"/>
  <c r="L268" i="20"/>
  <c r="K269" i="20"/>
  <c r="L269" i="20"/>
  <c r="K270" i="20"/>
  <c r="L270" i="20"/>
  <c r="K271" i="20"/>
  <c r="L271" i="20"/>
  <c r="K272" i="20"/>
  <c r="L272" i="20"/>
  <c r="K273" i="20"/>
  <c r="L273" i="20"/>
  <c r="K274" i="20"/>
  <c r="L274" i="20"/>
  <c r="K275" i="20"/>
  <c r="L275" i="20"/>
  <c r="K276" i="20"/>
  <c r="L276" i="20"/>
  <c r="K277" i="20"/>
  <c r="L277" i="20"/>
  <c r="K278" i="20"/>
  <c r="L278" i="20"/>
  <c r="K279" i="20"/>
  <c r="L279" i="20"/>
  <c r="K280" i="20"/>
  <c r="L280" i="20"/>
  <c r="K281" i="20"/>
  <c r="L281" i="20"/>
  <c r="K282" i="20"/>
  <c r="L282" i="20"/>
  <c r="K283" i="20"/>
  <c r="L283" i="20"/>
  <c r="K284" i="20"/>
  <c r="L284" i="20"/>
  <c r="K285" i="20"/>
  <c r="L285" i="20"/>
  <c r="K286" i="20"/>
  <c r="L286" i="20"/>
  <c r="K287" i="20"/>
  <c r="L287" i="20"/>
  <c r="K288" i="20"/>
  <c r="L288" i="20"/>
  <c r="K289" i="20"/>
  <c r="L289" i="20"/>
  <c r="K290" i="20"/>
  <c r="L290" i="20"/>
  <c r="K291" i="20"/>
  <c r="L291" i="20"/>
  <c r="K292" i="20"/>
  <c r="L292" i="20"/>
  <c r="K293" i="20"/>
  <c r="L293" i="20"/>
  <c r="H4" i="20"/>
  <c r="I4" i="20"/>
  <c r="H5" i="20"/>
  <c r="I5" i="20"/>
  <c r="H6" i="20"/>
  <c r="I6" i="20"/>
  <c r="H7" i="20"/>
  <c r="I7" i="20"/>
  <c r="H8" i="20"/>
  <c r="I8" i="20"/>
  <c r="H9" i="20"/>
  <c r="I9" i="20"/>
  <c r="H10" i="20"/>
  <c r="I10" i="20"/>
  <c r="H11" i="20"/>
  <c r="I11" i="20"/>
  <c r="H12" i="20"/>
  <c r="I12" i="20"/>
  <c r="H13" i="20"/>
  <c r="I13" i="20"/>
  <c r="H14" i="20"/>
  <c r="I14" i="20"/>
  <c r="H15" i="20"/>
  <c r="I15" i="20"/>
  <c r="H16" i="20"/>
  <c r="I16" i="20"/>
  <c r="H17" i="20"/>
  <c r="I17" i="20"/>
  <c r="H18" i="20"/>
  <c r="I18" i="20"/>
  <c r="H19" i="20"/>
  <c r="I19" i="20"/>
  <c r="H20" i="20"/>
  <c r="I20" i="20"/>
  <c r="H21" i="20"/>
  <c r="I21" i="20"/>
  <c r="H22" i="20"/>
  <c r="I22" i="20"/>
  <c r="H23" i="20"/>
  <c r="I23" i="20"/>
  <c r="H24" i="20"/>
  <c r="I24" i="20"/>
  <c r="H25" i="20"/>
  <c r="I25" i="20"/>
  <c r="H26" i="20"/>
  <c r="I26" i="20"/>
  <c r="H27" i="20"/>
  <c r="I27" i="20"/>
  <c r="H28" i="20"/>
  <c r="I28" i="20"/>
  <c r="H29" i="20"/>
  <c r="I29" i="20"/>
  <c r="H30" i="20"/>
  <c r="I30" i="20"/>
  <c r="H31" i="20"/>
  <c r="I31" i="20"/>
  <c r="H32" i="20"/>
  <c r="I32" i="20"/>
  <c r="H33" i="20"/>
  <c r="I33" i="20"/>
  <c r="H34" i="20"/>
  <c r="I34" i="20"/>
  <c r="H35" i="20"/>
  <c r="I35" i="20"/>
  <c r="H36" i="20"/>
  <c r="I36" i="20"/>
  <c r="H37" i="20"/>
  <c r="I37" i="20"/>
  <c r="H38" i="20"/>
  <c r="I38" i="20"/>
  <c r="H39" i="20"/>
  <c r="I39" i="20"/>
  <c r="H40" i="20"/>
  <c r="I40" i="20"/>
  <c r="H41" i="20"/>
  <c r="I41" i="20"/>
  <c r="H42" i="20"/>
  <c r="I42" i="20"/>
  <c r="H43" i="20"/>
  <c r="I43" i="20"/>
  <c r="H44" i="20"/>
  <c r="I44" i="20"/>
  <c r="H45" i="20"/>
  <c r="I45" i="20"/>
  <c r="H46" i="20"/>
  <c r="I46" i="20"/>
  <c r="H47" i="20"/>
  <c r="I47" i="20"/>
  <c r="H48" i="20"/>
  <c r="I48" i="20"/>
  <c r="H49" i="20"/>
  <c r="I49" i="20"/>
  <c r="H50" i="20"/>
  <c r="I50" i="20"/>
  <c r="H51" i="20"/>
  <c r="I51" i="20"/>
  <c r="H52" i="20"/>
  <c r="I52" i="20"/>
  <c r="H53" i="20"/>
  <c r="I53" i="20"/>
  <c r="H54" i="20"/>
  <c r="I54" i="20"/>
  <c r="H55" i="20"/>
  <c r="I55" i="20"/>
  <c r="H56" i="20"/>
  <c r="I56" i="20"/>
  <c r="H57" i="20"/>
  <c r="I57" i="20"/>
  <c r="H58" i="20"/>
  <c r="I58" i="20"/>
  <c r="H59" i="20"/>
  <c r="I59" i="20"/>
  <c r="H60" i="20"/>
  <c r="I60" i="20"/>
  <c r="H61" i="20"/>
  <c r="I61" i="20"/>
  <c r="H62" i="20"/>
  <c r="I62" i="20"/>
  <c r="H63" i="20"/>
  <c r="I63" i="20"/>
  <c r="H64" i="20"/>
  <c r="I64" i="20"/>
  <c r="H65" i="20"/>
  <c r="I65" i="20"/>
  <c r="H66" i="20"/>
  <c r="I66" i="20"/>
  <c r="H67" i="20"/>
  <c r="I67" i="20"/>
  <c r="H68" i="20"/>
  <c r="I68" i="20"/>
  <c r="H69" i="20"/>
  <c r="I69" i="20"/>
  <c r="H70" i="20"/>
  <c r="I70" i="20"/>
  <c r="H71" i="20"/>
  <c r="I71" i="20"/>
  <c r="H72" i="20"/>
  <c r="I72" i="20"/>
  <c r="H73" i="20"/>
  <c r="I73" i="20"/>
  <c r="H74" i="20"/>
  <c r="I74" i="20"/>
  <c r="H75" i="20"/>
  <c r="I75" i="20"/>
  <c r="H76" i="20"/>
  <c r="I76" i="20"/>
  <c r="H77" i="20"/>
  <c r="I77" i="20"/>
  <c r="H78" i="20"/>
  <c r="I78" i="20"/>
  <c r="H79" i="20"/>
  <c r="I79" i="20"/>
  <c r="H80" i="20"/>
  <c r="I80" i="20"/>
  <c r="H81" i="20"/>
  <c r="I81" i="20"/>
  <c r="H82" i="20"/>
  <c r="I82" i="20"/>
  <c r="H83" i="20"/>
  <c r="I83" i="20"/>
  <c r="H84" i="20"/>
  <c r="I84" i="20"/>
  <c r="H85" i="20"/>
  <c r="I85" i="20"/>
  <c r="H86" i="20"/>
  <c r="I86" i="20"/>
  <c r="H87" i="20"/>
  <c r="I87" i="20"/>
  <c r="H88" i="20"/>
  <c r="I88" i="20"/>
  <c r="H89" i="20"/>
  <c r="I89" i="20"/>
  <c r="H90" i="20"/>
  <c r="I90" i="20"/>
  <c r="H91" i="20"/>
  <c r="I91" i="20"/>
  <c r="H92" i="20"/>
  <c r="I92" i="20"/>
  <c r="H93" i="20"/>
  <c r="I93" i="20"/>
  <c r="H94" i="20"/>
  <c r="I94" i="20"/>
  <c r="H95" i="20"/>
  <c r="I95" i="20"/>
  <c r="H96" i="20"/>
  <c r="I96" i="20"/>
  <c r="H97" i="20"/>
  <c r="I97" i="20"/>
  <c r="H98" i="20"/>
  <c r="I98" i="20"/>
  <c r="H100" i="20"/>
  <c r="I100" i="20"/>
  <c r="H102" i="20"/>
  <c r="I102" i="20"/>
  <c r="H104" i="20"/>
  <c r="I104" i="20"/>
  <c r="H106" i="20"/>
  <c r="I106" i="20"/>
  <c r="H108" i="20"/>
  <c r="I108" i="20"/>
  <c r="H110" i="20"/>
  <c r="I110" i="20"/>
  <c r="H112" i="20"/>
  <c r="I112" i="20"/>
  <c r="H114" i="20"/>
  <c r="I114" i="20"/>
  <c r="H116" i="20"/>
  <c r="I116" i="20"/>
  <c r="H118" i="20"/>
  <c r="I118" i="20"/>
  <c r="H120" i="20"/>
  <c r="I120" i="20"/>
  <c r="H122" i="20"/>
  <c r="I122" i="20"/>
  <c r="H124" i="20"/>
  <c r="I124" i="20"/>
  <c r="H126" i="20"/>
  <c r="I126" i="20"/>
  <c r="H128" i="20"/>
  <c r="I128" i="20"/>
  <c r="H130" i="20"/>
  <c r="I130" i="20"/>
  <c r="H170" i="20"/>
  <c r="I170" i="20"/>
  <c r="H172" i="20"/>
  <c r="I172" i="20"/>
  <c r="H174" i="20"/>
  <c r="I174" i="20"/>
  <c r="H176" i="20"/>
  <c r="I176" i="20"/>
  <c r="H178" i="20"/>
  <c r="I178" i="20"/>
  <c r="H180" i="20"/>
  <c r="I180" i="20"/>
  <c r="H182" i="20"/>
  <c r="I182" i="20"/>
  <c r="H184" i="20"/>
  <c r="I184" i="20"/>
  <c r="H186" i="20"/>
  <c r="I186" i="20"/>
  <c r="H188" i="20"/>
  <c r="I188" i="20"/>
  <c r="H190" i="20"/>
  <c r="I190" i="20"/>
  <c r="H192" i="20"/>
  <c r="I192" i="20"/>
  <c r="H194" i="20"/>
  <c r="I194" i="20"/>
  <c r="H196" i="20"/>
  <c r="I196" i="20"/>
  <c r="H198" i="20"/>
  <c r="I198" i="20"/>
  <c r="H200" i="20"/>
  <c r="I200" i="20"/>
  <c r="H202" i="20"/>
  <c r="I202" i="20"/>
  <c r="H204" i="20"/>
  <c r="I204" i="20"/>
  <c r="H205" i="20"/>
  <c r="I205" i="20"/>
  <c r="H206" i="20"/>
  <c r="I206" i="20"/>
  <c r="H207" i="20"/>
  <c r="I207" i="20"/>
  <c r="H208" i="20"/>
  <c r="I208" i="20"/>
  <c r="H209" i="20"/>
  <c r="I209" i="20"/>
  <c r="H210" i="20"/>
  <c r="I210" i="20"/>
  <c r="H211" i="20"/>
  <c r="I211" i="20"/>
  <c r="H212" i="20"/>
  <c r="I212" i="20"/>
  <c r="H213" i="20"/>
  <c r="I213" i="20"/>
  <c r="H214" i="20"/>
  <c r="I214" i="20"/>
  <c r="H215" i="20"/>
  <c r="I215" i="20"/>
  <c r="H216" i="20"/>
  <c r="I216" i="20"/>
  <c r="H217" i="20"/>
  <c r="I217" i="20"/>
  <c r="H218" i="20"/>
  <c r="I218" i="20"/>
  <c r="H219" i="20"/>
  <c r="I219" i="20"/>
  <c r="H220" i="20"/>
  <c r="I220" i="20"/>
  <c r="H221" i="20"/>
  <c r="I221" i="20"/>
  <c r="H222" i="20"/>
  <c r="I222" i="20"/>
  <c r="H223" i="20"/>
  <c r="I223" i="20"/>
  <c r="H224" i="20"/>
  <c r="I224" i="20"/>
  <c r="H225" i="20"/>
  <c r="I225" i="20"/>
  <c r="H226" i="20"/>
  <c r="I226" i="20"/>
  <c r="H227" i="20"/>
  <c r="I227" i="20"/>
  <c r="H228" i="20"/>
  <c r="I228" i="20"/>
  <c r="H229" i="20"/>
  <c r="I229" i="20"/>
  <c r="H230" i="20"/>
  <c r="I230" i="20"/>
  <c r="H231" i="20"/>
  <c r="I231" i="20"/>
  <c r="H232" i="20"/>
  <c r="I232" i="20"/>
  <c r="H233" i="20"/>
  <c r="I233" i="20"/>
  <c r="H234" i="20"/>
  <c r="I234" i="20"/>
  <c r="H235" i="20"/>
  <c r="I235" i="20"/>
  <c r="H236" i="20"/>
  <c r="I236" i="20"/>
  <c r="H237" i="20"/>
  <c r="I237" i="20"/>
  <c r="H238" i="20"/>
  <c r="I238" i="20"/>
  <c r="H239" i="20"/>
  <c r="I239" i="20"/>
  <c r="H240" i="20"/>
  <c r="I240" i="20"/>
  <c r="H241" i="20"/>
  <c r="I241" i="20"/>
  <c r="H242" i="20"/>
  <c r="I242" i="20"/>
  <c r="H243" i="20"/>
  <c r="I243" i="20"/>
  <c r="H244" i="20"/>
  <c r="I244" i="20"/>
  <c r="H245" i="20"/>
  <c r="I245" i="20"/>
  <c r="H246" i="20"/>
  <c r="I246" i="20"/>
  <c r="H247" i="20"/>
  <c r="I247" i="20"/>
  <c r="H248" i="20"/>
  <c r="I248" i="20"/>
  <c r="H249" i="20"/>
  <c r="I249" i="20"/>
  <c r="H250" i="20"/>
  <c r="I250" i="20"/>
  <c r="H251" i="20"/>
  <c r="I251" i="20"/>
  <c r="H252" i="20"/>
  <c r="I252" i="20"/>
  <c r="H253" i="20"/>
  <c r="I253" i="20"/>
  <c r="H254" i="20"/>
  <c r="I254" i="20"/>
  <c r="H255" i="20"/>
  <c r="I255" i="20"/>
  <c r="H256" i="20"/>
  <c r="I256" i="20"/>
  <c r="H257" i="20"/>
  <c r="I257" i="20"/>
  <c r="H258" i="20"/>
  <c r="I258" i="20"/>
  <c r="H259" i="20"/>
  <c r="I259" i="20"/>
  <c r="H260" i="20"/>
  <c r="I260" i="20"/>
  <c r="H261" i="20"/>
  <c r="I261" i="20"/>
  <c r="H262" i="20"/>
  <c r="I262" i="20"/>
  <c r="H263" i="20"/>
  <c r="I263" i="20"/>
  <c r="H264" i="20"/>
  <c r="I264" i="20"/>
  <c r="H265" i="20"/>
  <c r="I265" i="20"/>
  <c r="H266" i="20"/>
  <c r="I266" i="20"/>
  <c r="H267" i="20"/>
  <c r="I267" i="20"/>
  <c r="H268" i="20"/>
  <c r="I268" i="20"/>
  <c r="H269" i="20"/>
  <c r="I269" i="20"/>
  <c r="H270" i="20"/>
  <c r="I270" i="20"/>
  <c r="H271" i="20"/>
  <c r="I271" i="20"/>
  <c r="H272" i="20"/>
  <c r="I272" i="20"/>
  <c r="H273" i="20"/>
  <c r="I273" i="20"/>
  <c r="H274" i="20"/>
  <c r="I274" i="20"/>
  <c r="H275" i="20"/>
  <c r="I275" i="20"/>
  <c r="H276" i="20"/>
  <c r="I276" i="20"/>
  <c r="H277" i="20"/>
  <c r="I277" i="20"/>
  <c r="H278" i="20"/>
  <c r="I278" i="20"/>
  <c r="H279" i="20"/>
  <c r="I279" i="20"/>
  <c r="H280" i="20"/>
  <c r="I280" i="20"/>
  <c r="H281" i="20"/>
  <c r="I281" i="20"/>
  <c r="H282" i="20"/>
  <c r="I282" i="20"/>
  <c r="H283" i="20"/>
  <c r="I283" i="20"/>
  <c r="H284" i="20"/>
  <c r="I284" i="20"/>
  <c r="H285" i="20"/>
  <c r="I285" i="20"/>
  <c r="H286" i="20"/>
  <c r="I286" i="20"/>
  <c r="H287" i="20"/>
  <c r="I287" i="20"/>
  <c r="H288" i="20"/>
  <c r="I288" i="20"/>
  <c r="H289" i="20"/>
  <c r="I289" i="20"/>
  <c r="H290" i="20"/>
  <c r="I290" i="20"/>
  <c r="H291" i="20"/>
  <c r="I291" i="20"/>
  <c r="H292" i="20"/>
  <c r="I292" i="20"/>
  <c r="H293" i="20"/>
  <c r="I293" i="20"/>
  <c r="E4" i="20"/>
  <c r="R4" i="20" s="1"/>
  <c r="F4" i="20"/>
  <c r="E5" i="20"/>
  <c r="F5" i="20"/>
  <c r="S5" i="20" s="1"/>
  <c r="E6" i="20"/>
  <c r="R6" i="20" s="1"/>
  <c r="F6" i="20"/>
  <c r="E7" i="20"/>
  <c r="F7" i="20"/>
  <c r="S7" i="20" s="1"/>
  <c r="E8" i="20"/>
  <c r="R8" i="20" s="1"/>
  <c r="F8" i="20"/>
  <c r="S8" i="20" s="1"/>
  <c r="E9" i="20"/>
  <c r="R9" i="20" s="1"/>
  <c r="F9" i="20"/>
  <c r="S9" i="20" s="1"/>
  <c r="E10" i="20"/>
  <c r="R10" i="20" s="1"/>
  <c r="F10" i="20"/>
  <c r="S10" i="20" s="1"/>
  <c r="E11" i="20"/>
  <c r="R11" i="20" s="1"/>
  <c r="F11" i="20"/>
  <c r="S11" i="20" s="1"/>
  <c r="E12" i="20"/>
  <c r="F12" i="20"/>
  <c r="E13" i="20"/>
  <c r="R13" i="20" s="1"/>
  <c r="F13" i="20"/>
  <c r="S13" i="20" s="1"/>
  <c r="E14" i="20"/>
  <c r="R14" i="20" s="1"/>
  <c r="F14" i="20"/>
  <c r="E15" i="20"/>
  <c r="F15" i="20"/>
  <c r="S15" i="20" s="1"/>
  <c r="E16" i="20"/>
  <c r="R16" i="20" s="1"/>
  <c r="F16" i="20"/>
  <c r="E17" i="20"/>
  <c r="F17" i="20"/>
  <c r="S17" i="20" s="1"/>
  <c r="E18" i="20"/>
  <c r="R18" i="20" s="1"/>
  <c r="F18" i="20"/>
  <c r="S18" i="20" s="1"/>
  <c r="E19" i="20"/>
  <c r="R19" i="20" s="1"/>
  <c r="F19" i="20"/>
  <c r="S19" i="20" s="1"/>
  <c r="E20" i="20"/>
  <c r="R20" i="20" s="1"/>
  <c r="F20" i="20"/>
  <c r="S20" i="20" s="1"/>
  <c r="E21" i="20"/>
  <c r="R21" i="20" s="1"/>
  <c r="F21" i="20"/>
  <c r="S21" i="20" s="1"/>
  <c r="E22" i="20"/>
  <c r="F22" i="20"/>
  <c r="E23" i="20"/>
  <c r="R23" i="20" s="1"/>
  <c r="F23" i="20"/>
  <c r="S23" i="20" s="1"/>
  <c r="E24" i="20"/>
  <c r="R24" i="20" s="1"/>
  <c r="F24" i="20"/>
  <c r="E25" i="20"/>
  <c r="F25" i="20"/>
  <c r="S25" i="20" s="1"/>
  <c r="E26" i="20"/>
  <c r="R26" i="20" s="1"/>
  <c r="F26" i="20"/>
  <c r="E27" i="20"/>
  <c r="F27" i="20"/>
  <c r="S27" i="20" s="1"/>
  <c r="E28" i="20"/>
  <c r="R28" i="20" s="1"/>
  <c r="F28" i="20"/>
  <c r="S28" i="20" s="1"/>
  <c r="E29" i="20"/>
  <c r="R29" i="20" s="1"/>
  <c r="F29" i="20"/>
  <c r="S29" i="20" s="1"/>
  <c r="E30" i="20"/>
  <c r="R30" i="20" s="1"/>
  <c r="F30" i="20"/>
  <c r="S30" i="20" s="1"/>
  <c r="E31" i="20"/>
  <c r="R31" i="20" s="1"/>
  <c r="F31" i="20"/>
  <c r="S31" i="20" s="1"/>
  <c r="E32" i="20"/>
  <c r="F32" i="20"/>
  <c r="E33" i="20"/>
  <c r="R33" i="20" s="1"/>
  <c r="F33" i="20"/>
  <c r="S33" i="20" s="1"/>
  <c r="E34" i="20"/>
  <c r="R34" i="20" s="1"/>
  <c r="F34" i="20"/>
  <c r="E35" i="20"/>
  <c r="F35" i="20"/>
  <c r="S35" i="20" s="1"/>
  <c r="E36" i="20"/>
  <c r="R36" i="20" s="1"/>
  <c r="F36" i="20"/>
  <c r="E37" i="20"/>
  <c r="F37" i="20"/>
  <c r="S37" i="20" s="1"/>
  <c r="E38" i="20"/>
  <c r="R38" i="20" s="1"/>
  <c r="F38" i="20"/>
  <c r="S38" i="20" s="1"/>
  <c r="E39" i="20"/>
  <c r="R39" i="20" s="1"/>
  <c r="F39" i="20"/>
  <c r="S39" i="20" s="1"/>
  <c r="E40" i="20"/>
  <c r="R40" i="20" s="1"/>
  <c r="F40" i="20"/>
  <c r="S40" i="20" s="1"/>
  <c r="E41" i="20"/>
  <c r="R41" i="20" s="1"/>
  <c r="F41" i="20"/>
  <c r="S41" i="20" s="1"/>
  <c r="E42" i="20"/>
  <c r="F42" i="20"/>
  <c r="E43" i="20"/>
  <c r="R43" i="20" s="1"/>
  <c r="F43" i="20"/>
  <c r="S43" i="20" s="1"/>
  <c r="E44" i="20"/>
  <c r="R44" i="20" s="1"/>
  <c r="F44" i="20"/>
  <c r="E45" i="20"/>
  <c r="F45" i="20"/>
  <c r="S45" i="20" s="1"/>
  <c r="E46" i="20"/>
  <c r="R46" i="20" s="1"/>
  <c r="F46" i="20"/>
  <c r="E47" i="20"/>
  <c r="F47" i="20"/>
  <c r="S47" i="20" s="1"/>
  <c r="E48" i="20"/>
  <c r="R48" i="20" s="1"/>
  <c r="F48" i="20"/>
  <c r="S48" i="20" s="1"/>
  <c r="E49" i="20"/>
  <c r="R49" i="20" s="1"/>
  <c r="F49" i="20"/>
  <c r="S49" i="20" s="1"/>
  <c r="E50" i="20"/>
  <c r="R50" i="20" s="1"/>
  <c r="F50" i="20"/>
  <c r="S50" i="20" s="1"/>
  <c r="E51" i="20"/>
  <c r="R51" i="20" s="1"/>
  <c r="F51" i="20"/>
  <c r="S51" i="20" s="1"/>
  <c r="E52" i="20"/>
  <c r="F52" i="20"/>
  <c r="E53" i="20"/>
  <c r="R53" i="20" s="1"/>
  <c r="F53" i="20"/>
  <c r="S53" i="20" s="1"/>
  <c r="E54" i="20"/>
  <c r="R54" i="20" s="1"/>
  <c r="F54" i="20"/>
  <c r="E55" i="20"/>
  <c r="F55" i="20"/>
  <c r="S55" i="20" s="1"/>
  <c r="E56" i="20"/>
  <c r="R56" i="20" s="1"/>
  <c r="F56" i="20"/>
  <c r="E57" i="20"/>
  <c r="F57" i="20"/>
  <c r="S57" i="20" s="1"/>
  <c r="E58" i="20"/>
  <c r="R58" i="20" s="1"/>
  <c r="F58" i="20"/>
  <c r="S58" i="20" s="1"/>
  <c r="E59" i="20"/>
  <c r="R59" i="20" s="1"/>
  <c r="F59" i="20"/>
  <c r="S59" i="20" s="1"/>
  <c r="E60" i="20"/>
  <c r="R60" i="20" s="1"/>
  <c r="F60" i="20"/>
  <c r="S60" i="20" s="1"/>
  <c r="E61" i="20"/>
  <c r="R61" i="20" s="1"/>
  <c r="F61" i="20"/>
  <c r="S61" i="20" s="1"/>
  <c r="E62" i="20"/>
  <c r="F62" i="20"/>
  <c r="E63" i="20"/>
  <c r="R63" i="20" s="1"/>
  <c r="F63" i="20"/>
  <c r="S63" i="20" s="1"/>
  <c r="E64" i="20"/>
  <c r="R64" i="20" s="1"/>
  <c r="F64" i="20"/>
  <c r="E65" i="20"/>
  <c r="F65" i="20"/>
  <c r="S65" i="20" s="1"/>
  <c r="E66" i="20"/>
  <c r="R66" i="20" s="1"/>
  <c r="F66" i="20"/>
  <c r="E67" i="20"/>
  <c r="F67" i="20"/>
  <c r="S67" i="20" s="1"/>
  <c r="E68" i="20"/>
  <c r="R68" i="20" s="1"/>
  <c r="F68" i="20"/>
  <c r="S68" i="20" s="1"/>
  <c r="E69" i="20"/>
  <c r="R69" i="20" s="1"/>
  <c r="F69" i="20"/>
  <c r="S69" i="20" s="1"/>
  <c r="E70" i="20"/>
  <c r="R70" i="20" s="1"/>
  <c r="F70" i="20"/>
  <c r="S70" i="20" s="1"/>
  <c r="E71" i="20"/>
  <c r="R71" i="20" s="1"/>
  <c r="F71" i="20"/>
  <c r="S71" i="20" s="1"/>
  <c r="E72" i="20"/>
  <c r="F72" i="20"/>
  <c r="E73" i="20"/>
  <c r="R73" i="20" s="1"/>
  <c r="F73" i="20"/>
  <c r="S73" i="20" s="1"/>
  <c r="E74" i="20"/>
  <c r="R74" i="20" s="1"/>
  <c r="F74" i="20"/>
  <c r="E75" i="20"/>
  <c r="F75" i="20"/>
  <c r="S75" i="20" s="1"/>
  <c r="E76" i="20"/>
  <c r="R76" i="20" s="1"/>
  <c r="F76" i="20"/>
  <c r="E77" i="20"/>
  <c r="F77" i="20"/>
  <c r="S77" i="20" s="1"/>
  <c r="E78" i="20"/>
  <c r="R78" i="20" s="1"/>
  <c r="F78" i="20"/>
  <c r="S78" i="20" s="1"/>
  <c r="E79" i="20"/>
  <c r="R79" i="20" s="1"/>
  <c r="F79" i="20"/>
  <c r="S79" i="20" s="1"/>
  <c r="E80" i="20"/>
  <c r="R80" i="20" s="1"/>
  <c r="F80" i="20"/>
  <c r="S80" i="20" s="1"/>
  <c r="E81" i="20"/>
  <c r="R81" i="20" s="1"/>
  <c r="F81" i="20"/>
  <c r="S81" i="20" s="1"/>
  <c r="E82" i="20"/>
  <c r="F82" i="20"/>
  <c r="E83" i="20"/>
  <c r="R83" i="20" s="1"/>
  <c r="F83" i="20"/>
  <c r="S83" i="20" s="1"/>
  <c r="E84" i="20"/>
  <c r="R84" i="20" s="1"/>
  <c r="F84" i="20"/>
  <c r="E85" i="20"/>
  <c r="F85" i="20"/>
  <c r="S85" i="20" s="1"/>
  <c r="E86" i="20"/>
  <c r="R86" i="20" s="1"/>
  <c r="F86" i="20"/>
  <c r="E87" i="20"/>
  <c r="F87" i="20"/>
  <c r="S87" i="20" s="1"/>
  <c r="E88" i="20"/>
  <c r="R88" i="20" s="1"/>
  <c r="F88" i="20"/>
  <c r="S88" i="20" s="1"/>
  <c r="E89" i="20"/>
  <c r="R89" i="20" s="1"/>
  <c r="F89" i="20"/>
  <c r="S89" i="20" s="1"/>
  <c r="E90" i="20"/>
  <c r="R90" i="20" s="1"/>
  <c r="F90" i="20"/>
  <c r="S90" i="20" s="1"/>
  <c r="E91" i="20"/>
  <c r="R91" i="20" s="1"/>
  <c r="F91" i="20"/>
  <c r="S91" i="20" s="1"/>
  <c r="E92" i="20"/>
  <c r="F92" i="20"/>
  <c r="E93" i="20"/>
  <c r="R93" i="20" s="1"/>
  <c r="F93" i="20"/>
  <c r="S93" i="20" s="1"/>
  <c r="E94" i="20"/>
  <c r="R94" i="20" s="1"/>
  <c r="F94" i="20"/>
  <c r="E96" i="20"/>
  <c r="F96" i="20"/>
  <c r="S96" i="20" s="1"/>
  <c r="E98" i="20"/>
  <c r="R98" i="20" s="1"/>
  <c r="F98" i="20"/>
  <c r="E100" i="20"/>
  <c r="F100" i="20"/>
  <c r="S100" i="20" s="1"/>
  <c r="E102" i="20"/>
  <c r="R102" i="20" s="1"/>
  <c r="F102" i="20"/>
  <c r="S102" i="20" s="1"/>
  <c r="E104" i="20"/>
  <c r="R104" i="20" s="1"/>
  <c r="F104" i="20"/>
  <c r="S104" i="20" s="1"/>
  <c r="E106" i="20"/>
  <c r="R106" i="20" s="1"/>
  <c r="F106" i="20"/>
  <c r="S106" i="20" s="1"/>
  <c r="E108" i="20"/>
  <c r="R108" i="20" s="1"/>
  <c r="F108" i="20"/>
  <c r="S108" i="20" s="1"/>
  <c r="E110" i="20"/>
  <c r="F110" i="20"/>
  <c r="E112" i="20"/>
  <c r="R112" i="20" s="1"/>
  <c r="F112" i="20"/>
  <c r="S112" i="20" s="1"/>
  <c r="E114" i="20"/>
  <c r="R114" i="20" s="1"/>
  <c r="F114" i="20"/>
  <c r="E116" i="20"/>
  <c r="F116" i="20"/>
  <c r="S116" i="20" s="1"/>
  <c r="E118" i="20"/>
  <c r="R118" i="20" s="1"/>
  <c r="F118" i="20"/>
  <c r="E120" i="20"/>
  <c r="F120" i="20"/>
  <c r="S120" i="20" s="1"/>
  <c r="E122" i="20"/>
  <c r="R122" i="20" s="1"/>
  <c r="F122" i="20"/>
  <c r="S122" i="20" s="1"/>
  <c r="E124" i="20"/>
  <c r="R124" i="20" s="1"/>
  <c r="F124" i="20"/>
  <c r="S124" i="20" s="1"/>
  <c r="E126" i="20"/>
  <c r="R126" i="20" s="1"/>
  <c r="F126" i="20"/>
  <c r="S126" i="20" s="1"/>
  <c r="E170" i="20"/>
  <c r="R170" i="20" s="1"/>
  <c r="F170" i="20"/>
  <c r="S170" i="20" s="1"/>
  <c r="E172" i="20"/>
  <c r="F172" i="20"/>
  <c r="E174" i="20"/>
  <c r="R174" i="20" s="1"/>
  <c r="F174" i="20"/>
  <c r="S174" i="20" s="1"/>
  <c r="E176" i="20"/>
  <c r="R176" i="20" s="1"/>
  <c r="F176" i="20"/>
  <c r="E178" i="20"/>
  <c r="F178" i="20"/>
  <c r="S178" i="20" s="1"/>
  <c r="E180" i="20"/>
  <c r="R180" i="20" s="1"/>
  <c r="F180" i="20"/>
  <c r="E182" i="20"/>
  <c r="F182" i="20"/>
  <c r="S182" i="20" s="1"/>
  <c r="E184" i="20"/>
  <c r="R184" i="20" s="1"/>
  <c r="F184" i="20"/>
  <c r="S184" i="20" s="1"/>
  <c r="E186" i="20"/>
  <c r="R186" i="20" s="1"/>
  <c r="F186" i="20"/>
  <c r="S186" i="20" s="1"/>
  <c r="E188" i="20"/>
  <c r="R188" i="20" s="1"/>
  <c r="F188" i="20"/>
  <c r="S188" i="20" s="1"/>
  <c r="E190" i="20"/>
  <c r="R190" i="20" s="1"/>
  <c r="F190" i="20"/>
  <c r="S190" i="20" s="1"/>
  <c r="E192" i="20"/>
  <c r="F192" i="20"/>
  <c r="E194" i="20"/>
  <c r="R194" i="20" s="1"/>
  <c r="F194" i="20"/>
  <c r="S194" i="20" s="1"/>
  <c r="E196" i="20"/>
  <c r="R196" i="20" s="1"/>
  <c r="F196" i="20"/>
  <c r="E198" i="20"/>
  <c r="F198" i="20"/>
  <c r="S198" i="20" s="1"/>
  <c r="E200" i="20"/>
  <c r="R200" i="20" s="1"/>
  <c r="F200" i="20"/>
  <c r="E202" i="20"/>
  <c r="F202" i="20"/>
  <c r="S202" i="20" s="1"/>
  <c r="E204" i="20"/>
  <c r="R204" i="20" s="1"/>
  <c r="F204" i="20"/>
  <c r="S204" i="20" s="1"/>
  <c r="E205" i="20"/>
  <c r="R205" i="20" s="1"/>
  <c r="F205" i="20"/>
  <c r="S205" i="20" s="1"/>
  <c r="E206" i="20"/>
  <c r="R206" i="20" s="1"/>
  <c r="F206" i="20"/>
  <c r="S206" i="20" s="1"/>
  <c r="E207" i="20"/>
  <c r="R207" i="20" s="1"/>
  <c r="F207" i="20"/>
  <c r="S207" i="20" s="1"/>
  <c r="E208" i="20"/>
  <c r="F208" i="20"/>
  <c r="E209" i="20"/>
  <c r="R209" i="20" s="1"/>
  <c r="F209" i="20"/>
  <c r="S209" i="20" s="1"/>
  <c r="E210" i="20"/>
  <c r="R210" i="20" s="1"/>
  <c r="F210" i="20"/>
  <c r="E211" i="20"/>
  <c r="F211" i="20"/>
  <c r="S211" i="20" s="1"/>
  <c r="E212" i="20"/>
  <c r="R212" i="20" s="1"/>
  <c r="F212" i="20"/>
  <c r="E213" i="20"/>
  <c r="F213" i="20"/>
  <c r="S213" i="20" s="1"/>
  <c r="E214" i="20"/>
  <c r="R214" i="20" s="1"/>
  <c r="F214" i="20"/>
  <c r="S214" i="20" s="1"/>
  <c r="E215" i="20"/>
  <c r="R215" i="20" s="1"/>
  <c r="F215" i="20"/>
  <c r="S215" i="20" s="1"/>
  <c r="E216" i="20"/>
  <c r="R216" i="20" s="1"/>
  <c r="F216" i="20"/>
  <c r="S216" i="20" s="1"/>
  <c r="E217" i="20"/>
  <c r="R217" i="20" s="1"/>
  <c r="F217" i="20"/>
  <c r="S217" i="20" s="1"/>
  <c r="E218" i="20"/>
  <c r="F218" i="20"/>
  <c r="E219" i="20"/>
  <c r="R219" i="20" s="1"/>
  <c r="F219" i="20"/>
  <c r="S219" i="20" s="1"/>
  <c r="E220" i="20"/>
  <c r="R220" i="20" s="1"/>
  <c r="F220" i="20"/>
  <c r="E221" i="20"/>
  <c r="F221" i="20"/>
  <c r="S221" i="20" s="1"/>
  <c r="E222" i="20"/>
  <c r="R222" i="20" s="1"/>
  <c r="F222" i="20"/>
  <c r="E223" i="20"/>
  <c r="F223" i="20"/>
  <c r="S223" i="20" s="1"/>
  <c r="E224" i="20"/>
  <c r="R224" i="20" s="1"/>
  <c r="F224" i="20"/>
  <c r="S224" i="20" s="1"/>
  <c r="E225" i="20"/>
  <c r="R225" i="20" s="1"/>
  <c r="F225" i="20"/>
  <c r="S225" i="20" s="1"/>
  <c r="E226" i="20"/>
  <c r="R226" i="20" s="1"/>
  <c r="F226" i="20"/>
  <c r="S226" i="20" s="1"/>
  <c r="E227" i="20"/>
  <c r="R227" i="20" s="1"/>
  <c r="F227" i="20"/>
  <c r="S227" i="20" s="1"/>
  <c r="E228" i="20"/>
  <c r="F228" i="20"/>
  <c r="E229" i="20"/>
  <c r="R229" i="20" s="1"/>
  <c r="F229" i="20"/>
  <c r="S229" i="20" s="1"/>
  <c r="E230" i="20"/>
  <c r="R230" i="20" s="1"/>
  <c r="F230" i="20"/>
  <c r="E231" i="20"/>
  <c r="F231" i="20"/>
  <c r="S231" i="20" s="1"/>
  <c r="E232" i="20"/>
  <c r="R232" i="20" s="1"/>
  <c r="F232" i="20"/>
  <c r="E233" i="20"/>
  <c r="F233" i="20"/>
  <c r="S233" i="20" s="1"/>
  <c r="E234" i="20"/>
  <c r="R234" i="20" s="1"/>
  <c r="F234" i="20"/>
  <c r="S234" i="20" s="1"/>
  <c r="E235" i="20"/>
  <c r="R235" i="20" s="1"/>
  <c r="F235" i="20"/>
  <c r="S235" i="20" s="1"/>
  <c r="E236" i="20"/>
  <c r="R236" i="20" s="1"/>
  <c r="F236" i="20"/>
  <c r="S236" i="20" s="1"/>
  <c r="E237" i="20"/>
  <c r="R237" i="20" s="1"/>
  <c r="F237" i="20"/>
  <c r="S237" i="20" s="1"/>
  <c r="E238" i="20"/>
  <c r="F238" i="20"/>
  <c r="E239" i="20"/>
  <c r="R239" i="20" s="1"/>
  <c r="F239" i="20"/>
  <c r="S239" i="20" s="1"/>
  <c r="E240" i="20"/>
  <c r="R240" i="20" s="1"/>
  <c r="F240" i="20"/>
  <c r="E241" i="20"/>
  <c r="F241" i="20"/>
  <c r="S241" i="20" s="1"/>
  <c r="E242" i="20"/>
  <c r="R242" i="20" s="1"/>
  <c r="F242" i="20"/>
  <c r="E243" i="20"/>
  <c r="F243" i="20"/>
  <c r="S243" i="20" s="1"/>
  <c r="E244" i="20"/>
  <c r="R244" i="20" s="1"/>
  <c r="F244" i="20"/>
  <c r="S244" i="20" s="1"/>
  <c r="E245" i="20"/>
  <c r="R245" i="20" s="1"/>
  <c r="F245" i="20"/>
  <c r="S245" i="20" s="1"/>
  <c r="E246" i="20"/>
  <c r="R246" i="20" s="1"/>
  <c r="F246" i="20"/>
  <c r="S246" i="20" s="1"/>
  <c r="E247" i="20"/>
  <c r="R247" i="20" s="1"/>
  <c r="F247" i="20"/>
  <c r="S247" i="20" s="1"/>
  <c r="E248" i="20"/>
  <c r="F248" i="20"/>
  <c r="E249" i="20"/>
  <c r="R249" i="20" s="1"/>
  <c r="F249" i="20"/>
  <c r="S249" i="20" s="1"/>
  <c r="E250" i="20"/>
  <c r="R250" i="20" s="1"/>
  <c r="F250" i="20"/>
  <c r="E251" i="20"/>
  <c r="F251" i="20"/>
  <c r="S251" i="20" s="1"/>
  <c r="E252" i="20"/>
  <c r="R252" i="20" s="1"/>
  <c r="F252" i="20"/>
  <c r="E253" i="20"/>
  <c r="F253" i="20"/>
  <c r="S253" i="20" s="1"/>
  <c r="E254" i="20"/>
  <c r="R254" i="20" s="1"/>
  <c r="F254" i="20"/>
  <c r="S254" i="20" s="1"/>
  <c r="E255" i="20"/>
  <c r="R255" i="20" s="1"/>
  <c r="F255" i="20"/>
  <c r="S255" i="20" s="1"/>
  <c r="E256" i="20"/>
  <c r="R256" i="20" s="1"/>
  <c r="F256" i="20"/>
  <c r="S256" i="20" s="1"/>
  <c r="E257" i="20"/>
  <c r="R257" i="20" s="1"/>
  <c r="F257" i="20"/>
  <c r="S257" i="20" s="1"/>
  <c r="E258" i="20"/>
  <c r="F258" i="20"/>
  <c r="E259" i="20"/>
  <c r="R259" i="20" s="1"/>
  <c r="F259" i="20"/>
  <c r="S259" i="20" s="1"/>
  <c r="E260" i="20"/>
  <c r="R260" i="20" s="1"/>
  <c r="F260" i="20"/>
  <c r="E261" i="20"/>
  <c r="F261" i="20"/>
  <c r="S261" i="20" s="1"/>
  <c r="E262" i="20"/>
  <c r="R262" i="20" s="1"/>
  <c r="F262" i="20"/>
  <c r="E263" i="20"/>
  <c r="F263" i="20"/>
  <c r="S263" i="20" s="1"/>
  <c r="E264" i="20"/>
  <c r="R264" i="20" s="1"/>
  <c r="F264" i="20"/>
  <c r="S264" i="20" s="1"/>
  <c r="E265" i="20"/>
  <c r="R265" i="20" s="1"/>
  <c r="F265" i="20"/>
  <c r="S265" i="20" s="1"/>
  <c r="E266" i="20"/>
  <c r="R266" i="20" s="1"/>
  <c r="F266" i="20"/>
  <c r="S266" i="20" s="1"/>
  <c r="E267" i="20"/>
  <c r="R267" i="20" s="1"/>
  <c r="F267" i="20"/>
  <c r="S267" i="20" s="1"/>
  <c r="E268" i="20"/>
  <c r="F268" i="20"/>
  <c r="E269" i="20"/>
  <c r="R269" i="20" s="1"/>
  <c r="F269" i="20"/>
  <c r="S269" i="20" s="1"/>
  <c r="E270" i="20"/>
  <c r="R270" i="20" s="1"/>
  <c r="F270" i="20"/>
  <c r="E271" i="20"/>
  <c r="F271" i="20"/>
  <c r="S271" i="20" s="1"/>
  <c r="E272" i="20"/>
  <c r="R272" i="20" s="1"/>
  <c r="F272" i="20"/>
  <c r="E273" i="20"/>
  <c r="F273" i="20"/>
  <c r="S273" i="20" s="1"/>
  <c r="E274" i="20"/>
  <c r="R274" i="20" s="1"/>
  <c r="F274" i="20"/>
  <c r="S274" i="20" s="1"/>
  <c r="E275" i="20"/>
  <c r="R275" i="20" s="1"/>
  <c r="F275" i="20"/>
  <c r="S275" i="20" s="1"/>
  <c r="E276" i="20"/>
  <c r="R276" i="20" s="1"/>
  <c r="F276" i="20"/>
  <c r="S276" i="20" s="1"/>
  <c r="E277" i="20"/>
  <c r="R277" i="20" s="1"/>
  <c r="F277" i="20"/>
  <c r="S277" i="20" s="1"/>
  <c r="E278" i="20"/>
  <c r="F278" i="20"/>
  <c r="E279" i="20"/>
  <c r="R279" i="20" s="1"/>
  <c r="F279" i="20"/>
  <c r="S279" i="20" s="1"/>
  <c r="E280" i="20"/>
  <c r="R280" i="20" s="1"/>
  <c r="F280" i="20"/>
  <c r="E281" i="20"/>
  <c r="F281" i="20"/>
  <c r="S281" i="20" s="1"/>
  <c r="E282" i="20"/>
  <c r="R282" i="20" s="1"/>
  <c r="F282" i="20"/>
  <c r="E283" i="20"/>
  <c r="F283" i="20"/>
  <c r="S283" i="20" s="1"/>
  <c r="E284" i="20"/>
  <c r="R284" i="20" s="1"/>
  <c r="F284" i="20"/>
  <c r="S284" i="20" s="1"/>
  <c r="E285" i="20"/>
  <c r="R285" i="20" s="1"/>
  <c r="F285" i="20"/>
  <c r="S285" i="20" s="1"/>
  <c r="E286" i="20"/>
  <c r="R286" i="20" s="1"/>
  <c r="F286" i="20"/>
  <c r="S286" i="20" s="1"/>
  <c r="E287" i="20"/>
  <c r="R287" i="20" s="1"/>
  <c r="F287" i="20"/>
  <c r="S287" i="20" s="1"/>
  <c r="E288" i="20"/>
  <c r="F288" i="20"/>
  <c r="E289" i="20"/>
  <c r="R289" i="20" s="1"/>
  <c r="F289" i="20"/>
  <c r="S289" i="20" s="1"/>
  <c r="E290" i="20"/>
  <c r="R290" i="20" s="1"/>
  <c r="F290" i="20"/>
  <c r="E291" i="20"/>
  <c r="F291" i="20"/>
  <c r="S291" i="20" s="1"/>
  <c r="E292" i="20"/>
  <c r="R292" i="20" s="1"/>
  <c r="F292" i="20"/>
  <c r="E293" i="20"/>
  <c r="F293" i="20"/>
  <c r="S293" i="20" s="1"/>
  <c r="B4" i="20"/>
  <c r="C4" i="20"/>
  <c r="B5" i="20"/>
  <c r="C5" i="20"/>
  <c r="B6" i="20"/>
  <c r="C6" i="20"/>
  <c r="B7" i="20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B17" i="20"/>
  <c r="C17" i="20"/>
  <c r="B18" i="20"/>
  <c r="C18" i="20"/>
  <c r="B19" i="20"/>
  <c r="C19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B29" i="20"/>
  <c r="C29" i="20"/>
  <c r="B30" i="20"/>
  <c r="C30" i="20"/>
  <c r="B31" i="20"/>
  <c r="C31" i="20"/>
  <c r="B32" i="20"/>
  <c r="C32" i="20"/>
  <c r="B33" i="20"/>
  <c r="C33" i="20"/>
  <c r="B34" i="20"/>
  <c r="C34" i="20"/>
  <c r="B35" i="20"/>
  <c r="C35" i="20"/>
  <c r="B36" i="20"/>
  <c r="C36" i="20"/>
  <c r="B37" i="20"/>
  <c r="C37" i="20"/>
  <c r="B38" i="20"/>
  <c r="C38" i="20"/>
  <c r="B39" i="20"/>
  <c r="C39" i="20"/>
  <c r="B40" i="20"/>
  <c r="C40" i="20"/>
  <c r="B41" i="20"/>
  <c r="C41" i="20"/>
  <c r="B42" i="20"/>
  <c r="C42" i="20"/>
  <c r="B43" i="20"/>
  <c r="C43" i="20"/>
  <c r="B44" i="20"/>
  <c r="C44" i="20"/>
  <c r="B45" i="20"/>
  <c r="C45" i="20"/>
  <c r="B46" i="20"/>
  <c r="C46" i="20"/>
  <c r="B47" i="20"/>
  <c r="C47" i="20"/>
  <c r="B48" i="20"/>
  <c r="C48" i="20"/>
  <c r="B49" i="20"/>
  <c r="C49" i="20"/>
  <c r="B50" i="20"/>
  <c r="C50" i="20"/>
  <c r="B51" i="20"/>
  <c r="C51" i="20"/>
  <c r="B52" i="20"/>
  <c r="C52" i="20"/>
  <c r="B53" i="20"/>
  <c r="C53" i="20"/>
  <c r="B54" i="20"/>
  <c r="C54" i="20"/>
  <c r="B55" i="20"/>
  <c r="C55" i="20"/>
  <c r="B56" i="20"/>
  <c r="C56" i="20"/>
  <c r="B57" i="20"/>
  <c r="C57" i="20"/>
  <c r="B58" i="20"/>
  <c r="C58" i="20"/>
  <c r="B59" i="20"/>
  <c r="C59" i="20"/>
  <c r="B60" i="20"/>
  <c r="C60" i="20"/>
  <c r="B61" i="20"/>
  <c r="C61" i="20"/>
  <c r="B62" i="20"/>
  <c r="C62" i="20"/>
  <c r="B63" i="20"/>
  <c r="C63" i="20"/>
  <c r="B64" i="20"/>
  <c r="C64" i="20"/>
  <c r="B65" i="20"/>
  <c r="C65" i="20"/>
  <c r="B66" i="20"/>
  <c r="C66" i="20"/>
  <c r="B67" i="20"/>
  <c r="C67" i="20"/>
  <c r="B68" i="20"/>
  <c r="C68" i="20"/>
  <c r="B69" i="20"/>
  <c r="C69" i="20"/>
  <c r="B70" i="20"/>
  <c r="C70" i="20"/>
  <c r="B71" i="20"/>
  <c r="C71" i="20"/>
  <c r="B72" i="20"/>
  <c r="C72" i="20"/>
  <c r="B73" i="20"/>
  <c r="C73" i="20"/>
  <c r="B74" i="20"/>
  <c r="C74" i="20"/>
  <c r="B75" i="20"/>
  <c r="C75" i="20"/>
  <c r="B76" i="20"/>
  <c r="C76" i="20"/>
  <c r="B77" i="20"/>
  <c r="C77" i="20"/>
  <c r="B78" i="20"/>
  <c r="C78" i="20"/>
  <c r="B79" i="20"/>
  <c r="C79" i="20"/>
  <c r="B80" i="20"/>
  <c r="C80" i="20"/>
  <c r="B81" i="20"/>
  <c r="C81" i="20"/>
  <c r="B82" i="20"/>
  <c r="C82" i="20"/>
  <c r="B83" i="20"/>
  <c r="C83" i="20"/>
  <c r="B84" i="20"/>
  <c r="C84" i="20"/>
  <c r="B85" i="20"/>
  <c r="C85" i="20"/>
  <c r="B86" i="20"/>
  <c r="C86" i="20"/>
  <c r="B87" i="20"/>
  <c r="C87" i="20"/>
  <c r="B88" i="20"/>
  <c r="C88" i="20"/>
  <c r="B89" i="20"/>
  <c r="C89" i="20"/>
  <c r="B90" i="20"/>
  <c r="C90" i="20"/>
  <c r="B91" i="20"/>
  <c r="C91" i="20"/>
  <c r="B92" i="20"/>
  <c r="C92" i="20"/>
  <c r="B93" i="20"/>
  <c r="C93" i="20"/>
  <c r="B94" i="20"/>
  <c r="C94" i="20"/>
  <c r="B96" i="20"/>
  <c r="C96" i="20"/>
  <c r="B98" i="20"/>
  <c r="C98" i="20"/>
  <c r="B100" i="20"/>
  <c r="C100" i="20"/>
  <c r="B102" i="20"/>
  <c r="C102" i="20"/>
  <c r="B104" i="20"/>
  <c r="C104" i="20"/>
  <c r="B106" i="20"/>
  <c r="C106" i="20"/>
  <c r="B108" i="20"/>
  <c r="C108" i="20"/>
  <c r="B110" i="20"/>
  <c r="C110" i="20"/>
  <c r="B112" i="20"/>
  <c r="C112" i="20"/>
  <c r="B114" i="20"/>
  <c r="C114" i="20"/>
  <c r="B116" i="20"/>
  <c r="C116" i="20"/>
  <c r="B118" i="20"/>
  <c r="C118" i="20"/>
  <c r="B120" i="20"/>
  <c r="C120" i="20"/>
  <c r="B122" i="20"/>
  <c r="C122" i="20"/>
  <c r="B124" i="20"/>
  <c r="C124" i="20"/>
  <c r="B126" i="20"/>
  <c r="C126" i="20"/>
  <c r="B170" i="20"/>
  <c r="C170" i="20"/>
  <c r="B172" i="20"/>
  <c r="C172" i="20"/>
  <c r="B174" i="20"/>
  <c r="C174" i="20"/>
  <c r="B176" i="20"/>
  <c r="C176" i="20"/>
  <c r="B178" i="20"/>
  <c r="C178" i="20"/>
  <c r="B180" i="20"/>
  <c r="C180" i="20"/>
  <c r="B182" i="20"/>
  <c r="C182" i="20"/>
  <c r="B184" i="20"/>
  <c r="C184" i="20"/>
  <c r="B186" i="20"/>
  <c r="C186" i="20"/>
  <c r="B188" i="20"/>
  <c r="C188" i="20"/>
  <c r="B190" i="20"/>
  <c r="C190" i="20"/>
  <c r="B192" i="20"/>
  <c r="C192" i="20"/>
  <c r="B194" i="20"/>
  <c r="C194" i="20"/>
  <c r="B196" i="20"/>
  <c r="C196" i="20"/>
  <c r="B198" i="20"/>
  <c r="C198" i="20"/>
  <c r="B200" i="20"/>
  <c r="C200" i="20"/>
  <c r="B202" i="20"/>
  <c r="C202" i="20"/>
  <c r="B204" i="20"/>
  <c r="C204" i="20"/>
  <c r="B205" i="20"/>
  <c r="C205" i="20"/>
  <c r="B206" i="20"/>
  <c r="C206" i="20"/>
  <c r="B207" i="20"/>
  <c r="C207" i="20"/>
  <c r="B208" i="20"/>
  <c r="C208" i="20"/>
  <c r="B209" i="20"/>
  <c r="C209" i="20"/>
  <c r="B210" i="20"/>
  <c r="C210" i="20"/>
  <c r="B211" i="20"/>
  <c r="C211" i="20"/>
  <c r="B212" i="20"/>
  <c r="C212" i="20"/>
  <c r="B213" i="20"/>
  <c r="C213" i="20"/>
  <c r="B214" i="20"/>
  <c r="C214" i="20"/>
  <c r="B215" i="20"/>
  <c r="C215" i="20"/>
  <c r="B216" i="20"/>
  <c r="C216" i="20"/>
  <c r="B217" i="20"/>
  <c r="C217" i="20"/>
  <c r="B218" i="20"/>
  <c r="C218" i="20"/>
  <c r="B219" i="20"/>
  <c r="C219" i="20"/>
  <c r="B220" i="20"/>
  <c r="C220" i="20"/>
  <c r="B221" i="20"/>
  <c r="C221" i="20"/>
  <c r="B222" i="20"/>
  <c r="C222" i="20"/>
  <c r="B223" i="20"/>
  <c r="C223" i="20"/>
  <c r="B224" i="20"/>
  <c r="C224" i="20"/>
  <c r="B225" i="20"/>
  <c r="C225" i="20"/>
  <c r="B226" i="20"/>
  <c r="C226" i="20"/>
  <c r="B227" i="20"/>
  <c r="C227" i="20"/>
  <c r="B228" i="20"/>
  <c r="C228" i="20"/>
  <c r="B229" i="20"/>
  <c r="C229" i="20"/>
  <c r="B230" i="20"/>
  <c r="C230" i="20"/>
  <c r="B231" i="20"/>
  <c r="C231" i="20"/>
  <c r="B232" i="20"/>
  <c r="C232" i="20"/>
  <c r="B233" i="20"/>
  <c r="C233" i="20"/>
  <c r="B234" i="20"/>
  <c r="C234" i="20"/>
  <c r="B235" i="20"/>
  <c r="C235" i="20"/>
  <c r="B236" i="20"/>
  <c r="C236" i="20"/>
  <c r="B237" i="20"/>
  <c r="C237" i="20"/>
  <c r="B238" i="20"/>
  <c r="C238" i="20"/>
  <c r="B239" i="20"/>
  <c r="C239" i="20"/>
  <c r="B240" i="20"/>
  <c r="C240" i="20"/>
  <c r="B241" i="20"/>
  <c r="C241" i="20"/>
  <c r="B242" i="20"/>
  <c r="C242" i="20"/>
  <c r="B243" i="20"/>
  <c r="C243" i="20"/>
  <c r="B244" i="20"/>
  <c r="C244" i="20"/>
  <c r="B245" i="20"/>
  <c r="C245" i="20"/>
  <c r="B246" i="20"/>
  <c r="C246" i="20"/>
  <c r="B247" i="20"/>
  <c r="C247" i="20"/>
  <c r="B248" i="20"/>
  <c r="C248" i="20"/>
  <c r="B249" i="20"/>
  <c r="C249" i="20"/>
  <c r="B250" i="20"/>
  <c r="C250" i="20"/>
  <c r="B251" i="20"/>
  <c r="C251" i="20"/>
  <c r="B252" i="20"/>
  <c r="C252" i="20"/>
  <c r="B253" i="20"/>
  <c r="C253" i="20"/>
  <c r="B254" i="20"/>
  <c r="C254" i="20"/>
  <c r="B255" i="20"/>
  <c r="C255" i="20"/>
  <c r="B256" i="20"/>
  <c r="C256" i="20"/>
  <c r="B257" i="20"/>
  <c r="C257" i="20"/>
  <c r="B258" i="20"/>
  <c r="C258" i="20"/>
  <c r="B259" i="20"/>
  <c r="C259" i="20"/>
  <c r="B260" i="20"/>
  <c r="C260" i="20"/>
  <c r="B261" i="20"/>
  <c r="C261" i="20"/>
  <c r="B262" i="20"/>
  <c r="C262" i="20"/>
  <c r="B263" i="20"/>
  <c r="C263" i="20"/>
  <c r="B264" i="20"/>
  <c r="C264" i="20"/>
  <c r="B265" i="20"/>
  <c r="C265" i="20"/>
  <c r="B266" i="20"/>
  <c r="C266" i="20"/>
  <c r="B267" i="20"/>
  <c r="C267" i="20"/>
  <c r="B268" i="20"/>
  <c r="C268" i="20"/>
  <c r="B269" i="20"/>
  <c r="C269" i="20"/>
  <c r="B270" i="20"/>
  <c r="C270" i="20"/>
  <c r="B271" i="20"/>
  <c r="C271" i="20"/>
  <c r="B272" i="20"/>
  <c r="C272" i="20"/>
  <c r="B273" i="20"/>
  <c r="C273" i="20"/>
  <c r="B274" i="20"/>
  <c r="C274" i="20"/>
  <c r="B275" i="20"/>
  <c r="C275" i="20"/>
  <c r="B276" i="20"/>
  <c r="C276" i="20"/>
  <c r="B277" i="20"/>
  <c r="C277" i="20"/>
  <c r="B278" i="20"/>
  <c r="C278" i="20"/>
  <c r="B279" i="20"/>
  <c r="C279" i="20"/>
  <c r="B280" i="20"/>
  <c r="C280" i="20"/>
  <c r="B281" i="20"/>
  <c r="C281" i="20"/>
  <c r="B282" i="20"/>
  <c r="C282" i="20"/>
  <c r="B283" i="20"/>
  <c r="C283" i="20"/>
  <c r="B284" i="20"/>
  <c r="C284" i="20"/>
  <c r="B285" i="20"/>
  <c r="C285" i="20"/>
  <c r="B286" i="20"/>
  <c r="C286" i="20"/>
  <c r="B287" i="20"/>
  <c r="C287" i="20"/>
  <c r="B288" i="20"/>
  <c r="C288" i="20"/>
  <c r="B289" i="20"/>
  <c r="C289" i="20"/>
  <c r="B290" i="20"/>
  <c r="C290" i="20"/>
  <c r="B291" i="20"/>
  <c r="C291" i="20"/>
  <c r="B292" i="20"/>
  <c r="C292" i="20"/>
  <c r="B293" i="20"/>
  <c r="C293" i="20"/>
  <c r="L3" i="20"/>
  <c r="K3" i="20"/>
  <c r="I3" i="20"/>
  <c r="H3" i="20"/>
  <c r="F3" i="20"/>
  <c r="S3" i="20" s="1"/>
  <c r="E3" i="20"/>
  <c r="C3" i="20"/>
  <c r="B3" i="20"/>
  <c r="DP20" i="22"/>
  <c r="DQ20" i="22" s="1"/>
  <c r="DR20" i="22" s="1"/>
  <c r="DP19" i="22"/>
  <c r="DQ19" i="22" s="1"/>
  <c r="DR19" i="22" s="1"/>
  <c r="DP18" i="22"/>
  <c r="DQ18" i="22" s="1"/>
  <c r="DR18" i="22" s="1"/>
  <c r="DP17" i="22"/>
  <c r="DQ17" i="22" s="1"/>
  <c r="DR17" i="22" s="1"/>
  <c r="DP16" i="22"/>
  <c r="DQ16" i="22" s="1"/>
  <c r="DR16" i="22" s="1"/>
  <c r="DP15" i="22"/>
  <c r="DQ15" i="22" s="1"/>
  <c r="DR15" i="22" s="1"/>
  <c r="DP14" i="22"/>
  <c r="DQ14" i="22" s="1"/>
  <c r="DR14" i="22" s="1"/>
  <c r="DP13" i="22"/>
  <c r="DQ13" i="22" s="1"/>
  <c r="DR13" i="22" s="1"/>
  <c r="DP12" i="22"/>
  <c r="DQ12" i="22" s="1"/>
  <c r="DR12" i="22" s="1"/>
  <c r="B12" i="22"/>
  <c r="DP11" i="22"/>
  <c r="DQ11" i="22" s="1"/>
  <c r="DR11" i="22" s="1"/>
  <c r="B11" i="22"/>
  <c r="DP10" i="22"/>
  <c r="DQ10" i="22" s="1"/>
  <c r="DR10" i="22" s="1"/>
  <c r="B10" i="22"/>
  <c r="DP9" i="22"/>
  <c r="DQ9" i="22" s="1"/>
  <c r="DR9" i="22" s="1"/>
  <c r="B9" i="22"/>
  <c r="DP8" i="22"/>
  <c r="DQ8" i="22" s="1"/>
  <c r="DR8" i="22" s="1"/>
  <c r="B8" i="22"/>
  <c r="DP7" i="22"/>
  <c r="DQ7" i="22" s="1"/>
  <c r="DR7" i="22" s="1"/>
  <c r="B7" i="22"/>
  <c r="DP6" i="22"/>
  <c r="DQ6" i="22" s="1"/>
  <c r="DR6" i="22" s="1"/>
  <c r="B6" i="22"/>
  <c r="I3" i="22" a="1"/>
  <c r="I3" i="22" s="1"/>
  <c r="B12" i="21"/>
  <c r="B11" i="21"/>
  <c r="B10" i="21"/>
  <c r="B9" i="21"/>
  <c r="B8" i="21"/>
  <c r="B7" i="21"/>
  <c r="B6" i="21"/>
  <c r="AZ7" i="21"/>
  <c r="BA7" i="21" s="1"/>
  <c r="BB7" i="21" s="1"/>
  <c r="AZ8" i="21"/>
  <c r="BA8" i="21" s="1"/>
  <c r="BB8" i="21" s="1"/>
  <c r="AZ9" i="21"/>
  <c r="BA9" i="21" s="1"/>
  <c r="BB9" i="21" s="1"/>
  <c r="AZ10" i="21"/>
  <c r="BA10" i="21" s="1"/>
  <c r="BB10" i="21" s="1"/>
  <c r="AZ11" i="21"/>
  <c r="BA11" i="21" s="1"/>
  <c r="BB11" i="21" s="1"/>
  <c r="AZ12" i="21"/>
  <c r="BA12" i="21" s="1"/>
  <c r="BB12" i="21" s="1"/>
  <c r="AZ13" i="21"/>
  <c r="BA13" i="21" s="1"/>
  <c r="BB13" i="21" s="1"/>
  <c r="AZ14" i="21"/>
  <c r="BA14" i="21" s="1"/>
  <c r="BB14" i="21" s="1"/>
  <c r="AZ15" i="21"/>
  <c r="BA15" i="21" s="1"/>
  <c r="BB15" i="21" s="1"/>
  <c r="AZ16" i="21"/>
  <c r="BA16" i="21" s="1"/>
  <c r="BB16" i="21" s="1"/>
  <c r="AZ17" i="21"/>
  <c r="BA17" i="21" s="1"/>
  <c r="BB17" i="21" s="1"/>
  <c r="AZ18" i="21"/>
  <c r="BA18" i="21" s="1"/>
  <c r="BB18" i="21" s="1"/>
  <c r="AZ19" i="21"/>
  <c r="BA19" i="21" s="1"/>
  <c r="BB19" i="21" s="1"/>
  <c r="AZ20" i="21"/>
  <c r="BA20" i="21" s="1"/>
  <c r="BB20" i="21" s="1"/>
  <c r="AZ6" i="21"/>
  <c r="BA6" i="21" s="1"/>
  <c r="I3" i="21" a="1"/>
  <c r="I3" i="21" s="1"/>
  <c r="D5" i="5" a="1"/>
  <c r="D5" i="5" s="1"/>
  <c r="D3" i="5" a="1"/>
  <c r="D3" i="5" s="1"/>
  <c r="D4" i="5" a="1"/>
  <c r="D4" i="5" s="1"/>
  <c r="J292" i="14" a="1"/>
  <c r="J292" i="14" s="1"/>
  <c r="J291" i="14" a="1"/>
  <c r="J291" i="14" s="1"/>
  <c r="J290" i="14" a="1"/>
  <c r="J290" i="14" s="1"/>
  <c r="J289" i="14" a="1"/>
  <c r="J289" i="14" s="1"/>
  <c r="J288" i="14" a="1"/>
  <c r="J288" i="14" s="1"/>
  <c r="J287" i="14" a="1"/>
  <c r="J287" i="14" s="1"/>
  <c r="J286" i="14" a="1"/>
  <c r="J286" i="14" s="1"/>
  <c r="J285" i="14" a="1"/>
  <c r="J285" i="14" s="1"/>
  <c r="J284" i="14" a="1"/>
  <c r="J284" i="14" s="1"/>
  <c r="J283" i="14" a="1"/>
  <c r="J283" i="14" s="1"/>
  <c r="J282" i="14" a="1"/>
  <c r="J282" i="14" s="1"/>
  <c r="J281" i="14" a="1"/>
  <c r="J281" i="14" s="1"/>
  <c r="J280" i="14" a="1"/>
  <c r="J280" i="14" s="1"/>
  <c r="J279" i="14" a="1"/>
  <c r="J279" i="14" s="1"/>
  <c r="J278" i="14" a="1"/>
  <c r="J278" i="14" s="1"/>
  <c r="J277" i="14" a="1"/>
  <c r="J277" i="14" s="1"/>
  <c r="J276" i="14"/>
  <c r="J276" i="14" a="1"/>
  <c r="J275" i="14" a="1"/>
  <c r="J275" i="14" s="1"/>
  <c r="J274" i="14" a="1"/>
  <c r="J274" i="14" s="1"/>
  <c r="J273" i="14" a="1"/>
  <c r="J273" i="14" s="1"/>
  <c r="J272" i="14" a="1"/>
  <c r="J272" i="14" s="1"/>
  <c r="J271" i="14" a="1"/>
  <c r="J271" i="14" s="1"/>
  <c r="J270" i="14" a="1"/>
  <c r="J270" i="14" s="1"/>
  <c r="J269" i="14" a="1"/>
  <c r="J269" i="14" s="1"/>
  <c r="J268" i="14" a="1"/>
  <c r="J268" i="14" s="1"/>
  <c r="J267" i="14" a="1"/>
  <c r="J267" i="14" s="1"/>
  <c r="J266" i="14" a="1"/>
  <c r="J266" i="14" s="1"/>
  <c r="J265" i="14" a="1"/>
  <c r="J265" i="14" s="1"/>
  <c r="J264" i="14" a="1"/>
  <c r="J264" i="14" s="1"/>
  <c r="J263" i="14" a="1"/>
  <c r="J263" i="14" s="1"/>
  <c r="J262" i="14" a="1"/>
  <c r="J262" i="14" s="1"/>
  <c r="J261" i="14" a="1"/>
  <c r="J261" i="14" s="1"/>
  <c r="J260" i="14" a="1"/>
  <c r="J260" i="14" s="1"/>
  <c r="J259" i="14" a="1"/>
  <c r="J259" i="14" s="1"/>
  <c r="J258" i="14" a="1"/>
  <c r="J258" i="14" s="1"/>
  <c r="J257" i="14" a="1"/>
  <c r="J257" i="14" s="1"/>
  <c r="J256" i="14" a="1"/>
  <c r="J256" i="14" s="1"/>
  <c r="J255" i="14" a="1"/>
  <c r="J255" i="14" s="1"/>
  <c r="J254" i="14" a="1"/>
  <c r="J254" i="14" s="1"/>
  <c r="J253" i="14" a="1"/>
  <c r="J253" i="14" s="1"/>
  <c r="J252" i="14" a="1"/>
  <c r="J252" i="14" s="1"/>
  <c r="J251" i="14" a="1"/>
  <c r="J251" i="14" s="1"/>
  <c r="J250" i="14" a="1"/>
  <c r="J250" i="14" s="1"/>
  <c r="J249" i="14" a="1"/>
  <c r="J249" i="14" s="1"/>
  <c r="J248" i="14" a="1"/>
  <c r="J248" i="14" s="1"/>
  <c r="J247" i="14" a="1"/>
  <c r="J247" i="14" s="1"/>
  <c r="J246" i="14" a="1"/>
  <c r="J246" i="14" s="1"/>
  <c r="J245" i="14" a="1"/>
  <c r="J245" i="14" s="1"/>
  <c r="J244" i="14" a="1"/>
  <c r="J244" i="14" s="1"/>
  <c r="J243" i="14" a="1"/>
  <c r="J243" i="14" s="1"/>
  <c r="J242" i="14" a="1"/>
  <c r="J242" i="14" s="1"/>
  <c r="J241" i="14" a="1"/>
  <c r="J241" i="14" s="1"/>
  <c r="J240" i="14" a="1"/>
  <c r="J240" i="14" s="1"/>
  <c r="J239" i="14" a="1"/>
  <c r="J239" i="14" s="1"/>
  <c r="J238" i="14" a="1"/>
  <c r="J238" i="14" s="1"/>
  <c r="J237" i="14" a="1"/>
  <c r="J237" i="14" s="1"/>
  <c r="J236" i="14" a="1"/>
  <c r="J236" i="14" s="1"/>
  <c r="J235" i="14" a="1"/>
  <c r="J235" i="14" s="1"/>
  <c r="J234" i="14" a="1"/>
  <c r="J234" i="14" s="1"/>
  <c r="J233" i="14" a="1"/>
  <c r="J233" i="14" s="1"/>
  <c r="J232" i="14" a="1"/>
  <c r="J232" i="14" s="1"/>
  <c r="J231" i="14" a="1"/>
  <c r="J231" i="14" s="1"/>
  <c r="J230" i="14" a="1"/>
  <c r="J230" i="14" s="1"/>
  <c r="J229" i="14" a="1"/>
  <c r="J229" i="14" s="1"/>
  <c r="J228" i="14" a="1"/>
  <c r="J228" i="14" s="1"/>
  <c r="J227" i="14" a="1"/>
  <c r="J227" i="14" s="1"/>
  <c r="J226" i="14" a="1"/>
  <c r="J226" i="14" s="1"/>
  <c r="J225" i="14" a="1"/>
  <c r="J225" i="14" s="1"/>
  <c r="J224" i="14" a="1"/>
  <c r="J224" i="14" s="1"/>
  <c r="J223" i="14" a="1"/>
  <c r="J223" i="14" s="1"/>
  <c r="J222" i="14" a="1"/>
  <c r="J222" i="14" s="1"/>
  <c r="J221" i="14" a="1"/>
  <c r="J221" i="14" s="1"/>
  <c r="J220" i="14" a="1"/>
  <c r="J220" i="14" s="1"/>
  <c r="J219" i="14" a="1"/>
  <c r="J219" i="14" s="1"/>
  <c r="J218" i="14" a="1"/>
  <c r="J218" i="14" s="1"/>
  <c r="J217" i="14" a="1"/>
  <c r="J217" i="14" s="1"/>
  <c r="J216" i="14" a="1"/>
  <c r="J216" i="14" s="1"/>
  <c r="J215" i="14" a="1"/>
  <c r="J215" i="14" s="1"/>
  <c r="J214" i="14" a="1"/>
  <c r="J214" i="14" s="1"/>
  <c r="J213" i="14" a="1"/>
  <c r="J213" i="14" s="1"/>
  <c r="J212" i="14" a="1"/>
  <c r="J212" i="14" s="1"/>
  <c r="J211" i="14" a="1"/>
  <c r="J211" i="14" s="1"/>
  <c r="J210" i="14" a="1"/>
  <c r="J210" i="14" s="1"/>
  <c r="J209" i="14" a="1"/>
  <c r="J209" i="14" s="1"/>
  <c r="J208" i="14" a="1"/>
  <c r="J208" i="14" s="1"/>
  <c r="J207" i="14" a="1"/>
  <c r="J207" i="14" s="1"/>
  <c r="J206" i="14" a="1"/>
  <c r="J206" i="14" s="1"/>
  <c r="J205" i="14" a="1"/>
  <c r="J205" i="14" s="1"/>
  <c r="J204" i="14" a="1"/>
  <c r="J204" i="14" s="1"/>
  <c r="J203" i="14" a="1"/>
  <c r="J203" i="14" s="1"/>
  <c r="J202" i="14" a="1"/>
  <c r="J202" i="14" s="1"/>
  <c r="J201" i="14" a="1"/>
  <c r="J201" i="14" s="1"/>
  <c r="J200" i="14" a="1"/>
  <c r="J200" i="14" s="1"/>
  <c r="J199" i="14" a="1"/>
  <c r="J199" i="14" s="1"/>
  <c r="J198" i="14" a="1"/>
  <c r="J198" i="14" s="1"/>
  <c r="J197" i="14" a="1"/>
  <c r="J197" i="14" s="1"/>
  <c r="J196" i="14" a="1"/>
  <c r="J196" i="14" s="1"/>
  <c r="J195" i="14" a="1"/>
  <c r="J195" i="14" s="1"/>
  <c r="J194" i="14" a="1"/>
  <c r="J194" i="14" s="1"/>
  <c r="J193" i="14" a="1"/>
  <c r="J193" i="14" s="1"/>
  <c r="J192" i="14" a="1"/>
  <c r="J192" i="14" s="1"/>
  <c r="J191" i="14" a="1"/>
  <c r="J191" i="14" s="1"/>
  <c r="J190" i="14" a="1"/>
  <c r="J190" i="14" s="1"/>
  <c r="J189" i="14" a="1"/>
  <c r="J189" i="14" s="1"/>
  <c r="J188" i="14" a="1"/>
  <c r="J188" i="14" s="1"/>
  <c r="J187" i="14" a="1"/>
  <c r="J187" i="14" s="1"/>
  <c r="J186" i="14" a="1"/>
  <c r="J186" i="14" s="1"/>
  <c r="J185" i="14" a="1"/>
  <c r="J185" i="14" s="1"/>
  <c r="J184" i="14" a="1"/>
  <c r="J184" i="14" s="1"/>
  <c r="J183" i="14" a="1"/>
  <c r="J183" i="14" s="1"/>
  <c r="J182" i="14" a="1"/>
  <c r="J182" i="14" s="1"/>
  <c r="J181" i="14" a="1"/>
  <c r="J181" i="14" s="1"/>
  <c r="J180" i="14" a="1"/>
  <c r="J180" i="14" s="1"/>
  <c r="J179" i="14" a="1"/>
  <c r="J179" i="14" s="1"/>
  <c r="J178" i="14" a="1"/>
  <c r="J178" i="14" s="1"/>
  <c r="J177" i="14" a="1"/>
  <c r="J177" i="14" s="1"/>
  <c r="J176" i="14" a="1"/>
  <c r="J176" i="14" s="1"/>
  <c r="J175" i="14" a="1"/>
  <c r="J175" i="14" s="1"/>
  <c r="J174" i="14" a="1"/>
  <c r="J174" i="14" s="1"/>
  <c r="J173" i="14" a="1"/>
  <c r="J173" i="14" s="1"/>
  <c r="J172" i="14" a="1"/>
  <c r="J172" i="14" s="1"/>
  <c r="J171" i="14" a="1"/>
  <c r="J171" i="14" s="1"/>
  <c r="J170" i="14" a="1"/>
  <c r="J170" i="14" s="1"/>
  <c r="J169" i="14" a="1"/>
  <c r="J169" i="14" s="1"/>
  <c r="J168" i="14" a="1"/>
  <c r="J168" i="14" s="1"/>
  <c r="J167" i="14" a="1"/>
  <c r="J167" i="14" s="1"/>
  <c r="J166" i="14" a="1"/>
  <c r="J166" i="14" s="1"/>
  <c r="J165" i="14" a="1"/>
  <c r="J165" i="14" s="1"/>
  <c r="J164" i="14" a="1"/>
  <c r="J164" i="14" s="1"/>
  <c r="J163" i="14" a="1"/>
  <c r="J163" i="14" s="1"/>
  <c r="J162" i="14" a="1"/>
  <c r="J162" i="14" s="1"/>
  <c r="J161" i="14" a="1"/>
  <c r="J161" i="14" s="1"/>
  <c r="J160" i="14" a="1"/>
  <c r="J160" i="14" s="1"/>
  <c r="J159" i="14" a="1"/>
  <c r="J159" i="14" s="1"/>
  <c r="J158" i="14" a="1"/>
  <c r="J158" i="14" s="1"/>
  <c r="J157" i="14" a="1"/>
  <c r="J157" i="14" s="1"/>
  <c r="J156" i="14" a="1"/>
  <c r="J156" i="14" s="1"/>
  <c r="J155" i="14" a="1"/>
  <c r="J155" i="14" s="1"/>
  <c r="J154" i="14" a="1"/>
  <c r="J154" i="14" s="1"/>
  <c r="J153" i="14" a="1"/>
  <c r="J153" i="14" s="1"/>
  <c r="J152" i="14" a="1"/>
  <c r="J152" i="14" s="1"/>
  <c r="J151" i="14" a="1"/>
  <c r="J151" i="14" s="1"/>
  <c r="J150" i="14" a="1"/>
  <c r="J150" i="14" s="1"/>
  <c r="J149" i="14" a="1"/>
  <c r="J149" i="14" s="1"/>
  <c r="J148" i="14" a="1"/>
  <c r="J148" i="14" s="1"/>
  <c r="J147" i="14" a="1"/>
  <c r="J147" i="14" s="1"/>
  <c r="J146" i="14" a="1"/>
  <c r="J146" i="14" s="1"/>
  <c r="J145" i="14" a="1"/>
  <c r="J145" i="14" s="1"/>
  <c r="J144" i="14" a="1"/>
  <c r="J144" i="14" s="1"/>
  <c r="J143" i="14" a="1"/>
  <c r="J143" i="14" s="1"/>
  <c r="J142" i="14" a="1"/>
  <c r="J142" i="14" s="1"/>
  <c r="J141" i="14" a="1"/>
  <c r="J141" i="14" s="1"/>
  <c r="J140" i="14" a="1"/>
  <c r="J140" i="14" s="1"/>
  <c r="J139" i="14" a="1"/>
  <c r="J139" i="14" s="1"/>
  <c r="J138" i="14" a="1"/>
  <c r="J138" i="14" s="1"/>
  <c r="J137" i="14" a="1"/>
  <c r="J137" i="14" s="1"/>
  <c r="J136" i="14" a="1"/>
  <c r="J136" i="14" s="1"/>
  <c r="J135" i="14" a="1"/>
  <c r="J135" i="14" s="1"/>
  <c r="J134" i="14" a="1"/>
  <c r="J134" i="14" s="1"/>
  <c r="J133" i="14" a="1"/>
  <c r="J133" i="14" s="1"/>
  <c r="J132" i="14" a="1"/>
  <c r="J132" i="14" s="1"/>
  <c r="J131" i="14" a="1"/>
  <c r="J131" i="14" s="1"/>
  <c r="J130" i="14" a="1"/>
  <c r="J130" i="14" s="1"/>
  <c r="J129" i="14" a="1"/>
  <c r="J129" i="14" s="1"/>
  <c r="J128" i="14" a="1"/>
  <c r="J128" i="14" s="1"/>
  <c r="J127" i="14" a="1"/>
  <c r="J127" i="14" s="1"/>
  <c r="J126" i="14" a="1"/>
  <c r="J126" i="14" s="1"/>
  <c r="J125" i="14" a="1"/>
  <c r="J125" i="14" s="1"/>
  <c r="J124" i="14" a="1"/>
  <c r="J124" i="14" s="1"/>
  <c r="J123" i="14" a="1"/>
  <c r="J123" i="14" s="1"/>
  <c r="J122" i="14" a="1"/>
  <c r="J122" i="14" s="1"/>
  <c r="J121" i="14" a="1"/>
  <c r="J121" i="14" s="1"/>
  <c r="J120" i="14" a="1"/>
  <c r="J120" i="14" s="1"/>
  <c r="J119" i="14" a="1"/>
  <c r="J119" i="14" s="1"/>
  <c r="J118" i="14" a="1"/>
  <c r="J118" i="14" s="1"/>
  <c r="J117" i="14" a="1"/>
  <c r="J117" i="14" s="1"/>
  <c r="J116" i="14" a="1"/>
  <c r="J116" i="14" s="1"/>
  <c r="J115" i="14" a="1"/>
  <c r="J115" i="14" s="1"/>
  <c r="J114" i="14" a="1"/>
  <c r="J114" i="14" s="1"/>
  <c r="J113" i="14" a="1"/>
  <c r="J113" i="14" s="1"/>
  <c r="J112" i="14" a="1"/>
  <c r="J112" i="14" s="1"/>
  <c r="J111" i="14" a="1"/>
  <c r="J111" i="14" s="1"/>
  <c r="J110" i="14" a="1"/>
  <c r="J110" i="14" s="1"/>
  <c r="J109" i="14" a="1"/>
  <c r="J109" i="14" s="1"/>
  <c r="J108" i="14" a="1"/>
  <c r="J108" i="14" s="1"/>
  <c r="J107" i="14" a="1"/>
  <c r="J107" i="14" s="1"/>
  <c r="J106" i="14" a="1"/>
  <c r="J106" i="14" s="1"/>
  <c r="J105" i="14" a="1"/>
  <c r="J105" i="14" s="1"/>
  <c r="J104" i="14" a="1"/>
  <c r="J104" i="14" s="1"/>
  <c r="J103" i="14" a="1"/>
  <c r="J103" i="14" s="1"/>
  <c r="J102" i="14" a="1"/>
  <c r="J102" i="14" s="1"/>
  <c r="J101" i="14" a="1"/>
  <c r="J101" i="14" s="1"/>
  <c r="J100" i="14" a="1"/>
  <c r="J100" i="14" s="1"/>
  <c r="J99" i="14" a="1"/>
  <c r="J99" i="14" s="1"/>
  <c r="J98" i="14" a="1"/>
  <c r="J98" i="14" s="1"/>
  <c r="J97" i="14" a="1"/>
  <c r="J97" i="14" s="1"/>
  <c r="J96" i="14" a="1"/>
  <c r="J96" i="14" s="1"/>
  <c r="J95" i="14" a="1"/>
  <c r="J95" i="14" s="1"/>
  <c r="J94" i="14" a="1"/>
  <c r="J94" i="14" s="1"/>
  <c r="J93" i="14" a="1"/>
  <c r="J93" i="14" s="1"/>
  <c r="J92" i="14" a="1"/>
  <c r="J92" i="14" s="1"/>
  <c r="J91" i="14" a="1"/>
  <c r="J91" i="14" s="1"/>
  <c r="J90" i="14" a="1"/>
  <c r="J90" i="14" s="1"/>
  <c r="J89" i="14" a="1"/>
  <c r="J89" i="14" s="1"/>
  <c r="J88" i="14" a="1"/>
  <c r="J88" i="14" s="1"/>
  <c r="J87" i="14" a="1"/>
  <c r="J87" i="14" s="1"/>
  <c r="J86" i="14" a="1"/>
  <c r="J86" i="14" s="1"/>
  <c r="J85" i="14" a="1"/>
  <c r="J85" i="14" s="1"/>
  <c r="J84" i="14" a="1"/>
  <c r="J84" i="14" s="1"/>
  <c r="J83" i="14" a="1"/>
  <c r="J83" i="14" s="1"/>
  <c r="J82" i="14" a="1"/>
  <c r="J82" i="14" s="1"/>
  <c r="J81" i="14" a="1"/>
  <c r="J81" i="14" s="1"/>
  <c r="J80" i="14" a="1"/>
  <c r="J80" i="14" s="1"/>
  <c r="J79" i="14" a="1"/>
  <c r="J79" i="14" s="1"/>
  <c r="J78" i="14" a="1"/>
  <c r="J78" i="14" s="1"/>
  <c r="J77" i="14" a="1"/>
  <c r="J77" i="14" s="1"/>
  <c r="J76" i="14" a="1"/>
  <c r="J76" i="14" s="1"/>
  <c r="J75" i="14" a="1"/>
  <c r="J75" i="14" s="1"/>
  <c r="J74" i="14" a="1"/>
  <c r="J74" i="14" s="1"/>
  <c r="J73" i="14" a="1"/>
  <c r="J73" i="14" s="1"/>
  <c r="J72" i="14" a="1"/>
  <c r="J72" i="14" s="1"/>
  <c r="J71" i="14" a="1"/>
  <c r="J71" i="14" s="1"/>
  <c r="J70" i="14" a="1"/>
  <c r="J70" i="14" s="1"/>
  <c r="J69" i="14" a="1"/>
  <c r="J69" i="14" s="1"/>
  <c r="J68" i="14" a="1"/>
  <c r="J68" i="14" s="1"/>
  <c r="J67" i="14" a="1"/>
  <c r="J67" i="14" s="1"/>
  <c r="J66" i="14" a="1"/>
  <c r="J66" i="14" s="1"/>
  <c r="J65" i="14" a="1"/>
  <c r="J65" i="14" s="1"/>
  <c r="J64" i="14" a="1"/>
  <c r="J64" i="14" s="1"/>
  <c r="J63" i="14" a="1"/>
  <c r="J63" i="14" s="1"/>
  <c r="J62" i="14" a="1"/>
  <c r="J62" i="14" s="1"/>
  <c r="J61" i="14" a="1"/>
  <c r="J61" i="14" s="1"/>
  <c r="J60" i="14" a="1"/>
  <c r="J60" i="14" s="1"/>
  <c r="J59" i="14" a="1"/>
  <c r="J59" i="14" s="1"/>
  <c r="J58" i="14" a="1"/>
  <c r="J58" i="14" s="1"/>
  <c r="J57" i="14" a="1"/>
  <c r="J57" i="14" s="1"/>
  <c r="J56" i="14" a="1"/>
  <c r="J56" i="14" s="1"/>
  <c r="J55" i="14" a="1"/>
  <c r="J55" i="14" s="1"/>
  <c r="J54" i="14" a="1"/>
  <c r="J54" i="14" s="1"/>
  <c r="J53" i="14" a="1"/>
  <c r="J53" i="14" s="1"/>
  <c r="J52" i="14" a="1"/>
  <c r="J52" i="14" s="1"/>
  <c r="J51" i="14" a="1"/>
  <c r="J51" i="14" s="1"/>
  <c r="J50" i="14" a="1"/>
  <c r="J50" i="14" s="1"/>
  <c r="J49" i="14" a="1"/>
  <c r="J49" i="14" s="1"/>
  <c r="J48" i="14" a="1"/>
  <c r="J48" i="14" s="1"/>
  <c r="J47" i="14" a="1"/>
  <c r="J47" i="14" s="1"/>
  <c r="J46" i="14" a="1"/>
  <c r="J46" i="14" s="1"/>
  <c r="J45" i="14" a="1"/>
  <c r="J45" i="14" s="1"/>
  <c r="J44" i="14" a="1"/>
  <c r="J44" i="14" s="1"/>
  <c r="J43" i="14" a="1"/>
  <c r="J43" i="14" s="1"/>
  <c r="J42" i="14" a="1"/>
  <c r="J42" i="14" s="1"/>
  <c r="J41" i="14" a="1"/>
  <c r="J41" i="14" s="1"/>
  <c r="J40" i="14" a="1"/>
  <c r="J40" i="14" s="1"/>
  <c r="J39" i="14" a="1"/>
  <c r="J39" i="14" s="1"/>
  <c r="J38" i="14" a="1"/>
  <c r="J38" i="14" s="1"/>
  <c r="J37" i="14" a="1"/>
  <c r="J37" i="14" s="1"/>
  <c r="J36" i="14" a="1"/>
  <c r="J36" i="14" s="1"/>
  <c r="J35" i="14" a="1"/>
  <c r="J35" i="14" s="1"/>
  <c r="J34" i="14" a="1"/>
  <c r="J34" i="14" s="1"/>
  <c r="J33" i="14" a="1"/>
  <c r="J33" i="14" s="1"/>
  <c r="J32" i="14" a="1"/>
  <c r="J32" i="14" s="1"/>
  <c r="J31" i="14" a="1"/>
  <c r="J31" i="14" s="1"/>
  <c r="J30" i="14" a="1"/>
  <c r="J30" i="14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5" i="14" a="1"/>
  <c r="J5" i="14" s="1"/>
  <c r="J4" i="14" a="1"/>
  <c r="J4" i="14" s="1"/>
  <c r="J3" i="14" a="1"/>
  <c r="J3" i="14" s="1"/>
  <c r="J2" i="14" a="1"/>
  <c r="J2" i="14" s="1"/>
  <c r="B292" i="14" a="1"/>
  <c r="B292" i="14" s="1"/>
  <c r="B291" i="14" a="1"/>
  <c r="B291" i="14" s="1"/>
  <c r="B290" i="14" a="1"/>
  <c r="B290" i="14" s="1"/>
  <c r="B289" i="14" a="1"/>
  <c r="B289" i="14" s="1"/>
  <c r="B288" i="14" a="1"/>
  <c r="B288" i="14" s="1"/>
  <c r="B287" i="14" a="1"/>
  <c r="B287" i="14" s="1"/>
  <c r="B286" i="14" a="1"/>
  <c r="B286" i="14" s="1"/>
  <c r="B285" i="14" a="1"/>
  <c r="B285" i="14" s="1"/>
  <c r="B284" i="14" a="1"/>
  <c r="B284" i="14" s="1"/>
  <c r="B283" i="14" a="1"/>
  <c r="B283" i="14" s="1"/>
  <c r="B282" i="14" a="1"/>
  <c r="B282" i="14" s="1"/>
  <c r="B281" i="14" a="1"/>
  <c r="B281" i="14" s="1"/>
  <c r="B280" i="14" a="1"/>
  <c r="B280" i="14" s="1"/>
  <c r="B279" i="14" a="1"/>
  <c r="B279" i="14" s="1"/>
  <c r="B278" i="14" a="1"/>
  <c r="B278" i="14" s="1"/>
  <c r="B277" i="14" a="1"/>
  <c r="B277" i="14" s="1"/>
  <c r="B276" i="14" a="1"/>
  <c r="B276" i="14" s="1"/>
  <c r="B275" i="14" a="1"/>
  <c r="B275" i="14" s="1"/>
  <c r="B274" i="14" a="1"/>
  <c r="B274" i="14" s="1"/>
  <c r="B273" i="14" a="1"/>
  <c r="B273" i="14" s="1"/>
  <c r="B272" i="14" a="1"/>
  <c r="B272" i="14" s="1"/>
  <c r="B271" i="14" a="1"/>
  <c r="B271" i="14" s="1"/>
  <c r="B270" i="14" a="1"/>
  <c r="B270" i="14" s="1"/>
  <c r="B269" i="14" a="1"/>
  <c r="B269" i="14" s="1"/>
  <c r="B268" i="14" a="1"/>
  <c r="B268" i="14" s="1"/>
  <c r="B267" i="14" a="1"/>
  <c r="B267" i="14" s="1"/>
  <c r="B266" i="14" a="1"/>
  <c r="B266" i="14" s="1"/>
  <c r="B265" i="14" a="1"/>
  <c r="B265" i="14" s="1"/>
  <c r="B264" i="14" a="1"/>
  <c r="B264" i="14" s="1"/>
  <c r="B263" i="14" a="1"/>
  <c r="B263" i="14" s="1"/>
  <c r="B262" i="14" a="1"/>
  <c r="B262" i="14" s="1"/>
  <c r="B261" i="14" a="1"/>
  <c r="B261" i="14" s="1"/>
  <c r="B260" i="14" a="1"/>
  <c r="B260" i="14" s="1"/>
  <c r="B259" i="14" a="1"/>
  <c r="B259" i="14" s="1"/>
  <c r="B258" i="14" a="1"/>
  <c r="B258" i="14" s="1"/>
  <c r="B257" i="14" a="1"/>
  <c r="B257" i="14" s="1"/>
  <c r="B256" i="14" a="1"/>
  <c r="B256" i="14" s="1"/>
  <c r="B255" i="14" a="1"/>
  <c r="B255" i="14" s="1"/>
  <c r="B254" i="14" a="1"/>
  <c r="B254" i="14" s="1"/>
  <c r="B253" i="14" a="1"/>
  <c r="B253" i="14" s="1"/>
  <c r="B252" i="14" a="1"/>
  <c r="B252" i="14" s="1"/>
  <c r="B251" i="14" a="1"/>
  <c r="B251" i="14" s="1"/>
  <c r="B250" i="14" a="1"/>
  <c r="B250" i="14" s="1"/>
  <c r="B249" i="14" a="1"/>
  <c r="B249" i="14" s="1"/>
  <c r="B248" i="14" a="1"/>
  <c r="B248" i="14" s="1"/>
  <c r="B247" i="14" a="1"/>
  <c r="B247" i="14" s="1"/>
  <c r="B246" i="14" a="1"/>
  <c r="B246" i="14" s="1"/>
  <c r="B245" i="14" a="1"/>
  <c r="B245" i="14" s="1"/>
  <c r="B244" i="14" a="1"/>
  <c r="B244" i="14" s="1"/>
  <c r="B243" i="14" a="1"/>
  <c r="B243" i="14" s="1"/>
  <c r="B242" i="14" a="1"/>
  <c r="B242" i="14" s="1"/>
  <c r="B241" i="14" a="1"/>
  <c r="B241" i="14" s="1"/>
  <c r="B240" i="14" a="1"/>
  <c r="B240" i="14" s="1"/>
  <c r="B239" i="14" a="1"/>
  <c r="B239" i="14" s="1"/>
  <c r="B238" i="14" a="1"/>
  <c r="B238" i="14" s="1"/>
  <c r="B237" i="14" a="1"/>
  <c r="B237" i="14" s="1"/>
  <c r="B236" i="14" a="1"/>
  <c r="B236" i="14" s="1"/>
  <c r="B235" i="14" a="1"/>
  <c r="B235" i="14" s="1"/>
  <c r="B234" i="14" a="1"/>
  <c r="B234" i="14" s="1"/>
  <c r="B233" i="14" a="1"/>
  <c r="B233" i="14" s="1"/>
  <c r="B232" i="14" a="1"/>
  <c r="B232" i="14" s="1"/>
  <c r="B231" i="14" a="1"/>
  <c r="B231" i="14" s="1"/>
  <c r="B230" i="14" a="1"/>
  <c r="B230" i="14" s="1"/>
  <c r="B229" i="14" a="1"/>
  <c r="B229" i="14" s="1"/>
  <c r="B228" i="14" a="1"/>
  <c r="B228" i="14" s="1"/>
  <c r="B227" i="14" a="1"/>
  <c r="B227" i="14" s="1"/>
  <c r="B226" i="14" a="1"/>
  <c r="B226" i="14" s="1"/>
  <c r="B225" i="14" a="1"/>
  <c r="B225" i="14" s="1"/>
  <c r="B224" i="14" a="1"/>
  <c r="B224" i="14" s="1"/>
  <c r="B223" i="14" a="1"/>
  <c r="B223" i="14" s="1"/>
  <c r="B222" i="14" a="1"/>
  <c r="B222" i="14" s="1"/>
  <c r="B221" i="14" a="1"/>
  <c r="B221" i="14" s="1"/>
  <c r="B220" i="14" a="1"/>
  <c r="B220" i="14" s="1"/>
  <c r="B219" i="14" a="1"/>
  <c r="B219" i="14" s="1"/>
  <c r="B218" i="14" a="1"/>
  <c r="B218" i="14" s="1"/>
  <c r="B217" i="14" a="1"/>
  <c r="B217" i="14" s="1"/>
  <c r="B216" i="14" a="1"/>
  <c r="B216" i="14" s="1"/>
  <c r="B215" i="14" a="1"/>
  <c r="B215" i="14" s="1"/>
  <c r="B214" i="14" a="1"/>
  <c r="B214" i="14" s="1"/>
  <c r="B213" i="14" a="1"/>
  <c r="B213" i="14" s="1"/>
  <c r="B212" i="14" a="1"/>
  <c r="B212" i="14" s="1"/>
  <c r="B211" i="14" a="1"/>
  <c r="B211" i="14" s="1"/>
  <c r="B210" i="14" a="1"/>
  <c r="B210" i="14" s="1"/>
  <c r="B209" i="14"/>
  <c r="B209" i="14" a="1"/>
  <c r="B208" i="14" a="1"/>
  <c r="B208" i="14" s="1"/>
  <c r="B207" i="14" a="1"/>
  <c r="B207" i="14" s="1"/>
  <c r="B206" i="14" a="1"/>
  <c r="B206" i="14" s="1"/>
  <c r="B205" i="14" a="1"/>
  <c r="B205" i="14" s="1"/>
  <c r="B204" i="14" a="1"/>
  <c r="B204" i="14" s="1"/>
  <c r="B203" i="14" a="1"/>
  <c r="B203" i="14" s="1"/>
  <c r="B202" i="14" a="1"/>
  <c r="B202" i="14" s="1"/>
  <c r="B201" i="14" a="1"/>
  <c r="B201" i="14" s="1"/>
  <c r="B200" i="14" a="1"/>
  <c r="B200" i="14" s="1"/>
  <c r="B199" i="14" a="1"/>
  <c r="B199" i="14" s="1"/>
  <c r="B198" i="14" a="1"/>
  <c r="B198" i="14" s="1"/>
  <c r="B197" i="14" a="1"/>
  <c r="B197" i="14" s="1"/>
  <c r="B196" i="14" a="1"/>
  <c r="B196" i="14" s="1"/>
  <c r="B195" i="14" a="1"/>
  <c r="B195" i="14" s="1"/>
  <c r="B194" i="14" a="1"/>
  <c r="B194" i="14" s="1"/>
  <c r="B193" i="14" a="1"/>
  <c r="B193" i="14" s="1"/>
  <c r="B192" i="14" a="1"/>
  <c r="B192" i="14" s="1"/>
  <c r="B191" i="14" a="1"/>
  <c r="B191" i="14" s="1"/>
  <c r="B190" i="14" a="1"/>
  <c r="B190" i="14" s="1"/>
  <c r="B189" i="14" a="1"/>
  <c r="B189" i="14" s="1"/>
  <c r="B188" i="14" a="1"/>
  <c r="B188" i="14" s="1"/>
  <c r="B187" i="14" a="1"/>
  <c r="B187" i="14" s="1"/>
  <c r="B186" i="14" a="1"/>
  <c r="B186" i="14" s="1"/>
  <c r="B185" i="14" a="1"/>
  <c r="B185" i="14" s="1"/>
  <c r="B184" i="14" a="1"/>
  <c r="B184" i="14" s="1"/>
  <c r="B183" i="14" a="1"/>
  <c r="B183" i="14" s="1"/>
  <c r="B182" i="14" a="1"/>
  <c r="B182" i="14" s="1"/>
  <c r="B181" i="14" a="1"/>
  <c r="B181" i="14" s="1"/>
  <c r="B180" i="14" a="1"/>
  <c r="B180" i="14" s="1"/>
  <c r="B179" i="14" a="1"/>
  <c r="B179" i="14" s="1"/>
  <c r="B178" i="14" a="1"/>
  <c r="B178" i="14" s="1"/>
  <c r="B177" i="14" a="1"/>
  <c r="B177" i="14" s="1"/>
  <c r="B176" i="14" a="1"/>
  <c r="B176" i="14" s="1"/>
  <c r="B175" i="14" a="1"/>
  <c r="B175" i="14" s="1"/>
  <c r="B174" i="14" a="1"/>
  <c r="B174" i="14" s="1"/>
  <c r="B173" i="14" a="1"/>
  <c r="B173" i="14" s="1"/>
  <c r="B172" i="14" a="1"/>
  <c r="B172" i="14" s="1"/>
  <c r="B171" i="14" a="1"/>
  <c r="B171" i="14" s="1"/>
  <c r="B170" i="14" a="1"/>
  <c r="B170" i="14" s="1"/>
  <c r="B169" i="14" a="1"/>
  <c r="B169" i="14" s="1"/>
  <c r="B168" i="14" a="1"/>
  <c r="B168" i="14" s="1"/>
  <c r="B167" i="14" a="1"/>
  <c r="B167" i="14" s="1"/>
  <c r="B166" i="14" a="1"/>
  <c r="B166" i="14" s="1"/>
  <c r="B165" i="14" a="1"/>
  <c r="B165" i="14" s="1"/>
  <c r="B164" i="14" a="1"/>
  <c r="B164" i="14" s="1"/>
  <c r="B163" i="14" a="1"/>
  <c r="B163" i="14" s="1"/>
  <c r="B162" i="14" a="1"/>
  <c r="B162" i="14" s="1"/>
  <c r="B161" i="14" a="1"/>
  <c r="B161" i="14" s="1"/>
  <c r="B160" i="14" a="1"/>
  <c r="B160" i="14" s="1"/>
  <c r="B159" i="14" a="1"/>
  <c r="B159" i="14" s="1"/>
  <c r="B158" i="14" a="1"/>
  <c r="B158" i="14" s="1"/>
  <c r="B157" i="14" a="1"/>
  <c r="B157" i="14" s="1"/>
  <c r="B156" i="14" a="1"/>
  <c r="B156" i="14" s="1"/>
  <c r="B155" i="14" a="1"/>
  <c r="B155" i="14" s="1"/>
  <c r="B154" i="14" a="1"/>
  <c r="B154" i="14" s="1"/>
  <c r="B153" i="14" a="1"/>
  <c r="B153" i="14" s="1"/>
  <c r="B152" i="14" a="1"/>
  <c r="B152" i="14" s="1"/>
  <c r="B151" i="14" a="1"/>
  <c r="B151" i="14" s="1"/>
  <c r="B150" i="14" a="1"/>
  <c r="B150" i="14" s="1"/>
  <c r="B149" i="14" a="1"/>
  <c r="B149" i="14" s="1"/>
  <c r="B148" i="14" a="1"/>
  <c r="B148" i="14" s="1"/>
  <c r="B147" i="14" a="1"/>
  <c r="B147" i="14" s="1"/>
  <c r="B146" i="14" a="1"/>
  <c r="B146" i="14" s="1"/>
  <c r="B145" i="14" a="1"/>
  <c r="B145" i="14" s="1"/>
  <c r="B144" i="14" a="1"/>
  <c r="B144" i="14" s="1"/>
  <c r="B143" i="14" a="1"/>
  <c r="B143" i="14" s="1"/>
  <c r="B142" i="14" a="1"/>
  <c r="B142" i="14" s="1"/>
  <c r="B141" i="14" a="1"/>
  <c r="B141" i="14" s="1"/>
  <c r="B140" i="14" a="1"/>
  <c r="B140" i="14" s="1"/>
  <c r="B139" i="14" a="1"/>
  <c r="B139" i="14" s="1"/>
  <c r="B138" i="14" a="1"/>
  <c r="B138" i="14" s="1"/>
  <c r="B137" i="14" a="1"/>
  <c r="B137" i="14" s="1"/>
  <c r="B136" i="14" a="1"/>
  <c r="B136" i="14" s="1"/>
  <c r="B135" i="14" a="1"/>
  <c r="B135" i="14" s="1"/>
  <c r="B134" i="14" a="1"/>
  <c r="B134" i="14" s="1"/>
  <c r="B133" i="14" a="1"/>
  <c r="B133" i="14" s="1"/>
  <c r="B132" i="14" a="1"/>
  <c r="B132" i="14" s="1"/>
  <c r="B131" i="14" a="1"/>
  <c r="B131" i="14" s="1"/>
  <c r="B130" i="14" a="1"/>
  <c r="B130" i="14" s="1"/>
  <c r="B129" i="14" a="1"/>
  <c r="B129" i="14" s="1"/>
  <c r="B128" i="14" a="1"/>
  <c r="B128" i="14" s="1"/>
  <c r="B127" i="14" a="1"/>
  <c r="B127" i="14" s="1"/>
  <c r="B126" i="14" a="1"/>
  <c r="B126" i="14" s="1"/>
  <c r="B125" i="14" a="1"/>
  <c r="B125" i="14" s="1"/>
  <c r="B124" i="14" a="1"/>
  <c r="B124" i="14" s="1"/>
  <c r="B123" i="14" a="1"/>
  <c r="B123" i="14" s="1"/>
  <c r="B122" i="14" a="1"/>
  <c r="B122" i="14" s="1"/>
  <c r="B121" i="14" a="1"/>
  <c r="B121" i="14" s="1"/>
  <c r="B120" i="14" a="1"/>
  <c r="B120" i="14" s="1"/>
  <c r="B119" i="14" a="1"/>
  <c r="B119" i="14" s="1"/>
  <c r="B118" i="14" a="1"/>
  <c r="B118" i="14" s="1"/>
  <c r="B117" i="14" a="1"/>
  <c r="B117" i="14" s="1"/>
  <c r="B116" i="14" a="1"/>
  <c r="B116" i="14" s="1"/>
  <c r="B115" i="14" a="1"/>
  <c r="B115" i="14" s="1"/>
  <c r="B114" i="14" a="1"/>
  <c r="B114" i="14" s="1"/>
  <c r="B113" i="14" a="1"/>
  <c r="B113" i="14" s="1"/>
  <c r="B112" i="14" a="1"/>
  <c r="B112" i="14" s="1"/>
  <c r="B111" i="14" a="1"/>
  <c r="B111" i="14" s="1"/>
  <c r="B110" i="14" a="1"/>
  <c r="B110" i="14" s="1"/>
  <c r="B109" i="14" a="1"/>
  <c r="B109" i="14" s="1"/>
  <c r="B108" i="14" a="1"/>
  <c r="B108" i="14" s="1"/>
  <c r="B107" i="14" a="1"/>
  <c r="B107" i="14" s="1"/>
  <c r="B106" i="14" a="1"/>
  <c r="B106" i="14" s="1"/>
  <c r="B105" i="14" a="1"/>
  <c r="B105" i="14" s="1"/>
  <c r="B104" i="14" a="1"/>
  <c r="B104" i="14" s="1"/>
  <c r="B103" i="14" a="1"/>
  <c r="B103" i="14" s="1"/>
  <c r="B102" i="14" a="1"/>
  <c r="B102" i="14" s="1"/>
  <c r="B101" i="14" a="1"/>
  <c r="B101" i="14" s="1"/>
  <c r="B100" i="14" a="1"/>
  <c r="B100" i="14" s="1"/>
  <c r="B99" i="14" a="1"/>
  <c r="B99" i="14" s="1"/>
  <c r="B98" i="14" a="1"/>
  <c r="B98" i="14" s="1"/>
  <c r="B97" i="14" a="1"/>
  <c r="B97" i="14" s="1"/>
  <c r="B96" i="14" a="1"/>
  <c r="B96" i="14" s="1"/>
  <c r="B95" i="14" a="1"/>
  <c r="B95" i="14" s="1"/>
  <c r="B94" i="14" a="1"/>
  <c r="B94" i="14" s="1"/>
  <c r="B93" i="14" a="1"/>
  <c r="B93" i="14" s="1"/>
  <c r="B92" i="14" a="1"/>
  <c r="B92" i="14" s="1"/>
  <c r="B91" i="14" a="1"/>
  <c r="B91" i="14" s="1"/>
  <c r="B90" i="14" a="1"/>
  <c r="B90" i="14" s="1"/>
  <c r="B89" i="14" a="1"/>
  <c r="B89" i="14" s="1"/>
  <c r="B88" i="14" a="1"/>
  <c r="B88" i="14" s="1"/>
  <c r="B87" i="14" a="1"/>
  <c r="B87" i="14" s="1"/>
  <c r="B86" i="14" a="1"/>
  <c r="B86" i="14" s="1"/>
  <c r="B85" i="14" a="1"/>
  <c r="B85" i="14" s="1"/>
  <c r="B84" i="14" a="1"/>
  <c r="B84" i="14" s="1"/>
  <c r="B83" i="14" a="1"/>
  <c r="B83" i="14" s="1"/>
  <c r="B82" i="14" a="1"/>
  <c r="B82" i="14" s="1"/>
  <c r="B81" i="14" a="1"/>
  <c r="B81" i="14" s="1"/>
  <c r="B80" i="14" a="1"/>
  <c r="B80" i="14" s="1"/>
  <c r="B79" i="14" a="1"/>
  <c r="B79" i="14" s="1"/>
  <c r="B78" i="14" a="1"/>
  <c r="B78" i="14" s="1"/>
  <c r="B77" i="14" a="1"/>
  <c r="B77" i="14" s="1"/>
  <c r="B76" i="14" a="1"/>
  <c r="B76" i="14" s="1"/>
  <c r="B75" i="14" a="1"/>
  <c r="B75" i="14" s="1"/>
  <c r="B74" i="14" a="1"/>
  <c r="B74" i="14" s="1"/>
  <c r="B73" i="14" a="1"/>
  <c r="B73" i="14" s="1"/>
  <c r="B72" i="14" a="1"/>
  <c r="B72" i="14" s="1"/>
  <c r="B71" i="14" a="1"/>
  <c r="B71" i="14" s="1"/>
  <c r="B70" i="14" a="1"/>
  <c r="B70" i="14" s="1"/>
  <c r="B69" i="14" a="1"/>
  <c r="B69" i="14" s="1"/>
  <c r="B68" i="14" a="1"/>
  <c r="B68" i="14" s="1"/>
  <c r="B67" i="14" a="1"/>
  <c r="B67" i="14" s="1"/>
  <c r="B66" i="14" a="1"/>
  <c r="B66" i="14" s="1"/>
  <c r="B65" i="14" a="1"/>
  <c r="B65" i="14" s="1"/>
  <c r="B64" i="14" a="1"/>
  <c r="B64" i="14" s="1"/>
  <c r="B63" i="14" a="1"/>
  <c r="B63" i="14" s="1"/>
  <c r="B62" i="14" a="1"/>
  <c r="B62" i="14" s="1"/>
  <c r="B61" i="14" a="1"/>
  <c r="B61" i="14" s="1"/>
  <c r="B60" i="14" a="1"/>
  <c r="B60" i="14" s="1"/>
  <c r="B59" i="14" a="1"/>
  <c r="B59" i="14" s="1"/>
  <c r="B58" i="14" a="1"/>
  <c r="B58" i="14" s="1"/>
  <c r="B57" i="14" a="1"/>
  <c r="B57" i="14" s="1"/>
  <c r="B56" i="14" a="1"/>
  <c r="B56" i="14" s="1"/>
  <c r="B55" i="14" a="1"/>
  <c r="B55" i="14" s="1"/>
  <c r="B54" i="14" a="1"/>
  <c r="B54" i="14" s="1"/>
  <c r="B53" i="14" a="1"/>
  <c r="B53" i="14" s="1"/>
  <c r="B52" i="14" a="1"/>
  <c r="B52" i="14" s="1"/>
  <c r="B51" i="14" a="1"/>
  <c r="B51" i="14" s="1"/>
  <c r="B50" i="14" a="1"/>
  <c r="B50" i="14" s="1"/>
  <c r="B49" i="14" a="1"/>
  <c r="B49" i="14" s="1"/>
  <c r="B48" i="14" a="1"/>
  <c r="B48" i="14" s="1"/>
  <c r="B47" i="14" a="1"/>
  <c r="B47" i="14" s="1"/>
  <c r="B46" i="14" a="1"/>
  <c r="B46" i="14" s="1"/>
  <c r="B45" i="14" a="1"/>
  <c r="B45" i="14" s="1"/>
  <c r="B44" i="14" a="1"/>
  <c r="B44" i="14" s="1"/>
  <c r="B43" i="14" a="1"/>
  <c r="B43" i="14" s="1"/>
  <c r="B42" i="14" a="1"/>
  <c r="B42" i="14" s="1"/>
  <c r="B41" i="14" a="1"/>
  <c r="B41" i="14" s="1"/>
  <c r="B40" i="14" a="1"/>
  <c r="B40" i="14" s="1"/>
  <c r="B39" i="14" a="1"/>
  <c r="B39" i="14" s="1"/>
  <c r="B38" i="14" a="1"/>
  <c r="B38" i="14" s="1"/>
  <c r="B37" i="14" a="1"/>
  <c r="B37" i="14" s="1"/>
  <c r="B36" i="14" a="1"/>
  <c r="B36" i="14" s="1"/>
  <c r="B35" i="14" a="1"/>
  <c r="B35" i="14" s="1"/>
  <c r="B34" i="14" a="1"/>
  <c r="B34" i="14" s="1"/>
  <c r="B33" i="14" a="1"/>
  <c r="B33" i="14" s="1"/>
  <c r="B32" i="14" a="1"/>
  <c r="B32" i="14" s="1"/>
  <c r="B31" i="14"/>
  <c r="B31" i="14" a="1"/>
  <c r="B30" i="14" a="1"/>
  <c r="B30" i="14" s="1"/>
  <c r="B29" i="14" a="1"/>
  <c r="B29" i="14" s="1"/>
  <c r="B28" i="14" a="1"/>
  <c r="B28" i="14" s="1"/>
  <c r="B27" i="14" a="1"/>
  <c r="B27" i="14" s="1"/>
  <c r="B26" i="14" a="1"/>
  <c r="B26" i="14" s="1"/>
  <c r="B25" i="14" a="1"/>
  <c r="B25" i="14" s="1"/>
  <c r="B24" i="14" a="1"/>
  <c r="B24" i="14" s="1"/>
  <c r="B23" i="14" a="1"/>
  <c r="B23" i="14" s="1"/>
  <c r="B22" i="14" a="1"/>
  <c r="B22" i="14" s="1"/>
  <c r="B21" i="14" a="1"/>
  <c r="B21" i="14" s="1"/>
  <c r="B20" i="14" a="1"/>
  <c r="B20" i="14" s="1"/>
  <c r="B19" i="14" a="1"/>
  <c r="B19" i="14" s="1"/>
  <c r="B18" i="14" a="1"/>
  <c r="B18" i="14" s="1"/>
  <c r="B17" i="14" a="1"/>
  <c r="B17" i="14" s="1"/>
  <c r="B16" i="14" a="1"/>
  <c r="B16" i="14" s="1"/>
  <c r="B15" i="14" a="1"/>
  <c r="B15" i="14" s="1"/>
  <c r="B14" i="14" a="1"/>
  <c r="B14" i="14" s="1"/>
  <c r="B13" i="14" a="1"/>
  <c r="B13" i="14" s="1"/>
  <c r="B12" i="14" a="1"/>
  <c r="B12" i="14" s="1"/>
  <c r="B11" i="14" a="1"/>
  <c r="B11" i="14" s="1"/>
  <c r="B10" i="14" a="1"/>
  <c r="B10" i="14" s="1"/>
  <c r="B9" i="14" a="1"/>
  <c r="B9" i="14" s="1"/>
  <c r="B8" i="14" a="1"/>
  <c r="B8" i="14" s="1"/>
  <c r="B7" i="14" a="1"/>
  <c r="B7" i="14" s="1"/>
  <c r="B6" i="14" a="1"/>
  <c r="B6" i="14" s="1"/>
  <c r="B5" i="14" a="1"/>
  <c r="B5" i="14" s="1"/>
  <c r="B4" i="14" a="1"/>
  <c r="B4" i="14" s="1"/>
  <c r="B3" i="14" a="1"/>
  <c r="B3" i="14" s="1"/>
  <c r="B2" i="14" a="1"/>
  <c r="B2" i="14" s="1"/>
  <c r="B292" i="16" a="1"/>
  <c r="B292" i="16" s="1"/>
  <c r="B291" i="16" a="1"/>
  <c r="B291" i="16" s="1"/>
  <c r="B290" i="16" a="1"/>
  <c r="B290" i="16" s="1"/>
  <c r="B289" i="16" a="1"/>
  <c r="B289" i="16" s="1"/>
  <c r="B288" i="16" a="1"/>
  <c r="B288" i="16" s="1"/>
  <c r="B287" i="16" a="1"/>
  <c r="B287" i="16" s="1"/>
  <c r="B286" i="16" a="1"/>
  <c r="B286" i="16" s="1"/>
  <c r="B285" i="16" a="1"/>
  <c r="B285" i="16" s="1"/>
  <c r="B284" i="16" a="1"/>
  <c r="B284" i="16" s="1"/>
  <c r="B283" i="16" a="1"/>
  <c r="B283" i="16" s="1"/>
  <c r="B282" i="16" a="1"/>
  <c r="B282" i="16" s="1"/>
  <c r="B281" i="16" a="1"/>
  <c r="B281" i="16" s="1"/>
  <c r="B280" i="16" a="1"/>
  <c r="B280" i="16" s="1"/>
  <c r="B279" i="16" a="1"/>
  <c r="B279" i="16" s="1"/>
  <c r="B278" i="16" a="1"/>
  <c r="B278" i="16" s="1"/>
  <c r="B277" i="16" a="1"/>
  <c r="B277" i="16" s="1"/>
  <c r="B276" i="16" a="1"/>
  <c r="B276" i="16" s="1"/>
  <c r="B275" i="16" a="1"/>
  <c r="B275" i="16" s="1"/>
  <c r="B274" i="16" a="1"/>
  <c r="B274" i="16" s="1"/>
  <c r="B273" i="16" a="1"/>
  <c r="B273" i="16" s="1"/>
  <c r="B272" i="16" a="1"/>
  <c r="B272" i="16" s="1"/>
  <c r="B271" i="16" a="1"/>
  <c r="B271" i="16" s="1"/>
  <c r="B270" i="16" a="1"/>
  <c r="B270" i="16" s="1"/>
  <c r="B269" i="16" a="1"/>
  <c r="B269" i="16" s="1"/>
  <c r="B268" i="16" a="1"/>
  <c r="B268" i="16" s="1"/>
  <c r="B267" i="16" a="1"/>
  <c r="B267" i="16" s="1"/>
  <c r="B266" i="16" a="1"/>
  <c r="B266" i="16" s="1"/>
  <c r="B265" i="16" a="1"/>
  <c r="B265" i="16" s="1"/>
  <c r="B264" i="16" a="1"/>
  <c r="B264" i="16" s="1"/>
  <c r="B263" i="16" a="1"/>
  <c r="B263" i="16" s="1"/>
  <c r="B262" i="16" a="1"/>
  <c r="B262" i="16" s="1"/>
  <c r="B261" i="16" a="1"/>
  <c r="B261" i="16" s="1"/>
  <c r="B260" i="16" a="1"/>
  <c r="B260" i="16" s="1"/>
  <c r="B259" i="16" a="1"/>
  <c r="B259" i="16" s="1"/>
  <c r="B258" i="16" a="1"/>
  <c r="B258" i="16" s="1"/>
  <c r="B257" i="16" a="1"/>
  <c r="B257" i="16" s="1"/>
  <c r="B256" i="16" a="1"/>
  <c r="B256" i="16" s="1"/>
  <c r="B255" i="16" a="1"/>
  <c r="B255" i="16" s="1"/>
  <c r="B254" i="16" a="1"/>
  <c r="B254" i="16" s="1"/>
  <c r="B253" i="16" a="1"/>
  <c r="B253" i="16" s="1"/>
  <c r="B252" i="16" a="1"/>
  <c r="B252" i="16" s="1"/>
  <c r="B251" i="16" a="1"/>
  <c r="B251" i="16" s="1"/>
  <c r="B250" i="16" a="1"/>
  <c r="B250" i="16" s="1"/>
  <c r="B249" i="16" a="1"/>
  <c r="B249" i="16" s="1"/>
  <c r="B248" i="16" a="1"/>
  <c r="B248" i="16" s="1"/>
  <c r="B247" i="16" a="1"/>
  <c r="B247" i="16" s="1"/>
  <c r="B246" i="16" a="1"/>
  <c r="B246" i="16" s="1"/>
  <c r="B245" i="16" a="1"/>
  <c r="B245" i="16" s="1"/>
  <c r="B244" i="16" a="1"/>
  <c r="B244" i="16" s="1"/>
  <c r="B243" i="16" a="1"/>
  <c r="B243" i="16" s="1"/>
  <c r="B242" i="16" a="1"/>
  <c r="B242" i="16" s="1"/>
  <c r="B241" i="16" a="1"/>
  <c r="B241" i="16" s="1"/>
  <c r="B240" i="16" a="1"/>
  <c r="B240" i="16" s="1"/>
  <c r="B239" i="16" a="1"/>
  <c r="B239" i="16" s="1"/>
  <c r="B238" i="16" a="1"/>
  <c r="B238" i="16" s="1"/>
  <c r="B237" i="16" a="1"/>
  <c r="B237" i="16" s="1"/>
  <c r="B236" i="16" a="1"/>
  <c r="B236" i="16" s="1"/>
  <c r="B235" i="16" a="1"/>
  <c r="B235" i="16" s="1"/>
  <c r="B234" i="16" a="1"/>
  <c r="B234" i="16" s="1"/>
  <c r="B233" i="16" a="1"/>
  <c r="B233" i="16" s="1"/>
  <c r="B232" i="16" a="1"/>
  <c r="B232" i="16" s="1"/>
  <c r="B231" i="16" a="1"/>
  <c r="B231" i="16" s="1"/>
  <c r="B230" i="16" a="1"/>
  <c r="B230" i="16" s="1"/>
  <c r="B229" i="16" a="1"/>
  <c r="B229" i="16" s="1"/>
  <c r="B228" i="16" a="1"/>
  <c r="B228" i="16" s="1"/>
  <c r="B227" i="16" a="1"/>
  <c r="B227" i="16" s="1"/>
  <c r="B226" i="16" a="1"/>
  <c r="B226" i="16" s="1"/>
  <c r="B225" i="16" a="1"/>
  <c r="B225" i="16" s="1"/>
  <c r="B224" i="16" a="1"/>
  <c r="B224" i="16" s="1"/>
  <c r="B223" i="16" a="1"/>
  <c r="B223" i="16" s="1"/>
  <c r="B222" i="16" a="1"/>
  <c r="B222" i="16" s="1"/>
  <c r="B221" i="16" a="1"/>
  <c r="B221" i="16" s="1"/>
  <c r="B220" i="16" a="1"/>
  <c r="B220" i="16" s="1"/>
  <c r="B219" i="16" a="1"/>
  <c r="B219" i="16" s="1"/>
  <c r="B218" i="16" a="1"/>
  <c r="B218" i="16" s="1"/>
  <c r="B217" i="16" a="1"/>
  <c r="B217" i="16" s="1"/>
  <c r="B216" i="16" a="1"/>
  <c r="B216" i="16" s="1"/>
  <c r="B215" i="16" a="1"/>
  <c r="B215" i="16" s="1"/>
  <c r="B214" i="16" a="1"/>
  <c r="B214" i="16" s="1"/>
  <c r="B213" i="16" a="1"/>
  <c r="B213" i="16" s="1"/>
  <c r="B212" i="16" a="1"/>
  <c r="B212" i="16" s="1"/>
  <c r="B211" i="16" a="1"/>
  <c r="B211" i="16" s="1"/>
  <c r="B210" i="16" a="1"/>
  <c r="B210" i="16" s="1"/>
  <c r="B209" i="16" a="1"/>
  <c r="B209" i="16" s="1"/>
  <c r="B208" i="16" a="1"/>
  <c r="B208" i="16" s="1"/>
  <c r="B207" i="16" a="1"/>
  <c r="B207" i="16" s="1"/>
  <c r="B206" i="16" a="1"/>
  <c r="B206" i="16" s="1"/>
  <c r="B205" i="16" a="1"/>
  <c r="B205" i="16" s="1"/>
  <c r="B204" i="16" a="1"/>
  <c r="B204" i="16" s="1"/>
  <c r="B203" i="16" a="1"/>
  <c r="B203" i="16" s="1"/>
  <c r="B202" i="16" a="1"/>
  <c r="B202" i="16" s="1"/>
  <c r="B201" i="16" a="1"/>
  <c r="B201" i="16" s="1"/>
  <c r="B200" i="16" a="1"/>
  <c r="B200" i="16" s="1"/>
  <c r="B199" i="16" a="1"/>
  <c r="B199" i="16" s="1"/>
  <c r="B198" i="16" a="1"/>
  <c r="B198" i="16" s="1"/>
  <c r="B197" i="16" a="1"/>
  <c r="B197" i="16" s="1"/>
  <c r="B196" i="16" a="1"/>
  <c r="B196" i="16" s="1"/>
  <c r="B195" i="16" a="1"/>
  <c r="B195" i="16" s="1"/>
  <c r="B194" i="16" a="1"/>
  <c r="B194" i="16" s="1"/>
  <c r="B193" i="16" a="1"/>
  <c r="B193" i="16" s="1"/>
  <c r="B192" i="16" a="1"/>
  <c r="B192" i="16" s="1"/>
  <c r="B191" i="16" a="1"/>
  <c r="B191" i="16" s="1"/>
  <c r="B190" i="16" a="1"/>
  <c r="B190" i="16" s="1"/>
  <c r="B189" i="16" a="1"/>
  <c r="B189" i="16" s="1"/>
  <c r="B188" i="16" a="1"/>
  <c r="B188" i="16" s="1"/>
  <c r="B187" i="16" a="1"/>
  <c r="B187" i="16" s="1"/>
  <c r="B186" i="16" a="1"/>
  <c r="B186" i="16" s="1"/>
  <c r="B185" i="16" a="1"/>
  <c r="B185" i="16" s="1"/>
  <c r="B184" i="16" a="1"/>
  <c r="B184" i="16" s="1"/>
  <c r="B183" i="16" a="1"/>
  <c r="B183" i="16" s="1"/>
  <c r="B182" i="16" a="1"/>
  <c r="B182" i="16" s="1"/>
  <c r="B181" i="16" a="1"/>
  <c r="B181" i="16" s="1"/>
  <c r="B180" i="16" a="1"/>
  <c r="B180" i="16" s="1"/>
  <c r="B179" i="16" a="1"/>
  <c r="B179" i="16" s="1"/>
  <c r="B178" i="16" a="1"/>
  <c r="B178" i="16" s="1"/>
  <c r="B177" i="16" a="1"/>
  <c r="B177" i="16" s="1"/>
  <c r="B176" i="16" a="1"/>
  <c r="B176" i="16" s="1"/>
  <c r="B175" i="16" a="1"/>
  <c r="B175" i="16" s="1"/>
  <c r="B174" i="16" a="1"/>
  <c r="B174" i="16" s="1"/>
  <c r="B173" i="16" a="1"/>
  <c r="B173" i="16" s="1"/>
  <c r="B172" i="16" a="1"/>
  <c r="B172" i="16" s="1"/>
  <c r="B171" i="16" a="1"/>
  <c r="B171" i="16" s="1"/>
  <c r="B170" i="16" a="1"/>
  <c r="B170" i="16" s="1"/>
  <c r="B169" i="16" a="1"/>
  <c r="B169" i="16" s="1"/>
  <c r="B168" i="16" a="1"/>
  <c r="B168" i="16" s="1"/>
  <c r="B167" i="16" a="1"/>
  <c r="B167" i="16" s="1"/>
  <c r="B166" i="16" a="1"/>
  <c r="B166" i="16" s="1"/>
  <c r="B165" i="16" a="1"/>
  <c r="B165" i="16" s="1"/>
  <c r="B164" i="16" a="1"/>
  <c r="B164" i="16" s="1"/>
  <c r="B163" i="16" a="1"/>
  <c r="B163" i="16" s="1"/>
  <c r="B162" i="16" a="1"/>
  <c r="B162" i="16" s="1"/>
  <c r="B161" i="16" a="1"/>
  <c r="B161" i="16" s="1"/>
  <c r="B160" i="16" a="1"/>
  <c r="B160" i="16" s="1"/>
  <c r="B159" i="16" a="1"/>
  <c r="B159" i="16" s="1"/>
  <c r="B158" i="16" a="1"/>
  <c r="B158" i="16" s="1"/>
  <c r="B157" i="16" a="1"/>
  <c r="B157" i="16" s="1"/>
  <c r="B156" i="16" a="1"/>
  <c r="B156" i="16" s="1"/>
  <c r="B155" i="16" a="1"/>
  <c r="B155" i="16" s="1"/>
  <c r="B154" i="16" a="1"/>
  <c r="B154" i="16" s="1"/>
  <c r="B153" i="16" a="1"/>
  <c r="B153" i="16" s="1"/>
  <c r="B152" i="16" a="1"/>
  <c r="B152" i="16" s="1"/>
  <c r="B151" i="16" a="1"/>
  <c r="B151" i="16" s="1"/>
  <c r="B150" i="16" a="1"/>
  <c r="B150" i="16" s="1"/>
  <c r="B149" i="16" a="1"/>
  <c r="B149" i="16" s="1"/>
  <c r="B148" i="16" a="1"/>
  <c r="B148" i="16" s="1"/>
  <c r="B147" i="16" a="1"/>
  <c r="B147" i="16" s="1"/>
  <c r="B146" i="16" a="1"/>
  <c r="B146" i="16" s="1"/>
  <c r="B145" i="16" a="1"/>
  <c r="B145" i="16" s="1"/>
  <c r="B144" i="16" a="1"/>
  <c r="B144" i="16" s="1"/>
  <c r="B143" i="16" a="1"/>
  <c r="B143" i="16" s="1"/>
  <c r="B142" i="16" a="1"/>
  <c r="B142" i="16" s="1"/>
  <c r="B141" i="16" a="1"/>
  <c r="B141" i="16" s="1"/>
  <c r="B140" i="16" a="1"/>
  <c r="B140" i="16" s="1"/>
  <c r="B139" i="16" a="1"/>
  <c r="B139" i="16" s="1"/>
  <c r="B138" i="16" a="1"/>
  <c r="B138" i="16" s="1"/>
  <c r="B137" i="16" a="1"/>
  <c r="B137" i="16" s="1"/>
  <c r="B136" i="16" a="1"/>
  <c r="B136" i="16" s="1"/>
  <c r="B135" i="16" a="1"/>
  <c r="B135" i="16" s="1"/>
  <c r="B134" i="16" a="1"/>
  <c r="B134" i="16" s="1"/>
  <c r="B133" i="16" a="1"/>
  <c r="B133" i="16" s="1"/>
  <c r="B132" i="16" a="1"/>
  <c r="B132" i="16" s="1"/>
  <c r="B131" i="16" a="1"/>
  <c r="B131" i="16" s="1"/>
  <c r="B130" i="16" a="1"/>
  <c r="B130" i="16" s="1"/>
  <c r="B129" i="16" a="1"/>
  <c r="B129" i="16" s="1"/>
  <c r="B128" i="16" a="1"/>
  <c r="B128" i="16" s="1"/>
  <c r="B127" i="16" a="1"/>
  <c r="B127" i="16" s="1"/>
  <c r="B126" i="16" a="1"/>
  <c r="B126" i="16" s="1"/>
  <c r="B125" i="16" a="1"/>
  <c r="B125" i="16" s="1"/>
  <c r="B124" i="16" a="1"/>
  <c r="B124" i="16" s="1"/>
  <c r="B123" i="16" a="1"/>
  <c r="B123" i="16" s="1"/>
  <c r="B122" i="16" a="1"/>
  <c r="B122" i="16" s="1"/>
  <c r="B121" i="16" a="1"/>
  <c r="B121" i="16" s="1"/>
  <c r="B120" i="16" a="1"/>
  <c r="B120" i="16" s="1"/>
  <c r="B119" i="16" a="1"/>
  <c r="B119" i="16" s="1"/>
  <c r="B118" i="16" a="1"/>
  <c r="B118" i="16" s="1"/>
  <c r="B117" i="16" a="1"/>
  <c r="B117" i="16" s="1"/>
  <c r="B116" i="16" a="1"/>
  <c r="B116" i="16" s="1"/>
  <c r="B115" i="16" a="1"/>
  <c r="B115" i="16" s="1"/>
  <c r="B114" i="16" a="1"/>
  <c r="B114" i="16" s="1"/>
  <c r="B113" i="16" a="1"/>
  <c r="B113" i="16" s="1"/>
  <c r="B112" i="16" a="1"/>
  <c r="B112" i="16" s="1"/>
  <c r="B111" i="16" a="1"/>
  <c r="B111" i="16" s="1"/>
  <c r="B110" i="16" a="1"/>
  <c r="B110" i="16" s="1"/>
  <c r="B109" i="16" a="1"/>
  <c r="B109" i="16" s="1"/>
  <c r="B108" i="16" a="1"/>
  <c r="B108" i="16" s="1"/>
  <c r="B107" i="16" a="1"/>
  <c r="B107" i="16" s="1"/>
  <c r="B106" i="16" a="1"/>
  <c r="B106" i="16" s="1"/>
  <c r="B105" i="16" a="1"/>
  <c r="B105" i="16" s="1"/>
  <c r="B104" i="16" a="1"/>
  <c r="B104" i="16" s="1"/>
  <c r="B103" i="16" a="1"/>
  <c r="B103" i="16" s="1"/>
  <c r="B102" i="16" a="1"/>
  <c r="B102" i="16" s="1"/>
  <c r="B101" i="16" a="1"/>
  <c r="B101" i="16" s="1"/>
  <c r="B100" i="16" a="1"/>
  <c r="B100" i="16" s="1"/>
  <c r="B99" i="16" a="1"/>
  <c r="B99" i="16" s="1"/>
  <c r="B98" i="16" a="1"/>
  <c r="B98" i="16" s="1"/>
  <c r="B97" i="16" a="1"/>
  <c r="B97" i="16" s="1"/>
  <c r="B96" i="16" a="1"/>
  <c r="B96" i="16" s="1"/>
  <c r="B95" i="16" a="1"/>
  <c r="B95" i="16" s="1"/>
  <c r="B94" i="16" a="1"/>
  <c r="B94" i="16" s="1"/>
  <c r="B93" i="16" a="1"/>
  <c r="B93" i="16" s="1"/>
  <c r="B92" i="16" a="1"/>
  <c r="B92" i="16" s="1"/>
  <c r="B91" i="16" a="1"/>
  <c r="B91" i="16" s="1"/>
  <c r="B90" i="16" a="1"/>
  <c r="B90" i="16" s="1"/>
  <c r="B89" i="16" a="1"/>
  <c r="B89" i="16" s="1"/>
  <c r="B88" i="16" a="1"/>
  <c r="B88" i="16" s="1"/>
  <c r="B87" i="16" a="1"/>
  <c r="B87" i="16" s="1"/>
  <c r="B86" i="16" a="1"/>
  <c r="B86" i="16" s="1"/>
  <c r="B85" i="16" a="1"/>
  <c r="B85" i="16" s="1"/>
  <c r="B84" i="16" a="1"/>
  <c r="B84" i="16" s="1"/>
  <c r="B83" i="16" a="1"/>
  <c r="B83" i="16" s="1"/>
  <c r="B82" i="16" a="1"/>
  <c r="B82" i="16" s="1"/>
  <c r="B81" i="16" a="1"/>
  <c r="B81" i="16" s="1"/>
  <c r="B80" i="16" a="1"/>
  <c r="B80" i="16" s="1"/>
  <c r="B79" i="16" a="1"/>
  <c r="B79" i="16" s="1"/>
  <c r="B78" i="16" a="1"/>
  <c r="B78" i="16" s="1"/>
  <c r="B77" i="16" a="1"/>
  <c r="B77" i="16" s="1"/>
  <c r="B76" i="16" a="1"/>
  <c r="B76" i="16" s="1"/>
  <c r="B75" i="16" a="1"/>
  <c r="B75" i="16" s="1"/>
  <c r="B74" i="16" a="1"/>
  <c r="B74" i="16" s="1"/>
  <c r="B73" i="16" a="1"/>
  <c r="B73" i="16" s="1"/>
  <c r="B72" i="16" a="1"/>
  <c r="B72" i="16" s="1"/>
  <c r="B71" i="16" a="1"/>
  <c r="B71" i="16" s="1"/>
  <c r="B70" i="16" a="1"/>
  <c r="B70" i="16" s="1"/>
  <c r="B69" i="16" a="1"/>
  <c r="B69" i="16" s="1"/>
  <c r="B68" i="16" a="1"/>
  <c r="B68" i="16" s="1"/>
  <c r="B67" i="16" a="1"/>
  <c r="B67" i="16" s="1"/>
  <c r="B66" i="16" a="1"/>
  <c r="B66" i="16" s="1"/>
  <c r="B65" i="16" a="1"/>
  <c r="B65" i="16" s="1"/>
  <c r="B64" i="16" a="1"/>
  <c r="B64" i="16" s="1"/>
  <c r="B63" i="16" a="1"/>
  <c r="B63" i="16" s="1"/>
  <c r="B62" i="16" a="1"/>
  <c r="B62" i="16" s="1"/>
  <c r="B61" i="16" a="1"/>
  <c r="B61" i="16" s="1"/>
  <c r="B60" i="16" a="1"/>
  <c r="B60" i="16" s="1"/>
  <c r="B59" i="16" a="1"/>
  <c r="B59" i="16" s="1"/>
  <c r="B58" i="16" a="1"/>
  <c r="B58" i="16" s="1"/>
  <c r="B57" i="16" a="1"/>
  <c r="B57" i="16" s="1"/>
  <c r="B56" i="16" a="1"/>
  <c r="B56" i="16" s="1"/>
  <c r="B55" i="16" a="1"/>
  <c r="B55" i="16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B15" i="16" a="1"/>
  <c r="B15" i="16" s="1"/>
  <c r="B14" i="16" a="1"/>
  <c r="B14" i="16" s="1"/>
  <c r="B13" i="16" a="1"/>
  <c r="B13" i="16" s="1"/>
  <c r="B12" i="16" a="1"/>
  <c r="B12" i="16" s="1"/>
  <c r="B11" i="16" a="1"/>
  <c r="B11" i="16" s="1"/>
  <c r="B10" i="16" a="1"/>
  <c r="B10" i="16" s="1"/>
  <c r="B9" i="16" a="1"/>
  <c r="B9" i="16" s="1"/>
  <c r="B8" i="16" a="1"/>
  <c r="B8" i="16" s="1"/>
  <c r="B7" i="16" a="1"/>
  <c r="B7" i="16" s="1"/>
  <c r="B6" i="16" a="1"/>
  <c r="B6" i="16" s="1"/>
  <c r="B5" i="16" a="1"/>
  <c r="B5" i="16" s="1"/>
  <c r="B4" i="16" a="1"/>
  <c r="B4" i="16" s="1"/>
  <c r="B3" i="16" a="1"/>
  <c r="B3" i="16" s="1"/>
  <c r="B2" i="16" a="1"/>
  <c r="B2" i="16" s="1"/>
  <c r="J292" i="16" a="1"/>
  <c r="J292" i="16" s="1"/>
  <c r="J291" i="16" a="1"/>
  <c r="J291" i="16" s="1"/>
  <c r="J290" i="16" a="1"/>
  <c r="J290" i="16" s="1"/>
  <c r="J289" i="16" a="1"/>
  <c r="J289" i="16" s="1"/>
  <c r="J288" i="16" a="1"/>
  <c r="J288" i="16" s="1"/>
  <c r="J287" i="16" a="1"/>
  <c r="J287" i="16" s="1"/>
  <c r="J286" i="16" a="1"/>
  <c r="J286" i="16" s="1"/>
  <c r="J285" i="16" a="1"/>
  <c r="J285" i="16" s="1"/>
  <c r="J284" i="16" a="1"/>
  <c r="J284" i="16" s="1"/>
  <c r="J283" i="16" a="1"/>
  <c r="J283" i="16" s="1"/>
  <c r="J282" i="16" a="1"/>
  <c r="J282" i="16" s="1"/>
  <c r="J281" i="16" a="1"/>
  <c r="J281" i="16" s="1"/>
  <c r="J280" i="16" a="1"/>
  <c r="J280" i="16" s="1"/>
  <c r="J279" i="16" a="1"/>
  <c r="J279" i="16" s="1"/>
  <c r="J278" i="16" a="1"/>
  <c r="J278" i="16" s="1"/>
  <c r="J277" i="16" a="1"/>
  <c r="J277" i="16" s="1"/>
  <c r="J276" i="16" a="1"/>
  <c r="J276" i="16" s="1"/>
  <c r="J275" i="16" a="1"/>
  <c r="J275" i="16" s="1"/>
  <c r="J274" i="16" a="1"/>
  <c r="J274" i="16" s="1"/>
  <c r="J273" i="16" a="1"/>
  <c r="J273" i="16" s="1"/>
  <c r="J272" i="16" a="1"/>
  <c r="J272" i="16" s="1"/>
  <c r="J271" i="16" a="1"/>
  <c r="J271" i="16" s="1"/>
  <c r="J270" i="16" a="1"/>
  <c r="J270" i="16" s="1"/>
  <c r="J269" i="16" a="1"/>
  <c r="J269" i="16" s="1"/>
  <c r="J268" i="16" a="1"/>
  <c r="J268" i="16" s="1"/>
  <c r="J267" i="16" a="1"/>
  <c r="J267" i="16" s="1"/>
  <c r="J266" i="16" a="1"/>
  <c r="J266" i="16" s="1"/>
  <c r="J265" i="16" a="1"/>
  <c r="J265" i="16" s="1"/>
  <c r="J264" i="16" a="1"/>
  <c r="J264" i="16" s="1"/>
  <c r="J263" i="16" a="1"/>
  <c r="J263" i="16" s="1"/>
  <c r="J262" i="16" a="1"/>
  <c r="J262" i="16" s="1"/>
  <c r="J261" i="16" a="1"/>
  <c r="J261" i="16" s="1"/>
  <c r="J260" i="16" a="1"/>
  <c r="J260" i="16" s="1"/>
  <c r="J259" i="16" a="1"/>
  <c r="J259" i="16" s="1"/>
  <c r="J258" i="16" a="1"/>
  <c r="J258" i="16" s="1"/>
  <c r="J257" i="16" a="1"/>
  <c r="J257" i="16" s="1"/>
  <c r="J256" i="16" a="1"/>
  <c r="J256" i="16" s="1"/>
  <c r="J255" i="16" a="1"/>
  <c r="J255" i="16" s="1"/>
  <c r="J254" i="16" a="1"/>
  <c r="J254" i="16" s="1"/>
  <c r="J253" i="16" a="1"/>
  <c r="J253" i="16" s="1"/>
  <c r="J252" i="16" a="1"/>
  <c r="J252" i="16" s="1"/>
  <c r="J251" i="16" a="1"/>
  <c r="J251" i="16" s="1"/>
  <c r="J250" i="16" a="1"/>
  <c r="J250" i="16" s="1"/>
  <c r="J249" i="16" a="1"/>
  <c r="J249" i="16" s="1"/>
  <c r="J248" i="16" a="1"/>
  <c r="J248" i="16" s="1"/>
  <c r="J247" i="16" a="1"/>
  <c r="J247" i="16" s="1"/>
  <c r="J246" i="16" a="1"/>
  <c r="J246" i="16" s="1"/>
  <c r="J245" i="16" a="1"/>
  <c r="J245" i="16" s="1"/>
  <c r="J244" i="16" a="1"/>
  <c r="J244" i="16" s="1"/>
  <c r="J243" i="16" a="1"/>
  <c r="J243" i="16" s="1"/>
  <c r="J242" i="16" a="1"/>
  <c r="J242" i="16" s="1"/>
  <c r="J241" i="16" a="1"/>
  <c r="J241" i="16" s="1"/>
  <c r="J240" i="16" a="1"/>
  <c r="J240" i="16" s="1"/>
  <c r="J239" i="16" a="1"/>
  <c r="J239" i="16" s="1"/>
  <c r="J238" i="16" a="1"/>
  <c r="J238" i="16" s="1"/>
  <c r="J237" i="16" a="1"/>
  <c r="J237" i="16" s="1"/>
  <c r="J236" i="16" a="1"/>
  <c r="J236" i="16" s="1"/>
  <c r="J235" i="16" a="1"/>
  <c r="J235" i="16" s="1"/>
  <c r="J234" i="16" a="1"/>
  <c r="J234" i="16" s="1"/>
  <c r="J233" i="16" a="1"/>
  <c r="J233" i="16" s="1"/>
  <c r="J232" i="16" a="1"/>
  <c r="J232" i="16" s="1"/>
  <c r="J231" i="16" a="1"/>
  <c r="J231" i="16" s="1"/>
  <c r="J230" i="16" a="1"/>
  <c r="J230" i="16" s="1"/>
  <c r="J229" i="16" a="1"/>
  <c r="J229" i="16" s="1"/>
  <c r="J228" i="16" a="1"/>
  <c r="J228" i="16" s="1"/>
  <c r="J227" i="16" a="1"/>
  <c r="J227" i="16" s="1"/>
  <c r="J226" i="16" a="1"/>
  <c r="J226" i="16" s="1"/>
  <c r="J225" i="16" a="1"/>
  <c r="J225" i="16" s="1"/>
  <c r="J224" i="16" a="1"/>
  <c r="J224" i="16" s="1"/>
  <c r="J223" i="16" a="1"/>
  <c r="J223" i="16" s="1"/>
  <c r="J222" i="16" a="1"/>
  <c r="J222" i="16" s="1"/>
  <c r="J221" i="16" a="1"/>
  <c r="J221" i="16" s="1"/>
  <c r="J220" i="16" a="1"/>
  <c r="J220" i="16" s="1"/>
  <c r="J219" i="16" a="1"/>
  <c r="J219" i="16" s="1"/>
  <c r="J218" i="16" a="1"/>
  <c r="J218" i="16" s="1"/>
  <c r="J217" i="16" a="1"/>
  <c r="J217" i="16" s="1"/>
  <c r="J216" i="16" a="1"/>
  <c r="J216" i="16" s="1"/>
  <c r="J215" i="16" a="1"/>
  <c r="J215" i="16" s="1"/>
  <c r="J214" i="16" a="1"/>
  <c r="J214" i="16" s="1"/>
  <c r="J213" i="16" a="1"/>
  <c r="J213" i="16" s="1"/>
  <c r="J212" i="16" a="1"/>
  <c r="J212" i="16" s="1"/>
  <c r="J211" i="16" a="1"/>
  <c r="J211" i="16" s="1"/>
  <c r="J210" i="16" a="1"/>
  <c r="J210" i="16" s="1"/>
  <c r="J209" i="16" a="1"/>
  <c r="J209" i="16" s="1"/>
  <c r="J208" i="16" a="1"/>
  <c r="J208" i="16" s="1"/>
  <c r="J207" i="16" a="1"/>
  <c r="J207" i="16" s="1"/>
  <c r="J206" i="16" a="1"/>
  <c r="J206" i="16" s="1"/>
  <c r="J205" i="16" a="1"/>
  <c r="J205" i="16" s="1"/>
  <c r="J204" i="16" a="1"/>
  <c r="J204" i="16" s="1"/>
  <c r="J203" i="16" a="1"/>
  <c r="J203" i="16" s="1"/>
  <c r="J202" i="16" a="1"/>
  <c r="J202" i="16" s="1"/>
  <c r="J201" i="16" a="1"/>
  <c r="J201" i="16" s="1"/>
  <c r="J200" i="16" a="1"/>
  <c r="J200" i="16" s="1"/>
  <c r="J199" i="16" a="1"/>
  <c r="J199" i="16" s="1"/>
  <c r="J198" i="16" a="1"/>
  <c r="J198" i="16" s="1"/>
  <c r="J197" i="16" a="1"/>
  <c r="J197" i="16" s="1"/>
  <c r="J196" i="16" a="1"/>
  <c r="J196" i="16" s="1"/>
  <c r="J195" i="16" a="1"/>
  <c r="J195" i="16" s="1"/>
  <c r="J194" i="16" a="1"/>
  <c r="J194" i="16" s="1"/>
  <c r="J193" i="16" a="1"/>
  <c r="J193" i="16" s="1"/>
  <c r="J192" i="16" a="1"/>
  <c r="J192" i="16" s="1"/>
  <c r="J191" i="16" a="1"/>
  <c r="J191" i="16" s="1"/>
  <c r="J190" i="16" a="1"/>
  <c r="J190" i="16" s="1"/>
  <c r="J189" i="16" a="1"/>
  <c r="J189" i="16" s="1"/>
  <c r="J188" i="16" a="1"/>
  <c r="J188" i="16" s="1"/>
  <c r="J187" i="16" a="1"/>
  <c r="J187" i="16" s="1"/>
  <c r="J186" i="16" a="1"/>
  <c r="J186" i="16" s="1"/>
  <c r="J185" i="16" a="1"/>
  <c r="J185" i="16" s="1"/>
  <c r="J184" i="16" a="1"/>
  <c r="J184" i="16" s="1"/>
  <c r="J183" i="16" a="1"/>
  <c r="J183" i="16" s="1"/>
  <c r="J182" i="16" a="1"/>
  <c r="J182" i="16" s="1"/>
  <c r="J181" i="16" a="1"/>
  <c r="J181" i="16" s="1"/>
  <c r="J180" i="16" a="1"/>
  <c r="J180" i="16" s="1"/>
  <c r="J179" i="16" a="1"/>
  <c r="J179" i="16" s="1"/>
  <c r="J178" i="16" a="1"/>
  <c r="J178" i="16" s="1"/>
  <c r="J177" i="16" a="1"/>
  <c r="J177" i="16" s="1"/>
  <c r="J176" i="16" a="1"/>
  <c r="J176" i="16" s="1"/>
  <c r="J175" i="16" a="1"/>
  <c r="J175" i="16" s="1"/>
  <c r="J174" i="16" a="1"/>
  <c r="J174" i="16" s="1"/>
  <c r="J173" i="16" a="1"/>
  <c r="J173" i="16" s="1"/>
  <c r="J172" i="16" a="1"/>
  <c r="J172" i="16" s="1"/>
  <c r="J171" i="16" a="1"/>
  <c r="J171" i="16" s="1"/>
  <c r="J170" i="16" a="1"/>
  <c r="J170" i="16" s="1"/>
  <c r="J169" i="16" a="1"/>
  <c r="J169" i="16" s="1"/>
  <c r="J168" i="16" a="1"/>
  <c r="J168" i="16" s="1"/>
  <c r="J167" i="16" a="1"/>
  <c r="J167" i="16" s="1"/>
  <c r="J166" i="16" a="1"/>
  <c r="J166" i="16" s="1"/>
  <c r="J165" i="16" a="1"/>
  <c r="J165" i="16" s="1"/>
  <c r="J164" i="16" a="1"/>
  <c r="J164" i="16" s="1"/>
  <c r="J163" i="16" a="1"/>
  <c r="J163" i="16" s="1"/>
  <c r="J162" i="16" a="1"/>
  <c r="J162" i="16" s="1"/>
  <c r="J161" i="16" a="1"/>
  <c r="J161" i="16" s="1"/>
  <c r="J160" i="16" a="1"/>
  <c r="J160" i="16" s="1"/>
  <c r="J159" i="16" a="1"/>
  <c r="J159" i="16" s="1"/>
  <c r="J158" i="16" a="1"/>
  <c r="J158" i="16" s="1"/>
  <c r="J157" i="16" a="1"/>
  <c r="J157" i="16" s="1"/>
  <c r="J156" i="16" a="1"/>
  <c r="J156" i="16" s="1"/>
  <c r="J155" i="16" a="1"/>
  <c r="J155" i="16" s="1"/>
  <c r="J154" i="16" a="1"/>
  <c r="J154" i="16" s="1"/>
  <c r="J153" i="16" a="1"/>
  <c r="J153" i="16" s="1"/>
  <c r="J152" i="16" a="1"/>
  <c r="J152" i="16" s="1"/>
  <c r="J151" i="16" a="1"/>
  <c r="J151" i="16" s="1"/>
  <c r="J150" i="16" a="1"/>
  <c r="J150" i="16" s="1"/>
  <c r="J149" i="16" a="1"/>
  <c r="J149" i="16" s="1"/>
  <c r="J148" i="16" a="1"/>
  <c r="J148" i="16" s="1"/>
  <c r="J147" i="16" a="1"/>
  <c r="J147" i="16" s="1"/>
  <c r="J146" i="16" a="1"/>
  <c r="J146" i="16" s="1"/>
  <c r="J145" i="16" a="1"/>
  <c r="J145" i="16" s="1"/>
  <c r="J144" i="16" a="1"/>
  <c r="J144" i="16" s="1"/>
  <c r="J143" i="16" a="1"/>
  <c r="J143" i="16" s="1"/>
  <c r="J142" i="16" a="1"/>
  <c r="J142" i="16" s="1"/>
  <c r="J141" i="16" a="1"/>
  <c r="J141" i="16" s="1"/>
  <c r="J140" i="16" a="1"/>
  <c r="J140" i="16" s="1"/>
  <c r="J139" i="16" a="1"/>
  <c r="J139" i="16" s="1"/>
  <c r="J138" i="16" a="1"/>
  <c r="J138" i="16" s="1"/>
  <c r="J137" i="16" a="1"/>
  <c r="J137" i="16" s="1"/>
  <c r="J136" i="16" a="1"/>
  <c r="J136" i="16" s="1"/>
  <c r="J135" i="16" a="1"/>
  <c r="J135" i="16" s="1"/>
  <c r="J134" i="16" a="1"/>
  <c r="J134" i="16" s="1"/>
  <c r="J133" i="16" a="1"/>
  <c r="J133" i="16" s="1"/>
  <c r="J132" i="16" a="1"/>
  <c r="J132" i="16" s="1"/>
  <c r="J131" i="16" a="1"/>
  <c r="J131" i="16" s="1"/>
  <c r="J130" i="16" a="1"/>
  <c r="J130" i="16" s="1"/>
  <c r="J129" i="16" a="1"/>
  <c r="J129" i="16" s="1"/>
  <c r="J128" i="16" a="1"/>
  <c r="J128" i="16" s="1"/>
  <c r="J127" i="16" a="1"/>
  <c r="J127" i="16" s="1"/>
  <c r="J126" i="16" a="1"/>
  <c r="J126" i="16" s="1"/>
  <c r="J125" i="16" a="1"/>
  <c r="J125" i="16" s="1"/>
  <c r="J124" i="16" a="1"/>
  <c r="J124" i="16" s="1"/>
  <c r="J123" i="16" a="1"/>
  <c r="J123" i="16" s="1"/>
  <c r="J122" i="16" a="1"/>
  <c r="J122" i="16" s="1"/>
  <c r="J121" i="16" a="1"/>
  <c r="J121" i="16" s="1"/>
  <c r="J120" i="16" a="1"/>
  <c r="J120" i="16" s="1"/>
  <c r="J119" i="16" a="1"/>
  <c r="J119" i="16" s="1"/>
  <c r="J118" i="16" a="1"/>
  <c r="J118" i="16" s="1"/>
  <c r="J117" i="16" a="1"/>
  <c r="J117" i="16" s="1"/>
  <c r="J116" i="16" a="1"/>
  <c r="J116" i="16" s="1"/>
  <c r="J115" i="16" a="1"/>
  <c r="J115" i="16" s="1"/>
  <c r="J114" i="16" a="1"/>
  <c r="J114" i="16" s="1"/>
  <c r="J113" i="16" a="1"/>
  <c r="J113" i="16" s="1"/>
  <c r="J112" i="16" a="1"/>
  <c r="J112" i="16" s="1"/>
  <c r="J111" i="16" a="1"/>
  <c r="J111" i="16" s="1"/>
  <c r="J110" i="16" a="1"/>
  <c r="J110" i="16" s="1"/>
  <c r="J109" i="16" a="1"/>
  <c r="J109" i="16" s="1"/>
  <c r="J108" i="16" a="1"/>
  <c r="J108" i="16" s="1"/>
  <c r="J107" i="16" a="1"/>
  <c r="J107" i="16" s="1"/>
  <c r="J106" i="16" a="1"/>
  <c r="J106" i="16" s="1"/>
  <c r="J105" i="16" a="1"/>
  <c r="J105" i="16" s="1"/>
  <c r="J104" i="16" a="1"/>
  <c r="J104" i="16" s="1"/>
  <c r="J103" i="16" a="1"/>
  <c r="J103" i="16" s="1"/>
  <c r="J102" i="16" a="1"/>
  <c r="J102" i="16" s="1"/>
  <c r="J101" i="16" a="1"/>
  <c r="J101" i="16" s="1"/>
  <c r="J100" i="16" a="1"/>
  <c r="J100" i="16" s="1"/>
  <c r="J99" i="16" a="1"/>
  <c r="J99" i="16" s="1"/>
  <c r="J98" i="16" a="1"/>
  <c r="J98" i="16" s="1"/>
  <c r="J97" i="16" a="1"/>
  <c r="J97" i="16" s="1"/>
  <c r="J96" i="16" a="1"/>
  <c r="J96" i="16" s="1"/>
  <c r="J95" i="16" a="1"/>
  <c r="J95" i="16" s="1"/>
  <c r="J94" i="16" a="1"/>
  <c r="J94" i="16" s="1"/>
  <c r="J93" i="16" a="1"/>
  <c r="J93" i="16" s="1"/>
  <c r="J92" i="16" a="1"/>
  <c r="J92" i="16" s="1"/>
  <c r="J91" i="16" a="1"/>
  <c r="J91" i="16" s="1"/>
  <c r="J90" i="16" a="1"/>
  <c r="J90" i="16" s="1"/>
  <c r="J89" i="16" a="1"/>
  <c r="J89" i="16" s="1"/>
  <c r="J88" i="16" a="1"/>
  <c r="J88" i="16" s="1"/>
  <c r="J87" i="16" a="1"/>
  <c r="J87" i="16" s="1"/>
  <c r="J86" i="16" a="1"/>
  <c r="J86" i="16" s="1"/>
  <c r="J85" i="16" a="1"/>
  <c r="J85" i="16" s="1"/>
  <c r="J84" i="16" a="1"/>
  <c r="J84" i="16" s="1"/>
  <c r="J83" i="16" a="1"/>
  <c r="J83" i="16" s="1"/>
  <c r="J82" i="16" a="1"/>
  <c r="J82" i="16" s="1"/>
  <c r="J81" i="16" a="1"/>
  <c r="J81" i="16" s="1"/>
  <c r="J80" i="16"/>
  <c r="J80" i="16" a="1"/>
  <c r="J79" i="16" a="1"/>
  <c r="J79" i="16" s="1"/>
  <c r="J78" i="16" a="1"/>
  <c r="J78" i="16" s="1"/>
  <c r="J77" i="16" a="1"/>
  <c r="J77" i="16" s="1"/>
  <c r="J76" i="16" a="1"/>
  <c r="J76" i="16" s="1"/>
  <c r="J75" i="16" a="1"/>
  <c r="J75" i="16" s="1"/>
  <c r="J74" i="16" a="1"/>
  <c r="J74" i="16" s="1"/>
  <c r="J73" i="16" a="1"/>
  <c r="J73" i="16" s="1"/>
  <c r="J72" i="16" a="1"/>
  <c r="J72" i="16" s="1"/>
  <c r="J71" i="16" a="1"/>
  <c r="J71" i="16" s="1"/>
  <c r="J70" i="16" a="1"/>
  <c r="J70" i="16" s="1"/>
  <c r="J69" i="16" a="1"/>
  <c r="J69" i="16" s="1"/>
  <c r="J68" i="16" a="1"/>
  <c r="J68" i="16" s="1"/>
  <c r="J67" i="16" a="1"/>
  <c r="J67" i="16" s="1"/>
  <c r="J66" i="16" a="1"/>
  <c r="J66" i="16" s="1"/>
  <c r="J65" i="16" a="1"/>
  <c r="J65" i="16" s="1"/>
  <c r="J64" i="16" a="1"/>
  <c r="J64" i="16" s="1"/>
  <c r="J63" i="16" a="1"/>
  <c r="J63" i="16" s="1"/>
  <c r="J62" i="16" a="1"/>
  <c r="J62" i="16" s="1"/>
  <c r="J61" i="16" a="1"/>
  <c r="J61" i="16" s="1"/>
  <c r="J60" i="16" a="1"/>
  <c r="J60" i="16" s="1"/>
  <c r="J59" i="16" a="1"/>
  <c r="J59" i="16" s="1"/>
  <c r="J58" i="16" a="1"/>
  <c r="J58" i="16" s="1"/>
  <c r="J57" i="16" a="1"/>
  <c r="J57" i="16" s="1"/>
  <c r="J56" i="16" a="1"/>
  <c r="J56" i="16" s="1"/>
  <c r="J55" i="16" a="1"/>
  <c r="J55" i="16" s="1"/>
  <c r="J54" i="16" a="1"/>
  <c r="J54" i="16" s="1"/>
  <c r="J53" i="16" a="1"/>
  <c r="J53" i="16" s="1"/>
  <c r="J52" i="16" a="1"/>
  <c r="J52" i="16" s="1"/>
  <c r="J51" i="16" a="1"/>
  <c r="J51" i="16" s="1"/>
  <c r="J50" i="16" a="1"/>
  <c r="J50" i="16" s="1"/>
  <c r="J49" i="16" a="1"/>
  <c r="J49" i="16" s="1"/>
  <c r="J48" i="16" a="1"/>
  <c r="J48" i="16" s="1"/>
  <c r="J47" i="16" a="1"/>
  <c r="J47" i="16" s="1"/>
  <c r="J46" i="16" a="1"/>
  <c r="J46" i="16" s="1"/>
  <c r="J45" i="16" a="1"/>
  <c r="J45" i="16" s="1"/>
  <c r="J44" i="16" a="1"/>
  <c r="J44" i="16" s="1"/>
  <c r="J43" i="16" a="1"/>
  <c r="J43" i="16" s="1"/>
  <c r="J42" i="16" a="1"/>
  <c r="J42" i="16" s="1"/>
  <c r="J41" i="16" a="1"/>
  <c r="J41" i="16" s="1"/>
  <c r="J40" i="16" a="1"/>
  <c r="J40" i="16" s="1"/>
  <c r="J39" i="16" a="1"/>
  <c r="J39" i="16" s="1"/>
  <c r="J38" i="16" a="1"/>
  <c r="J38" i="16" s="1"/>
  <c r="J37" i="16" a="1"/>
  <c r="J37" i="16" s="1"/>
  <c r="J36" i="16" a="1"/>
  <c r="J36" i="16" s="1"/>
  <c r="J35" i="16" a="1"/>
  <c r="J35" i="16" s="1"/>
  <c r="J34" i="16" a="1"/>
  <c r="J34" i="16" s="1"/>
  <c r="J33" i="16" a="1"/>
  <c r="J33" i="16" s="1"/>
  <c r="J32" i="16" a="1"/>
  <c r="J32" i="16" s="1"/>
  <c r="J31" i="16" a="1"/>
  <c r="J31" i="16" s="1"/>
  <c r="J30" i="16" a="1"/>
  <c r="J30" i="16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5" i="16" a="1"/>
  <c r="J5" i="16" s="1"/>
  <c r="J4" i="16" a="1"/>
  <c r="J4" i="16" s="1"/>
  <c r="J3" i="16" a="1"/>
  <c r="J3" i="16" s="1"/>
  <c r="J2" i="16" a="1"/>
  <c r="J2" i="16" s="1"/>
  <c r="DD6" i="22" a="1"/>
  <c r="BA6" i="22" a="1"/>
  <c r="BI6" i="22" a="1"/>
  <c r="AZ6" i="22" a="1"/>
  <c r="AI6" i="22" a="1"/>
  <c r="CT7" i="22" a="1"/>
  <c r="CT9" i="22" a="1"/>
  <c r="CT11" i="22" a="1"/>
  <c r="AN8" i="22" a="1"/>
  <c r="AN10" i="22" a="1"/>
  <c r="AN12" i="22" a="1"/>
  <c r="BJ8" i="22" a="1"/>
  <c r="CU9" i="22" a="1"/>
  <c r="AW12" i="22" a="1"/>
  <c r="CF14" i="22" a="1"/>
  <c r="CF16" i="22" a="1"/>
  <c r="CF18" i="22" a="1"/>
  <c r="BO7" i="22" a="1"/>
  <c r="DJ9" i="22" a="1"/>
  <c r="BL12" i="22" a="1"/>
  <c r="CR14" i="22" a="1"/>
  <c r="CR16" i="22" a="1"/>
  <c r="CR18" i="22" a="1"/>
  <c r="CN9" i="22" a="1"/>
  <c r="AP12" i="22" a="1"/>
  <c r="BP14" i="22" a="1"/>
  <c r="BP16" i="22" a="1"/>
  <c r="CJ12" i="22" a="1"/>
  <c r="AS18" i="22" a="1"/>
  <c r="DB8" i="22" a="1"/>
  <c r="CO13" i="22" a="1"/>
  <c r="AB20" i="22" a="1"/>
  <c r="W12" i="22" a="1"/>
  <c r="DE17" i="22" a="1"/>
  <c r="CZ7" i="22" a="1"/>
  <c r="W13" i="22" a="1"/>
  <c r="X8" i="22" a="1"/>
  <c r="DI7" i="22" a="1"/>
  <c r="CY13" i="22" a="1"/>
  <c r="CO19" i="22" a="1"/>
  <c r="CR11" i="22" a="1"/>
  <c r="AU20" i="22" a="1"/>
  <c r="CY15" i="22" a="1"/>
  <c r="AM21" i="22" a="1"/>
  <c r="AK16" i="22" a="1"/>
  <c r="CK21" i="22" a="1"/>
  <c r="AY17" i="22" a="1"/>
  <c r="BO21" i="22" a="1"/>
  <c r="AJ13" i="22" a="1"/>
  <c r="AR21" i="22" a="1"/>
  <c r="CG9" i="22" a="1"/>
  <c r="X20" i="22" a="1"/>
  <c r="BI21" i="22" a="1"/>
  <c r="BK15" i="22" a="1"/>
  <c r="BA10" i="22" a="1"/>
  <c r="BR13" i="22" a="1"/>
  <c r="DJ20" i="22" a="1"/>
  <c r="AK9" i="22" a="1"/>
  <c r="CC17" i="22" a="1"/>
  <c r="AT11" i="22" a="1"/>
  <c r="CX14" i="22" a="1"/>
  <c r="CG21" i="22" a="1"/>
  <c r="AQ10" i="22" a="1"/>
  <c r="DI11" i="22" a="1"/>
  <c r="BS12" i="22" a="1"/>
  <c r="BI14" i="22" a="1"/>
  <c r="DJ21" i="22" a="1"/>
  <c r="BV7" i="22" a="1"/>
  <c r="BM10" i="22" a="1"/>
  <c r="BS11" i="22" a="1"/>
  <c r="CD11" i="22" a="1"/>
  <c r="CC12" i="22" a="1"/>
  <c r="CC16" i="22" a="1"/>
  <c r="DG18" i="22" a="1"/>
  <c r="U17" i="22" a="1"/>
  <c r="AI10" i="22" a="1"/>
  <c r="CH19" i="22" a="1"/>
  <c r="CL16" i="22" a="1"/>
  <c r="AA18" i="22" a="1"/>
  <c r="CC9" i="22" a="1"/>
  <c r="DN11" i="22" a="1"/>
  <c r="X18" i="21" a="1"/>
  <c r="AU20" i="21" a="1"/>
  <c r="AL9" i="21" a="1"/>
  <c r="AE21" i="21" a="1"/>
  <c r="AB17" i="21" a="1"/>
  <c r="S19" i="21" a="1"/>
  <c r="S16" i="21" a="1"/>
  <c r="W19" i="21" a="1"/>
  <c r="AQ7" i="21" a="1"/>
  <c r="AW17" i="21" a="1"/>
  <c r="AX19" i="21" a="1"/>
  <c r="AX20" i="21" a="1"/>
  <c r="AR7" i="21" a="1"/>
  <c r="Z19" i="21" a="1"/>
  <c r="H17" i="21" a="1"/>
  <c r="AO6" i="21" a="1"/>
  <c r="AH21" i="21" a="1"/>
  <c r="AS6" i="21" a="1"/>
  <c r="AW8" i="21" a="1"/>
  <c r="AR20" i="21" a="1"/>
  <c r="AL14" i="21" a="1"/>
  <c r="AG14" i="21" a="1"/>
  <c r="AX13" i="21" a="1"/>
  <c r="AE15" i="21" a="1"/>
  <c r="AD15" i="21" a="1"/>
  <c r="DN6" i="22" a="1"/>
  <c r="CH6" i="22" a="1"/>
  <c r="BS6" i="22" a="1"/>
  <c r="BJ6" i="22" a="1"/>
  <c r="AS6" i="22" a="1"/>
  <c r="DD7" i="22" a="1"/>
  <c r="DD9" i="22" a="1"/>
  <c r="DD11" i="22" a="1"/>
  <c r="AX8" i="22" a="1"/>
  <c r="AX10" i="22" a="1"/>
  <c r="AX12" i="22" a="1"/>
  <c r="BT8" i="22" a="1"/>
  <c r="DH9" i="22" a="1"/>
  <c r="BJ12" i="22" a="1"/>
  <c r="CP14" i="22" a="1"/>
  <c r="CP16" i="22" a="1"/>
  <c r="CP18" i="22" a="1"/>
  <c r="DC7" i="22" a="1"/>
  <c r="Z10" i="22" a="1"/>
  <c r="BX12" i="22" a="1"/>
  <c r="DB14" i="22" a="1"/>
  <c r="DB16" i="22" a="1"/>
  <c r="DB18" i="22" a="1"/>
  <c r="CZ9" i="22" a="1"/>
  <c r="BB12" i="22" a="1"/>
  <c r="BZ14" i="22" a="1"/>
  <c r="BZ16" i="22" a="1"/>
  <c r="DM12" i="22" a="1"/>
  <c r="BF18" i="22" a="1"/>
  <c r="AO9" i="22" a="1"/>
  <c r="W14" i="22" a="1"/>
  <c r="AM20" i="22" a="1"/>
  <c r="BU12" i="22" a="1"/>
  <c r="U18" i="22" a="1"/>
  <c r="AO8" i="22" a="1"/>
  <c r="AK13" i="22" a="1"/>
  <c r="BE8" i="22" a="1"/>
  <c r="AH8" i="22" a="1"/>
  <c r="U14" i="22" a="1"/>
  <c r="DD19" i="22" a="1"/>
  <c r="DA12" i="22" a="1"/>
  <c r="CI20" i="22" a="1"/>
  <c r="T16" i="22" a="1"/>
  <c r="DH21" i="22" a="1"/>
  <c r="BS16" i="22" a="1"/>
  <c r="CW21" i="22" a="1"/>
  <c r="CB17" i="22" a="1"/>
  <c r="CA21" i="22" a="1"/>
  <c r="BH13" i="22" a="1"/>
  <c r="BZ21" i="22" a="1"/>
  <c r="Y12" i="22" a="1"/>
  <c r="AP20" i="22" a="1"/>
  <c r="AE8" i="22" a="1"/>
  <c r="DE15" i="22" a="1"/>
  <c r="BQ11" i="22" a="1"/>
  <c r="CP13" i="22" a="1"/>
  <c r="AU21" i="22" a="1"/>
  <c r="BO9" i="22" a="1"/>
  <c r="BH18" i="22" a="1"/>
  <c r="CC11" i="22" a="1"/>
  <c r="AA15" i="22" a="1"/>
  <c r="CX21" i="22" a="1"/>
  <c r="CS10" i="22" a="1"/>
  <c r="BQ12" i="22" a="1"/>
  <c r="DL12" i="22" a="1"/>
  <c r="AZ15" i="22" a="1"/>
  <c r="CR21" i="22" a="1"/>
  <c r="CO8" i="22" a="1"/>
  <c r="S12" i="22" a="1"/>
  <c r="CA12" i="22" a="1"/>
  <c r="AC13" i="22" a="1"/>
  <c r="CC13" i="22" a="1"/>
  <c r="DG16" i="22" a="1"/>
  <c r="CA19" i="22" a="1"/>
  <c r="AV18" i="22" a="1"/>
  <c r="AT12" i="22" a="1"/>
  <c r="CC8" i="22" a="1"/>
  <c r="R18" i="22" a="1"/>
  <c r="R20" i="22" a="1"/>
  <c r="AS11" i="22" a="1"/>
  <c r="DN15" i="22" a="1"/>
  <c r="AR11" i="21" a="1"/>
  <c r="AN20" i="21" a="1"/>
  <c r="AH16" i="21" a="1"/>
  <c r="AV12" i="21" a="1"/>
  <c r="AC19" i="21" a="1"/>
  <c r="AJ21" i="21" a="1"/>
  <c r="AC11" i="21" a="1"/>
  <c r="AV18" i="21" a="1"/>
  <c r="AK19" i="21" a="1"/>
  <c r="AR17" i="21" a="1"/>
  <c r="AP9" i="21" a="1"/>
  <c r="AJ16" i="21" a="1"/>
  <c r="AD18" i="21" a="1"/>
  <c r="AO8" i="21" a="1"/>
  <c r="X17" i="21" a="1"/>
  <c r="AU12" i="21" a="1"/>
  <c r="AV11" i="21" a="1"/>
  <c r="AD6" i="21" a="1"/>
  <c r="AN10" i="21" a="1"/>
  <c r="AD8" i="21" a="1"/>
  <c r="AT14" i="21" a="1"/>
  <c r="H13" i="21" a="1"/>
  <c r="AJ13" i="21" a="1"/>
  <c r="X15" i="21" a="1"/>
  <c r="AP15" i="21" a="1"/>
  <c r="AU6" i="22" a="1"/>
  <c r="S6" i="22" a="1"/>
  <c r="BY6" i="22" a="1"/>
  <c r="CC6" i="22" a="1"/>
  <c r="BT6" i="22" a="1"/>
  <c r="BC6" i="22" a="1"/>
  <c r="R8" i="22" a="1"/>
  <c r="R10" i="22" a="1"/>
  <c r="R12" i="22" a="1"/>
  <c r="BH8" i="22" a="1"/>
  <c r="BH10" i="22" a="1"/>
  <c r="BH12" i="22" a="1"/>
  <c r="CD8" i="22" a="1"/>
  <c r="X10" i="22" a="1"/>
  <c r="BV12" i="22" a="1"/>
  <c r="CZ14" i="22" a="1"/>
  <c r="CZ16" i="22" a="1"/>
  <c r="CZ18" i="22" a="1"/>
  <c r="AU8" i="22" a="1"/>
  <c r="AM10" i="22" a="1"/>
  <c r="CV12" i="22" a="1"/>
  <c r="DL14" i="22" a="1"/>
  <c r="DL16" i="22" a="1"/>
  <c r="DL18" i="22" a="1"/>
  <c r="DL9" i="22" a="1"/>
  <c r="BN12" i="22" a="1"/>
  <c r="CJ14" i="22" a="1"/>
  <c r="CJ16" i="22" a="1"/>
  <c r="BJ13" i="22" a="1"/>
  <c r="BR18" i="22" a="1"/>
  <c r="BD9" i="22" a="1"/>
  <c r="AK14" i="22" a="1"/>
  <c r="AX20" i="22" a="1"/>
  <c r="R13" i="22" a="1"/>
  <c r="AG18" i="22" a="1"/>
  <c r="BX8" i="22" a="1"/>
  <c r="BO13" i="22" a="1"/>
  <c r="DG8" i="22" a="1"/>
  <c r="BI8" i="22" a="1"/>
  <c r="AQ14" i="22" a="1"/>
  <c r="AG20" i="22" a="1"/>
  <c r="CF13" i="22" a="1"/>
  <c r="DH20" i="22" a="1"/>
  <c r="CW16" i="22" a="1"/>
  <c r="AS7" i="22" a="1"/>
  <c r="CI16" i="22" a="1"/>
  <c r="W8" i="22" a="1"/>
  <c r="Y18" i="22" a="1"/>
  <c r="CM21" i="22" a="1"/>
  <c r="CK13" i="22" a="1"/>
  <c r="CO21" i="22" a="1"/>
  <c r="CD12" i="22" a="1"/>
  <c r="BF20" i="22" a="1"/>
  <c r="CW8" i="22" a="1"/>
  <c r="AY16" i="22" a="1"/>
  <c r="AF12" i="22" a="1"/>
  <c r="DM13" i="22" a="1"/>
  <c r="BM21" i="22" a="1"/>
  <c r="AE10" i="22" a="1"/>
  <c r="CA18" i="22" a="1"/>
  <c r="DC11" i="22" a="1"/>
  <c r="AW15" i="22" a="1"/>
  <c r="BD7" i="22" a="1"/>
  <c r="BC11" i="22" a="1"/>
  <c r="BF13" i="22" a="1"/>
  <c r="BG13" i="22" a="1"/>
  <c r="AF16" i="22" a="1"/>
  <c r="AT9" i="22" a="1"/>
  <c r="BG10" i="22" a="1"/>
  <c r="S14" i="22" a="1"/>
  <c r="AB13" i="22" a="1"/>
  <c r="DH14" i="22" a="1"/>
  <c r="AF14" i="22" a="1"/>
  <c r="AQ19" i="22" a="1"/>
  <c r="AK20" i="22" a="1"/>
  <c r="CG18" i="22" a="1"/>
  <c r="AI15" i="22" a="1"/>
  <c r="CE10" i="22" a="1"/>
  <c r="CT20" i="22" a="1"/>
  <c r="AW7" i="22" a="1"/>
  <c r="CI14" i="22" a="1"/>
  <c r="DN12" i="22" a="1"/>
  <c r="AF18" i="21" a="1"/>
  <c r="AW11" i="21" a="1"/>
  <c r="AE8" i="21" a="1"/>
  <c r="S8" i="21" a="1"/>
  <c r="AQ20" i="21" a="1"/>
  <c r="AO18" i="21" a="1"/>
  <c r="AT19" i="21" a="1"/>
  <c r="W20" i="21" a="1"/>
  <c r="Y21" i="21" a="1"/>
  <c r="AS18" i="21" a="1"/>
  <c r="AM10" i="21" a="1"/>
  <c r="AR16" i="21" a="1"/>
  <c r="AB16" i="21" a="1"/>
  <c r="AX7" i="21" a="1"/>
  <c r="AL20" i="21" a="1"/>
  <c r="AN12" i="21" a="1"/>
  <c r="Z7" i="21" a="1"/>
  <c r="X8" i="21" a="1"/>
  <c r="AM18" i="21" a="1"/>
  <c r="AE18" i="21" a="1"/>
  <c r="AV14" i="21" a="1"/>
  <c r="AN13" i="21" a="1"/>
  <c r="AA13" i="21" a="1"/>
  <c r="S15" i="21" a="1"/>
  <c r="AJ15" i="21" a="1"/>
  <c r="AW6" i="22" a="1"/>
  <c r="AC6" i="22" a="1"/>
  <c r="CO6" i="22" a="1"/>
  <c r="CM6" i="22" a="1"/>
  <c r="CD6" i="22" a="1"/>
  <c r="BM6" i="22" a="1"/>
  <c r="AB8" i="22" a="1"/>
  <c r="AB10" i="22" a="1"/>
  <c r="AB12" i="22" a="1"/>
  <c r="BR8" i="22" a="1"/>
  <c r="BR10" i="22" a="1"/>
  <c r="BR12" i="22" a="1"/>
  <c r="CN8" i="22" a="1"/>
  <c r="AJ10" i="22" a="1"/>
  <c r="CS12" i="22" a="1"/>
  <c r="DJ14" i="22" a="1"/>
  <c r="DJ16" i="22" a="1"/>
  <c r="DJ18" i="22" a="1"/>
  <c r="CI8" i="22" a="1"/>
  <c r="AZ10" i="22" a="1"/>
  <c r="DG12" i="22" a="1"/>
  <c r="Z15" i="22" a="1"/>
  <c r="Z17" i="22" a="1"/>
  <c r="Z19" i="22" a="1"/>
  <c r="AC10" i="22" a="1"/>
  <c r="BZ12" i="22" a="1"/>
  <c r="CT14" i="22" a="1"/>
  <c r="CT16" i="22" a="1"/>
  <c r="DB13" i="22" a="1"/>
  <c r="CD18" i="22" a="1"/>
  <c r="CM9" i="22" a="1"/>
  <c r="BO14" i="22" a="1"/>
  <c r="BI20" i="22" a="1"/>
  <c r="AW13" i="22" a="1"/>
  <c r="AU18" i="22" a="1"/>
  <c r="CP8" i="22" a="1"/>
  <c r="CD13" i="22" a="1"/>
  <c r="BI9" i="22" a="1"/>
  <c r="CE8" i="22" a="1"/>
  <c r="CA14" i="22" a="1"/>
  <c r="BG20" i="22" a="1"/>
  <c r="BJ14" i="22" a="1"/>
  <c r="Y21" i="22" a="1"/>
  <c r="DM16" i="22" a="1"/>
  <c r="DK7" i="22" a="1"/>
  <c r="AW17" i="22" a="1"/>
  <c r="BO8" i="22" a="1"/>
  <c r="BA18" i="22" a="1"/>
  <c r="CY21" i="22" a="1"/>
  <c r="DK13" i="22" a="1"/>
  <c r="DE21" i="22" a="1"/>
  <c r="DH12" i="22" a="1"/>
  <c r="CO20" i="22" a="1"/>
  <c r="AF9" i="22" a="1"/>
  <c r="BW16" i="22" a="1"/>
  <c r="CQ14" i="22" a="1"/>
  <c r="AU14" i="22" a="1"/>
  <c r="CS21" i="22" a="1"/>
  <c r="BC10" i="22" a="1"/>
  <c r="CV18" i="22" a="1"/>
  <c r="AH12" i="22" a="1"/>
  <c r="BS15" i="22" a="1"/>
  <c r="CF9" i="22" a="1"/>
  <c r="DF12" i="22" a="1"/>
  <c r="DF13" i="22" a="1"/>
  <c r="BH14" i="22" a="1"/>
  <c r="AN17" i="22" a="1"/>
  <c r="DK11" i="22" a="1"/>
  <c r="BK11" i="22" a="1"/>
  <c r="BM14" i="22" a="1"/>
  <c r="BX13" i="22" a="1"/>
  <c r="DF16" i="22" a="1"/>
  <c r="AP16" i="22" a="1"/>
  <c r="BZ19" i="22" a="1"/>
  <c r="BP20" i="22" a="1"/>
  <c r="AE15" i="22" a="1"/>
  <c r="CK18" i="22" a="1"/>
  <c r="CZ13" i="22" a="1"/>
  <c r="BE21" i="22" a="1"/>
  <c r="CW12" i="22" a="1"/>
  <c r="AX18" i="22" a="1"/>
  <c r="DN8" i="22" a="1"/>
  <c r="AQ16" i="21" a="1"/>
  <c r="AA12" i="21" a="1"/>
  <c r="AH20" i="21" a="1"/>
  <c r="AB11" i="21" a="1"/>
  <c r="AD11" i="21" a="1"/>
  <c r="X21" i="21" a="1"/>
  <c r="AV6" i="21" a="1"/>
  <c r="AO19" i="21" a="1"/>
  <c r="AE20" i="21" a="1"/>
  <c r="AF10" i="21" a="1"/>
  <c r="AD7" i="21" a="1"/>
  <c r="W8" i="21" a="1"/>
  <c r="AP19" i="21" a="1"/>
  <c r="AM9" i="21" a="1"/>
  <c r="AN21" i="21" a="1"/>
  <c r="AO16" i="21" a="1"/>
  <c r="AX9" i="21" a="1"/>
  <c r="AJ17" i="21" a="1"/>
  <c r="AN8" i="21" a="1"/>
  <c r="R21" i="21" a="1"/>
  <c r="AR14" i="21" a="1"/>
  <c r="AB13" i="21" a="1"/>
  <c r="Z13" i="21" a="1"/>
  <c r="H15" i="21" a="1"/>
  <c r="DG6" i="22" a="1"/>
  <c r="AV8" i="22" a="1"/>
  <c r="AM6" i="22" a="1"/>
  <c r="AT6" i="22" a="1"/>
  <c r="CW6" i="22" a="1"/>
  <c r="CN6" i="22" a="1"/>
  <c r="BW6" i="22" a="1"/>
  <c r="AL8" i="22" a="1"/>
  <c r="AL10" i="22" a="1"/>
  <c r="AL12" i="22" a="1"/>
  <c r="CB8" i="22" a="1"/>
  <c r="CB10" i="22" a="1"/>
  <c r="CB12" i="22" a="1"/>
  <c r="AM7" i="22" a="1"/>
  <c r="AW10" i="22" a="1"/>
  <c r="DD12" i="22" a="1"/>
  <c r="X15" i="22" a="1"/>
  <c r="X17" i="22" a="1"/>
  <c r="X19" i="22" a="1"/>
  <c r="CI12" i="22" a="1"/>
  <c r="BL10" i="22" a="1"/>
  <c r="V13" i="22" a="1"/>
  <c r="AJ15" i="22" a="1"/>
  <c r="AJ17" i="22" a="1"/>
  <c r="AJ19" i="22" a="1"/>
  <c r="AP10" i="22" a="1"/>
  <c r="CM12" i="22" a="1"/>
  <c r="DD14" i="22" a="1"/>
  <c r="DD16" i="22" a="1"/>
  <c r="AY14" i="22" a="1"/>
  <c r="CQ18" i="22" a="1"/>
  <c r="DB9" i="22" a="1"/>
  <c r="CB14" i="22" a="1"/>
  <c r="BT20" i="22" a="1"/>
  <c r="BK13" i="22" a="1"/>
  <c r="BG18" i="22" a="1"/>
  <c r="AA9" i="22" a="1"/>
  <c r="DH13" i="22" a="1"/>
  <c r="DG9" i="22" a="1"/>
  <c r="DA8" i="22" a="1"/>
  <c r="CU14" i="22" a="1"/>
  <c r="BU20" i="22" a="1"/>
  <c r="CC14" i="22" a="1"/>
  <c r="AX21" i="22" a="1"/>
  <c r="BJ17" i="22" a="1"/>
  <c r="BM8" i="22" a="1"/>
  <c r="BZ17" i="22" a="1"/>
  <c r="AI9" i="22" a="1"/>
  <c r="CU18" i="22" a="1"/>
  <c r="DK21" i="22" a="1"/>
  <c r="AM14" i="22" a="1"/>
  <c r="AG7" i="22" a="1"/>
  <c r="CL13" i="22" a="1"/>
  <c r="AS21" i="22" a="1"/>
  <c r="BK9" i="22" a="1"/>
  <c r="BY17" i="22" a="1"/>
  <c r="DF15" i="22" a="1"/>
  <c r="BT14" i="22" a="1"/>
  <c r="DI21" i="22" a="1"/>
  <c r="DM10" i="22" a="1"/>
  <c r="R19" i="22" a="1"/>
  <c r="BO12" i="22" a="1"/>
  <c r="CO15" i="22" a="1"/>
  <c r="BA11" i="22" a="1"/>
  <c r="BF14" i="22" a="1"/>
  <c r="BG14" i="22" a="1"/>
  <c r="DA14" i="22" a="1"/>
  <c r="AM18" i="22" a="1"/>
  <c r="BS13" i="22" a="1"/>
  <c r="DE14" i="22" a="1"/>
  <c r="DG14" i="22" a="1"/>
  <c r="AC14" i="22" a="1"/>
  <c r="AQ17" i="22" a="1"/>
  <c r="AV17" i="22" a="1"/>
  <c r="CY19" i="22" a="1"/>
  <c r="CN20" i="22" a="1"/>
  <c r="CG16" i="22" a="1"/>
  <c r="BC21" i="22" a="1"/>
  <c r="BW15" i="22" a="1"/>
  <c r="CQ10" i="22" a="1"/>
  <c r="DG15" i="22" a="1"/>
  <c r="AN20" i="22" a="1"/>
  <c r="H14" i="22" a="1"/>
  <c r="AL17" i="21" a="1"/>
  <c r="H16" i="21" a="1"/>
  <c r="AW10" i="21" a="1"/>
  <c r="AC16" i="21" a="1"/>
  <c r="S21" i="21" a="1"/>
  <c r="AM16" i="21" a="1"/>
  <c r="AS11" i="21" a="1"/>
  <c r="X16" i="21" a="1"/>
  <c r="R17" i="21" a="1"/>
  <c r="AS20" i="21" a="1"/>
  <c r="AP16" i="21" a="1"/>
  <c r="AP12" i="21" a="1"/>
  <c r="AU10" i="21" a="1"/>
  <c r="AM6" i="21" a="1"/>
  <c r="AU19" i="21" a="1"/>
  <c r="AV19" i="21" a="1"/>
  <c r="AF21" i="21" a="1"/>
  <c r="W7" i="21" a="1"/>
  <c r="AS9" i="21" a="1"/>
  <c r="AX17" i="21" a="1"/>
  <c r="AF14" i="21" a="1"/>
  <c r="AC13" i="21" a="1"/>
  <c r="R13" i="21" a="1"/>
  <c r="AO15" i="21" a="1"/>
  <c r="BG6" i="22" a="1"/>
  <c r="T6" i="22" a="1"/>
  <c r="AQ6" i="22" a="1"/>
  <c r="DH6" i="22" a="1"/>
  <c r="CQ6" i="22" a="1"/>
  <c r="BF8" i="22" a="1"/>
  <c r="BF10" i="22" a="1"/>
  <c r="BF12" i="22" a="1"/>
  <c r="CV8" i="22" a="1"/>
  <c r="CV10" i="22" a="1"/>
  <c r="V7" i="22" a="1"/>
  <c r="CA7" i="22" a="1"/>
  <c r="BV10" i="22" a="1"/>
  <c r="AE13" i="22" a="1"/>
  <c r="AR15" i="22" a="1"/>
  <c r="AR17" i="22" a="1"/>
  <c r="AR19" i="22" a="1"/>
  <c r="CU13" i="22" a="1"/>
  <c r="CK10" i="22" a="1"/>
  <c r="AR13" i="22" a="1"/>
  <c r="BD15" i="22" a="1"/>
  <c r="BD17" i="22" a="1"/>
  <c r="BD19" i="22" a="1"/>
  <c r="BN10" i="22" a="1"/>
  <c r="DI12" i="22" a="1"/>
  <c r="AB15" i="22" a="1"/>
  <c r="AB17" i="22" a="1"/>
  <c r="AF15" i="22" a="1"/>
  <c r="T19" i="22" a="1"/>
  <c r="BD10" i="22" a="1"/>
  <c r="T15" i="22" a="1"/>
  <c r="CP20" i="22" a="1"/>
  <c r="DC13" i="22" a="1"/>
  <c r="CE18" i="22" a="1"/>
  <c r="BY9" i="22" a="1"/>
  <c r="BD14" i="22" a="1"/>
  <c r="DG10" i="22" a="1"/>
  <c r="AY9" i="22" a="1"/>
  <c r="AY15" i="22" a="1"/>
  <c r="X21" i="22" a="1"/>
  <c r="S16" i="22" a="1"/>
  <c r="DG21" i="22" a="1"/>
  <c r="AK18" i="22" a="1"/>
  <c r="AG9" i="22" a="1"/>
  <c r="V18" i="22" a="1"/>
  <c r="AU10" i="22" a="1"/>
  <c r="BE19" i="22" a="1"/>
  <c r="BW7" i="22" a="1"/>
  <c r="BI15" i="22" a="1"/>
  <c r="BS14" i="22" a="1"/>
  <c r="BQ14" i="22" a="1"/>
  <c r="CP21" i="22" a="1"/>
  <c r="S10" i="22" a="1"/>
  <c r="DK17" i="22" a="1"/>
  <c r="CU17" i="22" a="1"/>
  <c r="AP15" i="22" a="1"/>
  <c r="AH9" i="22" a="1"/>
  <c r="DA11" i="22" a="1"/>
  <c r="CV20" i="22" a="1"/>
  <c r="S13" i="22" a="1"/>
  <c r="AP17" i="22" a="1"/>
  <c r="BG12" i="22" a="1"/>
  <c r="CB15" i="22" a="1"/>
  <c r="BJ16" i="22" a="1"/>
  <c r="AE17" i="22" a="1"/>
  <c r="CV19" i="22" a="1"/>
  <c r="Y16" i="22" a="1"/>
  <c r="BQ17" i="22" a="1"/>
  <c r="DE16" i="22" a="1"/>
  <c r="CS15" i="22" a="1"/>
  <c r="BY18" i="22" a="1"/>
  <c r="AQ18" i="22" a="1"/>
  <c r="BS21" i="22" a="1"/>
  <c r="AV21" i="22" a="1"/>
  <c r="BR20" i="22" a="1"/>
  <c r="CJ19" i="22" a="1"/>
  <c r="BV20" i="22" a="1"/>
  <c r="BU21" i="22" a="1"/>
  <c r="CC21" i="22" a="1"/>
  <c r="CP7" i="22" a="1"/>
  <c r="H19" i="22" a="1"/>
  <c r="AH6" i="21" a="1"/>
  <c r="R18" i="21" a="1"/>
  <c r="AT16" i="21" a="1"/>
  <c r="AA19" i="21" a="1"/>
  <c r="AR9" i="21" a="1"/>
  <c r="Y20" i="21" a="1"/>
  <c r="AI7" i="21" a="1"/>
  <c r="W9" i="21" a="1"/>
  <c r="Z18" i="21" a="1"/>
  <c r="AA11" i="21" a="1"/>
  <c r="AQ19" i="21" a="1"/>
  <c r="AI18" i="21" a="1"/>
  <c r="AE12" i="21" a="1"/>
  <c r="R16" i="21" a="1"/>
  <c r="AM21" i="21" a="1"/>
  <c r="AV21" i="21" a="1"/>
  <c r="AA8" i="21" a="1"/>
  <c r="AQ9" i="21" a="1"/>
  <c r="Z8" i="21" a="1"/>
  <c r="AP7" i="21" a="1"/>
  <c r="AS14" i="21" a="1"/>
  <c r="AD13" i="21" a="1"/>
  <c r="AI13" i="21" a="1"/>
  <c r="AX15" i="21" a="1"/>
  <c r="BQ6" i="22" a="1"/>
  <c r="AD6" i="22" a="1"/>
  <c r="CY6" i="22" a="1"/>
  <c r="CE6" i="22" a="1"/>
  <c r="DA6" i="22" a="1"/>
  <c r="BP8" i="22" a="1"/>
  <c r="BP10" i="22" a="1"/>
  <c r="BP12" i="22" a="1"/>
  <c r="DF8" i="22" a="1"/>
  <c r="DF10" i="22" a="1"/>
  <c r="AF7" i="22" a="1"/>
  <c r="CO7" i="22" a="1"/>
  <c r="CH10" i="22" a="1"/>
  <c r="AP13" i="22" a="1"/>
  <c r="BB15" i="22" a="1"/>
  <c r="BB17" i="22" a="1"/>
  <c r="BB19" i="22" a="1"/>
  <c r="BC7" i="22" a="1"/>
  <c r="CX10" i="22" a="1"/>
  <c r="BC13" i="22" a="1"/>
  <c r="BN15" i="22" a="1"/>
  <c r="BN17" i="22" a="1"/>
  <c r="BN19" i="22" a="1"/>
  <c r="CA10" i="22" a="1"/>
  <c r="X13" i="22" a="1"/>
  <c r="AL15" i="22" a="1"/>
  <c r="AC7" i="22" a="1"/>
  <c r="BT15" i="22" a="1"/>
  <c r="AF19" i="22" a="1"/>
  <c r="CM10" i="22" a="1"/>
  <c r="AU15" i="22" a="1"/>
  <c r="DB20" i="22" a="1"/>
  <c r="AZ14" i="22" a="1"/>
  <c r="CS18" i="22" a="1"/>
  <c r="CP9" i="22" a="1"/>
  <c r="BR14" i="22" a="1"/>
  <c r="BI11" i="22" a="1"/>
  <c r="DM9" i="22" a="1"/>
  <c r="CW15" i="22" a="1"/>
  <c r="AK21" i="22" a="1"/>
  <c r="BQ16" i="22" a="1"/>
  <c r="AR7" i="22" a="1"/>
  <c r="BM18" i="22" a="1"/>
  <c r="U10" i="22" a="1"/>
  <c r="AY18" i="22" a="1"/>
  <c r="AI11" i="22" a="1"/>
  <c r="BT19" i="22" a="1"/>
  <c r="Y8" i="22" a="1"/>
  <c r="CC15" i="22" a="1"/>
  <c r="AO15" i="22" a="1"/>
  <c r="DI14" i="22" a="1"/>
  <c r="CU7" i="22" a="1"/>
  <c r="AY10" i="22" a="1"/>
  <c r="BC18" i="22" a="1"/>
  <c r="CT18" i="22" a="1"/>
  <c r="CK15" i="22" a="1"/>
  <c r="CD10" i="22" a="1"/>
  <c r="BM12" i="22" a="1"/>
  <c r="S21" i="22" a="1"/>
  <c r="AU13" i="22" a="1"/>
  <c r="W18" i="22" a="1"/>
  <c r="AM15" i="22" a="1"/>
  <c r="V16" i="22" a="1"/>
  <c r="CU16" i="22" a="1"/>
  <c r="BP17" i="22" a="1"/>
  <c r="CH20" i="22" a="1"/>
  <c r="BK16" i="22" a="1"/>
  <c r="BP18" i="22" a="1"/>
  <c r="AO18" i="22" a="1"/>
  <c r="AM16" i="22" a="1"/>
  <c r="DA18" i="22" a="1"/>
  <c r="BY19" i="22" a="1"/>
  <c r="X7" i="22" a="1"/>
  <c r="BT21" i="22" a="1"/>
  <c r="DM18" i="22" a="1"/>
  <c r="BS20" i="22" a="1"/>
  <c r="AL14" i="22" a="1"/>
  <c r="V17" i="22" a="1"/>
  <c r="BB7" i="22" a="1"/>
  <c r="AU11" i="22" a="1"/>
  <c r="DN20" i="22" a="1"/>
  <c r="AA18" i="21" a="1"/>
  <c r="AA6" i="21" a="1"/>
  <c r="H20" i="21" a="1"/>
  <c r="AI10" i="21" a="1"/>
  <c r="AS12" i="21" a="1"/>
  <c r="AM19" i="21" a="1"/>
  <c r="AJ18" i="21" a="1"/>
  <c r="Y18" i="21" a="1"/>
  <c r="AG9" i="21" a="1"/>
  <c r="AB7" i="21" a="1"/>
  <c r="R8" i="21" a="1"/>
  <c r="AB12" i="21" a="1"/>
  <c r="AP21" i="21" a="1"/>
  <c r="AO20" i="21" a="1"/>
  <c r="X7" i="21" a="1"/>
  <c r="AN17" i="21" a="1"/>
  <c r="AU17" i="21" a="1"/>
  <c r="R12" i="21" a="1"/>
  <c r="X19" i="21" a="1"/>
  <c r="AC12" i="21" a="1"/>
  <c r="H14" i="21" a="1"/>
  <c r="AU13" i="21" a="1"/>
  <c r="W13" i="21" a="1"/>
  <c r="AI15" i="21" a="1"/>
  <c r="CK6" i="22" a="1"/>
  <c r="AX6" i="22" a="1"/>
  <c r="Z6" i="22" a="1"/>
  <c r="X6" i="22" a="1"/>
  <c r="BD6" i="22" a="1"/>
  <c r="CJ8" i="22" a="1"/>
  <c r="CJ10" i="22" a="1"/>
  <c r="AD7" i="22" a="1"/>
  <c r="AD9" i="22" a="1"/>
  <c r="AD11" i="22" a="1"/>
  <c r="AZ7" i="22" a="1"/>
  <c r="AG8" i="22" a="1"/>
  <c r="DH10" i="22" a="1"/>
  <c r="BL13" i="22" a="1"/>
  <c r="BV15" i="22" a="1"/>
  <c r="BV17" i="22" a="1"/>
  <c r="BV19" i="22" a="1"/>
  <c r="AI8" i="22" a="1"/>
  <c r="Z11" i="22" a="1"/>
  <c r="BY13" i="22" a="1"/>
  <c r="CH15" i="22" a="1"/>
  <c r="CH17" i="22" a="1"/>
  <c r="BE7" i="22" a="1"/>
  <c r="CZ10" i="22" a="1"/>
  <c r="AT13" i="22" a="1"/>
  <c r="BF15" i="22" a="1"/>
  <c r="CE7" i="22" a="1"/>
  <c r="AZ16" i="22" a="1"/>
  <c r="BF19" i="22" a="1"/>
  <c r="AO11" i="22" a="1"/>
  <c r="CI15" i="22" a="1"/>
  <c r="AE7" i="22" a="1"/>
  <c r="AG15" i="22" a="1"/>
  <c r="U19" i="22" a="1"/>
  <c r="AR10" i="22" a="1"/>
  <c r="DF14" i="22" a="1"/>
  <c r="BI12" i="22" a="1"/>
  <c r="BK10" i="22" a="1"/>
  <c r="AX16" i="22" a="1"/>
  <c r="BJ21" i="22" a="1"/>
  <c r="DK16" i="22" a="1"/>
  <c r="BL8" i="22" a="1"/>
  <c r="DF18" i="22" a="1"/>
  <c r="AG11" i="22" a="1"/>
  <c r="Y19" i="22" a="1"/>
  <c r="AU12" i="22" a="1"/>
  <c r="DH19" i="22" a="1"/>
  <c r="CQ8" i="22" a="1"/>
  <c r="DH16" i="22" a="1"/>
  <c r="DI16" i="22" a="1"/>
  <c r="DC15" i="22" a="1"/>
  <c r="CQ11" i="22" a="1"/>
  <c r="AK11" i="22" a="1"/>
  <c r="BU19" i="22" a="1"/>
  <c r="BW19" i="22" a="1"/>
  <c r="BC16" i="22" a="1"/>
  <c r="DK12" i="22" a="1"/>
  <c r="CT13" i="22" a="1"/>
  <c r="BP21" i="22" a="1"/>
  <c r="DG7" i="22" a="1"/>
  <c r="CC18" i="22" a="1"/>
  <c r="CM16" i="22" a="1"/>
  <c r="BO17" i="22" a="1"/>
  <c r="AC18" i="22" a="1"/>
  <c r="BO18" i="22" a="1"/>
  <c r="BY7" i="22" a="1"/>
  <c r="AI17" i="22" a="1"/>
  <c r="DK20" i="22" a="1"/>
  <c r="AN19" i="22" a="1"/>
  <c r="AP18" i="22" a="1"/>
  <c r="CX19" i="22" a="1"/>
  <c r="CM20" i="22" a="1"/>
  <c r="DM8" i="22" a="1"/>
  <c r="AJ7" i="22" a="1"/>
  <c r="U9" i="22" a="1"/>
  <c r="AV14" i="22" a="1"/>
  <c r="BX21" i="22" a="1"/>
  <c r="CE9" i="22" a="1"/>
  <c r="AA17" i="22" a="1"/>
  <c r="W21" i="22" a="1"/>
  <c r="H17" i="22" a="1"/>
  <c r="AK10" i="21" a="1"/>
  <c r="AG8" i="21" a="1"/>
  <c r="AM7" i="21" a="1"/>
  <c r="S18" i="21" a="1"/>
  <c r="AW20" i="21" a="1"/>
  <c r="AT17" i="21" a="1"/>
  <c r="S17" i="21" a="1"/>
  <c r="AK11" i="21" a="1"/>
  <c r="Z12" i="21" a="1"/>
  <c r="X12" i="21" a="1"/>
  <c r="AB19" i="21" a="1"/>
  <c r="AW7" i="21" a="1"/>
  <c r="AH10" i="21" a="1"/>
  <c r="AF16" i="21" a="1"/>
  <c r="AK12" i="21" a="1"/>
  <c r="AV8" i="21" a="1"/>
  <c r="R19" i="21" a="1"/>
  <c r="AB8" i="21" a="1"/>
  <c r="AK16" i="21" a="1"/>
  <c r="AX12" i="21" a="1"/>
  <c r="AD14" i="21" a="1"/>
  <c r="AL13" i="21" a="1"/>
  <c r="AP13" i="21" a="1"/>
  <c r="AA15" i="21" a="1"/>
  <c r="X11" i="22" a="1"/>
  <c r="BE13" i="22" a="1"/>
  <c r="BD11" i="22" a="1"/>
  <c r="BU15" i="22" a="1"/>
  <c r="BY10" i="22" a="1"/>
  <c r="DC12" i="22" a="1"/>
  <c r="DA10" i="22" a="1"/>
  <c r="BV21" i="22" a="1"/>
  <c r="BI17" i="22" a="1"/>
  <c r="AM19" i="22" a="1"/>
  <c r="U12" i="22" a="1"/>
  <c r="BA19" i="22" a="1"/>
  <c r="Y20" i="22" a="1"/>
  <c r="Y9" i="22" a="1"/>
  <c r="BA17" i="22" a="1"/>
  <c r="AC16" i="22" a="1"/>
  <c r="BI13" i="22" a="1"/>
  <c r="DE19" i="22" a="1"/>
  <c r="DG19" i="22" a="1"/>
  <c r="U15" i="22" a="1"/>
  <c r="Y14" i="22" a="1"/>
  <c r="CE21" i="22" a="1"/>
  <c r="CU6" i="22" a="1"/>
  <c r="BH6" i="22" a="1"/>
  <c r="DL6" i="22" a="1"/>
  <c r="AH6" i="22" a="1"/>
  <c r="BE6" i="22" a="1"/>
  <c r="CT8" i="22" a="1"/>
  <c r="CT10" i="22" a="1"/>
  <c r="AN7" i="22" a="1"/>
  <c r="AN9" i="22" a="1"/>
  <c r="AN11" i="22" a="1"/>
  <c r="BJ7" i="22" a="1"/>
  <c r="BG8" i="22" a="1"/>
  <c r="BW13" i="22" a="1"/>
  <c r="CF15" i="22" a="1"/>
  <c r="CF17" i="22" a="1"/>
  <c r="CF19" i="22" a="1"/>
  <c r="BW8" i="22" a="1"/>
  <c r="AM11" i="22" a="1"/>
  <c r="CJ13" i="22" a="1"/>
  <c r="CR15" i="22" a="1"/>
  <c r="CR17" i="22" a="1"/>
  <c r="CS7" i="22" a="1"/>
  <c r="DL10" i="22" a="1"/>
  <c r="BP15" i="22" a="1"/>
  <c r="DL7" i="22" a="1"/>
  <c r="CN16" i="22" a="1"/>
  <c r="BR19" i="22" a="1"/>
  <c r="CV15" i="22" a="1"/>
  <c r="AU7" i="22" a="1"/>
  <c r="AG19" i="22" a="1"/>
  <c r="AK15" i="22" a="1"/>
  <c r="CE16" i="22" a="1"/>
  <c r="DE8" i="22" a="1"/>
  <c r="AD13" i="22" a="1"/>
  <c r="BC17" i="22" a="1"/>
  <c r="BO11" i="22" a="1"/>
  <c r="CS16" i="22" a="1"/>
  <c r="BF6" i="22" a="1"/>
  <c r="AK6" i="22" a="1"/>
  <c r="DF6" i="22" a="1"/>
  <c r="CI6" i="22" a="1"/>
  <c r="CF6" i="22" a="1"/>
  <c r="AV7" i="22" a="1"/>
  <c r="AV9" i="22" a="1"/>
  <c r="AV11" i="22" a="1"/>
  <c r="CL7" i="22" a="1"/>
  <c r="CL9" i="22" a="1"/>
  <c r="CL11" i="22" a="1"/>
  <c r="DH7" i="22" a="1"/>
  <c r="AJ9" i="22" a="1"/>
  <c r="CH11" i="22" a="1"/>
  <c r="AE14" i="22" a="1"/>
  <c r="AH16" i="22" a="1"/>
  <c r="AH18" i="22" a="1"/>
  <c r="CH8" i="22" a="1"/>
  <c r="AZ9" i="22" a="1"/>
  <c r="CX11" i="22" a="1"/>
  <c r="AR14" i="22" a="1"/>
  <c r="AT16" i="22" a="1"/>
  <c r="AT18" i="22" a="1"/>
  <c r="AC9" i="22" a="1"/>
  <c r="CA11" i="22" a="1"/>
  <c r="DI13" i="22" a="1"/>
  <c r="R16" i="22" a="1"/>
  <c r="BT10" i="22" a="1"/>
  <c r="CD17" i="22" a="1"/>
  <c r="BL7" i="22" a="1"/>
  <c r="CK12" i="22" a="1"/>
  <c r="DC16" i="22" a="1"/>
  <c r="BU9" i="22" a="1"/>
  <c r="AU17" i="22" a="1"/>
  <c r="CQ19" i="22" a="1"/>
  <c r="CP11" i="22" a="1"/>
  <c r="AD16" i="22" a="1"/>
  <c r="W15" i="22" a="1"/>
  <c r="BK12" i="22" a="1"/>
  <c r="BZ18" i="22" a="1"/>
  <c r="BK8" i="22" a="1"/>
  <c r="CN18" i="22" a="1"/>
  <c r="DB12" i="22" a="1"/>
  <c r="AV20" i="22" a="1"/>
  <c r="DA13" i="22" a="1"/>
  <c r="AA21" i="22" a="1"/>
  <c r="V15" i="22" a="1"/>
  <c r="CY20" i="22" a="1"/>
  <c r="CY10" i="22" a="1"/>
  <c r="CK19" i="22" a="1"/>
  <c r="AT21" i="22" a="1"/>
  <c r="DI17" i="22" a="1"/>
  <c r="AL17" i="22" a="1"/>
  <c r="AM13" i="22" a="1"/>
  <c r="BK21" i="22" a="1"/>
  <c r="BQ8" i="22" a="1"/>
  <c r="DK18" i="22" a="1"/>
  <c r="BE18" i="22" a="1"/>
  <c r="BQ15" i="22" a="1"/>
  <c r="CA8" i="22" a="1"/>
  <c r="AX13" i="22" a="1"/>
  <c r="CX20" i="22" a="1"/>
  <c r="S20" i="22" a="1"/>
  <c r="CH21" i="22" a="1"/>
  <c r="DD21" i="22" a="1"/>
  <c r="CJ21" i="22" a="1"/>
  <c r="DA17" i="22" a="1"/>
  <c r="BB20" i="22" a="1"/>
  <c r="AK19" i="22" a="1"/>
  <c r="AW8" i="22" a="1"/>
  <c r="BQ10" i="22" a="1"/>
  <c r="AY8" i="22" a="1"/>
  <c r="CN12" i="22" a="1"/>
  <c r="CX15" i="22" a="1"/>
  <c r="AO13" i="22" a="1"/>
  <c r="AU16" i="22" a="1"/>
  <c r="AT20" i="22" a="1"/>
  <c r="BD8" i="22" a="1"/>
  <c r="BH17" i="22" a="1"/>
  <c r="AF21" i="22" a="1"/>
  <c r="DN19" i="22" a="1"/>
  <c r="AF19" i="21" a="1"/>
  <c r="Z10" i="21" a="1"/>
  <c r="AU7" i="21" a="1"/>
  <c r="AQ21" i="21" a="1"/>
  <c r="AT8" i="21" a="1"/>
  <c r="AR19" i="21" a="1"/>
  <c r="AT21" i="21" a="1"/>
  <c r="AQ6" i="21" a="1"/>
  <c r="AB10" i="21" a="1"/>
  <c r="X20" i="21" a="1"/>
  <c r="Z11" i="21" a="1"/>
  <c r="S7" i="21" a="1"/>
  <c r="AN7" i="21" a="1"/>
  <c r="AE19" i="21" a="1"/>
  <c r="AK8" i="21" a="1"/>
  <c r="AD20" i="21" a="1"/>
  <c r="AO11" i="21" a="1"/>
  <c r="AW19" i="21" a="1"/>
  <c r="R6" i="21" a="1"/>
  <c r="AA7" i="21" a="1"/>
  <c r="AB14" i="21" a="1"/>
  <c r="AE14" i="21" a="1"/>
  <c r="S13" i="21" a="1"/>
  <c r="AW15" i="21" a="1"/>
  <c r="AL15" i="21" a="1"/>
  <c r="R6" i="22" a="1"/>
  <c r="CL6" i="22" a="1"/>
  <c r="BV6" i="22" a="1"/>
  <c r="BF9" i="22" a="1"/>
  <c r="CV7" i="22" a="1"/>
  <c r="CV11" i="22" a="1"/>
  <c r="AW9" i="22" a="1"/>
  <c r="AP14" i="22" a="1"/>
  <c r="AR18" i="22" a="1"/>
  <c r="BL9" i="22" a="1"/>
  <c r="BC14" i="22" a="1"/>
  <c r="BD18" i="22" a="1"/>
  <c r="CN11" i="22" a="1"/>
  <c r="AB16" i="22" a="1"/>
  <c r="CQ17" i="22" a="1"/>
  <c r="CZ12" i="22" a="1"/>
  <c r="W10" i="22" a="1"/>
  <c r="CQ20" i="22" a="1"/>
  <c r="BE16" i="22" a="1"/>
  <c r="CE12" i="22" a="1"/>
  <c r="DC8" i="22" a="1"/>
  <c r="CG13" i="22" a="1"/>
  <c r="AA14" i="22" a="1"/>
  <c r="BE15" i="22" a="1"/>
  <c r="AH11" i="22" a="1"/>
  <c r="BI7" i="22" a="1"/>
  <c r="CM18" i="22" a="1"/>
  <c r="CB21" i="22" a="1"/>
  <c r="CM19" i="22" a="1"/>
  <c r="CN15" i="22" a="1"/>
  <c r="U13" i="22" a="1"/>
  <c r="AB18" i="22" a="1"/>
  <c r="BJ19" i="22" a="1"/>
  <c r="CX18" i="22" a="1"/>
  <c r="BN21" i="22" a="1"/>
  <c r="BA9" i="22" a="1"/>
  <c r="BR21" i="22" a="1"/>
  <c r="CF11" i="22" a="1"/>
  <c r="BD21" i="22" a="1"/>
  <c r="BQ20" i="22" a="1"/>
  <c r="AF11" i="22" a="1"/>
  <c r="DN10" i="22" a="1"/>
  <c r="W6" i="21" a="1"/>
  <c r="AJ12" i="21" a="1"/>
  <c r="AC10" i="21" a="1"/>
  <c r="AE9" i="21" a="1"/>
  <c r="AQ8" i="21" a="1"/>
  <c r="AH12" i="21" a="1"/>
  <c r="AV17" i="21" a="1"/>
  <c r="AL8" i="21" a="1"/>
  <c r="AI16" i="21" a="1"/>
  <c r="AJ7" i="21" a="1"/>
  <c r="AL16" i="21" a="1"/>
  <c r="AP14" i="21" a="1"/>
  <c r="AO13" i="21" a="1"/>
  <c r="AY6" i="22" a="1"/>
  <c r="CU10" i="22" a="1"/>
  <c r="DJ10" i="22" a="1"/>
  <c r="BX19" i="22" a="1"/>
  <c r="AS19" i="22" a="1"/>
  <c r="BH15" i="22" a="1"/>
  <c r="DG11" i="22" a="1"/>
  <c r="CO18" i="22" a="1"/>
  <c r="AN15" i="22" a="1"/>
  <c r="AQ11" i="22" a="1"/>
  <c r="DC21" i="22" a="1"/>
  <c r="AG12" i="22" a="1"/>
  <c r="AV19" i="22" a="1"/>
  <c r="AL18" i="21" a="1"/>
  <c r="AI17" i="21" a="1"/>
  <c r="AR18" i="21" a="1"/>
  <c r="DM6" i="22" a="1"/>
  <c r="AJ20" i="22" a="1"/>
  <c r="CY9" i="22" a="1"/>
  <c r="AD15" i="22" a="1"/>
  <c r="AS10" i="21" a="1"/>
  <c r="AA14" i="21" a="1"/>
  <c r="BO16" i="22" a="1"/>
  <c r="AG19" i="21" a="1"/>
  <c r="AB7" i="22" a="1"/>
  <c r="AG17" i="22" a="1"/>
  <c r="CO17" i="22" a="1"/>
  <c r="AD20" i="22" a="1"/>
  <c r="CI11" i="22" a="1"/>
  <c r="AG17" i="21" a="1"/>
  <c r="AB6" i="22" a="1"/>
  <c r="CV6" i="22" a="1"/>
  <c r="CP6" i="22" a="1"/>
  <c r="BP9" i="22" a="1"/>
  <c r="DF7" i="22" a="1"/>
  <c r="DF11" i="22" a="1"/>
  <c r="BJ9" i="22" a="1"/>
  <c r="BA14" i="22" a="1"/>
  <c r="BB18" i="22" a="1"/>
  <c r="BX9" i="22" a="1"/>
  <c r="BN14" i="22" a="1"/>
  <c r="BN18" i="22" a="1"/>
  <c r="CZ11" i="22" a="1"/>
  <c r="AL16" i="22" a="1"/>
  <c r="DD17" i="22" a="1"/>
  <c r="AH13" i="22" a="1"/>
  <c r="BU10" i="22" a="1"/>
  <c r="CQ21" i="22" a="1"/>
  <c r="BR16" i="22" a="1"/>
  <c r="CY12" i="22" a="1"/>
  <c r="CR9" i="22" a="1"/>
  <c r="BK14" i="22" a="1"/>
  <c r="CW14" i="22" a="1"/>
  <c r="CM15" i="22" a="1"/>
  <c r="BM11" i="22" a="1"/>
  <c r="CR7" i="22" a="1"/>
  <c r="AE19" i="22" a="1"/>
  <c r="CY8" i="22" a="1"/>
  <c r="AA20" i="22" a="1"/>
  <c r="AI16" i="22" a="1"/>
  <c r="CW13" i="22" a="1"/>
  <c r="AA19" i="22" a="1"/>
  <c r="T20" i="22" a="1"/>
  <c r="CL21" i="22" a="1"/>
  <c r="DF21" i="22" a="1"/>
  <c r="DE9" i="22" a="1"/>
  <c r="W7" i="22" a="1"/>
  <c r="CP12" i="22" a="1"/>
  <c r="CR10" i="22" a="1"/>
  <c r="CK16" i="22" a="1"/>
  <c r="AX14" i="22" a="1"/>
  <c r="H16" i="22" a="1"/>
  <c r="Y8" i="21" a="1"/>
  <c r="AE6" i="21" a="1"/>
  <c r="AI9" i="21" a="1"/>
  <c r="AS8" i="21" a="1"/>
  <c r="AU16" i="21" a="1"/>
  <c r="AP8" i="21" a="1"/>
  <c r="AR21" i="21" a="1"/>
  <c r="W16" i="21" a="1"/>
  <c r="W21" i="21" a="1"/>
  <c r="AC7" i="21" a="1"/>
  <c r="AF20" i="21" a="1"/>
  <c r="AW14" i="21" a="1"/>
  <c r="AT13" i="21" a="1"/>
  <c r="T9" i="22" a="1"/>
  <c r="AI13" i="22" a="1"/>
  <c r="AG16" i="22" a="1"/>
  <c r="AI19" i="22" a="1"/>
  <c r="BG7" i="22" a="1"/>
  <c r="AS20" i="22" a="1"/>
  <c r="AA16" i="21" a="1"/>
  <c r="AJ14" i="21" a="1"/>
  <c r="CZ15" i="22" a="1"/>
  <c r="AA11" i="22" a="1"/>
  <c r="CS19" i="22" a="1"/>
  <c r="BT18" i="22" a="1"/>
  <c r="CB20" i="22" a="1"/>
  <c r="CW18" i="22" a="1"/>
  <c r="BV13" i="22" a="1"/>
  <c r="DH17" i="22" a="1"/>
  <c r="H20" i="22" a="1"/>
  <c r="AG12" i="21" a="1"/>
  <c r="X11" i="21" a="1"/>
  <c r="AJ19" i="21" a="1"/>
  <c r="AM13" i="21" a="1"/>
  <c r="DA20" i="22" a="1"/>
  <c r="AN18" i="22" a="1"/>
  <c r="AN18" i="21" a="1"/>
  <c r="CX7" i="22" a="1"/>
  <c r="AW18" i="22" a="1"/>
  <c r="DM17" i="22" a="1"/>
  <c r="CH7" i="22" a="1"/>
  <c r="AI12" i="21" a="1"/>
  <c r="S14" i="21" a="1"/>
  <c r="AL6" i="22" a="1"/>
  <c r="U6" i="22" a="1"/>
  <c r="CZ6" i="22" a="1"/>
  <c r="BZ9" i="22" a="1"/>
  <c r="T8" i="22" a="1"/>
  <c r="T12" i="22" a="1"/>
  <c r="BV9" i="22" a="1"/>
  <c r="BL14" i="22" a="1"/>
  <c r="BL18" i="22" a="1"/>
  <c r="CK9" i="22" a="1"/>
  <c r="BX14" i="22" a="1"/>
  <c r="BX18" i="22" a="1"/>
  <c r="DL11" i="22" a="1"/>
  <c r="AV16" i="22" a="1"/>
  <c r="T18" i="22" a="1"/>
  <c r="AV13" i="22" a="1"/>
  <c r="W11" i="22" a="1"/>
  <c r="AH7" i="22" a="1"/>
  <c r="BS7" i="22" a="1"/>
  <c r="Y13" i="22" a="1"/>
  <c r="CF10" i="22" a="1"/>
  <c r="CD14" i="22" a="1"/>
  <c r="BA15" i="22" a="1"/>
  <c r="AO16" i="22" a="1"/>
  <c r="CO11" i="22" a="1"/>
  <c r="AC8" i="22" a="1"/>
  <c r="Z20" i="22" a="1"/>
  <c r="BM9" i="22" a="1"/>
  <c r="BK20" i="22" a="1"/>
  <c r="CA16" i="22" a="1"/>
  <c r="AB14" i="22" a="1"/>
  <c r="BI19" i="22" a="1"/>
  <c r="BA20" i="22" a="1"/>
  <c r="AU9" i="22" a="1"/>
  <c r="DA16" i="22" a="1"/>
  <c r="BO10" i="22" a="1"/>
  <c r="DK8" i="22" a="1"/>
  <c r="CE13" i="22" a="1"/>
  <c r="CA15" i="22" a="1"/>
  <c r="W17" i="22" a="1"/>
  <c r="Y17" i="22" a="1"/>
  <c r="DN7" i="22" a="1"/>
  <c r="Z20" i="21" a="1"/>
  <c r="W18" i="21" a="1"/>
  <c r="AG7" i="21" a="1"/>
  <c r="AP10" i="21" a="1"/>
  <c r="AP17" i="21" a="1"/>
  <c r="AX8" i="21" a="1"/>
  <c r="AA10" i="21" a="1"/>
  <c r="AB21" i="21" a="1"/>
  <c r="AS19" i="21" a="1"/>
  <c r="AC21" i="21" a="1"/>
  <c r="AQ11" i="21" a="1"/>
  <c r="AO14" i="21" a="1"/>
  <c r="AU15" i="21" a="1"/>
  <c r="CG6" i="22" a="1"/>
  <c r="BL19" i="22" a="1"/>
  <c r="AT7" i="22" a="1"/>
  <c r="AA10" i="22" a="1"/>
  <c r="CV16" i="22" a="1"/>
  <c r="CC10" i="22" a="1"/>
  <c r="DK15" i="22" a="1"/>
  <c r="CQ15" i="22" a="1"/>
  <c r="AX17" i="22" a="1"/>
  <c r="DN13" i="22" a="1"/>
  <c r="AN6" i="21" a="1"/>
  <c r="AK9" i="21" a="1"/>
  <c r="AK15" i="21" a="1"/>
  <c r="R11" i="22" a="1"/>
  <c r="BQ18" i="22" a="1"/>
  <c r="AH7" i="21" a="1"/>
  <c r="V20" i="22" a="1"/>
  <c r="AW21" i="21" a="1"/>
  <c r="W6" i="22" a="1"/>
  <c r="CB16" i="22" a="1"/>
  <c r="DJ12" i="22" a="1"/>
  <c r="BD20" i="22" a="1"/>
  <c r="DN18" i="22" a="1"/>
  <c r="AH19" i="21" a="1"/>
  <c r="AV6" i="22" a="1"/>
  <c r="AE6" i="22" a="1"/>
  <c r="DJ6" i="22" a="1"/>
  <c r="CJ9" i="22" a="1"/>
  <c r="AD8" i="22" a="1"/>
  <c r="AD12" i="22" a="1"/>
  <c r="CH9" i="22" a="1"/>
  <c r="BV14" i="22" a="1"/>
  <c r="BV18" i="22" a="1"/>
  <c r="CX9" i="22" a="1"/>
  <c r="CH14" i="22" a="1"/>
  <c r="CH18" i="22" a="1"/>
  <c r="AC12" i="22" a="1"/>
  <c r="BF16" i="22" a="1"/>
  <c r="AF18" i="22" a="1"/>
  <c r="BZ13" i="22" a="1"/>
  <c r="BU11" i="22" a="1"/>
  <c r="AY7" i="22" a="1"/>
  <c r="CI7" i="22" a="1"/>
  <c r="AQ13" i="22" a="1"/>
  <c r="DC10" i="22" a="1"/>
  <c r="CG15" i="22" a="1"/>
  <c r="BR15" i="22" a="1"/>
  <c r="BU16" i="22" a="1"/>
  <c r="BA12" i="22" a="1"/>
  <c r="CS8" i="22" a="1"/>
  <c r="CR20" i="22" a="1"/>
  <c r="CO9" i="22" a="1"/>
  <c r="CS20" i="22" a="1"/>
  <c r="AO17" i="22" a="1"/>
  <c r="BB14" i="22" a="1"/>
  <c r="AG21" i="22" a="1"/>
  <c r="CC20" i="22" a="1"/>
  <c r="Z13" i="22" a="1"/>
  <c r="BC20" i="22" a="1"/>
  <c r="U11" i="22" a="1"/>
  <c r="DI9" i="22" a="1"/>
  <c r="AH14" i="22" a="1"/>
  <c r="W19" i="22" a="1"/>
  <c r="AZ17" i="22" a="1"/>
  <c r="CZ20" i="22" a="1"/>
  <c r="DN14" i="22" a="1"/>
  <c r="AG18" i="21" a="1"/>
  <c r="AX10" i="21" a="1"/>
  <c r="AH9" i="21" a="1"/>
  <c r="AK6" i="21" a="1"/>
  <c r="AL19" i="21" a="1"/>
  <c r="Z21" i="21" a="1"/>
  <c r="AQ17" i="21" a="1"/>
  <c r="AM11" i="21" a="1"/>
  <c r="AF9" i="21" a="1"/>
  <c r="AL11" i="21" a="1"/>
  <c r="AQ12" i="21" a="1"/>
  <c r="W14" i="21" a="1"/>
  <c r="R15" i="21" a="1"/>
  <c r="AR15" i="21" a="1"/>
  <c r="AP7" i="22" a="1"/>
  <c r="CB18" i="22" a="1"/>
  <c r="BT17" i="22" a="1"/>
  <c r="AH11" i="21" a="1"/>
  <c r="AG21" i="21" a="1"/>
  <c r="AA6" i="22" a="1"/>
  <c r="BY16" i="22" a="1"/>
  <c r="AV20" i="21" a="1"/>
  <c r="CY17" i="22" a="1"/>
  <c r="CA17" i="22" a="1"/>
  <c r="S19" i="22" a="1"/>
  <c r="AC17" i="22" a="1"/>
  <c r="BM19" i="22" a="1"/>
  <c r="AF20" i="22" a="1"/>
  <c r="AH10" i="22" a="1"/>
  <c r="AJ11" i="21" a="1"/>
  <c r="AR6" i="21" a="1"/>
  <c r="AF17" i="21" a="1"/>
  <c r="AM14" i="21" a="1"/>
  <c r="AF13" i="21" a="1"/>
  <c r="DE6" i="22" a="1"/>
  <c r="AL11" i="22" a="1"/>
  <c r="CB9" i="22" a="1"/>
  <c r="BV11" i="22" a="1"/>
  <c r="X16" i="22" a="1"/>
  <c r="CK11" i="22" a="1"/>
  <c r="AJ16" i="22" a="1"/>
  <c r="CX13" i="22" a="1"/>
  <c r="DA21" i="22" a="1"/>
  <c r="BY11" i="22" a="1"/>
  <c r="CE14" i="22" a="1"/>
  <c r="AI20" i="22" a="1"/>
  <c r="BZ20" i="22" a="1"/>
  <c r="AD19" i="22" a="1"/>
  <c r="CY7" i="22" a="1"/>
  <c r="AR8" i="22" a="1"/>
  <c r="CX16" i="22" a="1"/>
  <c r="BE20" i="22" a="1"/>
  <c r="S9" i="22" a="1"/>
  <c r="X9" i="21" a="1"/>
  <c r="AG20" i="21" a="1"/>
  <c r="BP6" i="22" a="1"/>
  <c r="AO6" i="22" a="1"/>
  <c r="Y6" i="22" a="1"/>
  <c r="AV10" i="22" a="1"/>
  <c r="CL8" i="22" a="1"/>
  <c r="CL12" i="22" a="1"/>
  <c r="BJ10" i="22" a="1"/>
  <c r="AH15" i="22" a="1"/>
  <c r="AH19" i="22" a="1"/>
  <c r="BX10" i="22" a="1"/>
  <c r="AT15" i="22" a="1"/>
  <c r="AT19" i="22" a="1"/>
  <c r="CX12" i="22" a="1"/>
  <c r="R17" i="22" a="1"/>
  <c r="DD18" i="22" a="1"/>
  <c r="DC14" i="22" a="1"/>
  <c r="CA13" i="22" a="1"/>
  <c r="AR9" i="22" a="1"/>
  <c r="BI10" i="22" a="1"/>
  <c r="DK14" i="22" a="1"/>
  <c r="CE15" i="22" a="1"/>
  <c r="CM17" i="22" a="1"/>
  <c r="DC17" i="22" a="1"/>
  <c r="AB19" i="22" a="1"/>
  <c r="CL14" i="22" a="1"/>
  <c r="AN14" i="22" a="1"/>
  <c r="CI9" i="22" a="1"/>
  <c r="S17" i="22" a="1"/>
  <c r="BU7" i="22" a="1"/>
  <c r="DI19" i="22" a="1"/>
  <c r="BY14" i="22" a="1"/>
  <c r="CF21" i="22" a="1"/>
  <c r="AJ21" i="22" a="1"/>
  <c r="R14" i="22" a="1"/>
  <c r="AM8" i="22" a="1"/>
  <c r="BU14" i="22" a="1"/>
  <c r="CE11" i="22" a="1"/>
  <c r="CD16" i="22" a="1"/>
  <c r="CD9" i="22" a="1"/>
  <c r="CG11" i="22" a="1"/>
  <c r="BW9" i="22" a="1"/>
  <c r="H13" i="22" a="1"/>
  <c r="AN9" i="21" a="1"/>
  <c r="AJ6" i="21" a="1"/>
  <c r="S6" i="21" a="1"/>
  <c r="AW6" i="21" a="1"/>
  <c r="AD12" i="21" a="1"/>
  <c r="AN19" i="21" a="1"/>
  <c r="AS16" i="21" a="1"/>
  <c r="AR10" i="21" a="1"/>
  <c r="AW16" i="21" a="1"/>
  <c r="S12" i="21" a="1"/>
  <c r="AD16" i="21" a="1"/>
  <c r="AQ14" i="21" a="1"/>
  <c r="BZ10" i="22" a="1"/>
  <c r="BX15" i="22" a="1"/>
  <c r="CO14" i="22" a="1"/>
  <c r="BT16" i="22" a="1"/>
  <c r="AY21" i="22" a="1"/>
  <c r="DC9" i="22" a="1"/>
  <c r="AG10" i="22" a="1"/>
  <c r="H18" i="21" a="1"/>
  <c r="AM12" i="21" a="1"/>
  <c r="BH9" i="22" a="1"/>
  <c r="AK17" i="22" a="1"/>
  <c r="BQ19" i="22" a="1"/>
  <c r="X6" i="21" a="1"/>
  <c r="CL18" i="22" a="1"/>
  <c r="CJ18" i="22" a="1"/>
  <c r="AC9" i="21" a="1"/>
  <c r="DL8" i="22" a="1"/>
  <c r="CW20" i="22" a="1"/>
  <c r="BJ18" i="22" a="1"/>
  <c r="BV8" i="22" a="1"/>
  <c r="AS17" i="21" a="1"/>
  <c r="AC15" i="21" a="1"/>
  <c r="BZ6" i="22" a="1"/>
  <c r="BL15" i="22" a="1"/>
  <c r="CI19" i="22" a="1"/>
  <c r="AI8" i="21" a="1"/>
  <c r="CB13" i="22" a="1"/>
  <c r="DM21" i="22" a="1"/>
  <c r="CI13" i="22" a="1"/>
  <c r="Y9" i="21" a="1"/>
  <c r="AO14" i="22" a="1"/>
  <c r="V21" i="22" a="1"/>
  <c r="H19" i="21" a="1"/>
  <c r="CJ6" i="22" a="1"/>
  <c r="DI6" i="22" a="1"/>
  <c r="DK6" i="22" a="1"/>
  <c r="DD10" i="22" a="1"/>
  <c r="AX9" i="22" a="1"/>
  <c r="BT7" i="22" a="1"/>
  <c r="AJ11" i="22" a="1"/>
  <c r="CP15" i="22" a="1"/>
  <c r="Z7" i="22" a="1"/>
  <c r="AZ11" i="22" a="1"/>
  <c r="DB15" i="22" a="1"/>
  <c r="AK8" i="22" a="1"/>
  <c r="BP13" i="22" a="1"/>
  <c r="CK8" i="22" a="1"/>
  <c r="CD19" i="22" a="1"/>
  <c r="AA16" i="22" a="1"/>
  <c r="DI15" i="22" a="1"/>
  <c r="CP10" i="22" a="1"/>
  <c r="AZ13" i="22" a="1"/>
  <c r="AD17" i="22" a="1"/>
  <c r="CL17" i="22" a="1"/>
  <c r="BP19" i="22" a="1"/>
  <c r="DF19" i="22" a="1"/>
  <c r="AL20" i="22" a="1"/>
  <c r="AZ18" i="22" a="1"/>
  <c r="AW16" i="22" a="1"/>
  <c r="AE12" i="22" a="1"/>
  <c r="AR20" i="22" a="1"/>
  <c r="BM15" i="22" a="1"/>
  <c r="CV21" i="22" a="1"/>
  <c r="BI18" i="22" a="1"/>
  <c r="U8" i="22" a="1"/>
  <c r="Z8" i="22" a="1"/>
  <c r="BM16" i="22" a="1"/>
  <c r="BW12" i="22" a="1"/>
  <c r="AO19" i="22" a="1"/>
  <c r="DG17" i="22" a="1"/>
  <c r="CG17" i="22" a="1"/>
  <c r="BK17" i="22" a="1"/>
  <c r="CC19" i="22" a="1"/>
  <c r="DC20" i="22" a="1"/>
  <c r="DN9" i="22" a="1"/>
  <c r="AX6" i="21" a="1"/>
  <c r="AM17" i="21" a="1"/>
  <c r="AT11" i="21" a="1"/>
  <c r="AM8" i="21" a="1"/>
  <c r="R7" i="21" a="1"/>
  <c r="AA9" i="21" a="1"/>
  <c r="AF12" i="21" a="1"/>
  <c r="AN16" i="21" a="1"/>
  <c r="AG6" i="21" a="1"/>
  <c r="AB6" i="21" a="1"/>
  <c r="AS21" i="21" a="1"/>
  <c r="AN14" i="21" a="1"/>
  <c r="AB15" i="21" a="1"/>
  <c r="CT6" i="22" a="1"/>
  <c r="CD7" i="22" a="1"/>
  <c r="BN7" i="22" a="1"/>
  <c r="BL11" i="22" a="1"/>
  <c r="DL15" i="22" a="1"/>
  <c r="BY8" i="22" a="1"/>
  <c r="V9" i="22" a="1"/>
  <c r="DA19" i="22" a="1"/>
  <c r="AN16" i="22" a="1"/>
  <c r="BA16" i="22" a="1"/>
  <c r="CR13" i="22" a="1"/>
  <c r="BW17" i="22" a="1"/>
  <c r="AZ20" i="22" a="1"/>
  <c r="BC12" i="22" a="1"/>
  <c r="AQ15" i="22" a="1"/>
  <c r="AH20" i="22" a="1"/>
  <c r="AJ20" i="21" a="1"/>
  <c r="AO21" i="21" a="1"/>
  <c r="Z15" i="21" a="1"/>
  <c r="AR11" i="22" a="1"/>
  <c r="DN21" i="22" a="1"/>
  <c r="Y15" i="21" a="1"/>
  <c r="AT8" i="22" a="1"/>
  <c r="BK18" i="22" a="1"/>
  <c r="DJ19" i="22" a="1"/>
  <c r="CT21" i="22" a="1"/>
  <c r="Z16" i="21" a="1"/>
  <c r="AV13" i="21" a="1"/>
  <c r="AW11" i="22" a="1"/>
  <c r="S18" i="22" a="1"/>
  <c r="U16" i="22" a="1"/>
  <c r="CF12" i="22" a="1"/>
  <c r="U21" i="22" a="1"/>
  <c r="R9" i="21" a="1"/>
  <c r="CA6" i="22" a="1"/>
  <c r="DC6" i="22" a="1"/>
  <c r="R7" i="22" a="1"/>
  <c r="AB11" i="22" a="1"/>
  <c r="BR9" i="22" a="1"/>
  <c r="CN7" i="22" a="1"/>
  <c r="BJ11" i="22" a="1"/>
  <c r="DJ15" i="22" a="1"/>
  <c r="DB7" i="22" a="1"/>
  <c r="BX11" i="22" a="1"/>
  <c r="Z16" i="22" a="1"/>
  <c r="CZ8" i="22" a="1"/>
  <c r="CM13" i="22" a="1"/>
  <c r="BT9" i="22" a="1"/>
  <c r="CO16" i="22" a="1"/>
  <c r="AI18" i="22" a="1"/>
  <c r="BX20" i="22" a="1"/>
  <c r="BM20" i="22" a="1"/>
  <c r="BU17" i="22" a="1"/>
  <c r="AI7" i="22" a="1"/>
  <c r="BX7" i="22" a="1"/>
  <c r="CW10" i="22" a="1"/>
  <c r="AB21" i="22" a="1"/>
  <c r="S9" i="21" a="1"/>
  <c r="V10" i="22" a="1"/>
  <c r="BU6" i="22" a="1"/>
  <c r="DB6" i="22" a="1"/>
  <c r="AL7" i="22" a="1"/>
  <c r="BF11" i="22" a="1"/>
  <c r="CV9" i="22" a="1"/>
  <c r="V8" i="22" a="1"/>
  <c r="CU11" i="22" a="1"/>
  <c r="AR16" i="22" a="1"/>
  <c r="CH12" i="22" a="1"/>
  <c r="DJ11" i="22" a="1"/>
  <c r="BD16" i="22" a="1"/>
  <c r="AP9" i="22" a="1"/>
  <c r="X14" i="22" a="1"/>
  <c r="V11" i="22" a="1"/>
  <c r="CW7" i="22" a="1"/>
  <c r="T17" i="22" a="1"/>
  <c r="BG17" i="22" a="1"/>
  <c r="AA12" i="22" a="1"/>
  <c r="S7" i="22" a="1"/>
  <c r="DC18" i="22" a="1"/>
  <c r="AL19" i="22" a="1"/>
  <c r="BJ20" i="22" a="1"/>
  <c r="AN21" i="22" a="1"/>
  <c r="R21" i="22" a="1"/>
  <c r="CZ19" i="22" a="1"/>
  <c r="AE18" i="22" a="1"/>
  <c r="BM13" i="22" a="1"/>
  <c r="DI10" i="22" a="1"/>
  <c r="BC19" i="22" a="1"/>
  <c r="DI8" i="22" a="1"/>
  <c r="AY20" i="22" a="1"/>
  <c r="CN19" i="22" a="1"/>
  <c r="CW17" i="22" a="1"/>
  <c r="AO21" i="22" a="1"/>
  <c r="DL20" i="22" a="1"/>
  <c r="CN21" i="22" a="1"/>
  <c r="BS10" i="22" a="1"/>
  <c r="CM7" i="22" a="1"/>
  <c r="CK17" i="22" a="1"/>
  <c r="CO10" i="22" a="1"/>
  <c r="BD13" i="22" a="1"/>
  <c r="DN17" i="22" a="1"/>
  <c r="W12" i="21" a="1"/>
  <c r="AL6" i="21" a="1"/>
  <c r="AI19" i="21" a="1"/>
  <c r="AC17" i="21" a="1"/>
  <c r="AC6" i="21" a="1"/>
  <c r="AT6" i="21" a="1"/>
  <c r="AE16" i="21" a="1"/>
  <c r="Y6" i="21" a="1"/>
  <c r="AV10" i="21" a="1"/>
  <c r="AQ10" i="21" a="1"/>
  <c r="X14" i="21" a="1"/>
  <c r="X13" i="21" a="1"/>
  <c r="AN15" i="21" a="1"/>
  <c r="AK13" i="21" a="1"/>
  <c r="AF6" i="22" a="1"/>
  <c r="AJ6" i="22" a="1"/>
  <c r="AG6" i="22" a="1"/>
  <c r="BF7" i="22" a="1"/>
  <c r="BP11" i="22" a="1"/>
  <c r="DF9" i="22" a="1"/>
  <c r="AF8" i="22" a="1"/>
  <c r="DH11" i="22" a="1"/>
  <c r="BB16" i="22" a="1"/>
  <c r="DE12" i="22" a="1"/>
  <c r="Z12" i="22" a="1"/>
  <c r="BN16" i="22" a="1"/>
  <c r="BB9" i="22" a="1"/>
  <c r="AI14" i="22" a="1"/>
  <c r="BT11" i="22" a="1"/>
  <c r="AJ8" i="22" a="1"/>
  <c r="CP19" i="22" a="1"/>
  <c r="BS17" i="22" a="1"/>
  <c r="AR12" i="22" a="1"/>
  <c r="AO7" i="22" a="1"/>
  <c r="V19" i="22" a="1"/>
  <c r="BO19" i="22" a="1"/>
  <c r="BW20" i="22" a="1"/>
  <c r="AZ21" i="22" a="1"/>
  <c r="AD21" i="22" a="1"/>
  <c r="BY20" i="22" a="1"/>
  <c r="DH18" i="22" a="1"/>
  <c r="CN13" i="22" a="1"/>
  <c r="CW11" i="22" a="1"/>
  <c r="AC20" i="22" a="1"/>
  <c r="CW9" i="22" a="1"/>
  <c r="CF20" i="22" a="1"/>
  <c r="DD20" i="22" a="1"/>
  <c r="AC19" i="22" a="1"/>
  <c r="DJ13" i="22" a="1"/>
  <c r="AQ8" i="22" a="1"/>
  <c r="BN20" i="22" a="1"/>
  <c r="Y11" i="22" a="1"/>
  <c r="BC8" i="22" a="1"/>
  <c r="DK19" i="22" a="1"/>
  <c r="AY12" i="22" a="1"/>
  <c r="DB21" i="22" a="1"/>
  <c r="H15" i="22" a="1"/>
  <c r="AI6" i="21" a="1"/>
  <c r="AL12" i="21" a="1"/>
  <c r="AE10" i="21" a="1"/>
  <c r="AI11" i="21" a="1"/>
  <c r="Y16" i="21" a="1"/>
  <c r="S20" i="21" a="1"/>
  <c r="AW12" i="21" a="1"/>
  <c r="AL7" i="21" a="1"/>
  <c r="AW9" i="21" a="1"/>
  <c r="S10" i="21" a="1"/>
  <c r="Z14" i="21" a="1"/>
  <c r="Y13" i="21" a="1"/>
  <c r="AH15" i="21" a="1"/>
  <c r="CR6" i="22" a="1"/>
  <c r="V6" i="22" a="1"/>
  <c r="BP7" i="22" a="1"/>
  <c r="BZ11" i="22" a="1"/>
  <c r="T10" i="22" a="1"/>
  <c r="AP8" i="22" a="1"/>
  <c r="X12" i="22" a="1"/>
  <c r="BL16" i="22" a="1"/>
  <c r="DE13" i="22" a="1"/>
  <c r="AM12" i="22" a="1"/>
  <c r="BX16" i="22" a="1"/>
  <c r="BN9" i="22" a="1"/>
  <c r="AT14" i="22" a="1"/>
  <c r="V12" i="22" a="1"/>
  <c r="BB8" i="22" a="1"/>
  <c r="DB19" i="22" a="1"/>
  <c r="CE17" i="22" a="1"/>
  <c r="BY12" i="22" a="1"/>
  <c r="BK7" i="22" a="1"/>
  <c r="AY19" i="22" a="1"/>
  <c r="CR19" i="22" a="1"/>
  <c r="CJ20" i="22" a="1"/>
  <c r="BL21" i="22" a="1"/>
  <c r="AP21" i="22" a="1"/>
  <c r="DF20" i="22" a="1"/>
  <c r="AX19" i="22" a="1"/>
  <c r="AS14" i="22" a="1"/>
  <c r="BE12" i="22" a="1"/>
  <c r="AK7" i="22" a="1"/>
  <c r="BE10" i="22" a="1"/>
  <c r="T21" i="22" a="1"/>
  <c r="AH21" i="22" a="1"/>
  <c r="CT19" i="22" a="1"/>
  <c r="CY16" i="22" a="1"/>
  <c r="CR8" i="22" a="1"/>
  <c r="U7" i="22" a="1"/>
  <c r="AI12" i="22" a="1"/>
  <c r="BS9" i="22" a="1"/>
  <c r="DL19" i="22" a="1"/>
  <c r="AJ14" i="22" a="1"/>
  <c r="CY11" i="22" a="1"/>
  <c r="AO9" i="21" a="1"/>
  <c r="AQ18" i="21" a="1"/>
  <c r="AX21" i="21" a="1"/>
  <c r="AG16" i="21" a="1"/>
  <c r="AX11" i="21" a="1"/>
  <c r="AO7" i="21" a="1"/>
  <c r="AD21" i="21" a="1"/>
  <c r="AU9" i="21" a="1"/>
  <c r="AT12" i="21" a="1"/>
  <c r="AU6" i="21" a="1"/>
  <c r="AE11" i="21" a="1"/>
  <c r="R14" i="21" a="1"/>
  <c r="W15" i="21" a="1"/>
  <c r="CS6" i="22" a="1"/>
  <c r="BZ7" i="22" a="1"/>
  <c r="CJ11" i="22" a="1"/>
  <c r="AD10" i="22" a="1"/>
  <c r="AZ8" i="22" a="1"/>
  <c r="AJ12" i="22" a="1"/>
  <c r="BV16" i="22" a="1"/>
  <c r="AA7" i="22" a="1"/>
  <c r="AZ12" i="22" a="1"/>
  <c r="CH16" i="22" a="1"/>
  <c r="CA9" i="22" a="1"/>
  <c r="BE14" i="22" a="1"/>
  <c r="BT12" i="22" a="1"/>
  <c r="BS8" i="22" a="1"/>
  <c r="DM19" i="22" a="1"/>
  <c r="U20" i="22" a="1"/>
  <c r="BB21" i="22" a="1"/>
  <c r="DC19" i="22" a="1"/>
  <c r="BO6" i="22" a="1"/>
  <c r="BN6" i="22" a="1"/>
  <c r="DD8" i="22" a="1"/>
  <c r="AX7" i="22" a="1"/>
  <c r="AX11" i="22" a="1"/>
  <c r="BU8" i="22" a="1"/>
  <c r="CH13" i="22" a="1"/>
  <c r="CP17" i="22" a="1"/>
  <c r="CX8" i="22" a="1"/>
  <c r="CV13" i="22" a="1"/>
  <c r="DB17" i="22" a="1"/>
  <c r="AC11" i="22" a="1"/>
  <c r="BZ15" i="22" a="1"/>
  <c r="AF17" i="22" a="1"/>
  <c r="CM11" i="22" a="1"/>
  <c r="CF7" i="22" a="1"/>
  <c r="AU19" i="22" a="1"/>
  <c r="AX15" i="22" a="1"/>
  <c r="AE11" i="22" a="1"/>
  <c r="CI21" i="22" a="1"/>
  <c r="CS9" i="22" a="1"/>
  <c r="AS12" i="22" a="1"/>
  <c r="AY13" i="22" a="1"/>
  <c r="BE9" i="22" a="1"/>
  <c r="BU18" i="22" a="1"/>
  <c r="DL13" i="22" a="1"/>
  <c r="AQ20" i="22" a="1"/>
  <c r="AM17" i="22" a="1"/>
  <c r="BW14" i="22" a="1"/>
  <c r="AQ9" i="22" a="1"/>
  <c r="DE11" i="22" a="1"/>
  <c r="CQ9" i="22" a="1"/>
  <c r="AA8" i="22" a="1"/>
  <c r="CU19" i="22" a="1"/>
  <c r="AE20" i="22" a="1"/>
  <c r="AP19" i="22" a="1"/>
  <c r="AQ16" i="22" a="1"/>
  <c r="BO15" i="22" a="1"/>
  <c r="BB13" i="22" a="1"/>
  <c r="CZ21" i="22" a="1"/>
  <c r="DA7" i="22" a="1"/>
  <c r="AF7" i="21" a="1"/>
  <c r="AJ10" i="21" a="1"/>
  <c r="AU11" i="21" a="1"/>
  <c r="AP20" i="21" a="1"/>
  <c r="W17" i="21" a="1"/>
  <c r="AV16" i="21" a="1"/>
  <c r="AJ9" i="21" a="1"/>
  <c r="Y19" i="21" a="1"/>
  <c r="AI20" i="21" a="1"/>
  <c r="AX18" i="21" a="1"/>
  <c r="W10" i="21" a="1"/>
  <c r="Y14" i="21" a="1"/>
  <c r="AG13" i="21" a="1"/>
  <c r="AT15" i="21" a="1"/>
  <c r="AN6" i="22" a="1"/>
  <c r="AV12" i="22" a="1"/>
  <c r="AH17" i="22" a="1"/>
  <c r="BB10" i="22" a="1"/>
  <c r="CE20" i="22" a="1"/>
  <c r="AY11" i="22" a="1"/>
  <c r="BY21" i="22" a="1"/>
  <c r="BJ15" i="22" a="1"/>
  <c r="CI10" i="22" a="1"/>
  <c r="BG21" i="22" a="1"/>
  <c r="CL20" i="22" a="1"/>
  <c r="CT12" i="22" a="1"/>
  <c r="AB20" i="21" a="1"/>
  <c r="X10" i="21" a="1"/>
  <c r="AK20" i="21" a="1"/>
  <c r="AV9" i="21" a="1"/>
  <c r="AD18" i="22" a="1"/>
  <c r="AF8" i="21" a="1"/>
  <c r="AI14" i="21" a="1"/>
  <c r="Y10" i="22" a="1"/>
  <c r="BQ21" i="22" a="1"/>
  <c r="BM17" i="22" a="1"/>
  <c r="AL18" i="22" a="1"/>
  <c r="AV7" i="21" a="1"/>
  <c r="BN8" i="22" a="1"/>
  <c r="T7" i="22" a="1"/>
  <c r="BL17" i="22" a="1"/>
  <c r="CN10" i="22" a="1"/>
  <c r="DM20" i="22" a="1"/>
  <c r="DM11" i="22" a="1"/>
  <c r="BG9" i="22" a="1"/>
  <c r="CQ16" i="22" a="1"/>
  <c r="CQ12" i="22" a="1"/>
  <c r="DA9" i="22" a="1"/>
  <c r="AQ21" i="22" a="1"/>
  <c r="BH19" i="22" a="1"/>
  <c r="AG10" i="21" a="1"/>
  <c r="AC20" i="21" a="1"/>
  <c r="AE7" i="21" a="1"/>
  <c r="AU14" i="21" a="1"/>
  <c r="R15" i="22" a="1"/>
  <c r="BA21" i="22" a="1"/>
  <c r="CG20" i="22" a="1"/>
  <c r="AW19" i="22" a="1"/>
  <c r="AW13" i="21" a="1"/>
  <c r="BA7" i="22" a="1"/>
  <c r="AW20" i="22" a="1"/>
  <c r="AV15" i="21" a="1"/>
  <c r="AJ18" i="22" a="1"/>
  <c r="BH7" i="22" a="1"/>
  <c r="CZ17" i="22" a="1"/>
  <c r="AP11" i="22" a="1"/>
  <c r="DM7" i="22" a="1"/>
  <c r="AK12" i="22" a="1"/>
  <c r="BG11" i="22" a="1"/>
  <c r="DM14" i="22" a="1"/>
  <c r="BU13" i="22" a="1"/>
  <c r="DK10" i="22" a="1"/>
  <c r="AF13" i="22" a="1"/>
  <c r="DJ7" i="22" a="1"/>
  <c r="AT9" i="21" a="1"/>
  <c r="AT7" i="21" a="1"/>
  <c r="AD9" i="21" a="1"/>
  <c r="AK14" i="21" a="1"/>
  <c r="CY14" i="22" a="1"/>
  <c r="AQ7" i="22" a="1"/>
  <c r="BM7" i="22" a="1"/>
  <c r="Z9" i="21" a="1"/>
  <c r="CE19" i="22" a="1"/>
  <c r="CW19" i="22" a="1"/>
  <c r="AL21" i="21" a="1"/>
  <c r="AB9" i="21" a="1"/>
  <c r="AS15" i="22" a="1"/>
  <c r="BR7" i="22" a="1"/>
  <c r="DJ17" i="22" a="1"/>
  <c r="BB11" i="22" a="1"/>
  <c r="CM8" i="22" a="1"/>
  <c r="CB19" i="22" a="1"/>
  <c r="AD14" i="22" a="1"/>
  <c r="CT17" i="22" a="1"/>
  <c r="BQ9" i="22" a="1"/>
  <c r="BT13" i="22" a="1"/>
  <c r="BG15" i="22" a="1"/>
  <c r="CG19" i="22" a="1"/>
  <c r="S11" i="21" a="1"/>
  <c r="AM20" i="21" a="1"/>
  <c r="R11" i="21" a="1"/>
  <c r="AH14" i="21" a="1"/>
  <c r="BH20" i="22" a="1"/>
  <c r="BG16" i="22" a="1"/>
  <c r="AK7" i="21" a="1"/>
  <c r="AE21" i="22" a="1"/>
  <c r="DK9" i="22" a="1"/>
  <c r="AG11" i="21" a="1"/>
  <c r="BC15" i="22" a="1"/>
  <c r="AS7" i="21" a="1"/>
  <c r="Y15" i="22" a="1"/>
  <c r="AK10" i="22" a="1"/>
  <c r="AP6" i="21" a="1"/>
  <c r="CB7" i="22" a="1"/>
  <c r="X18" i="22" a="1"/>
  <c r="BN11" i="22" a="1"/>
  <c r="W9" i="22" a="1"/>
  <c r="CU20" i="22" a="1"/>
  <c r="AW14" i="22" a="1"/>
  <c r="AZ19" i="22" a="1"/>
  <c r="AF10" i="22" a="1"/>
  <c r="CX17" i="22" a="1"/>
  <c r="CU15" i="22" a="1"/>
  <c r="CQ13" i="22" a="1"/>
  <c r="AN11" i="21" a="1"/>
  <c r="AA17" i="21" a="1"/>
  <c r="R10" i="21" a="1"/>
  <c r="AC14" i="21" a="1"/>
  <c r="AW21" i="22" a="1"/>
  <c r="BX6" i="22" a="1"/>
  <c r="BW10" i="22" a="1"/>
  <c r="AL13" i="22" a="1"/>
  <c r="AS16" i="22" a="1"/>
  <c r="AS13" i="21" a="1"/>
  <c r="AE9" i="22" a="1"/>
  <c r="AL9" i="22" a="1"/>
  <c r="BL20" i="22" a="1"/>
  <c r="CL10" i="22" a="1"/>
  <c r="CU12" i="22" a="1"/>
  <c r="CS17" i="22" a="1"/>
  <c r="S11" i="22" a="1"/>
  <c r="BO20" i="22" a="1"/>
  <c r="AJ8" i="21" a="1"/>
  <c r="AK18" i="21" a="1"/>
  <c r="BK6" i="22" a="1"/>
  <c r="T11" i="22" a="1"/>
  <c r="CQ7" i="22" a="1"/>
  <c r="AV15" i="22" a="1"/>
  <c r="BS18" i="22" a="1"/>
  <c r="CU21" i="22" a="1"/>
  <c r="Y7" i="22" a="1"/>
  <c r="CA20" i="22" a="1"/>
  <c r="AI21" i="22" a="1"/>
  <c r="BK19" i="22" a="1"/>
  <c r="BA8" i="22" a="1"/>
  <c r="BH16" i="22" a="1"/>
  <c r="AO12" i="21" a="1"/>
  <c r="AA20" i="21" a="1"/>
  <c r="AK21" i="21" a="1"/>
  <c r="AX14" i="21" a="1"/>
  <c r="BH11" i="22" a="1"/>
  <c r="DJ8" i="22" a="1"/>
  <c r="CJ15" i="22" a="1"/>
  <c r="DE18" i="22" a="1"/>
  <c r="AS8" i="22" a="1"/>
  <c r="W20" i="22" a="1"/>
  <c r="CD21" i="22" a="1"/>
  <c r="AF6" i="21" a="1"/>
  <c r="AO10" i="21" a="1"/>
  <c r="AR13" i="21" a="1"/>
  <c r="BR11" i="22" a="1"/>
  <c r="Z9" i="22" a="1"/>
  <c r="CT15" i="22" a="1"/>
  <c r="BG19" i="22" a="1"/>
  <c r="AN13" i="22" a="1"/>
  <c r="AQ12" i="22" a="1"/>
  <c r="AT10" i="21" a="1"/>
  <c r="CD20" i="22" a="1"/>
  <c r="BD12" i="22" a="1"/>
  <c r="AH8" i="21" a="1"/>
  <c r="AD10" i="21" a="1"/>
  <c r="CN14" i="22" a="1"/>
  <c r="Z18" i="22" a="1"/>
  <c r="BR6" i="22" a="1"/>
  <c r="AD19" i="21" a="1"/>
  <c r="BQ7" i="22" a="1"/>
  <c r="AB9" i="22" a="1"/>
  <c r="CB6" i="22" a="1"/>
  <c r="CB11" i="22" a="1"/>
  <c r="AM9" i="22" a="1"/>
  <c r="DD15" i="22" a="1"/>
  <c r="BS19" i="22" a="1"/>
  <c r="BW21" i="22" a="1"/>
  <c r="AT10" i="22" a="1"/>
  <c r="S15" i="22" a="1"/>
  <c r="BI16" i="22" a="1"/>
  <c r="AL21" i="22" a="1"/>
  <c r="CR12" i="22" a="1"/>
  <c r="CI17" i="22" a="1"/>
  <c r="AB18" i="21" a="1"/>
  <c r="AH18" i="21" a="1"/>
  <c r="Z17" i="21" a="1"/>
  <c r="AE13" i="21" a="1"/>
  <c r="AP6" i="22" a="1"/>
  <c r="AE16" i="22" a="1"/>
  <c r="CG14" i="22" a="1"/>
  <c r="H18" i="22" a="1"/>
  <c r="AO17" i="21" a="1"/>
  <c r="AQ13" i="21" a="1"/>
  <c r="CU8" i="22" a="1"/>
  <c r="DF17" i="22" a="1"/>
  <c r="BQ13" i="22" a="1"/>
  <c r="Y17" i="21" a="1"/>
  <c r="AG13" i="22" a="1"/>
  <c r="AX16" i="21" a="1"/>
  <c r="CX6" i="22" a="1"/>
  <c r="S8" i="22" a="1"/>
  <c r="BN13" i="22" a="1"/>
  <c r="DH15" i="22" a="1"/>
  <c r="CO12" i="22" a="1"/>
  <c r="CG10" i="22" a="1"/>
  <c r="AC21" i="22" a="1"/>
  <c r="BE17" i="22" a="1"/>
  <c r="CN17" i="22" a="1"/>
  <c r="CY18" i="22" a="1"/>
  <c r="DA15" i="22" a="1"/>
  <c r="DN16" i="22" a="1"/>
  <c r="AR8" i="21" a="1"/>
  <c r="Y7" i="21" a="1"/>
  <c r="AU8" i="21" a="1"/>
  <c r="AH13" i="21" a="1"/>
  <c r="AR6" i="22" a="1"/>
  <c r="DG13" i="22" a="1"/>
  <c r="AS17" i="22" a="1"/>
  <c r="Z14" i="22" a="1"/>
  <c r="DE10" i="22" a="1"/>
  <c r="BF21" i="22" a="1"/>
  <c r="AA21" i="21" a="1"/>
  <c r="AA13" i="22" a="1"/>
  <c r="CM14" i="22" a="1"/>
  <c r="AD17" i="21" a="1"/>
  <c r="BB6" i="22" a="1"/>
  <c r="DH8" i="22" a="1"/>
  <c r="V14" i="22" a="1"/>
  <c r="BF17" i="22" a="1"/>
  <c r="CS14" i="22" a="1"/>
  <c r="CS11" i="22" a="1"/>
  <c r="CD15" i="22" a="1"/>
  <c r="BW18" i="22" a="1"/>
  <c r="CF8" i="22" a="1"/>
  <c r="CK20" i="22" a="1"/>
  <c r="CJ17" i="22" a="1"/>
  <c r="AP18" i="21" a="1"/>
  <c r="R20" i="21" a="1"/>
  <c r="AF11" i="21" a="1"/>
  <c r="AP11" i="21" a="1"/>
  <c r="AG15" i="21" a="1"/>
  <c r="BL6" i="22" a="1"/>
  <c r="X9" i="22" a="1"/>
  <c r="AG14" i="22" a="1"/>
  <c r="BR17" i="22" a="1"/>
  <c r="BY15" i="22" a="1"/>
  <c r="DI20" i="22" a="1"/>
  <c r="DI18" i="22" a="1"/>
  <c r="DE7" i="22" a="1"/>
  <c r="AS9" i="22" a="1"/>
  <c r="DL21" i="22" a="1"/>
  <c r="CK14" i="22" a="1"/>
  <c r="AC18" i="21" a="1"/>
  <c r="AK17" i="21" a="1"/>
  <c r="Y12" i="21" a="1"/>
  <c r="AT20" i="21" a="1"/>
  <c r="AF15" i="21" a="1"/>
  <c r="CJ7" i="22" a="1"/>
  <c r="T13" i="22" a="1"/>
  <c r="AT17" i="22" a="1"/>
  <c r="AO10" i="22" a="1"/>
  <c r="CL15" i="22" a="1"/>
  <c r="CG8" i="22" a="1"/>
  <c r="CL19" i="22" a="1"/>
  <c r="BW11" i="22" a="1"/>
  <c r="BE11" i="22" a="1"/>
  <c r="CC7" i="22" a="1"/>
  <c r="AO20" i="22" a="1"/>
  <c r="AL10" i="21" a="1"/>
  <c r="AU18" i="21" a="1"/>
  <c r="Y11" i="21" a="1"/>
  <c r="Z6" i="21" a="1"/>
  <c r="AS15" i="21" a="1"/>
  <c r="AC8" i="21" a="1"/>
  <c r="AM15" i="21" a="1"/>
  <c r="CS13" i="22" a="1"/>
  <c r="CG12" i="22" a="1"/>
  <c r="CV17" i="22" a="1"/>
  <c r="AC15" i="22" a="1"/>
  <c r="AE17" i="21" a="1"/>
  <c r="AO12" i="22" a="1"/>
  <c r="AU21" i="21" a="1"/>
  <c r="DE20" i="22" a="1"/>
  <c r="BZ8" i="22" a="1"/>
  <c r="BA13" i="22" a="1"/>
  <c r="BX17" i="22" a="1"/>
  <c r="DB10" i="22" a="1"/>
  <c r="DM15" i="22" a="1"/>
  <c r="AS10" i="22" a="1"/>
  <c r="DG20" i="22" a="1"/>
  <c r="AS13" i="22" a="1"/>
  <c r="W16" i="22" a="1"/>
  <c r="CG7" i="22" a="1"/>
  <c r="Z21" i="22" a="1"/>
  <c r="Y10" i="21" a="1"/>
  <c r="AW18" i="21" a="1"/>
  <c r="AI21" i="21" a="1"/>
  <c r="R9" i="22" a="1"/>
  <c r="DL17" i="22" a="1"/>
  <c r="DB11" i="22" a="1"/>
  <c r="CK7" i="22" a="1"/>
  <c r="BH21" i="22" a="1"/>
  <c r="CV14" i="22" a="1"/>
  <c r="BC9" i="22" a="1"/>
  <c r="W11" i="21" a="1"/>
  <c r="AH17" i="21" a="1"/>
  <c r="AR12" i="21" a="1"/>
  <c r="AQ15" i="21" a="1"/>
  <c r="DD13" i="22" a="1"/>
  <c r="AT18" i="21" a="1"/>
  <c r="T14" i="22" a="1"/>
  <c r="CI18" i="22" a="1"/>
  <c r="T6" i="21" a="1"/>
  <c r="T16" i="21" a="1"/>
  <c r="T17" i="21" a="1"/>
  <c r="T14" i="21" a="1"/>
  <c r="T13" i="21" a="1"/>
  <c r="T15" i="21" a="1"/>
  <c r="T7" i="21" a="1"/>
  <c r="T18" i="21" a="1"/>
  <c r="T8" i="21" a="1"/>
  <c r="T9" i="21" a="1"/>
  <c r="T19" i="21" a="1"/>
  <c r="T10" i="21" a="1"/>
  <c r="T20" i="21" a="1"/>
  <c r="T11" i="21" a="1"/>
  <c r="T21" i="21" a="1"/>
  <c r="T12" i="21" a="1"/>
  <c r="U9" i="21" a="1"/>
  <c r="U12" i="21" a="1"/>
  <c r="U7" i="21" a="1"/>
  <c r="V16" i="21" a="1"/>
  <c r="U14" i="21" a="1"/>
  <c r="V21" i="21" a="1"/>
  <c r="U10" i="21" a="1"/>
  <c r="U8" i="21" a="1"/>
  <c r="V19" i="21" a="1"/>
  <c r="U13" i="21" a="1"/>
  <c r="U16" i="21" a="1"/>
  <c r="V7" i="21" a="1"/>
  <c r="U20" i="21" a="1"/>
  <c r="V10" i="21" a="1"/>
  <c r="U17" i="21" a="1"/>
  <c r="V8" i="21" a="1"/>
  <c r="V20" i="21" a="1"/>
  <c r="U19" i="21" a="1"/>
  <c r="U21" i="21" a="1"/>
  <c r="U15" i="21" a="1"/>
  <c r="V9" i="21" a="1"/>
  <c r="U18" i="21" a="1"/>
  <c r="V12" i="21" a="1"/>
  <c r="V14" i="21" a="1"/>
  <c r="V15" i="21" a="1"/>
  <c r="V18" i="21" a="1"/>
  <c r="U6" i="21" a="1"/>
  <c r="V11" i="21" a="1"/>
  <c r="V13" i="21" a="1"/>
  <c r="V17" i="21" a="1"/>
  <c r="V6" i="21" a="1"/>
  <c r="U11" i="21" a="1"/>
  <c r="H9" i="22" a="1"/>
  <c r="H10" i="22" a="1"/>
  <c r="H12" i="21" a="1"/>
  <c r="H6" i="22" a="1"/>
  <c r="H11" i="22" a="1"/>
  <c r="H6" i="21" a="1"/>
  <c r="H7" i="21" a="1"/>
  <c r="H12" i="22" a="1"/>
  <c r="H9" i="21" a="1"/>
  <c r="H8" i="22" a="1"/>
  <c r="H8" i="21" a="1"/>
  <c r="H11" i="21" a="1"/>
  <c r="H7" i="22" a="1"/>
  <c r="H10" i="21" a="1"/>
  <c r="C154" i="20" l="1"/>
  <c r="B189" i="20"/>
  <c r="E145" i="20"/>
  <c r="H156" i="20"/>
  <c r="L107" i="20"/>
  <c r="E132" i="20"/>
  <c r="F132" i="20"/>
  <c r="F134" i="20"/>
  <c r="C132" i="20"/>
  <c r="B168" i="20"/>
  <c r="C168" i="20"/>
  <c r="H191" i="20"/>
  <c r="L159" i="20"/>
  <c r="L119" i="20"/>
  <c r="L139" i="20"/>
  <c r="I151" i="20"/>
  <c r="K119" i="20"/>
  <c r="E173" i="20"/>
  <c r="R173" i="20" s="1"/>
  <c r="F155" i="20"/>
  <c r="E125" i="20"/>
  <c r="F145" i="20"/>
  <c r="F113" i="20"/>
  <c r="C181" i="20"/>
  <c r="B163" i="20"/>
  <c r="B103" i="20"/>
  <c r="B173" i="20"/>
  <c r="C189" i="20"/>
  <c r="I161" i="20"/>
  <c r="H161" i="20"/>
  <c r="I167" i="20"/>
  <c r="E154" i="20"/>
  <c r="L140" i="20"/>
  <c r="K140" i="20"/>
  <c r="I201" i="20"/>
  <c r="L181" i="20"/>
  <c r="K181" i="20"/>
  <c r="K139" i="20"/>
  <c r="H152" i="20"/>
  <c r="I193" i="20"/>
  <c r="I150" i="20"/>
  <c r="H150" i="20"/>
  <c r="L101" i="20"/>
  <c r="I111" i="20"/>
  <c r="L167" i="20"/>
  <c r="E191" i="20"/>
  <c r="F136" i="20"/>
  <c r="S136" i="20" s="1"/>
  <c r="E135" i="20"/>
  <c r="F135" i="20"/>
  <c r="F185" i="20"/>
  <c r="F152" i="20"/>
  <c r="E152" i="20"/>
  <c r="C165" i="20"/>
  <c r="F151" i="20"/>
  <c r="H151" i="20"/>
  <c r="O285" i="20"/>
  <c r="O275" i="20"/>
  <c r="O265" i="20"/>
  <c r="O255" i="20"/>
  <c r="O235" i="20"/>
  <c r="O225" i="20"/>
  <c r="O215" i="20"/>
  <c r="O205" i="20"/>
  <c r="P284" i="20"/>
  <c r="P274" i="20"/>
  <c r="P264" i="20"/>
  <c r="P254" i="20"/>
  <c r="P244" i="20"/>
  <c r="P234" i="20"/>
  <c r="P224" i="20"/>
  <c r="P214" i="20"/>
  <c r="P204" i="20"/>
  <c r="L161" i="20"/>
  <c r="K161" i="20"/>
  <c r="L162" i="20"/>
  <c r="I203" i="20"/>
  <c r="H203" i="20"/>
  <c r="B201" i="20"/>
  <c r="F199" i="20"/>
  <c r="E199" i="20"/>
  <c r="C201" i="20"/>
  <c r="C162" i="20"/>
  <c r="B162" i="20"/>
  <c r="K167" i="20"/>
  <c r="H155" i="20"/>
  <c r="H101" i="20"/>
  <c r="I147" i="20"/>
  <c r="L191" i="20"/>
  <c r="I191" i="20"/>
  <c r="H175" i="20"/>
  <c r="H136" i="20"/>
  <c r="K191" i="20"/>
  <c r="I101" i="20"/>
  <c r="L147" i="20"/>
  <c r="H111" i="20"/>
  <c r="L127" i="20"/>
  <c r="H195" i="20"/>
  <c r="K147" i="20"/>
  <c r="I189" i="20"/>
  <c r="K127" i="20"/>
  <c r="H189" i="20"/>
  <c r="O189" i="20" s="1"/>
  <c r="I171" i="20"/>
  <c r="L187" i="20"/>
  <c r="H171" i="20"/>
  <c r="K187" i="20"/>
  <c r="F158" i="20"/>
  <c r="E158" i="20"/>
  <c r="C191" i="20"/>
  <c r="B191" i="20"/>
  <c r="F117" i="20"/>
  <c r="F150" i="20"/>
  <c r="F177" i="20"/>
  <c r="E150" i="20"/>
  <c r="F137" i="20"/>
  <c r="F173" i="20"/>
  <c r="S173" i="20" s="1"/>
  <c r="E136" i="20"/>
  <c r="E113" i="20"/>
  <c r="E130" i="20"/>
  <c r="R130" i="20" s="1"/>
  <c r="F154" i="20"/>
  <c r="S154" i="20" s="1"/>
  <c r="F125" i="20"/>
  <c r="C187" i="20"/>
  <c r="B187" i="20"/>
  <c r="F97" i="20"/>
  <c r="S97" i="20" s="1"/>
  <c r="E97" i="20"/>
  <c r="R97" i="20" s="1"/>
  <c r="F107" i="20"/>
  <c r="E107" i="20"/>
  <c r="C117" i="20"/>
  <c r="C157" i="20"/>
  <c r="B157" i="20"/>
  <c r="C97" i="20"/>
  <c r="P97" i="20" s="1"/>
  <c r="B97" i="20"/>
  <c r="O97" i="20" s="1"/>
  <c r="B147" i="20"/>
  <c r="B117" i="20"/>
  <c r="C152" i="20"/>
  <c r="C147" i="20"/>
  <c r="B143" i="20"/>
  <c r="B123" i="20"/>
  <c r="B165" i="20"/>
  <c r="F153" i="20"/>
  <c r="S153" i="20" s="1"/>
  <c r="E153" i="20"/>
  <c r="E155" i="20"/>
  <c r="F157" i="20"/>
  <c r="F171" i="20"/>
  <c r="H115" i="20"/>
  <c r="I127" i="20"/>
  <c r="H129" i="20"/>
  <c r="I129" i="20"/>
  <c r="P194" i="20"/>
  <c r="O194" i="20"/>
  <c r="P26" i="20"/>
  <c r="O287" i="20"/>
  <c r="P286" i="20"/>
  <c r="P276" i="20"/>
  <c r="P256" i="20"/>
  <c r="P246" i="20"/>
  <c r="P226" i="20"/>
  <c r="P206" i="20"/>
  <c r="O15" i="20"/>
  <c r="O286" i="20"/>
  <c r="O266" i="20"/>
  <c r="O256" i="20"/>
  <c r="O246" i="20"/>
  <c r="O236" i="20"/>
  <c r="O226" i="20"/>
  <c r="O206" i="20"/>
  <c r="P104" i="20"/>
  <c r="P285" i="20"/>
  <c r="P275" i="20"/>
  <c r="P265" i="20"/>
  <c r="P255" i="20"/>
  <c r="P235" i="20"/>
  <c r="P225" i="20"/>
  <c r="P215" i="20"/>
  <c r="P205" i="20"/>
  <c r="L203" i="20"/>
  <c r="K203" i="20"/>
  <c r="L168" i="20"/>
  <c r="H201" i="20"/>
  <c r="H199" i="20"/>
  <c r="I199" i="20"/>
  <c r="F168" i="20"/>
  <c r="I166" i="20"/>
  <c r="E168" i="20"/>
  <c r="C199" i="20"/>
  <c r="C166" i="20"/>
  <c r="B166" i="20"/>
  <c r="L179" i="20"/>
  <c r="K179" i="20"/>
  <c r="F162" i="20"/>
  <c r="L160" i="20"/>
  <c r="I149" i="20"/>
  <c r="K160" i="20"/>
  <c r="K101" i="20"/>
  <c r="H149" i="20"/>
  <c r="I187" i="20"/>
  <c r="I148" i="20"/>
  <c r="I109" i="20"/>
  <c r="K159" i="20"/>
  <c r="H109" i="20"/>
  <c r="K152" i="20"/>
  <c r="I169" i="20"/>
  <c r="H141" i="20"/>
  <c r="H121" i="20"/>
  <c r="I107" i="20"/>
  <c r="K111" i="20"/>
  <c r="L131" i="20"/>
  <c r="L151" i="20"/>
  <c r="I141" i="20"/>
  <c r="I121" i="20"/>
  <c r="K151" i="20"/>
  <c r="L111" i="20"/>
  <c r="H169" i="20"/>
  <c r="I136" i="20"/>
  <c r="L146" i="20"/>
  <c r="I181" i="20"/>
  <c r="P181" i="20" s="1"/>
  <c r="H135" i="20"/>
  <c r="L171" i="20"/>
  <c r="K146" i="20"/>
  <c r="H142" i="20"/>
  <c r="H181" i="20"/>
  <c r="I131" i="20"/>
  <c r="K171" i="20"/>
  <c r="K142" i="20"/>
  <c r="H131" i="20"/>
  <c r="L141" i="20"/>
  <c r="L121" i="20"/>
  <c r="K131" i="20"/>
  <c r="I156" i="20"/>
  <c r="K141" i="20"/>
  <c r="K121" i="20"/>
  <c r="K107" i="20"/>
  <c r="F191" i="20"/>
  <c r="E193" i="20"/>
  <c r="E156" i="20"/>
  <c r="F193" i="20"/>
  <c r="S193" i="20" s="1"/>
  <c r="B154" i="20"/>
  <c r="C160" i="20"/>
  <c r="B160" i="20"/>
  <c r="E134" i="20"/>
  <c r="C146" i="20"/>
  <c r="F148" i="20"/>
  <c r="S148" i="20" s="1"/>
  <c r="F133" i="20"/>
  <c r="B146" i="20"/>
  <c r="E148" i="20"/>
  <c r="E133" i="20"/>
  <c r="F115" i="20"/>
  <c r="B183" i="20"/>
  <c r="C167" i="20"/>
  <c r="C145" i="20"/>
  <c r="F165" i="20"/>
  <c r="F146" i="20"/>
  <c r="E115" i="20"/>
  <c r="E185" i="20"/>
  <c r="B167" i="20"/>
  <c r="B145" i="20"/>
  <c r="E165" i="20"/>
  <c r="R165" i="20" s="1"/>
  <c r="E146" i="20"/>
  <c r="C144" i="20"/>
  <c r="F131" i="20"/>
  <c r="S131" i="20" s="1"/>
  <c r="B133" i="20"/>
  <c r="E175" i="20"/>
  <c r="F140" i="20"/>
  <c r="F95" i="20"/>
  <c r="S95" i="20" s="1"/>
  <c r="C137" i="20"/>
  <c r="F144" i="20"/>
  <c r="B137" i="20"/>
  <c r="E144" i="20"/>
  <c r="C134" i="20"/>
  <c r="F142" i="20"/>
  <c r="B134" i="20"/>
  <c r="F175" i="20"/>
  <c r="E142" i="20"/>
  <c r="F111" i="20"/>
  <c r="E140" i="20"/>
  <c r="R140" i="20" s="1"/>
  <c r="E95" i="20"/>
  <c r="R95" i="20" s="1"/>
  <c r="B179" i="20"/>
  <c r="E138" i="20"/>
  <c r="C105" i="20"/>
  <c r="B105" i="20"/>
  <c r="C127" i="20"/>
  <c r="B127" i="20"/>
  <c r="B113" i="20"/>
  <c r="C125" i="20"/>
  <c r="B125" i="20"/>
  <c r="C95" i="20"/>
  <c r="P95" i="20" s="1"/>
  <c r="C107" i="20"/>
  <c r="B95" i="20"/>
  <c r="O95" i="20" s="1"/>
  <c r="B107" i="20"/>
  <c r="O284" i="20"/>
  <c r="O274" i="20"/>
  <c r="O224" i="20"/>
  <c r="O288" i="20"/>
  <c r="O228" i="20"/>
  <c r="O96" i="20"/>
  <c r="P114" i="20"/>
  <c r="P19" i="20"/>
  <c r="O254" i="20"/>
  <c r="O244" i="20"/>
  <c r="O114" i="20"/>
  <c r="O264" i="20"/>
  <c r="O204" i="20"/>
  <c r="O214" i="20"/>
  <c r="O234" i="20"/>
  <c r="B153" i="20"/>
  <c r="O124" i="20"/>
  <c r="P85" i="20"/>
  <c r="P75" i="20"/>
  <c r="P65" i="20"/>
  <c r="P45" i="20"/>
  <c r="P35" i="20"/>
  <c r="P25" i="20"/>
  <c r="P15" i="20"/>
  <c r="P5" i="20"/>
  <c r="O85" i="20"/>
  <c r="O75" i="20"/>
  <c r="O65" i="20"/>
  <c r="O55" i="20"/>
  <c r="O45" i="20"/>
  <c r="O35" i="20"/>
  <c r="O25" i="20"/>
  <c r="P196" i="20"/>
  <c r="P182" i="20"/>
  <c r="P287" i="20"/>
  <c r="P227" i="20"/>
  <c r="O277" i="20"/>
  <c r="O267" i="20"/>
  <c r="O207" i="20"/>
  <c r="F166" i="20"/>
  <c r="E166" i="20"/>
  <c r="L199" i="20"/>
  <c r="I164" i="20"/>
  <c r="E164" i="20"/>
  <c r="K168" i="20"/>
  <c r="E203" i="20"/>
  <c r="C164" i="20"/>
  <c r="L166" i="20"/>
  <c r="H166" i="20"/>
  <c r="B164" i="20"/>
  <c r="K166" i="20"/>
  <c r="H164" i="20"/>
  <c r="B199" i="20"/>
  <c r="K201" i="20"/>
  <c r="F203" i="20"/>
  <c r="C203" i="20"/>
  <c r="F201" i="20"/>
  <c r="I168" i="20"/>
  <c r="L164" i="20"/>
  <c r="L201" i="20"/>
  <c r="K199" i="20"/>
  <c r="F164" i="20"/>
  <c r="B203" i="20"/>
  <c r="E201" i="20"/>
  <c r="R201" i="20" s="1"/>
  <c r="H168" i="20"/>
  <c r="K164" i="20"/>
  <c r="O3" i="20"/>
  <c r="P64" i="20"/>
  <c r="P4" i="20"/>
  <c r="O94" i="20"/>
  <c r="O84" i="20"/>
  <c r="O74" i="20"/>
  <c r="O64" i="20"/>
  <c r="O54" i="20"/>
  <c r="O44" i="20"/>
  <c r="O34" i="20"/>
  <c r="O24" i="20"/>
  <c r="O14" i="20"/>
  <c r="O4" i="20"/>
  <c r="P188" i="20"/>
  <c r="P106" i="20"/>
  <c r="O188" i="20"/>
  <c r="P54" i="20"/>
  <c r="P172" i="20"/>
  <c r="P98" i="20"/>
  <c r="P78" i="20"/>
  <c r="P68" i="20"/>
  <c r="P58" i="20"/>
  <c r="P48" i="20"/>
  <c r="P38" i="20"/>
  <c r="P28" i="20"/>
  <c r="P18" i="20"/>
  <c r="P8" i="20"/>
  <c r="P14" i="20"/>
  <c r="O290" i="20"/>
  <c r="O280" i="20"/>
  <c r="O230" i="20"/>
  <c r="O220" i="20"/>
  <c r="O210" i="20"/>
  <c r="O200" i="20"/>
  <c r="P126" i="20"/>
  <c r="P112" i="20"/>
  <c r="O98" i="20"/>
  <c r="O88" i="20"/>
  <c r="O78" i="20"/>
  <c r="O68" i="20"/>
  <c r="O58" i="20"/>
  <c r="O48" i="20"/>
  <c r="O38" i="20"/>
  <c r="O28" i="20"/>
  <c r="O18" i="20"/>
  <c r="O8" i="20"/>
  <c r="P84" i="20"/>
  <c r="P289" i="20"/>
  <c r="P259" i="20"/>
  <c r="P229" i="20"/>
  <c r="P219" i="20"/>
  <c r="P209" i="20"/>
  <c r="P186" i="20"/>
  <c r="O126" i="20"/>
  <c r="P67" i="20"/>
  <c r="P47" i="20"/>
  <c r="P44" i="20"/>
  <c r="O289" i="20"/>
  <c r="O269" i="20"/>
  <c r="O259" i="20"/>
  <c r="O249" i="20"/>
  <c r="O239" i="20"/>
  <c r="O219" i="20"/>
  <c r="O186" i="20"/>
  <c r="O67" i="20"/>
  <c r="O47" i="20"/>
  <c r="P94" i="20"/>
  <c r="P34" i="20"/>
  <c r="P288" i="20"/>
  <c r="P278" i="20"/>
  <c r="P258" i="20"/>
  <c r="P248" i="20"/>
  <c r="P218" i="20"/>
  <c r="P208" i="20"/>
  <c r="P198" i="20"/>
  <c r="P184" i="20"/>
  <c r="O110" i="20"/>
  <c r="P86" i="20"/>
  <c r="P74" i="20"/>
  <c r="P24" i="20"/>
  <c r="O278" i="20"/>
  <c r="O268" i="20"/>
  <c r="O258" i="20"/>
  <c r="O248" i="20"/>
  <c r="O238" i="20"/>
  <c r="O218" i="20"/>
  <c r="O208" i="20"/>
  <c r="O198" i="20"/>
  <c r="O184" i="20"/>
  <c r="P124" i="20"/>
  <c r="O86" i="20"/>
  <c r="O76" i="20"/>
  <c r="O66" i="20"/>
  <c r="O46" i="20"/>
  <c r="O36" i="20"/>
  <c r="O16" i="20"/>
  <c r="H197" i="20"/>
  <c r="L197" i="20"/>
  <c r="K197" i="20"/>
  <c r="K162" i="20"/>
  <c r="I162" i="20"/>
  <c r="H162" i="20"/>
  <c r="I197" i="20"/>
  <c r="P250" i="20"/>
  <c r="O106" i="20"/>
  <c r="P93" i="20"/>
  <c r="P83" i="20"/>
  <c r="P73" i="20"/>
  <c r="P53" i="20"/>
  <c r="P33" i="20"/>
  <c r="P23" i="20"/>
  <c r="P13" i="20"/>
  <c r="O108" i="20"/>
  <c r="P63" i="20"/>
  <c r="O93" i="20"/>
  <c r="O83" i="20"/>
  <c r="O33" i="20"/>
  <c r="O23" i="20"/>
  <c r="O19" i="20"/>
  <c r="P43" i="20"/>
  <c r="P82" i="20"/>
  <c r="P72" i="20"/>
  <c r="P62" i="20"/>
  <c r="P42" i="20"/>
  <c r="P32" i="20"/>
  <c r="P22" i="20"/>
  <c r="P207" i="20"/>
  <c r="P293" i="20"/>
  <c r="P283" i="20"/>
  <c r="P273" i="20"/>
  <c r="P263" i="20"/>
  <c r="P243" i="20"/>
  <c r="P233" i="20"/>
  <c r="P223" i="20"/>
  <c r="P213" i="20"/>
  <c r="O178" i="20"/>
  <c r="O104" i="20"/>
  <c r="P91" i="20"/>
  <c r="P81" i="20"/>
  <c r="P71" i="20"/>
  <c r="P61" i="20"/>
  <c r="P51" i="20"/>
  <c r="P41" i="20"/>
  <c r="P7" i="20"/>
  <c r="P178" i="20"/>
  <c r="O293" i="20"/>
  <c r="O283" i="20"/>
  <c r="O273" i="20"/>
  <c r="O263" i="20"/>
  <c r="O243" i="20"/>
  <c r="O233" i="20"/>
  <c r="O223" i="20"/>
  <c r="O213" i="20"/>
  <c r="O190" i="20"/>
  <c r="P176" i="20"/>
  <c r="O87" i="20"/>
  <c r="O77" i="20"/>
  <c r="O7" i="20"/>
  <c r="O118" i="20"/>
  <c r="P292" i="20"/>
  <c r="P282" i="20"/>
  <c r="P262" i="20"/>
  <c r="P252" i="20"/>
  <c r="P242" i="20"/>
  <c r="P232" i="20"/>
  <c r="P222" i="20"/>
  <c r="P212" i="20"/>
  <c r="P116" i="20"/>
  <c r="P102" i="20"/>
  <c r="P66" i="20"/>
  <c r="P46" i="20"/>
  <c r="P36" i="20"/>
  <c r="P6" i="20"/>
  <c r="P174" i="20"/>
  <c r="O116" i="20"/>
  <c r="P291" i="20"/>
  <c r="P281" i="20"/>
  <c r="P251" i="20"/>
  <c r="P241" i="20"/>
  <c r="P231" i="20"/>
  <c r="P221" i="20"/>
  <c r="P211" i="20"/>
  <c r="O174" i="20"/>
  <c r="H132" i="20"/>
  <c r="L132" i="20"/>
  <c r="K132" i="20"/>
  <c r="E162" i="20"/>
  <c r="I99" i="20"/>
  <c r="H99" i="20"/>
  <c r="L99" i="20"/>
  <c r="K99" i="20"/>
  <c r="F197" i="20"/>
  <c r="B197" i="20"/>
  <c r="E197" i="20"/>
  <c r="C197" i="20"/>
  <c r="I132" i="20"/>
  <c r="P132" i="20" s="1"/>
  <c r="H140" i="20"/>
  <c r="K150" i="20"/>
  <c r="I179" i="20"/>
  <c r="I159" i="20"/>
  <c r="I139" i="20"/>
  <c r="I119" i="20"/>
  <c r="L189" i="20"/>
  <c r="L169" i="20"/>
  <c r="L149" i="20"/>
  <c r="L129" i="20"/>
  <c r="L109" i="20"/>
  <c r="H179" i="20"/>
  <c r="H159" i="20"/>
  <c r="H139" i="20"/>
  <c r="H119" i="20"/>
  <c r="K189" i="20"/>
  <c r="K169" i="20"/>
  <c r="K149" i="20"/>
  <c r="K129" i="20"/>
  <c r="K109" i="20"/>
  <c r="I158" i="20"/>
  <c r="I138" i="20"/>
  <c r="L158" i="20"/>
  <c r="L148" i="20"/>
  <c r="L138" i="20"/>
  <c r="H158" i="20"/>
  <c r="H148" i="20"/>
  <c r="H138" i="20"/>
  <c r="K158" i="20"/>
  <c r="K148" i="20"/>
  <c r="K138" i="20"/>
  <c r="I146" i="20"/>
  <c r="L156" i="20"/>
  <c r="L136" i="20"/>
  <c r="H146" i="20"/>
  <c r="K156" i="20"/>
  <c r="K136" i="20"/>
  <c r="I160" i="20"/>
  <c r="L150" i="20"/>
  <c r="I157" i="20"/>
  <c r="L177" i="20"/>
  <c r="H187" i="20"/>
  <c r="H167" i="20"/>
  <c r="H147" i="20"/>
  <c r="H127" i="20"/>
  <c r="H107" i="20"/>
  <c r="K177" i="20"/>
  <c r="K137" i="20"/>
  <c r="K117" i="20"/>
  <c r="I195" i="20"/>
  <c r="I185" i="20"/>
  <c r="I175" i="20"/>
  <c r="I165" i="20"/>
  <c r="I155" i="20"/>
  <c r="I145" i="20"/>
  <c r="I135" i="20"/>
  <c r="I125" i="20"/>
  <c r="I115" i="20"/>
  <c r="I105" i="20"/>
  <c r="L195" i="20"/>
  <c r="L185" i="20"/>
  <c r="L175" i="20"/>
  <c r="L165" i="20"/>
  <c r="L155" i="20"/>
  <c r="L145" i="20"/>
  <c r="L135" i="20"/>
  <c r="L125" i="20"/>
  <c r="L115" i="20"/>
  <c r="L105" i="20"/>
  <c r="H185" i="20"/>
  <c r="H165" i="20"/>
  <c r="H145" i="20"/>
  <c r="H125" i="20"/>
  <c r="H105" i="20"/>
  <c r="K195" i="20"/>
  <c r="K185" i="20"/>
  <c r="K175" i="20"/>
  <c r="K165" i="20"/>
  <c r="K155" i="20"/>
  <c r="K145" i="20"/>
  <c r="K135" i="20"/>
  <c r="K125" i="20"/>
  <c r="K115" i="20"/>
  <c r="K105" i="20"/>
  <c r="H160" i="20"/>
  <c r="I177" i="20"/>
  <c r="I117" i="20"/>
  <c r="H177" i="20"/>
  <c r="H137" i="20"/>
  <c r="H117" i="20"/>
  <c r="I154" i="20"/>
  <c r="I144" i="20"/>
  <c r="I134" i="20"/>
  <c r="L154" i="20"/>
  <c r="L144" i="20"/>
  <c r="L134" i="20"/>
  <c r="H154" i="20"/>
  <c r="H144" i="20"/>
  <c r="H134" i="20"/>
  <c r="K154" i="20"/>
  <c r="K144" i="20"/>
  <c r="K134" i="20"/>
  <c r="I183" i="20"/>
  <c r="I173" i="20"/>
  <c r="I163" i="20"/>
  <c r="I153" i="20"/>
  <c r="I143" i="20"/>
  <c r="I133" i="20"/>
  <c r="I123" i="20"/>
  <c r="I113" i="20"/>
  <c r="I103" i="20"/>
  <c r="L193" i="20"/>
  <c r="L183" i="20"/>
  <c r="L173" i="20"/>
  <c r="L163" i="20"/>
  <c r="L153" i="20"/>
  <c r="L143" i="20"/>
  <c r="L133" i="20"/>
  <c r="L123" i="20"/>
  <c r="L113" i="20"/>
  <c r="L103" i="20"/>
  <c r="I140" i="20"/>
  <c r="I137" i="20"/>
  <c r="L157" i="20"/>
  <c r="L137" i="20"/>
  <c r="L117" i="20"/>
  <c r="H157" i="20"/>
  <c r="K157" i="20"/>
  <c r="C195" i="20"/>
  <c r="F195" i="20"/>
  <c r="S195" i="20" s="1"/>
  <c r="H193" i="20"/>
  <c r="H183" i="20"/>
  <c r="H173" i="20"/>
  <c r="H163" i="20"/>
  <c r="H153" i="20"/>
  <c r="H143" i="20"/>
  <c r="H133" i="20"/>
  <c r="H123" i="20"/>
  <c r="H113" i="20"/>
  <c r="H103" i="20"/>
  <c r="K193" i="20"/>
  <c r="K183" i="20"/>
  <c r="K173" i="20"/>
  <c r="K163" i="20"/>
  <c r="K153" i="20"/>
  <c r="K143" i="20"/>
  <c r="K133" i="20"/>
  <c r="K123" i="20"/>
  <c r="K113" i="20"/>
  <c r="K103" i="20"/>
  <c r="B195" i="20"/>
  <c r="E195" i="20"/>
  <c r="I152" i="20"/>
  <c r="I142" i="20"/>
  <c r="L152" i="20"/>
  <c r="L142" i="20"/>
  <c r="E160" i="20"/>
  <c r="C193" i="20"/>
  <c r="F160" i="20"/>
  <c r="B158" i="20"/>
  <c r="B193" i="20"/>
  <c r="C158" i="20"/>
  <c r="O291" i="20"/>
  <c r="O271" i="20"/>
  <c r="O261" i="20"/>
  <c r="O251" i="20"/>
  <c r="O211" i="20"/>
  <c r="P290" i="20"/>
  <c r="P280" i="20"/>
  <c r="P270" i="20"/>
  <c r="P230" i="20"/>
  <c r="P220" i="20"/>
  <c r="P210" i="20"/>
  <c r="P200" i="20"/>
  <c r="P190" i="20"/>
  <c r="O82" i="20"/>
  <c r="O72" i="20"/>
  <c r="O81" i="20"/>
  <c r="O71" i="20"/>
  <c r="O61" i="20"/>
  <c r="O51" i="20"/>
  <c r="O41" i="20"/>
  <c r="O21" i="20"/>
  <c r="O11" i="20"/>
  <c r="P269" i="20"/>
  <c r="P80" i="20"/>
  <c r="P70" i="20"/>
  <c r="P20" i="20"/>
  <c r="P10" i="20"/>
  <c r="O52" i="20"/>
  <c r="O22" i="20"/>
  <c r="O62" i="20"/>
  <c r="O32" i="20"/>
  <c r="O102" i="20"/>
  <c r="O80" i="20"/>
  <c r="O70" i="20"/>
  <c r="O60" i="20"/>
  <c r="O10" i="20"/>
  <c r="P277" i="20"/>
  <c r="P257" i="20"/>
  <c r="P247" i="20"/>
  <c r="P237" i="20"/>
  <c r="P217" i="20"/>
  <c r="P100" i="20"/>
  <c r="P69" i="20"/>
  <c r="P49" i="20"/>
  <c r="P39" i="20"/>
  <c r="P9" i="20"/>
  <c r="O257" i="20"/>
  <c r="O247" i="20"/>
  <c r="O237" i="20"/>
  <c r="O227" i="20"/>
  <c r="O217" i="20"/>
  <c r="O172" i="20"/>
  <c r="O100" i="20"/>
  <c r="O89" i="20"/>
  <c r="O79" i="20"/>
  <c r="O59" i="20"/>
  <c r="O49" i="20"/>
  <c r="O39" i="20"/>
  <c r="O29" i="20"/>
  <c r="O9" i="20"/>
  <c r="P170" i="20"/>
  <c r="O112" i="20"/>
  <c r="P77" i="20"/>
  <c r="P57" i="20"/>
  <c r="P37" i="20"/>
  <c r="P27" i="20"/>
  <c r="P17" i="20"/>
  <c r="P110" i="20"/>
  <c r="O57" i="20"/>
  <c r="O37" i="20"/>
  <c r="O27" i="20"/>
  <c r="O17" i="20"/>
  <c r="P96" i="20"/>
  <c r="P76" i="20"/>
  <c r="P16" i="20"/>
  <c r="O170" i="20"/>
  <c r="P108" i="20"/>
  <c r="O182" i="20"/>
  <c r="P180" i="20"/>
  <c r="O292" i="20"/>
  <c r="O282" i="20"/>
  <c r="O252" i="20"/>
  <c r="O242" i="20"/>
  <c r="O232" i="20"/>
  <c r="O212" i="20"/>
  <c r="O202" i="20"/>
  <c r="F123" i="20"/>
  <c r="S123" i="20" s="1"/>
  <c r="F181" i="20"/>
  <c r="S181" i="20" s="1"/>
  <c r="F161" i="20"/>
  <c r="F141" i="20"/>
  <c r="F121" i="20"/>
  <c r="E181" i="20"/>
  <c r="E171" i="20"/>
  <c r="E161" i="20"/>
  <c r="E151" i="20"/>
  <c r="E141" i="20"/>
  <c r="E131" i="20"/>
  <c r="E121" i="20"/>
  <c r="R121" i="20" s="1"/>
  <c r="E111" i="20"/>
  <c r="F130" i="20"/>
  <c r="S130" i="20" s="1"/>
  <c r="F143" i="20"/>
  <c r="F169" i="20"/>
  <c r="F159" i="20"/>
  <c r="S159" i="20" s="1"/>
  <c r="F139" i="20"/>
  <c r="F109" i="20"/>
  <c r="E189" i="20"/>
  <c r="E179" i="20"/>
  <c r="R179" i="20" s="1"/>
  <c r="E169" i="20"/>
  <c r="R169" i="20" s="1"/>
  <c r="E159" i="20"/>
  <c r="E149" i="20"/>
  <c r="E139" i="20"/>
  <c r="E129" i="20"/>
  <c r="E119" i="20"/>
  <c r="E109" i="20"/>
  <c r="F138" i="20"/>
  <c r="F128" i="20"/>
  <c r="S128" i="20" s="1"/>
  <c r="F163" i="20"/>
  <c r="F179" i="20"/>
  <c r="E128" i="20"/>
  <c r="R128" i="20" s="1"/>
  <c r="F183" i="20"/>
  <c r="E183" i="20"/>
  <c r="E163" i="20"/>
  <c r="E143" i="20"/>
  <c r="E123" i="20"/>
  <c r="F187" i="20"/>
  <c r="F167" i="20"/>
  <c r="F147" i="20"/>
  <c r="E187" i="20"/>
  <c r="R187" i="20" s="1"/>
  <c r="E177" i="20"/>
  <c r="E167" i="20"/>
  <c r="R167" i="20" s="1"/>
  <c r="E157" i="20"/>
  <c r="E147" i="20"/>
  <c r="E137" i="20"/>
  <c r="E127" i="20"/>
  <c r="E117" i="20"/>
  <c r="F189" i="20"/>
  <c r="F149" i="20"/>
  <c r="F129" i="20"/>
  <c r="F119" i="20"/>
  <c r="F127" i="20"/>
  <c r="F156" i="20"/>
  <c r="S156" i="20" s="1"/>
  <c r="B148" i="20"/>
  <c r="B138" i="20"/>
  <c r="B128" i="20"/>
  <c r="O128" i="20" s="1"/>
  <c r="B144" i="20"/>
  <c r="C173" i="20"/>
  <c r="C163" i="20"/>
  <c r="C153" i="20"/>
  <c r="C143" i="20"/>
  <c r="C133" i="20"/>
  <c r="C123" i="20"/>
  <c r="C113" i="20"/>
  <c r="C103" i="20"/>
  <c r="F103" i="20"/>
  <c r="C156" i="20"/>
  <c r="B136" i="20"/>
  <c r="C155" i="20"/>
  <c r="F105" i="20"/>
  <c r="E105" i="20"/>
  <c r="C142" i="20"/>
  <c r="B152" i="20"/>
  <c r="B142" i="20"/>
  <c r="B132" i="20"/>
  <c r="B155" i="20"/>
  <c r="B135" i="20"/>
  <c r="B115" i="20"/>
  <c r="E103" i="20"/>
  <c r="C171" i="20"/>
  <c r="C161" i="20"/>
  <c r="P161" i="20" s="1"/>
  <c r="C151" i="20"/>
  <c r="C141" i="20"/>
  <c r="C131" i="20"/>
  <c r="C121" i="20"/>
  <c r="C111" i="20"/>
  <c r="P111" i="20" s="1"/>
  <c r="C101" i="20"/>
  <c r="F101" i="20"/>
  <c r="B171" i="20"/>
  <c r="B161" i="20"/>
  <c r="B151" i="20"/>
  <c r="B141" i="20"/>
  <c r="B131" i="20"/>
  <c r="B121" i="20"/>
  <c r="B111" i="20"/>
  <c r="B101" i="20"/>
  <c r="E101" i="20"/>
  <c r="C150" i="20"/>
  <c r="C140" i="20"/>
  <c r="C130" i="20"/>
  <c r="P130" i="20" s="1"/>
  <c r="C136" i="20"/>
  <c r="B156" i="20"/>
  <c r="C135" i="20"/>
  <c r="C115" i="20"/>
  <c r="B130" i="20"/>
  <c r="O130" i="20" s="1"/>
  <c r="C169" i="20"/>
  <c r="C159" i="20"/>
  <c r="C149" i="20"/>
  <c r="C139" i="20"/>
  <c r="C129" i="20"/>
  <c r="C119" i="20"/>
  <c r="C109" i="20"/>
  <c r="C99" i="20"/>
  <c r="F99" i="20"/>
  <c r="S99" i="20" s="1"/>
  <c r="B140" i="20"/>
  <c r="B169" i="20"/>
  <c r="B159" i="20"/>
  <c r="B149" i="20"/>
  <c r="B139" i="20"/>
  <c r="B129" i="20"/>
  <c r="B119" i="20"/>
  <c r="B109" i="20"/>
  <c r="B99" i="20"/>
  <c r="E99" i="20"/>
  <c r="B150" i="20"/>
  <c r="C148" i="20"/>
  <c r="C138" i="20"/>
  <c r="C128" i="20"/>
  <c r="P128" i="20" s="1"/>
  <c r="B175" i="20"/>
  <c r="C175" i="20"/>
  <c r="C179" i="20"/>
  <c r="C177" i="20"/>
  <c r="B177" i="20"/>
  <c r="C183" i="20"/>
  <c r="B181" i="20"/>
  <c r="C185" i="20"/>
  <c r="B185" i="20"/>
  <c r="P253" i="20"/>
  <c r="O192" i="20"/>
  <c r="P271" i="20"/>
  <c r="O221" i="20"/>
  <c r="P120" i="20"/>
  <c r="O250" i="20"/>
  <c r="O279" i="20"/>
  <c r="O209" i="20"/>
  <c r="P268" i="20"/>
  <c r="P228" i="20"/>
  <c r="P267" i="20"/>
  <c r="P87" i="20"/>
  <c r="P266" i="20"/>
  <c r="P236" i="20"/>
  <c r="P216" i="20"/>
  <c r="P56" i="20"/>
  <c r="O262" i="20"/>
  <c r="P31" i="20"/>
  <c r="O281" i="20"/>
  <c r="O241" i="20"/>
  <c r="O270" i="20"/>
  <c r="O90" i="20"/>
  <c r="O30" i="20"/>
  <c r="P279" i="20"/>
  <c r="P249" i="20"/>
  <c r="P89" i="20"/>
  <c r="P59" i="20"/>
  <c r="O69" i="20"/>
  <c r="P118" i="20"/>
  <c r="O276" i="20"/>
  <c r="O216" i="20"/>
  <c r="O196" i="20"/>
  <c r="O176" i="20"/>
  <c r="O56" i="20"/>
  <c r="O26" i="20"/>
  <c r="O6" i="20"/>
  <c r="O13" i="20"/>
  <c r="P92" i="20"/>
  <c r="P11" i="20"/>
  <c r="P88" i="20"/>
  <c r="P245" i="20"/>
  <c r="P55" i="20"/>
  <c r="O245" i="20"/>
  <c r="O5" i="20"/>
  <c r="O12" i="20"/>
  <c r="P261" i="20"/>
  <c r="P21" i="20"/>
  <c r="O91" i="20"/>
  <c r="P260" i="20"/>
  <c r="P90" i="20"/>
  <c r="P30" i="20"/>
  <c r="O260" i="20"/>
  <c r="P239" i="20"/>
  <c r="P79" i="20"/>
  <c r="P238" i="20"/>
  <c r="O253" i="20"/>
  <c r="P272" i="20"/>
  <c r="P192" i="20"/>
  <c r="P122" i="20"/>
  <c r="P12" i="20"/>
  <c r="O272" i="20"/>
  <c r="O92" i="20"/>
  <c r="O31" i="20"/>
  <c r="P240" i="20"/>
  <c r="O240" i="20"/>
  <c r="O180" i="20"/>
  <c r="O120" i="20"/>
  <c r="O20" i="20"/>
  <c r="P29" i="20"/>
  <c r="O229" i="20"/>
  <c r="O63" i="20"/>
  <c r="O43" i="20"/>
  <c r="P60" i="20"/>
  <c r="O40" i="20"/>
  <c r="P202" i="20"/>
  <c r="O73" i="20"/>
  <c r="P52" i="20"/>
  <c r="O222" i="20"/>
  <c r="O122" i="20"/>
  <c r="O231" i="20"/>
  <c r="P50" i="20"/>
  <c r="O53" i="20"/>
  <c r="O42" i="20"/>
  <c r="P40" i="20"/>
  <c r="O50" i="20"/>
  <c r="P3" i="20"/>
  <c r="T12" i="21"/>
  <c r="T21" i="21"/>
  <c r="T11" i="21"/>
  <c r="T20" i="21"/>
  <c r="T10" i="21"/>
  <c r="T19" i="21"/>
  <c r="T9" i="21"/>
  <c r="T8" i="21"/>
  <c r="T18" i="21"/>
  <c r="T7" i="21"/>
  <c r="T15" i="21"/>
  <c r="T13" i="21"/>
  <c r="T14" i="21"/>
  <c r="T17" i="21"/>
  <c r="T16" i="21"/>
  <c r="T6" i="21"/>
  <c r="DM6" i="22"/>
  <c r="BE6" i="22"/>
  <c r="BD6" i="22"/>
  <c r="DK6" i="22"/>
  <c r="DA6" i="22"/>
  <c r="CQ6" i="22"/>
  <c r="CG6" i="22"/>
  <c r="BW6" i="22"/>
  <c r="BM6" i="22"/>
  <c r="BC6" i="22"/>
  <c r="AS6" i="22"/>
  <c r="AI6" i="22"/>
  <c r="Y6" i="22"/>
  <c r="DJ6" i="22"/>
  <c r="CZ6" i="22"/>
  <c r="CP6" i="22"/>
  <c r="CF6" i="22"/>
  <c r="BV6" i="22"/>
  <c r="BL6" i="22"/>
  <c r="BB6" i="22"/>
  <c r="AR6" i="22"/>
  <c r="AH6" i="22"/>
  <c r="X6" i="22"/>
  <c r="BN6" i="22"/>
  <c r="CE6" i="22"/>
  <c r="DH6" i="22"/>
  <c r="CX6" i="22"/>
  <c r="CN6" i="22"/>
  <c r="CD6" i="22"/>
  <c r="BT6" i="22"/>
  <c r="BJ6" i="22"/>
  <c r="AZ6" i="22"/>
  <c r="AP6" i="22"/>
  <c r="AF6" i="22"/>
  <c r="V6" i="22"/>
  <c r="AG6" i="22"/>
  <c r="CI6" i="22"/>
  <c r="DB6" i="22"/>
  <c r="W6" i="22"/>
  <c r="DC6" i="22"/>
  <c r="AA6" i="22"/>
  <c r="DL6" i="22"/>
  <c r="Z6" i="22"/>
  <c r="DI6" i="22"/>
  <c r="CY6" i="22"/>
  <c r="AQ6" i="22"/>
  <c r="DG6" i="22"/>
  <c r="CW6" i="22"/>
  <c r="CM6" i="22"/>
  <c r="CC6" i="22"/>
  <c r="BS6" i="22"/>
  <c r="BI6" i="22"/>
  <c r="AY6" i="22"/>
  <c r="AO6" i="22"/>
  <c r="AE6" i="22"/>
  <c r="U6" i="22"/>
  <c r="DF6" i="22"/>
  <c r="CV6" i="22"/>
  <c r="CL6" i="22"/>
  <c r="CB6" i="22"/>
  <c r="BR6" i="22"/>
  <c r="BH6" i="22"/>
  <c r="AX6" i="22"/>
  <c r="AN6" i="22"/>
  <c r="AD6" i="22"/>
  <c r="T6" i="22"/>
  <c r="AU6" i="22"/>
  <c r="AT6" i="22"/>
  <c r="CO6" i="22"/>
  <c r="BY6" i="22"/>
  <c r="CH6" i="22"/>
  <c r="BA6" i="22"/>
  <c r="BO6" i="22"/>
  <c r="BX6" i="22"/>
  <c r="BK6" i="22"/>
  <c r="CS6" i="22"/>
  <c r="AK6" i="22"/>
  <c r="CR6" i="22"/>
  <c r="AJ6" i="22"/>
  <c r="BU6" i="22"/>
  <c r="DE6" i="22"/>
  <c r="CU6" i="22"/>
  <c r="CK6" i="22"/>
  <c r="CA6" i="22"/>
  <c r="BQ6" i="22"/>
  <c r="BG6" i="22"/>
  <c r="AW6" i="22"/>
  <c r="AM6" i="22"/>
  <c r="AC6" i="22"/>
  <c r="S6" i="22"/>
  <c r="DN6" i="22"/>
  <c r="DD6" i="22"/>
  <c r="CT6" i="22"/>
  <c r="CJ6" i="22"/>
  <c r="BZ6" i="22"/>
  <c r="BP6" i="22"/>
  <c r="BF6" i="22"/>
  <c r="AV6" i="22"/>
  <c r="AL6" i="22"/>
  <c r="AB6" i="22"/>
  <c r="R6" i="22"/>
  <c r="CI17" i="22"/>
  <c r="DA7" i="22"/>
  <c r="W21" i="22"/>
  <c r="AW19" i="22"/>
  <c r="AU11" i="22"/>
  <c r="CP7" i="22"/>
  <c r="CD21" i="22"/>
  <c r="AN20" i="22"/>
  <c r="AX18" i="22"/>
  <c r="CI14" i="22"/>
  <c r="AS11" i="22"/>
  <c r="CC9" i="22"/>
  <c r="BH16" i="22"/>
  <c r="CY11" i="22"/>
  <c r="DB21" i="22"/>
  <c r="BD13" i="22"/>
  <c r="AF21" i="22"/>
  <c r="CI11" i="22"/>
  <c r="AB21" i="22"/>
  <c r="U16" i="22"/>
  <c r="DC20" i="22"/>
  <c r="AV19" i="22"/>
  <c r="AA17" i="22"/>
  <c r="BW9" i="22"/>
  <c r="BB7" i="22"/>
  <c r="CC21" i="22"/>
  <c r="CZ20" i="22"/>
  <c r="DG15" i="22"/>
  <c r="CW12" i="22"/>
  <c r="AW7" i="22"/>
  <c r="R20" i="22"/>
  <c r="AA18" i="22"/>
  <c r="Y17" i="22"/>
  <c r="AX14" i="22"/>
  <c r="AF11" i="22"/>
  <c r="BG16" i="22"/>
  <c r="BH17" i="22"/>
  <c r="CQ13" i="22"/>
  <c r="CG19" i="22"/>
  <c r="CZ21" i="22"/>
  <c r="DJ7" i="22"/>
  <c r="BH19" i="22"/>
  <c r="CE9" i="22"/>
  <c r="CT12" i="22"/>
  <c r="V17" i="22"/>
  <c r="BU21" i="22"/>
  <c r="AJ14" i="22"/>
  <c r="CQ10" i="22"/>
  <c r="BE21" i="22"/>
  <c r="CT20" i="22"/>
  <c r="R18" i="22"/>
  <c r="CL16" i="22"/>
  <c r="AY12" i="22"/>
  <c r="CO10" i="22"/>
  <c r="S9" i="22"/>
  <c r="CJ18" i="22"/>
  <c r="BD8" i="22"/>
  <c r="AD15" i="22"/>
  <c r="CC19" i="22"/>
  <c r="AG10" i="22"/>
  <c r="CG11" i="22"/>
  <c r="AZ17" i="22"/>
  <c r="BX21" i="22"/>
  <c r="W17" i="22"/>
  <c r="AL14" i="22"/>
  <c r="BV20" i="22"/>
  <c r="CK16" i="22"/>
  <c r="BW15" i="22"/>
  <c r="CZ13" i="22"/>
  <c r="CE10" i="22"/>
  <c r="CC8" i="22"/>
  <c r="CH19" i="22"/>
  <c r="BQ20" i="22"/>
  <c r="CI18" i="22"/>
  <c r="AW20" i="22"/>
  <c r="AC15" i="22"/>
  <c r="AT20" i="22"/>
  <c r="BB13" i="22"/>
  <c r="Z21" i="22"/>
  <c r="AO20" i="22"/>
  <c r="CK14" i="22"/>
  <c r="DL19" i="22"/>
  <c r="AV14" i="22"/>
  <c r="DK19" i="22"/>
  <c r="BS20" i="22"/>
  <c r="CJ19" i="22"/>
  <c r="CK17" i="22"/>
  <c r="BC21" i="22"/>
  <c r="CK18" i="22"/>
  <c r="AI15" i="22"/>
  <c r="AT12" i="22"/>
  <c r="AI10" i="22"/>
  <c r="BV8" i="22"/>
  <c r="AH10" i="22"/>
  <c r="CI13" i="22"/>
  <c r="BK17" i="22"/>
  <c r="AU16" i="22"/>
  <c r="AS20" i="22"/>
  <c r="CD9" i="22"/>
  <c r="W19" i="22"/>
  <c r="CA15" i="22"/>
  <c r="CR10" i="22"/>
  <c r="U9" i="22"/>
  <c r="BD21" i="22"/>
  <c r="DM18" i="22"/>
  <c r="BR20" i="22"/>
  <c r="CJ17" i="22"/>
  <c r="CG16" i="22"/>
  <c r="AE15" i="22"/>
  <c r="CG18" i="22"/>
  <c r="AV18" i="22"/>
  <c r="U17" i="22"/>
  <c r="AS16" i="22"/>
  <c r="DA15" i="22"/>
  <c r="BO15" i="22"/>
  <c r="CG14" i="22"/>
  <c r="AO13" i="22"/>
  <c r="CR12" i="22"/>
  <c r="AQ12" i="22"/>
  <c r="BS9" i="22"/>
  <c r="BC8" i="22"/>
  <c r="CM7" i="22"/>
  <c r="AJ7" i="22"/>
  <c r="CT21" i="22"/>
  <c r="BT21" i="22"/>
  <c r="AV21" i="22"/>
  <c r="V21" i="22"/>
  <c r="CN20" i="22"/>
  <c r="BP20" i="22"/>
  <c r="AK20" i="22"/>
  <c r="CA19" i="22"/>
  <c r="DG18" i="22"/>
  <c r="DH17" i="22"/>
  <c r="CG17" i="22"/>
  <c r="AX17" i="22"/>
  <c r="CD16" i="22"/>
  <c r="CX15" i="22"/>
  <c r="AH14" i="22"/>
  <c r="CE13" i="22"/>
  <c r="CP12" i="22"/>
  <c r="CF11" i="22"/>
  <c r="Y10" i="22"/>
  <c r="DM8" i="22"/>
  <c r="BA8" i="22"/>
  <c r="X7" i="22"/>
  <c r="BS21" i="22"/>
  <c r="BO20" i="22"/>
  <c r="CY19" i="22"/>
  <c r="BZ19" i="22"/>
  <c r="AQ19" i="22"/>
  <c r="DG16" i="22"/>
  <c r="CC16" i="22"/>
  <c r="AQ16" i="22"/>
  <c r="CU15" i="22"/>
  <c r="BG15" i="22"/>
  <c r="AF13" i="22"/>
  <c r="CN12" i="22"/>
  <c r="AI12" i="22"/>
  <c r="Y11" i="22"/>
  <c r="BS10" i="22"/>
  <c r="CH7" i="22"/>
  <c r="U21" i="22"/>
  <c r="CM20" i="22"/>
  <c r="AH20" i="22"/>
  <c r="BY19" i="22"/>
  <c r="AQ18" i="22"/>
  <c r="DG17" i="22"/>
  <c r="AV17" i="22"/>
  <c r="AP16" i="22"/>
  <c r="AF14" i="22"/>
  <c r="CC13" i="22"/>
  <c r="CC12" i="22"/>
  <c r="AG12" i="22"/>
  <c r="CE11" i="22"/>
  <c r="DI9" i="22"/>
  <c r="DK8" i="22"/>
  <c r="AY8" i="22"/>
  <c r="W7" i="22"/>
  <c r="BR21" i="22"/>
  <c r="AQ21" i="22"/>
  <c r="CL20" i="22"/>
  <c r="BL20" i="22"/>
  <c r="CX19" i="22"/>
  <c r="AP19" i="22"/>
  <c r="DA18" i="22"/>
  <c r="BY18" i="22"/>
  <c r="DF17" i="22"/>
  <c r="AQ17" i="22"/>
  <c r="DF16" i="22"/>
  <c r="DH14" i="22"/>
  <c r="AC13" i="22"/>
  <c r="CD11" i="22"/>
  <c r="BC9" i="22"/>
  <c r="CG7" i="22"/>
  <c r="U7" i="22"/>
  <c r="BN20" i="22"/>
  <c r="BQ10" i="22"/>
  <c r="CN21" i="22"/>
  <c r="BE20" i="22"/>
  <c r="AF20" i="22"/>
  <c r="BQ19" i="22"/>
  <c r="AO19" i="22"/>
  <c r="AP18" i="22"/>
  <c r="BT17" i="22"/>
  <c r="AM16" i="22"/>
  <c r="CS15" i="22"/>
  <c r="BU14" i="22"/>
  <c r="AC14" i="22"/>
  <c r="BX13" i="22"/>
  <c r="AB13" i="22"/>
  <c r="CA12" i="22"/>
  <c r="BS11" i="22"/>
  <c r="U11" i="22"/>
  <c r="BO10" i="22"/>
  <c r="DE9" i="22"/>
  <c r="BA9" i="22"/>
  <c r="AW8" i="22"/>
  <c r="CC7" i="22"/>
  <c r="DL21" i="22"/>
  <c r="CK20" i="22"/>
  <c r="AE20" i="22"/>
  <c r="CW19" i="22"/>
  <c r="AN19" i="22"/>
  <c r="CY18" i="22"/>
  <c r="AO18" i="22"/>
  <c r="DE16" i="22"/>
  <c r="BC15" i="22"/>
  <c r="DG14" i="22"/>
  <c r="BM14" i="22"/>
  <c r="S14" i="22"/>
  <c r="S12" i="22"/>
  <c r="BM10" i="22"/>
  <c r="CR8" i="22"/>
  <c r="AQ8" i="22"/>
  <c r="DL20" i="22"/>
  <c r="BD20" i="22"/>
  <c r="AK19" i="22"/>
  <c r="AN18" i="22"/>
  <c r="BV13" i="22"/>
  <c r="BW12" i="22"/>
  <c r="DC9" i="22"/>
  <c r="AM8" i="22"/>
  <c r="DK20" i="22"/>
  <c r="BC20" i="22"/>
  <c r="BP18" i="22"/>
  <c r="BQ17" i="22"/>
  <c r="DA16" i="22"/>
  <c r="DE14" i="22"/>
  <c r="BK11" i="22"/>
  <c r="BG10" i="22"/>
  <c r="CO8" i="22"/>
  <c r="BV7" i="22"/>
  <c r="DF21" i="22"/>
  <c r="BN21" i="22"/>
  <c r="AL21" i="22"/>
  <c r="CG20" i="22"/>
  <c r="BB20" i="22"/>
  <c r="W20" i="22"/>
  <c r="CU19" i="22"/>
  <c r="BK19" i="22"/>
  <c r="AD18" i="22"/>
  <c r="CX17" i="22"/>
  <c r="AI17" i="22"/>
  <c r="CY16" i="22"/>
  <c r="BK16" i="22"/>
  <c r="Y16" i="22"/>
  <c r="DJ13" i="22"/>
  <c r="BS13" i="22"/>
  <c r="DK11" i="22"/>
  <c r="AT9" i="22"/>
  <c r="CR21" i="22"/>
  <c r="DJ21" i="22"/>
  <c r="AO21" i="22"/>
  <c r="AD20" i="22"/>
  <c r="BM19" i="22"/>
  <c r="BQ18" i="22"/>
  <c r="DA17" i="22"/>
  <c r="BM16" i="22"/>
  <c r="CQ15" i="22"/>
  <c r="R14" i="22"/>
  <c r="Z13" i="22"/>
  <c r="AU9" i="22"/>
  <c r="BY7" i="22"/>
  <c r="CL21" i="22"/>
  <c r="CH20" i="22"/>
  <c r="CV19" i="22"/>
  <c r="CX18" i="22"/>
  <c r="AM18" i="22"/>
  <c r="AN17" i="22"/>
  <c r="AF16" i="22"/>
  <c r="AZ15" i="22"/>
  <c r="BI14" i="22"/>
  <c r="BT13" i="22"/>
  <c r="DK10" i="22"/>
  <c r="DA9" i="22"/>
  <c r="AA8" i="22"/>
  <c r="CJ21" i="22"/>
  <c r="BG21" i="22"/>
  <c r="DE20" i="22"/>
  <c r="CD20" i="22"/>
  <c r="CT19" i="22"/>
  <c r="AC19" i="22"/>
  <c r="BO18" i="22"/>
  <c r="CW17" i="22"/>
  <c r="BP17" i="22"/>
  <c r="AE17" i="22"/>
  <c r="CX16" i="22"/>
  <c r="DA14" i="22"/>
  <c r="BH14" i="22"/>
  <c r="BG13" i="22"/>
  <c r="DL12" i="22"/>
  <c r="BS12" i="22"/>
  <c r="CW10" i="22"/>
  <c r="CY9" i="22"/>
  <c r="Z8" i="22"/>
  <c r="BG7" i="22"/>
  <c r="DD21" i="22"/>
  <c r="AJ21" i="22"/>
  <c r="CC20" i="22"/>
  <c r="BA20" i="22"/>
  <c r="T20" i="22"/>
  <c r="BJ19" i="22"/>
  <c r="AC18" i="22"/>
  <c r="CV17" i="22"/>
  <c r="CU16" i="22"/>
  <c r="BJ16" i="22"/>
  <c r="W16" i="22"/>
  <c r="BG14" i="22"/>
  <c r="DF13" i="22"/>
  <c r="BF13" i="22"/>
  <c r="BQ12" i="22"/>
  <c r="DI11" i="22"/>
  <c r="BE11" i="22"/>
  <c r="CQ9" i="22"/>
  <c r="AS9" i="22"/>
  <c r="CF8" i="22"/>
  <c r="CH21" i="22"/>
  <c r="BF21" i="22"/>
  <c r="AH21" i="22"/>
  <c r="DD20" i="22"/>
  <c r="CN19" i="22"/>
  <c r="BJ18" i="22"/>
  <c r="BO17" i="22"/>
  <c r="AC17" i="22"/>
  <c r="V16" i="22"/>
  <c r="CB15" i="22"/>
  <c r="AQ15" i="22"/>
  <c r="BF14" i="22"/>
  <c r="DF12" i="22"/>
  <c r="BC11" i="22"/>
  <c r="CS10" i="22"/>
  <c r="AQ10" i="22"/>
  <c r="U8" i="22"/>
  <c r="DC21" i="22"/>
  <c r="CF21" i="22"/>
  <c r="AG21" i="22"/>
  <c r="S20" i="22"/>
  <c r="BI19" i="22"/>
  <c r="AA19" i="22"/>
  <c r="AB18" i="22"/>
  <c r="CN17" i="22"/>
  <c r="BM17" i="22"/>
  <c r="CM16" i="22"/>
  <c r="BI16" i="22"/>
  <c r="AM15" i="22"/>
  <c r="BG12" i="22"/>
  <c r="DE11" i="22"/>
  <c r="BA11" i="22"/>
  <c r="CF9" i="22"/>
  <c r="BD7" i="22"/>
  <c r="CX21" i="22"/>
  <c r="CG21" i="22"/>
  <c r="BQ21" i="22"/>
  <c r="BA21" i="22"/>
  <c r="AI21" i="22"/>
  <c r="T21" i="22"/>
  <c r="CX20" i="22"/>
  <c r="CF20" i="22"/>
  <c r="AY20" i="22"/>
  <c r="DJ19" i="22"/>
  <c r="S19" i="22"/>
  <c r="CW18" i="22"/>
  <c r="CC18" i="22"/>
  <c r="BI18" i="22"/>
  <c r="W18" i="22"/>
  <c r="AP17" i="22"/>
  <c r="DK15" i="22"/>
  <c r="CO15" i="22"/>
  <c r="BS15" i="22"/>
  <c r="AW15" i="22"/>
  <c r="AA15" i="22"/>
  <c r="CX14" i="22"/>
  <c r="BY14" i="22"/>
  <c r="BB14" i="22"/>
  <c r="AB14" i="22"/>
  <c r="CW13" i="22"/>
  <c r="AX13" i="22"/>
  <c r="U13" i="22"/>
  <c r="S11" i="22"/>
  <c r="AF10" i="22"/>
  <c r="BQ9" i="22"/>
  <c r="AQ9" i="22"/>
  <c r="DG7" i="22"/>
  <c r="BU13" i="22"/>
  <c r="AU13" i="22"/>
  <c r="S13" i="22"/>
  <c r="CQ12" i="22"/>
  <c r="BO12" i="22"/>
  <c r="AH12" i="22"/>
  <c r="DC11" i="22"/>
  <c r="CC11" i="22"/>
  <c r="AT11" i="22"/>
  <c r="CI10" i="22"/>
  <c r="BE10" i="22"/>
  <c r="CW9" i="22"/>
  <c r="DI8" i="22"/>
  <c r="CA8" i="22"/>
  <c r="AR8" i="22"/>
  <c r="BX7" i="22"/>
  <c r="DM21" i="22"/>
  <c r="CV21" i="22"/>
  <c r="CE21" i="22"/>
  <c r="BP21" i="22"/>
  <c r="AY21" i="22"/>
  <c r="S21" i="22"/>
  <c r="CV20" i="22"/>
  <c r="DI19" i="22"/>
  <c r="R19" i="22"/>
  <c r="CV18" i="22"/>
  <c r="CA18" i="22"/>
  <c r="BH18" i="22"/>
  <c r="CC17" i="22"/>
  <c r="AO17" i="22"/>
  <c r="CA16" i="22"/>
  <c r="AI16" i="22"/>
  <c r="CN15" i="22"/>
  <c r="BQ15" i="22"/>
  <c r="AS15" i="22"/>
  <c r="Y15" i="22"/>
  <c r="CV14" i="22"/>
  <c r="BW14" i="22"/>
  <c r="Y14" i="22"/>
  <c r="CT13" i="22"/>
  <c r="AS13" i="22"/>
  <c r="BM12" i="22"/>
  <c r="DA11" i="22"/>
  <c r="BW11" i="22"/>
  <c r="DM10" i="22"/>
  <c r="BC10" i="22"/>
  <c r="AE10" i="22"/>
  <c r="BO9" i="22"/>
  <c r="AK9" i="22"/>
  <c r="DE7" i="22"/>
  <c r="AK7" i="22"/>
  <c r="AC20" i="22"/>
  <c r="BC19" i="22"/>
  <c r="BE18" i="22"/>
  <c r="DM17" i="22"/>
  <c r="CA17" i="22"/>
  <c r="BY16" i="22"/>
  <c r="BM15" i="22"/>
  <c r="U15" i="22"/>
  <c r="DK12" i="22"/>
  <c r="AQ11" i="22"/>
  <c r="CD10" i="22"/>
  <c r="AH9" i="22"/>
  <c r="BU7" i="22"/>
  <c r="DI21" i="22"/>
  <c r="CS21" i="22"/>
  <c r="BM21" i="22"/>
  <c r="AU21" i="22"/>
  <c r="DJ20" i="22"/>
  <c r="CS20" i="22"/>
  <c r="BK20" i="22"/>
  <c r="AA20" i="22"/>
  <c r="CM19" i="22"/>
  <c r="DK18" i="22"/>
  <c r="BW18" i="22"/>
  <c r="AL18" i="22"/>
  <c r="BE17" i="22"/>
  <c r="AM17" i="22"/>
  <c r="CS16" i="22"/>
  <c r="BC16" i="22"/>
  <c r="AE16" i="22"/>
  <c r="CK15" i="22"/>
  <c r="AP15" i="22"/>
  <c r="S15" i="22"/>
  <c r="BT14" i="22"/>
  <c r="AU14" i="22"/>
  <c r="DM13" i="22"/>
  <c r="CP13" i="22"/>
  <c r="BR13" i="22"/>
  <c r="AN13" i="22"/>
  <c r="BE12" i="22"/>
  <c r="CW11" i="22"/>
  <c r="DI10" i="22"/>
  <c r="BQ8" i="22"/>
  <c r="CY7" i="22"/>
  <c r="AI7" i="22"/>
  <c r="CB20" i="22"/>
  <c r="AR20" i="22"/>
  <c r="DG19" i="22"/>
  <c r="BW19" i="22"/>
  <c r="AI19" i="22"/>
  <c r="CT18" i="22"/>
  <c r="CU17" i="22"/>
  <c r="S17" i="22"/>
  <c r="DF15" i="22"/>
  <c r="CQ14" i="22"/>
  <c r="AF12" i="22"/>
  <c r="BQ11" i="22"/>
  <c r="BA10" i="22"/>
  <c r="CO9" i="22"/>
  <c r="BM9" i="22"/>
  <c r="CY8" i="22"/>
  <c r="CB21" i="22"/>
  <c r="BK21" i="22"/>
  <c r="AE21" i="22"/>
  <c r="CA20" i="22"/>
  <c r="BH20" i="22"/>
  <c r="AQ20" i="22"/>
  <c r="DE19" i="22"/>
  <c r="BU19" i="22"/>
  <c r="AZ19" i="22"/>
  <c r="BC18" i="22"/>
  <c r="DK17" i="22"/>
  <c r="CT17" i="22"/>
  <c r="BY17" i="22"/>
  <c r="BW16" i="22"/>
  <c r="AY16" i="22"/>
  <c r="DE15" i="22"/>
  <c r="BK15" i="22"/>
  <c r="DM14" i="22"/>
  <c r="AS14" i="22"/>
  <c r="CN13" i="22"/>
  <c r="BM13" i="22"/>
  <c r="AM13" i="22"/>
  <c r="DJ12" i="22"/>
  <c r="CF12" i="22"/>
  <c r="BC12" i="22"/>
  <c r="AE12" i="22"/>
  <c r="BO11" i="22"/>
  <c r="AK11" i="22"/>
  <c r="CC10" i="22"/>
  <c r="AY10" i="22"/>
  <c r="S10" i="22"/>
  <c r="CI9" i="22"/>
  <c r="BK9" i="22"/>
  <c r="AF9" i="22"/>
  <c r="CW8" i="22"/>
  <c r="AE8" i="22"/>
  <c r="BI21" i="22"/>
  <c r="CR20" i="22"/>
  <c r="Z20" i="22"/>
  <c r="AE19" i="22"/>
  <c r="CM18" i="22"/>
  <c r="AL17" i="22"/>
  <c r="CQ16" i="22"/>
  <c r="BJ15" i="22"/>
  <c r="CM14" i="22"/>
  <c r="DL13" i="22"/>
  <c r="BI13" i="22"/>
  <c r="CQ11" i="22"/>
  <c r="BN8" i="22"/>
  <c r="CU7" i="22"/>
  <c r="CP21" i="22"/>
  <c r="BH21" i="22"/>
  <c r="AS21" i="22"/>
  <c r="CO20" i="22"/>
  <c r="BF20" i="22"/>
  <c r="AP20" i="22"/>
  <c r="X20" i="22"/>
  <c r="DC19" i="22"/>
  <c r="AX19" i="22"/>
  <c r="DH18" i="22"/>
  <c r="AE18" i="22"/>
  <c r="DI17" i="22"/>
  <c r="CO17" i="22"/>
  <c r="BU17" i="22"/>
  <c r="AK17" i="22"/>
  <c r="AW16" i="22"/>
  <c r="AC16" i="22"/>
  <c r="DC15" i="22"/>
  <c r="AN15" i="22"/>
  <c r="DI14" i="22"/>
  <c r="BQ14" i="22"/>
  <c r="AN14" i="22"/>
  <c r="CL13" i="22"/>
  <c r="DH12" i="22"/>
  <c r="CD12" i="22"/>
  <c r="Y12" i="22"/>
  <c r="CG9" i="22"/>
  <c r="CS8" i="22"/>
  <c r="AC8" i="22"/>
  <c r="CR7" i="22"/>
  <c r="BI7" i="22"/>
  <c r="AT21" i="22"/>
  <c r="DG20" i="22"/>
  <c r="CL19" i="22"/>
  <c r="DI18" i="22"/>
  <c r="BU18" i="22"/>
  <c r="BC17" i="22"/>
  <c r="DI16" i="22"/>
  <c r="CD15" i="22"/>
  <c r="AO15" i="22"/>
  <c r="BS14" i="22"/>
  <c r="AL13" i="22"/>
  <c r="AG7" i="22"/>
  <c r="DE21" i="22"/>
  <c r="CO21" i="22"/>
  <c r="BZ21" i="22"/>
  <c r="AR21" i="22"/>
  <c r="AC21" i="22"/>
  <c r="DF20" i="22"/>
  <c r="BY20" i="22"/>
  <c r="CZ19" i="22"/>
  <c r="CK19" i="22"/>
  <c r="AD19" i="22"/>
  <c r="CL18" i="22"/>
  <c r="BT18" i="22"/>
  <c r="AZ18" i="22"/>
  <c r="BA17" i="22"/>
  <c r="DH16" i="22"/>
  <c r="BT16" i="22"/>
  <c r="CC15" i="22"/>
  <c r="BI15" i="22"/>
  <c r="CL14" i="22"/>
  <c r="AM14" i="22"/>
  <c r="DK13" i="22"/>
  <c r="CK13" i="22"/>
  <c r="BH13" i="22"/>
  <c r="AJ13" i="22"/>
  <c r="BA12" i="22"/>
  <c r="CO11" i="22"/>
  <c r="BM11" i="22"/>
  <c r="AH11" i="22"/>
  <c r="CY10" i="22"/>
  <c r="BW10" i="22"/>
  <c r="AT10" i="22"/>
  <c r="DK9" i="22"/>
  <c r="BE9" i="22"/>
  <c r="Y9" i="22"/>
  <c r="CQ8" i="22"/>
  <c r="AS8" i="22"/>
  <c r="Y8" i="22"/>
  <c r="BW7" i="22"/>
  <c r="Y7" i="22"/>
  <c r="DK21" i="22"/>
  <c r="CY21" i="22"/>
  <c r="CM21" i="22"/>
  <c r="CA21" i="22"/>
  <c r="BO21" i="22"/>
  <c r="BB21" i="22"/>
  <c r="AP21" i="22"/>
  <c r="AD21" i="22"/>
  <c r="R21" i="22"/>
  <c r="CY20" i="22"/>
  <c r="BZ20" i="22"/>
  <c r="BM20" i="22"/>
  <c r="AZ20" i="22"/>
  <c r="AL20" i="22"/>
  <c r="Y20" i="22"/>
  <c r="DH19" i="22"/>
  <c r="CI19" i="22"/>
  <c r="BT19" i="22"/>
  <c r="BE19" i="22"/>
  <c r="AB19" i="22"/>
  <c r="CU18" i="22"/>
  <c r="BA18" i="22"/>
  <c r="Y18" i="22"/>
  <c r="CB17" i="22"/>
  <c r="AY17" i="22"/>
  <c r="BU16" i="22"/>
  <c r="AO16" i="22"/>
  <c r="CM15" i="22"/>
  <c r="BE15" i="22"/>
  <c r="V15" i="22"/>
  <c r="CY14" i="22"/>
  <c r="AW14" i="22"/>
  <c r="AD14" i="22"/>
  <c r="AY13" i="22"/>
  <c r="AD13" i="22"/>
  <c r="AU12" i="22"/>
  <c r="BG11" i="22"/>
  <c r="AI11" i="22"/>
  <c r="AU10" i="22"/>
  <c r="BG9" i="22"/>
  <c r="AI9" i="22"/>
  <c r="BO8" i="22"/>
  <c r="W8" i="22"/>
  <c r="CW21" i="22"/>
  <c r="CK21" i="22"/>
  <c r="BY21" i="22"/>
  <c r="BL21" i="22"/>
  <c r="AZ21" i="22"/>
  <c r="AN21" i="22"/>
  <c r="AA21" i="22"/>
  <c r="CW20" i="22"/>
  <c r="BX20" i="22"/>
  <c r="AJ20" i="22"/>
  <c r="DF19" i="22"/>
  <c r="BA19" i="22"/>
  <c r="Y19" i="22"/>
  <c r="CB18" i="22"/>
  <c r="AY18" i="22"/>
  <c r="V18" i="22"/>
  <c r="DC17" i="22"/>
  <c r="BZ17" i="22"/>
  <c r="AW17" i="22"/>
  <c r="CI16" i="22"/>
  <c r="BS16" i="22"/>
  <c r="AK16" i="22"/>
  <c r="BR15" i="22"/>
  <c r="BA15" i="22"/>
  <c r="CW14" i="22"/>
  <c r="AA14" i="22"/>
  <c r="DA13" i="22"/>
  <c r="BQ13" i="22"/>
  <c r="AA13" i="22"/>
  <c r="CG12" i="22"/>
  <c r="AS12" i="22"/>
  <c r="U12" i="22"/>
  <c r="AG11" i="22"/>
  <c r="AS10" i="22"/>
  <c r="U10" i="22"/>
  <c r="AG9" i="22"/>
  <c r="CG8" i="22"/>
  <c r="BM8" i="22"/>
  <c r="DK7" i="22"/>
  <c r="AS7" i="22"/>
  <c r="DH21" i="22"/>
  <c r="AM21" i="22"/>
  <c r="DI20" i="22"/>
  <c r="CJ20" i="22"/>
  <c r="BW20" i="22"/>
  <c r="BJ20" i="22"/>
  <c r="AV20" i="22"/>
  <c r="AI20" i="22"/>
  <c r="V20" i="22"/>
  <c r="CS19" i="22"/>
  <c r="BP19" i="22"/>
  <c r="AM19" i="22"/>
  <c r="DF18" i="22"/>
  <c r="CO18" i="22"/>
  <c r="BM18" i="22"/>
  <c r="AK18" i="22"/>
  <c r="CM17" i="22"/>
  <c r="BJ17" i="22"/>
  <c r="DM16" i="22"/>
  <c r="CW16" i="22"/>
  <c r="T16" i="22"/>
  <c r="CY15" i="22"/>
  <c r="CG15" i="22"/>
  <c r="CD14" i="22"/>
  <c r="BK14" i="22"/>
  <c r="CG13" i="22"/>
  <c r="DB12" i="22"/>
  <c r="CS11" i="22"/>
  <c r="DE10" i="22"/>
  <c r="CG10" i="22"/>
  <c r="CS9" i="22"/>
  <c r="DE8" i="22"/>
  <c r="BL8" i="22"/>
  <c r="BQ7" i="22"/>
  <c r="AR7" i="22"/>
  <c r="DG21" i="22"/>
  <c r="BW21" i="22"/>
  <c r="AX21" i="22"/>
  <c r="Y21" i="22"/>
  <c r="DH20" i="22"/>
  <c r="CI20" i="22"/>
  <c r="AU20" i="22"/>
  <c r="U20" i="22"/>
  <c r="CR19" i="22"/>
  <c r="BO19" i="22"/>
  <c r="AL19" i="22"/>
  <c r="CN18" i="22"/>
  <c r="BK18" i="22"/>
  <c r="AI18" i="22"/>
  <c r="S18" i="22"/>
  <c r="CL17" i="22"/>
  <c r="BI17" i="22"/>
  <c r="DK16" i="22"/>
  <c r="CV16" i="22"/>
  <c r="BQ16" i="22"/>
  <c r="S16" i="22"/>
  <c r="CE15" i="22"/>
  <c r="CC14" i="22"/>
  <c r="BJ14" i="22"/>
  <c r="CF13" i="22"/>
  <c r="DA12" i="22"/>
  <c r="CR11" i="22"/>
  <c r="DC10" i="22"/>
  <c r="CF10" i="22"/>
  <c r="CR9" i="22"/>
  <c r="DC8" i="22"/>
  <c r="BK8" i="22"/>
  <c r="BM7" i="22"/>
  <c r="AQ7" i="22"/>
  <c r="CU21" i="22"/>
  <c r="CI21" i="22"/>
  <c r="BV21" i="22"/>
  <c r="BJ21" i="22"/>
  <c r="AW21" i="22"/>
  <c r="AK21" i="22"/>
  <c r="X21" i="22"/>
  <c r="CU20" i="22"/>
  <c r="BU20" i="22"/>
  <c r="BG20" i="22"/>
  <c r="AG20" i="22"/>
  <c r="DD19" i="22"/>
  <c r="CO19" i="22"/>
  <c r="CB19" i="22"/>
  <c r="AY19" i="22"/>
  <c r="V19" i="22"/>
  <c r="DC18" i="22"/>
  <c r="BZ18" i="22"/>
  <c r="AW18" i="22"/>
  <c r="CY17" i="22"/>
  <c r="BW17" i="22"/>
  <c r="AD17" i="22"/>
  <c r="CE16" i="22"/>
  <c r="AX16" i="22"/>
  <c r="AG16" i="22"/>
  <c r="CW15" i="22"/>
  <c r="AY15" i="22"/>
  <c r="DK14" i="22"/>
  <c r="CU14" i="22"/>
  <c r="CA14" i="22"/>
  <c r="AQ14" i="22"/>
  <c r="U14" i="22"/>
  <c r="CY13" i="22"/>
  <c r="AQ13" i="22"/>
  <c r="Y13" i="22"/>
  <c r="CY12" i="22"/>
  <c r="CE12" i="22"/>
  <c r="BK12" i="22"/>
  <c r="AK12" i="22"/>
  <c r="DM11" i="22"/>
  <c r="AY11" i="22"/>
  <c r="AE11" i="22"/>
  <c r="DA10" i="22"/>
  <c r="BK10" i="22"/>
  <c r="AK10" i="22"/>
  <c r="DM9" i="22"/>
  <c r="AY9" i="22"/>
  <c r="AE9" i="22"/>
  <c r="DA8" i="22"/>
  <c r="CE8" i="22"/>
  <c r="BI8" i="22"/>
  <c r="AH8" i="22"/>
  <c r="DI7" i="22"/>
  <c r="CK7" i="22"/>
  <c r="BK7" i="22"/>
  <c r="AO7" i="22"/>
  <c r="S7" i="22"/>
  <c r="W15" i="22"/>
  <c r="CE14" i="22"/>
  <c r="AO14" i="22"/>
  <c r="CR13" i="22"/>
  <c r="AZ13" i="22"/>
  <c r="DC12" i="22"/>
  <c r="BI12" i="22"/>
  <c r="DG11" i="22"/>
  <c r="BI11" i="22"/>
  <c r="DG10" i="22"/>
  <c r="BI10" i="22"/>
  <c r="DG9" i="22"/>
  <c r="BI9" i="22"/>
  <c r="DG8" i="22"/>
  <c r="BE8" i="22"/>
  <c r="X8" i="22"/>
  <c r="CI7" i="22"/>
  <c r="BS7" i="22"/>
  <c r="BR16" i="22"/>
  <c r="BE16" i="22"/>
  <c r="AD16" i="22"/>
  <c r="DM15" i="22"/>
  <c r="CL15" i="22"/>
  <c r="BY15" i="22"/>
  <c r="AX15" i="22"/>
  <c r="AK15" i="22"/>
  <c r="DF14" i="22"/>
  <c r="CS14" i="22"/>
  <c r="BR14" i="22"/>
  <c r="BD14" i="22"/>
  <c r="Z14" i="22"/>
  <c r="DH13" i="22"/>
  <c r="CD13" i="22"/>
  <c r="BO13" i="22"/>
  <c r="AK13" i="22"/>
  <c r="W13" i="22"/>
  <c r="CO12" i="22"/>
  <c r="BY12" i="22"/>
  <c r="AR12" i="22"/>
  <c r="AA12" i="22"/>
  <c r="CP11" i="22"/>
  <c r="BY11" i="22"/>
  <c r="AR11" i="22"/>
  <c r="AA11" i="22"/>
  <c r="CP10" i="22"/>
  <c r="BY10" i="22"/>
  <c r="AR10" i="22"/>
  <c r="AA10" i="22"/>
  <c r="CP9" i="22"/>
  <c r="BY9" i="22"/>
  <c r="AR9" i="22"/>
  <c r="AA9" i="22"/>
  <c r="CP8" i="22"/>
  <c r="BX8" i="22"/>
  <c r="AO8" i="22"/>
  <c r="CZ7" i="22"/>
  <c r="AY7" i="22"/>
  <c r="AH7" i="22"/>
  <c r="CQ21" i="22"/>
  <c r="CQ20" i="22"/>
  <c r="CQ19" i="22"/>
  <c r="CE19" i="22"/>
  <c r="BS19" i="22"/>
  <c r="BG19" i="22"/>
  <c r="AU19" i="22"/>
  <c r="AG19" i="22"/>
  <c r="U19" i="22"/>
  <c r="DE18" i="22"/>
  <c r="CS18" i="22"/>
  <c r="CE18" i="22"/>
  <c r="BS18" i="22"/>
  <c r="BG18" i="22"/>
  <c r="AU18" i="22"/>
  <c r="AG18" i="22"/>
  <c r="U18" i="22"/>
  <c r="DE17" i="22"/>
  <c r="CS17" i="22"/>
  <c r="CE17" i="22"/>
  <c r="BS17" i="22"/>
  <c r="BG17" i="22"/>
  <c r="AU17" i="22"/>
  <c r="AG17" i="22"/>
  <c r="CO16" i="22"/>
  <c r="BA16" i="22"/>
  <c r="DI15" i="22"/>
  <c r="BU15" i="22"/>
  <c r="AG15" i="22"/>
  <c r="CO14" i="22"/>
  <c r="AZ14" i="22"/>
  <c r="DC13" i="22"/>
  <c r="CA13" i="22"/>
  <c r="BK13" i="22"/>
  <c r="AW13" i="22"/>
  <c r="R13" i="22"/>
  <c r="BU12" i="22"/>
  <c r="W12" i="22"/>
  <c r="BU11" i="22"/>
  <c r="W11" i="22"/>
  <c r="BU10" i="22"/>
  <c r="W10" i="22"/>
  <c r="BU9" i="22"/>
  <c r="W9" i="22"/>
  <c r="CM8" i="22"/>
  <c r="DM7" i="22"/>
  <c r="CF7" i="22"/>
  <c r="AU7" i="22"/>
  <c r="AE7" i="22"/>
  <c r="DM20" i="22"/>
  <c r="DB20" i="22"/>
  <c r="CP20" i="22"/>
  <c r="CE20" i="22"/>
  <c r="BT20" i="22"/>
  <c r="BI20" i="22"/>
  <c r="AX20" i="22"/>
  <c r="AM20" i="22"/>
  <c r="AB20" i="22"/>
  <c r="DM19" i="22"/>
  <c r="DB19" i="22"/>
  <c r="CP19" i="22"/>
  <c r="T17" i="22"/>
  <c r="DC16" i="22"/>
  <c r="CB16" i="22"/>
  <c r="BO16" i="22"/>
  <c r="AN16" i="22"/>
  <c r="AA16" i="22"/>
  <c r="CV15" i="22"/>
  <c r="CI15" i="22"/>
  <c r="BH15" i="22"/>
  <c r="AU15" i="22"/>
  <c r="T15" i="22"/>
  <c r="DC14" i="22"/>
  <c r="CB14" i="22"/>
  <c r="BO14" i="22"/>
  <c r="AK14" i="22"/>
  <c r="W14" i="22"/>
  <c r="CO13" i="22"/>
  <c r="BZ13" i="22"/>
  <c r="AV13" i="22"/>
  <c r="AH13" i="22"/>
  <c r="CZ12" i="22"/>
  <c r="CK12" i="22"/>
  <c r="BD12" i="22"/>
  <c r="AO12" i="22"/>
  <c r="DB11" i="22"/>
  <c r="CM11" i="22"/>
  <c r="BD11" i="22"/>
  <c r="AO11" i="22"/>
  <c r="DB10" i="22"/>
  <c r="CM10" i="22"/>
  <c r="BD10" i="22"/>
  <c r="AO10" i="22"/>
  <c r="DB9" i="22"/>
  <c r="CM9" i="22"/>
  <c r="BD9" i="22"/>
  <c r="AO9" i="22"/>
  <c r="DB8" i="22"/>
  <c r="BS8" i="22"/>
  <c r="BB8" i="22"/>
  <c r="AJ8" i="22"/>
  <c r="CW7" i="22"/>
  <c r="BL7" i="22"/>
  <c r="DA21" i="22"/>
  <c r="DA20" i="22"/>
  <c r="DA19" i="22"/>
  <c r="CD19" i="22"/>
  <c r="BR19" i="22"/>
  <c r="BF19" i="22"/>
  <c r="AS19" i="22"/>
  <c r="AF19" i="22"/>
  <c r="T19" i="22"/>
  <c r="DD18" i="22"/>
  <c r="CQ18" i="22"/>
  <c r="CD18" i="22"/>
  <c r="BR18" i="22"/>
  <c r="BF18" i="22"/>
  <c r="AS18" i="22"/>
  <c r="AF18" i="22"/>
  <c r="T18" i="22"/>
  <c r="DD17" i="22"/>
  <c r="CQ17" i="22"/>
  <c r="CD17" i="22"/>
  <c r="BR17" i="22"/>
  <c r="BF17" i="22"/>
  <c r="AS17" i="22"/>
  <c r="AF17" i="22"/>
  <c r="CN16" i="22"/>
  <c r="AZ16" i="22"/>
  <c r="DH15" i="22"/>
  <c r="BT15" i="22"/>
  <c r="AF15" i="22"/>
  <c r="CN14" i="22"/>
  <c r="AY14" i="22"/>
  <c r="DB13" i="22"/>
  <c r="BJ13" i="22"/>
  <c r="DM12" i="22"/>
  <c r="CJ12" i="22"/>
  <c r="BT12" i="22"/>
  <c r="V12" i="22"/>
  <c r="BT11" i="22"/>
  <c r="V11" i="22"/>
  <c r="BT10" i="22"/>
  <c r="V10" i="22"/>
  <c r="BT9" i="22"/>
  <c r="V9" i="22"/>
  <c r="CK8" i="22"/>
  <c r="DL7" i="22"/>
  <c r="CE7" i="22"/>
  <c r="AT7" i="22"/>
  <c r="AC7" i="22"/>
  <c r="AB17" i="22"/>
  <c r="R17" i="22"/>
  <c r="DD16" i="22"/>
  <c r="CT16" i="22"/>
  <c r="CJ16" i="22"/>
  <c r="BZ16" i="22"/>
  <c r="BP16" i="22"/>
  <c r="BF16" i="22"/>
  <c r="AV16" i="22"/>
  <c r="AL16" i="22"/>
  <c r="AB16" i="22"/>
  <c r="R16" i="22"/>
  <c r="DD15" i="22"/>
  <c r="CT15" i="22"/>
  <c r="CJ15" i="22"/>
  <c r="BZ15" i="22"/>
  <c r="BP15" i="22"/>
  <c r="BF15" i="22"/>
  <c r="AV15" i="22"/>
  <c r="AL15" i="22"/>
  <c r="AB15" i="22"/>
  <c r="R15" i="22"/>
  <c r="DD14" i="22"/>
  <c r="CT14" i="22"/>
  <c r="CJ14" i="22"/>
  <c r="BZ14" i="22"/>
  <c r="BP14" i="22"/>
  <c r="BE14" i="22"/>
  <c r="AT14" i="22"/>
  <c r="AI14" i="22"/>
  <c r="X14" i="22"/>
  <c r="DI13" i="22"/>
  <c r="CX13" i="22"/>
  <c r="CM13" i="22"/>
  <c r="CB13" i="22"/>
  <c r="BP13" i="22"/>
  <c r="BE13" i="22"/>
  <c r="AT13" i="22"/>
  <c r="AI13" i="22"/>
  <c r="X13" i="22"/>
  <c r="DI12" i="22"/>
  <c r="CX12" i="22"/>
  <c r="CM12" i="22"/>
  <c r="BZ12" i="22"/>
  <c r="BN12" i="22"/>
  <c r="BB12" i="22"/>
  <c r="AP12" i="22"/>
  <c r="AC12" i="22"/>
  <c r="DL11" i="22"/>
  <c r="CZ11" i="22"/>
  <c r="CN11" i="22"/>
  <c r="CA11" i="22"/>
  <c r="BN11" i="22"/>
  <c r="BB11" i="22"/>
  <c r="AP11" i="22"/>
  <c r="AC11" i="22"/>
  <c r="DL10" i="22"/>
  <c r="CZ10" i="22"/>
  <c r="CN10" i="22"/>
  <c r="CA10" i="22"/>
  <c r="BN10" i="22"/>
  <c r="BB10" i="22"/>
  <c r="AP10" i="22"/>
  <c r="AC10" i="22"/>
  <c r="DL9" i="22"/>
  <c r="CZ9" i="22"/>
  <c r="CN9" i="22"/>
  <c r="CA9" i="22"/>
  <c r="BN9" i="22"/>
  <c r="BB9" i="22"/>
  <c r="AP9" i="22"/>
  <c r="AC9" i="22"/>
  <c r="DL8" i="22"/>
  <c r="CZ8" i="22"/>
  <c r="BY8" i="22"/>
  <c r="AK8" i="22"/>
  <c r="CS7" i="22"/>
  <c r="BE7" i="22"/>
  <c r="BX19" i="22"/>
  <c r="BN19" i="22"/>
  <c r="BD19" i="22"/>
  <c r="AT19" i="22"/>
  <c r="AJ19" i="22"/>
  <c r="Z19" i="22"/>
  <c r="DL18" i="22"/>
  <c r="DB18" i="22"/>
  <c r="CR18" i="22"/>
  <c r="CH18" i="22"/>
  <c r="BX18" i="22"/>
  <c r="BN18" i="22"/>
  <c r="BD18" i="22"/>
  <c r="AT18" i="22"/>
  <c r="AJ18" i="22"/>
  <c r="Z18" i="22"/>
  <c r="DL17" i="22"/>
  <c r="DB17" i="22"/>
  <c r="CR17" i="22"/>
  <c r="CH17" i="22"/>
  <c r="BX17" i="22"/>
  <c r="BN17" i="22"/>
  <c r="BD17" i="22"/>
  <c r="AT17" i="22"/>
  <c r="AJ17" i="22"/>
  <c r="Z17" i="22"/>
  <c r="DL16" i="22"/>
  <c r="DB16" i="22"/>
  <c r="CR16" i="22"/>
  <c r="CH16" i="22"/>
  <c r="BX16" i="22"/>
  <c r="BN16" i="22"/>
  <c r="BD16" i="22"/>
  <c r="AT16" i="22"/>
  <c r="AJ16" i="22"/>
  <c r="Z16" i="22"/>
  <c r="DL15" i="22"/>
  <c r="DB15" i="22"/>
  <c r="CR15" i="22"/>
  <c r="CH15" i="22"/>
  <c r="BX15" i="22"/>
  <c r="BN15" i="22"/>
  <c r="BD15" i="22"/>
  <c r="AT15" i="22"/>
  <c r="AJ15" i="22"/>
  <c r="Z15" i="22"/>
  <c r="DL14" i="22"/>
  <c r="DB14" i="22"/>
  <c r="CR14" i="22"/>
  <c r="CH14" i="22"/>
  <c r="BX14" i="22"/>
  <c r="BN14" i="22"/>
  <c r="BC14" i="22"/>
  <c r="AR14" i="22"/>
  <c r="AG14" i="22"/>
  <c r="V14" i="22"/>
  <c r="DG13" i="22"/>
  <c r="CV13" i="22"/>
  <c r="CJ13" i="22"/>
  <c r="BY13" i="22"/>
  <c r="BN13" i="22"/>
  <c r="BC13" i="22"/>
  <c r="AR13" i="22"/>
  <c r="AG13" i="22"/>
  <c r="V13" i="22"/>
  <c r="DG12" i="22"/>
  <c r="CV12" i="22"/>
  <c r="BX12" i="22"/>
  <c r="BL12" i="22"/>
  <c r="AZ12" i="22"/>
  <c r="AM12" i="22"/>
  <c r="Z12" i="22"/>
  <c r="DJ11" i="22"/>
  <c r="CX11" i="22"/>
  <c r="CK11" i="22"/>
  <c r="BX11" i="22"/>
  <c r="BL11" i="22"/>
  <c r="AZ11" i="22"/>
  <c r="AM11" i="22"/>
  <c r="Z11" i="22"/>
  <c r="DJ10" i="22"/>
  <c r="CX10" i="22"/>
  <c r="CK10" i="22"/>
  <c r="BX10" i="22"/>
  <c r="BL10" i="22"/>
  <c r="AZ10" i="22"/>
  <c r="AM10" i="22"/>
  <c r="Z10" i="22"/>
  <c r="DJ9" i="22"/>
  <c r="CX9" i="22"/>
  <c r="CK9" i="22"/>
  <c r="BX9" i="22"/>
  <c r="BL9" i="22"/>
  <c r="AZ9" i="22"/>
  <c r="AM9" i="22"/>
  <c r="Z9" i="22"/>
  <c r="DJ8" i="22"/>
  <c r="CX8" i="22"/>
  <c r="BW8" i="22"/>
  <c r="AI8" i="22"/>
  <c r="CQ7" i="22"/>
  <c r="BC7" i="22"/>
  <c r="CU13" i="22"/>
  <c r="CU12" i="22"/>
  <c r="CI12" i="22"/>
  <c r="CI8" i="22"/>
  <c r="AU8" i="22"/>
  <c r="DC7" i="22"/>
  <c r="BO7" i="22"/>
  <c r="AA7" i="22"/>
  <c r="DE13" i="22"/>
  <c r="DE12" i="22"/>
  <c r="CH12" i="22"/>
  <c r="CH8" i="22"/>
  <c r="AT8" i="22"/>
  <c r="DB7" i="22"/>
  <c r="BN7" i="22"/>
  <c r="Z7" i="22"/>
  <c r="CF19" i="22"/>
  <c r="BV19" i="22"/>
  <c r="BL19" i="22"/>
  <c r="BB19" i="22"/>
  <c r="AR19" i="22"/>
  <c r="AH19" i="22"/>
  <c r="X19" i="22"/>
  <c r="DJ18" i="22"/>
  <c r="CZ18" i="22"/>
  <c r="CP18" i="22"/>
  <c r="CF18" i="22"/>
  <c r="BV18" i="22"/>
  <c r="BL18" i="22"/>
  <c r="BB18" i="22"/>
  <c r="AR18" i="22"/>
  <c r="AH18" i="22"/>
  <c r="X18" i="22"/>
  <c r="DJ17" i="22"/>
  <c r="CZ17" i="22"/>
  <c r="CP17" i="22"/>
  <c r="CF17" i="22"/>
  <c r="BV17" i="22"/>
  <c r="BL17" i="22"/>
  <c r="BB17" i="22"/>
  <c r="AR17" i="22"/>
  <c r="AH17" i="22"/>
  <c r="X17" i="22"/>
  <c r="DJ16" i="22"/>
  <c r="CZ16" i="22"/>
  <c r="CP16" i="22"/>
  <c r="CF16" i="22"/>
  <c r="BV16" i="22"/>
  <c r="BL16" i="22"/>
  <c r="BB16" i="22"/>
  <c r="AR16" i="22"/>
  <c r="AH16" i="22"/>
  <c r="X16" i="22"/>
  <c r="DJ15" i="22"/>
  <c r="CZ15" i="22"/>
  <c r="CP15" i="22"/>
  <c r="CF15" i="22"/>
  <c r="BV15" i="22"/>
  <c r="BL15" i="22"/>
  <c r="BB15" i="22"/>
  <c r="AR15" i="22"/>
  <c r="AH15" i="22"/>
  <c r="X15" i="22"/>
  <c r="DJ14" i="22"/>
  <c r="CZ14" i="22"/>
  <c r="CP14" i="22"/>
  <c r="CF14" i="22"/>
  <c r="BV14" i="22"/>
  <c r="BL14" i="22"/>
  <c r="BA14" i="22"/>
  <c r="AP14" i="22"/>
  <c r="AE14" i="22"/>
  <c r="T14" i="22"/>
  <c r="DD13" i="22"/>
  <c r="CS13" i="22"/>
  <c r="CH13" i="22"/>
  <c r="BW13" i="22"/>
  <c r="BL13" i="22"/>
  <c r="BA13" i="22"/>
  <c r="AP13" i="22"/>
  <c r="AE13" i="22"/>
  <c r="T13" i="22"/>
  <c r="DD12" i="22"/>
  <c r="CS12" i="22"/>
  <c r="BV12" i="22"/>
  <c r="BJ12" i="22"/>
  <c r="AW12" i="22"/>
  <c r="AJ12" i="22"/>
  <c r="X12" i="22"/>
  <c r="DH11" i="22"/>
  <c r="CU11" i="22"/>
  <c r="CH11" i="22"/>
  <c r="BV11" i="22"/>
  <c r="BJ11" i="22"/>
  <c r="AW11" i="22"/>
  <c r="AJ11" i="22"/>
  <c r="X11" i="22"/>
  <c r="DH10" i="22"/>
  <c r="CU10" i="22"/>
  <c r="CH10" i="22"/>
  <c r="BV10" i="22"/>
  <c r="BJ10" i="22"/>
  <c r="AW10" i="22"/>
  <c r="AJ10" i="22"/>
  <c r="X10" i="22"/>
  <c r="DH9" i="22"/>
  <c r="CU9" i="22"/>
  <c r="CH9" i="22"/>
  <c r="BV9" i="22"/>
  <c r="BJ9" i="22"/>
  <c r="AW9" i="22"/>
  <c r="AJ9" i="22"/>
  <c r="X9" i="22"/>
  <c r="DH8" i="22"/>
  <c r="CU8" i="22"/>
  <c r="BU8" i="22"/>
  <c r="BG8" i="22"/>
  <c r="AG8" i="22"/>
  <c r="S8" i="22"/>
  <c r="CO7" i="22"/>
  <c r="CA7" i="22"/>
  <c r="BA7" i="22"/>
  <c r="AM7" i="22"/>
  <c r="CN8" i="22"/>
  <c r="CD8" i="22"/>
  <c r="BT8" i="22"/>
  <c r="BJ8" i="22"/>
  <c r="AZ8" i="22"/>
  <c r="AP8" i="22"/>
  <c r="AF8" i="22"/>
  <c r="V8" i="22"/>
  <c r="DH7" i="22"/>
  <c r="CX7" i="22"/>
  <c r="CN7" i="22"/>
  <c r="CD7" i="22"/>
  <c r="BT7" i="22"/>
  <c r="BJ7" i="22"/>
  <c r="AZ7" i="22"/>
  <c r="AP7" i="22"/>
  <c r="AF7" i="22"/>
  <c r="V7" i="22"/>
  <c r="CL12" i="22"/>
  <c r="CB12" i="22"/>
  <c r="BR12" i="22"/>
  <c r="BH12" i="22"/>
  <c r="AX12" i="22"/>
  <c r="AN12" i="22"/>
  <c r="AD12" i="22"/>
  <c r="T12" i="22"/>
  <c r="DF11" i="22"/>
  <c r="CV11" i="22"/>
  <c r="CL11" i="22"/>
  <c r="CB11" i="22"/>
  <c r="BR11" i="22"/>
  <c r="BH11" i="22"/>
  <c r="AX11" i="22"/>
  <c r="AN11" i="22"/>
  <c r="AD11" i="22"/>
  <c r="T11" i="22"/>
  <c r="DF10" i="22"/>
  <c r="CV10" i="22"/>
  <c r="CL10" i="22"/>
  <c r="CB10" i="22"/>
  <c r="BR10" i="22"/>
  <c r="BH10" i="22"/>
  <c r="AX10" i="22"/>
  <c r="AN10" i="22"/>
  <c r="AD10" i="22"/>
  <c r="T10" i="22"/>
  <c r="DF9" i="22"/>
  <c r="CV9" i="22"/>
  <c r="CL9" i="22"/>
  <c r="CB9" i="22"/>
  <c r="BR9" i="22"/>
  <c r="BH9" i="22"/>
  <c r="AX9" i="22"/>
  <c r="AN9" i="22"/>
  <c r="AD9" i="22"/>
  <c r="T9" i="22"/>
  <c r="DF8" i="22"/>
  <c r="CV8" i="22"/>
  <c r="CL8" i="22"/>
  <c r="CB8" i="22"/>
  <c r="BR8" i="22"/>
  <c r="BH8" i="22"/>
  <c r="AX8" i="22"/>
  <c r="AN8" i="22"/>
  <c r="AD8" i="22"/>
  <c r="T8" i="22"/>
  <c r="DF7" i="22"/>
  <c r="CV7" i="22"/>
  <c r="CL7" i="22"/>
  <c r="CB7" i="22"/>
  <c r="BR7" i="22"/>
  <c r="BH7" i="22"/>
  <c r="AX7" i="22"/>
  <c r="AN7" i="22"/>
  <c r="AD7" i="22"/>
  <c r="T7" i="22"/>
  <c r="BP12" i="22"/>
  <c r="BF12" i="22"/>
  <c r="AV12" i="22"/>
  <c r="AL12" i="22"/>
  <c r="AB12" i="22"/>
  <c r="R12" i="22"/>
  <c r="DD11" i="22"/>
  <c r="CT11" i="22"/>
  <c r="CJ11" i="22"/>
  <c r="BZ11" i="22"/>
  <c r="BP11" i="22"/>
  <c r="BF11" i="22"/>
  <c r="AV11" i="22"/>
  <c r="AL11" i="22"/>
  <c r="AB11" i="22"/>
  <c r="R11" i="22"/>
  <c r="DD10" i="22"/>
  <c r="CT10" i="22"/>
  <c r="CJ10" i="22"/>
  <c r="BZ10" i="22"/>
  <c r="BP10" i="22"/>
  <c r="BF10" i="22"/>
  <c r="AV10" i="22"/>
  <c r="AL10" i="22"/>
  <c r="AB10" i="22"/>
  <c r="R10" i="22"/>
  <c r="DD9" i="22"/>
  <c r="CT9" i="22"/>
  <c r="CJ9" i="22"/>
  <c r="BZ9" i="22"/>
  <c r="BP9" i="22"/>
  <c r="BF9" i="22"/>
  <c r="AV9" i="22"/>
  <c r="AL9" i="22"/>
  <c r="AB9" i="22"/>
  <c r="R9" i="22"/>
  <c r="DD8" i="22"/>
  <c r="CT8" i="22"/>
  <c r="CJ8" i="22"/>
  <c r="BZ8" i="22"/>
  <c r="BP8" i="22"/>
  <c r="BF8" i="22"/>
  <c r="AV8" i="22"/>
  <c r="AL8" i="22"/>
  <c r="AB8" i="22"/>
  <c r="R8" i="22"/>
  <c r="DD7" i="22"/>
  <c r="CT7" i="22"/>
  <c r="CJ7" i="22"/>
  <c r="BZ7" i="22"/>
  <c r="BP7" i="22"/>
  <c r="BF7" i="22"/>
  <c r="AV7" i="22"/>
  <c r="AL7" i="22"/>
  <c r="AB7" i="22"/>
  <c r="R7" i="22"/>
  <c r="H11" i="22"/>
  <c r="H15" i="22"/>
  <c r="DN17" i="22"/>
  <c r="DN18" i="22"/>
  <c r="DN21" i="22"/>
  <c r="H20" i="22"/>
  <c r="H17" i="22"/>
  <c r="DN9" i="22"/>
  <c r="DN20" i="22"/>
  <c r="H19" i="22"/>
  <c r="DN13" i="22"/>
  <c r="H14" i="22"/>
  <c r="DN8" i="22"/>
  <c r="H7" i="22"/>
  <c r="DN12" i="22"/>
  <c r="H8" i="22"/>
  <c r="H12" i="22"/>
  <c r="DN15" i="22"/>
  <c r="DN11" i="22"/>
  <c r="H13" i="22"/>
  <c r="H10" i="22"/>
  <c r="DN14" i="22"/>
  <c r="H6" i="22"/>
  <c r="DN7" i="22"/>
  <c r="H16" i="22"/>
  <c r="DN19" i="22"/>
  <c r="H9" i="22"/>
  <c r="DN10" i="22"/>
  <c r="DN16" i="22"/>
  <c r="H18" i="22"/>
  <c r="H6" i="21"/>
  <c r="AX7" i="21"/>
  <c r="BB6" i="21"/>
  <c r="H16" i="21"/>
  <c r="H15" i="21"/>
  <c r="H14" i="21"/>
  <c r="H13" i="21"/>
  <c r="H12" i="21"/>
  <c r="H11" i="21"/>
  <c r="H20" i="21"/>
  <c r="H10" i="21"/>
  <c r="H19" i="21"/>
  <c r="H9" i="21"/>
  <c r="H18" i="21"/>
  <c r="H8" i="21"/>
  <c r="H17" i="21"/>
  <c r="H7" i="21"/>
  <c r="AL6" i="21"/>
  <c r="R21" i="21"/>
  <c r="Y12" i="21"/>
  <c r="AH21" i="21"/>
  <c r="AG16" i="21"/>
  <c r="AR19" i="21"/>
  <c r="AT15" i="21"/>
  <c r="AV21" i="21"/>
  <c r="AR18" i="21"/>
  <c r="AM14" i="21"/>
  <c r="AE10" i="21"/>
  <c r="AR9" i="21"/>
  <c r="Z15" i="21"/>
  <c r="R11" i="21"/>
  <c r="AX20" i="21"/>
  <c r="AM17" i="21"/>
  <c r="AD20" i="21"/>
  <c r="S17" i="21"/>
  <c r="AS12" i="21"/>
  <c r="AD19" i="21"/>
  <c r="AW21" i="21"/>
  <c r="AL11" i="21"/>
  <c r="AI21" i="21"/>
  <c r="Y18" i="21"/>
  <c r="S14" i="21"/>
  <c r="AW20" i="21"/>
  <c r="AE20" i="21"/>
  <c r="AF13" i="21"/>
  <c r="X9" i="21"/>
  <c r="AK8" i="21"/>
  <c r="AC20" i="21"/>
  <c r="R17" i="21"/>
  <c r="R14" i="21"/>
  <c r="AD10" i="21"/>
  <c r="AU21" i="21"/>
  <c r="AE16" i="21"/>
  <c r="W19" i="21"/>
  <c r="AQ12" i="21"/>
  <c r="AI8" i="21"/>
  <c r="AJ17" i="21"/>
  <c r="AA20" i="21"/>
  <c r="AQ15" i="21"/>
  <c r="AC13" i="21"/>
  <c r="U9" i="21"/>
  <c r="AO20" i="21"/>
  <c r="AD17" i="21"/>
  <c r="Z21" i="21"/>
  <c r="AC14" i="21"/>
  <c r="AV11" i="21"/>
  <c r="AB11" i="21"/>
  <c r="AO10" i="21"/>
  <c r="U10" i="21"/>
  <c r="AH9" i="21"/>
  <c r="AQ9" i="21"/>
  <c r="V9" i="21"/>
  <c r="AX17" i="21"/>
  <c r="AV10" i="21"/>
  <c r="AC17" i="21"/>
  <c r="V13" i="21"/>
  <c r="AA8" i="21"/>
  <c r="AM21" i="21"/>
  <c r="Y21" i="21"/>
  <c r="AM20" i="21"/>
  <c r="AH19" i="21"/>
  <c r="V16" i="21"/>
  <c r="AK11" i="21"/>
  <c r="AU20" i="21"/>
  <c r="X15" i="21"/>
  <c r="AJ11" i="21"/>
  <c r="AJ18" i="21"/>
  <c r="AI11" i="21"/>
  <c r="AN19" i="21"/>
  <c r="AI12" i="21"/>
  <c r="AU8" i="21"/>
  <c r="AG18" i="21"/>
  <c r="AU17" i="21"/>
  <c r="AB17" i="21"/>
  <c r="AO16" i="21"/>
  <c r="AI15" i="21"/>
  <c r="AV14" i="21"/>
  <c r="AB14" i="21"/>
  <c r="AO13" i="21"/>
  <c r="U13" i="21"/>
  <c r="AH12" i="21"/>
  <c r="AU11" i="21"/>
  <c r="AA11" i="21"/>
  <c r="AN10" i="21"/>
  <c r="AG9" i="21"/>
  <c r="AT8" i="21"/>
  <c r="Z8" i="21"/>
  <c r="AL17" i="21"/>
  <c r="X19" i="21"/>
  <c r="AS15" i="21"/>
  <c r="AR12" i="21"/>
  <c r="AJ8" i="21"/>
  <c r="AK17" i="21"/>
  <c r="AB20" i="21"/>
  <c r="AX16" i="21"/>
  <c r="AK14" i="21"/>
  <c r="W12" i="21"/>
  <c r="AC10" i="21"/>
  <c r="AB21" i="21"/>
  <c r="AO19" i="21"/>
  <c r="AW13" i="21"/>
  <c r="AB10" i="21"/>
  <c r="AA21" i="21"/>
  <c r="U19" i="21"/>
  <c r="AQ16" i="21"/>
  <c r="AN20" i="21"/>
  <c r="AH18" i="21"/>
  <c r="AJ15" i="21"/>
  <c r="AL21" i="21"/>
  <c r="AL20" i="21"/>
  <c r="S20" i="21"/>
  <c r="AG19" i="21"/>
  <c r="AU18" i="21"/>
  <c r="U16" i="21"/>
  <c r="AT17" i="21"/>
  <c r="AA17" i="21"/>
  <c r="AN16" i="21"/>
  <c r="AH15" i="21"/>
  <c r="AU14" i="21"/>
  <c r="AA14" i="21"/>
  <c r="AN13" i="21"/>
  <c r="AG12" i="21"/>
  <c r="AT11" i="21"/>
  <c r="Z11" i="21"/>
  <c r="AM10" i="21"/>
  <c r="S10" i="21"/>
  <c r="AF9" i="21"/>
  <c r="AS8" i="21"/>
  <c r="Y8" i="21"/>
  <c r="X18" i="21"/>
  <c r="AV20" i="21"/>
  <c r="Y15" i="21"/>
  <c r="AE13" i="21"/>
  <c r="AX10" i="21"/>
  <c r="AC21" i="21"/>
  <c r="W18" i="21"/>
  <c r="AP19" i="21"/>
  <c r="AX13" i="21"/>
  <c r="AP9" i="21"/>
  <c r="AD16" i="21"/>
  <c r="V19" i="21"/>
  <c r="W15" i="21"/>
  <c r="AP12" i="21"/>
  <c r="AO9" i="21"/>
  <c r="AS21" i="21"/>
  <c r="AI18" i="21"/>
  <c r="U20" i="21"/>
  <c r="AP16" i="21"/>
  <c r="AP13" i="21"/>
  <c r="AK20" i="21"/>
  <c r="AF19" i="21"/>
  <c r="AA18" i="21"/>
  <c r="AM16" i="21"/>
  <c r="AG15" i="21"/>
  <c r="AT14" i="21"/>
  <c r="Z14" i="21"/>
  <c r="AM13" i="21"/>
  <c r="S13" i="21"/>
  <c r="AF12" i="21"/>
  <c r="AS11" i="21"/>
  <c r="Y11" i="21"/>
  <c r="AL10" i="21"/>
  <c r="R10" i="21"/>
  <c r="AE9" i="21"/>
  <c r="AR8" i="21"/>
  <c r="X8" i="21"/>
  <c r="AQ18" i="21"/>
  <c r="AF16" i="21"/>
  <c r="AQ19" i="21"/>
  <c r="AL14" i="21"/>
  <c r="X12" i="21"/>
  <c r="W9" i="21"/>
  <c r="AK18" i="21"/>
  <c r="AR15" i="21"/>
  <c r="AD13" i="21"/>
  <c r="AW10" i="21"/>
  <c r="AT21" i="21"/>
  <c r="AJ14" i="21"/>
  <c r="V12" i="21"/>
  <c r="AH8" i="21"/>
  <c r="AW17" i="21"/>
  <c r="AR21" i="21"/>
  <c r="W16" i="21"/>
  <c r="AV17" i="21"/>
  <c r="AW14" i="21"/>
  <c r="X21" i="21"/>
  <c r="AK21" i="21"/>
  <c r="R20" i="21"/>
  <c r="AT18" i="21"/>
  <c r="AJ21" i="21"/>
  <c r="AX19" i="21"/>
  <c r="AE19" i="21"/>
  <c r="AS18" i="21"/>
  <c r="Z18" i="21"/>
  <c r="AN17" i="21"/>
  <c r="S16" i="21"/>
  <c r="AP15" i="21"/>
  <c r="AS14" i="21"/>
  <c r="AL13" i="21"/>
  <c r="AE12" i="21"/>
  <c r="X11" i="21"/>
  <c r="AA10" i="21"/>
  <c r="AN9" i="21"/>
  <c r="W8" i="21"/>
  <c r="AQ21" i="21"/>
  <c r="W21" i="21"/>
  <c r="AT20" i="21"/>
  <c r="AJ20" i="21"/>
  <c r="Z20" i="21"/>
  <c r="AW19" i="21"/>
  <c r="AM19" i="21"/>
  <c r="AC19" i="21"/>
  <c r="S19" i="21"/>
  <c r="AP18" i="21"/>
  <c r="AF18" i="21"/>
  <c r="AS17" i="21"/>
  <c r="AI17" i="21"/>
  <c r="Y17" i="21"/>
  <c r="AV16" i="21"/>
  <c r="AL16" i="21"/>
  <c r="AB16" i="21"/>
  <c r="R16" i="21"/>
  <c r="AO15" i="21"/>
  <c r="AE15" i="21"/>
  <c r="U15" i="21"/>
  <c r="AR14" i="21"/>
  <c r="AH14" i="21"/>
  <c r="X14" i="21"/>
  <c r="AU13" i="21"/>
  <c r="AK13" i="21"/>
  <c r="AA13" i="21"/>
  <c r="AX12" i="21"/>
  <c r="AN12" i="21"/>
  <c r="AD12" i="21"/>
  <c r="AQ11" i="21"/>
  <c r="AG11" i="21"/>
  <c r="W11" i="21"/>
  <c r="AT10" i="21"/>
  <c r="AJ10" i="21"/>
  <c r="Z10" i="21"/>
  <c r="AW9" i="21"/>
  <c r="AM9" i="21"/>
  <c r="AC9" i="21"/>
  <c r="S9" i="21"/>
  <c r="AP8" i="21"/>
  <c r="AF8" i="21"/>
  <c r="V8" i="21"/>
  <c r="AB13" i="21"/>
  <c r="AG21" i="21"/>
  <c r="V18" i="21"/>
  <c r="AD9" i="21"/>
  <c r="AP21" i="21"/>
  <c r="AF21" i="21"/>
  <c r="V21" i="21"/>
  <c r="AS20" i="21"/>
  <c r="AI20" i="21"/>
  <c r="Y20" i="21"/>
  <c r="AV19" i="21"/>
  <c r="AL19" i="21"/>
  <c r="AB19" i="21"/>
  <c r="R19" i="21"/>
  <c r="AO18" i="21"/>
  <c r="AE18" i="21"/>
  <c r="U18" i="21"/>
  <c r="AR17" i="21"/>
  <c r="AH17" i="21"/>
  <c r="X17" i="21"/>
  <c r="AU16" i="21"/>
  <c r="AK16" i="21"/>
  <c r="AA16" i="21"/>
  <c r="AX15" i="21"/>
  <c r="AN15" i="21"/>
  <c r="AD15" i="21"/>
  <c r="AQ14" i="21"/>
  <c r="AG14" i="21"/>
  <c r="W14" i="21"/>
  <c r="AT13" i="21"/>
  <c r="AJ13" i="21"/>
  <c r="Z13" i="21"/>
  <c r="AW12" i="21"/>
  <c r="AM12" i="21"/>
  <c r="AC12" i="21"/>
  <c r="S12" i="21"/>
  <c r="AP11" i="21"/>
  <c r="AF11" i="21"/>
  <c r="V11" i="21"/>
  <c r="AS10" i="21"/>
  <c r="AI10" i="21"/>
  <c r="Y10" i="21"/>
  <c r="AV9" i="21"/>
  <c r="AL9" i="21"/>
  <c r="AB9" i="21"/>
  <c r="R9" i="21"/>
  <c r="AO8" i="21"/>
  <c r="AE8" i="21"/>
  <c r="U8" i="21"/>
  <c r="AW16" i="21"/>
  <c r="AF15" i="21"/>
  <c r="AI14" i="21"/>
  <c r="AV13" i="21"/>
  <c r="R13" i="21"/>
  <c r="AR11" i="21"/>
  <c r="AK10" i="21"/>
  <c r="AG8" i="21"/>
  <c r="AO21" i="21"/>
  <c r="AE21" i="21"/>
  <c r="U21" i="21"/>
  <c r="AR20" i="21"/>
  <c r="AH20" i="21"/>
  <c r="X20" i="21"/>
  <c r="AU19" i="21"/>
  <c r="AK19" i="21"/>
  <c r="AA19" i="21"/>
  <c r="AX18" i="21"/>
  <c r="AN18" i="21"/>
  <c r="AD18" i="21"/>
  <c r="AQ17" i="21"/>
  <c r="AG17" i="21"/>
  <c r="W17" i="21"/>
  <c r="AT16" i="21"/>
  <c r="AJ16" i="21"/>
  <c r="Z16" i="21"/>
  <c r="AW15" i="21"/>
  <c r="AM15" i="21"/>
  <c r="AC15" i="21"/>
  <c r="S15" i="21"/>
  <c r="AP14" i="21"/>
  <c r="AF14" i="21"/>
  <c r="V14" i="21"/>
  <c r="AS13" i="21"/>
  <c r="AI13" i="21"/>
  <c r="Y13" i="21"/>
  <c r="AV12" i="21"/>
  <c r="AL12" i="21"/>
  <c r="AB12" i="21"/>
  <c r="R12" i="21"/>
  <c r="AO11" i="21"/>
  <c r="AE11" i="21"/>
  <c r="U11" i="21"/>
  <c r="AR10" i="21"/>
  <c r="AH10" i="21"/>
  <c r="X10" i="21"/>
  <c r="AU9" i="21"/>
  <c r="AK9" i="21"/>
  <c r="AA9" i="21"/>
  <c r="AX8" i="21"/>
  <c r="AN8" i="21"/>
  <c r="AD8" i="21"/>
  <c r="Z17" i="21"/>
  <c r="AC16" i="21"/>
  <c r="V15" i="21"/>
  <c r="Y14" i="21"/>
  <c r="AO12" i="21"/>
  <c r="U12" i="21"/>
  <c r="AH11" i="21"/>
  <c r="AU10" i="21"/>
  <c r="AX9" i="21"/>
  <c r="AQ8" i="21"/>
  <c r="AX21" i="21"/>
  <c r="AN21" i="21"/>
  <c r="AD21" i="21"/>
  <c r="AQ20" i="21"/>
  <c r="AG20" i="21"/>
  <c r="W20" i="21"/>
  <c r="AT19" i="21"/>
  <c r="AJ19" i="21"/>
  <c r="Z19" i="21"/>
  <c r="AW18" i="21"/>
  <c r="AM18" i="21"/>
  <c r="AC18" i="21"/>
  <c r="S18" i="21"/>
  <c r="AP17" i="21"/>
  <c r="AF17" i="21"/>
  <c r="V17" i="21"/>
  <c r="AS16" i="21"/>
  <c r="AI16" i="21"/>
  <c r="Y16" i="21"/>
  <c r="AV15" i="21"/>
  <c r="AL15" i="21"/>
  <c r="AB15" i="21"/>
  <c r="R15" i="21"/>
  <c r="AO14" i="21"/>
  <c r="AE14" i="21"/>
  <c r="U14" i="21"/>
  <c r="AR13" i="21"/>
  <c r="AH13" i="21"/>
  <c r="X13" i="21"/>
  <c r="AU12" i="21"/>
  <c r="AK12" i="21"/>
  <c r="AA12" i="21"/>
  <c r="AX11" i="21"/>
  <c r="AN11" i="21"/>
  <c r="AD11" i="21"/>
  <c r="AQ10" i="21"/>
  <c r="AG10" i="21"/>
  <c r="W10" i="21"/>
  <c r="AT9" i="21"/>
  <c r="AJ9" i="21"/>
  <c r="Z9" i="21"/>
  <c r="AW8" i="21"/>
  <c r="AM8" i="21"/>
  <c r="AC8" i="21"/>
  <c r="S8" i="21"/>
  <c r="S21" i="21"/>
  <c r="AP20" i="21"/>
  <c r="AF20" i="21"/>
  <c r="V20" i="21"/>
  <c r="AS19" i="21"/>
  <c r="AI19" i="21"/>
  <c r="Y19" i="21"/>
  <c r="AV18" i="21"/>
  <c r="AL18" i="21"/>
  <c r="AB18" i="21"/>
  <c r="R18" i="21"/>
  <c r="AO17" i="21"/>
  <c r="AE17" i="21"/>
  <c r="U17" i="21"/>
  <c r="AR16" i="21"/>
  <c r="AH16" i="21"/>
  <c r="X16" i="21"/>
  <c r="AU15" i="21"/>
  <c r="AK15" i="21"/>
  <c r="AA15" i="21"/>
  <c r="AX14" i="21"/>
  <c r="AN14" i="21"/>
  <c r="AD14" i="21"/>
  <c r="AQ13" i="21"/>
  <c r="AG13" i="21"/>
  <c r="W13" i="21"/>
  <c r="AT12" i="21"/>
  <c r="AJ12" i="21"/>
  <c r="Z12" i="21"/>
  <c r="AW11" i="21"/>
  <c r="AM11" i="21"/>
  <c r="AC11" i="21"/>
  <c r="S11" i="21"/>
  <c r="AP10" i="21"/>
  <c r="AF10" i="21"/>
  <c r="V10" i="21"/>
  <c r="AS9" i="21"/>
  <c r="AI9" i="21"/>
  <c r="Y9" i="21"/>
  <c r="AV8" i="21"/>
  <c r="AL8" i="21"/>
  <c r="AB8" i="21"/>
  <c r="R8" i="21"/>
  <c r="S6" i="21"/>
  <c r="AA7" i="21"/>
  <c r="AC6" i="21"/>
  <c r="Z7" i="21"/>
  <c r="Y7" i="21"/>
  <c r="AA6" i="21"/>
  <c r="X7" i="21"/>
  <c r="AJ6" i="21"/>
  <c r="AG7" i="21"/>
  <c r="AI6" i="21"/>
  <c r="AP7" i="21"/>
  <c r="V6" i="21"/>
  <c r="AU7" i="21"/>
  <c r="AK7" i="21"/>
  <c r="AW6" i="21"/>
  <c r="AM6" i="21"/>
  <c r="AT7" i="21"/>
  <c r="AJ7" i="21"/>
  <c r="AV6" i="21"/>
  <c r="AB6" i="21"/>
  <c r="AS7" i="21"/>
  <c r="AI7" i="21"/>
  <c r="AU6" i="21"/>
  <c r="AK6" i="21"/>
  <c r="AR7" i="21"/>
  <c r="AH7" i="21"/>
  <c r="AT6" i="21"/>
  <c r="Z6" i="21"/>
  <c r="AQ7" i="21"/>
  <c r="W7" i="21"/>
  <c r="AS6" i="21"/>
  <c r="Y6" i="21"/>
  <c r="AF7" i="21"/>
  <c r="V7" i="21"/>
  <c r="AR6" i="21"/>
  <c r="AH6" i="21"/>
  <c r="X6" i="21"/>
  <c r="AO7" i="21"/>
  <c r="AE7" i="21"/>
  <c r="U7" i="21"/>
  <c r="AQ6" i="21"/>
  <c r="AG6" i="21"/>
  <c r="W6" i="21"/>
  <c r="AN7" i="21"/>
  <c r="AD7" i="21"/>
  <c r="AP6" i="21"/>
  <c r="AF6" i="21"/>
  <c r="AW7" i="21"/>
  <c r="AM7" i="21"/>
  <c r="AC7" i="21"/>
  <c r="S7" i="21"/>
  <c r="AO6" i="21"/>
  <c r="AE6" i="21"/>
  <c r="U6" i="21"/>
  <c r="AV7" i="21"/>
  <c r="AL7" i="21"/>
  <c r="AB7" i="21"/>
  <c r="AX6" i="21"/>
  <c r="AN6" i="21"/>
  <c r="AD6" i="21"/>
  <c r="R6" i="21"/>
  <c r="R7" i="21"/>
  <c r="D9" i="18"/>
  <c r="D3" i="18"/>
  <c r="D4" i="18"/>
  <c r="D5" i="18"/>
  <c r="D6" i="18"/>
  <c r="D7" i="18"/>
  <c r="D8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5" i="18"/>
  <c r="D97" i="18"/>
  <c r="D99" i="18"/>
  <c r="D101" i="18"/>
  <c r="D103" i="18"/>
  <c r="D105" i="18"/>
  <c r="D107" i="18"/>
  <c r="D109" i="18"/>
  <c r="D111" i="18"/>
  <c r="D113" i="18"/>
  <c r="D115" i="18"/>
  <c r="D117" i="18"/>
  <c r="D119" i="18"/>
  <c r="D121" i="18"/>
  <c r="D123" i="18"/>
  <c r="D125" i="18"/>
  <c r="D169" i="18"/>
  <c r="D171" i="18"/>
  <c r="D173" i="18"/>
  <c r="D175" i="18"/>
  <c r="D177" i="18"/>
  <c r="D179" i="18"/>
  <c r="D181" i="18"/>
  <c r="D183" i="18"/>
  <c r="D185" i="18"/>
  <c r="D187" i="18"/>
  <c r="D189" i="18"/>
  <c r="D191" i="18"/>
  <c r="D193" i="18"/>
  <c r="D195" i="18"/>
  <c r="D197" i="18"/>
  <c r="D199" i="18"/>
  <c r="D201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5" i="18"/>
  <c r="C97" i="18"/>
  <c r="C99" i="18"/>
  <c r="C101" i="18"/>
  <c r="C103" i="18"/>
  <c r="C105" i="18"/>
  <c r="C107" i="18"/>
  <c r="C109" i="18"/>
  <c r="C111" i="18"/>
  <c r="C113" i="18"/>
  <c r="C115" i="18"/>
  <c r="C117" i="18"/>
  <c r="C119" i="18"/>
  <c r="C121" i="18"/>
  <c r="C123" i="18"/>
  <c r="C125" i="18"/>
  <c r="C169" i="18"/>
  <c r="C171" i="18"/>
  <c r="C173" i="18"/>
  <c r="C175" i="18"/>
  <c r="C177" i="18"/>
  <c r="C179" i="18"/>
  <c r="C181" i="18"/>
  <c r="C183" i="18"/>
  <c r="C185" i="18"/>
  <c r="C187" i="18"/>
  <c r="C189" i="18"/>
  <c r="C191" i="18"/>
  <c r="C193" i="18"/>
  <c r="C195" i="18"/>
  <c r="C197" i="18"/>
  <c r="C199" i="18"/>
  <c r="C201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" i="18"/>
  <c r="B5" i="17"/>
  <c r="B6" i="17"/>
  <c r="C7" i="17"/>
  <c r="C15" i="17"/>
  <c r="C48" i="17"/>
  <c r="C50" i="17"/>
  <c r="C52" i="17"/>
  <c r="B54" i="17"/>
  <c r="B55" i="17"/>
  <c r="B56" i="17"/>
  <c r="C58" i="17"/>
  <c r="C59" i="17"/>
  <c r="C88" i="17"/>
  <c r="C103" i="17"/>
  <c r="C107" i="17"/>
  <c r="C117" i="17"/>
  <c r="C197" i="17"/>
  <c r="B199" i="17"/>
  <c r="C199" i="17"/>
  <c r="B201" i="17"/>
  <c r="B231" i="17"/>
  <c r="B232" i="17"/>
  <c r="B233" i="17"/>
  <c r="C233" i="17"/>
  <c r="C236" i="17"/>
  <c r="C237" i="17"/>
  <c r="C243" i="17"/>
  <c r="C244" i="17"/>
  <c r="C251" i="17"/>
  <c r="B252" i="17"/>
  <c r="B253" i="17"/>
  <c r="B254" i="17"/>
  <c r="B262" i="17"/>
  <c r="C266" i="17"/>
  <c r="C267" i="17"/>
  <c r="C281" i="17"/>
  <c r="C282" i="17"/>
  <c r="B290" i="17"/>
  <c r="B291" i="17"/>
  <c r="C291" i="17"/>
  <c r="C292" i="17"/>
  <c r="G21" i="17"/>
  <c r="G22" i="17"/>
  <c r="G29" i="17"/>
  <c r="H29" i="17"/>
  <c r="G31" i="17"/>
  <c r="H36" i="17"/>
  <c r="H47" i="17"/>
  <c r="H48" i="17"/>
  <c r="G49" i="17"/>
  <c r="G50" i="17"/>
  <c r="G51" i="17"/>
  <c r="G52" i="17"/>
  <c r="H62" i="17"/>
  <c r="H78" i="17"/>
  <c r="H79" i="17"/>
  <c r="H80" i="17"/>
  <c r="H85" i="17"/>
  <c r="G89" i="17"/>
  <c r="G90" i="17"/>
  <c r="H121" i="17"/>
  <c r="H212" i="17"/>
  <c r="H215" i="17"/>
  <c r="H216" i="17"/>
  <c r="H220" i="17"/>
  <c r="H221" i="17"/>
  <c r="G222" i="17"/>
  <c r="H226" i="17"/>
  <c r="H251" i="17"/>
  <c r="G252" i="17"/>
  <c r="H261" i="17"/>
  <c r="H263" i="17"/>
  <c r="H266" i="17"/>
  <c r="H276" i="17"/>
  <c r="H278" i="17"/>
  <c r="H281" i="17"/>
  <c r="G292" i="17"/>
  <c r="I292" i="16"/>
  <c r="H294" i="17" s="1"/>
  <c r="G292" i="16"/>
  <c r="C294" i="17" s="1"/>
  <c r="I291" i="16"/>
  <c r="H293" i="17" s="1"/>
  <c r="G291" i="16"/>
  <c r="C293" i="17" s="1"/>
  <c r="I290" i="16"/>
  <c r="H292" i="17" s="1"/>
  <c r="G290" i="16"/>
  <c r="I289" i="16"/>
  <c r="H291" i="17" s="1"/>
  <c r="G289" i="16"/>
  <c r="I288" i="16"/>
  <c r="H290" i="17" s="1"/>
  <c r="G288" i="16"/>
  <c r="C290" i="17" s="1"/>
  <c r="I287" i="16"/>
  <c r="H289" i="17" s="1"/>
  <c r="G287" i="16"/>
  <c r="C289" i="17" s="1"/>
  <c r="I286" i="16"/>
  <c r="H288" i="17" s="1"/>
  <c r="G286" i="16"/>
  <c r="C288" i="17" s="1"/>
  <c r="I285" i="16"/>
  <c r="H287" i="17" s="1"/>
  <c r="G285" i="16"/>
  <c r="C287" i="17" s="1"/>
  <c r="I284" i="16"/>
  <c r="H286" i="17" s="1"/>
  <c r="G284" i="16"/>
  <c r="C286" i="17" s="1"/>
  <c r="I283" i="16"/>
  <c r="H285" i="17" s="1"/>
  <c r="G283" i="16"/>
  <c r="C285" i="17" s="1"/>
  <c r="I282" i="16"/>
  <c r="H284" i="17" s="1"/>
  <c r="G282" i="16"/>
  <c r="C284" i="17" s="1"/>
  <c r="I281" i="16"/>
  <c r="H283" i="17" s="1"/>
  <c r="G281" i="16"/>
  <c r="C283" i="17" s="1"/>
  <c r="I280" i="16"/>
  <c r="H282" i="17" s="1"/>
  <c r="G280" i="16"/>
  <c r="I279" i="16"/>
  <c r="G279" i="16"/>
  <c r="I278" i="16"/>
  <c r="H280" i="17" s="1"/>
  <c r="G278" i="16"/>
  <c r="C280" i="17" s="1"/>
  <c r="I277" i="16"/>
  <c r="H279" i="17" s="1"/>
  <c r="G277" i="16"/>
  <c r="C279" i="17" s="1"/>
  <c r="I276" i="16"/>
  <c r="G276" i="16"/>
  <c r="C278" i="17" s="1"/>
  <c r="I275" i="16"/>
  <c r="H277" i="17" s="1"/>
  <c r="G275" i="16"/>
  <c r="C277" i="17" s="1"/>
  <c r="I274" i="16"/>
  <c r="G274" i="16"/>
  <c r="C276" i="17" s="1"/>
  <c r="I273" i="16"/>
  <c r="H275" i="17" s="1"/>
  <c r="G273" i="16"/>
  <c r="C275" i="17" s="1"/>
  <c r="I272" i="16"/>
  <c r="H274" i="17" s="1"/>
  <c r="G272" i="16"/>
  <c r="C274" i="17" s="1"/>
  <c r="I271" i="16"/>
  <c r="H273" i="17" s="1"/>
  <c r="G271" i="16"/>
  <c r="C273" i="17" s="1"/>
  <c r="I270" i="16"/>
  <c r="H272" i="17" s="1"/>
  <c r="G270" i="16"/>
  <c r="C272" i="17" s="1"/>
  <c r="I269" i="16"/>
  <c r="H271" i="17" s="1"/>
  <c r="G269" i="16"/>
  <c r="C271" i="17" s="1"/>
  <c r="I268" i="16"/>
  <c r="H270" i="17" s="1"/>
  <c r="G268" i="16"/>
  <c r="C270" i="17" s="1"/>
  <c r="I267" i="16"/>
  <c r="H269" i="17" s="1"/>
  <c r="G267" i="16"/>
  <c r="C269" i="17" s="1"/>
  <c r="I266" i="16"/>
  <c r="H268" i="17" s="1"/>
  <c r="G266" i="16"/>
  <c r="C268" i="17" s="1"/>
  <c r="I265" i="16"/>
  <c r="H267" i="17" s="1"/>
  <c r="G265" i="16"/>
  <c r="I264" i="16"/>
  <c r="G264" i="16"/>
  <c r="I263" i="16"/>
  <c r="H265" i="17" s="1"/>
  <c r="G263" i="16"/>
  <c r="C265" i="17" s="1"/>
  <c r="I262" i="16"/>
  <c r="H264" i="17" s="1"/>
  <c r="G262" i="16"/>
  <c r="C264" i="17" s="1"/>
  <c r="I261" i="16"/>
  <c r="G261" i="16"/>
  <c r="C263" i="17" s="1"/>
  <c r="I260" i="16"/>
  <c r="H262" i="17" s="1"/>
  <c r="G260" i="16"/>
  <c r="C262" i="17" s="1"/>
  <c r="I259" i="16"/>
  <c r="G259" i="16"/>
  <c r="C261" i="17" s="1"/>
  <c r="I258" i="16"/>
  <c r="H260" i="17" s="1"/>
  <c r="G258" i="16"/>
  <c r="C260" i="17" s="1"/>
  <c r="I257" i="16"/>
  <c r="H259" i="17" s="1"/>
  <c r="G257" i="16"/>
  <c r="C259" i="17" s="1"/>
  <c r="I256" i="16"/>
  <c r="H258" i="17" s="1"/>
  <c r="G256" i="16"/>
  <c r="C258" i="17" s="1"/>
  <c r="I255" i="16"/>
  <c r="H257" i="17" s="1"/>
  <c r="G255" i="16"/>
  <c r="C257" i="17" s="1"/>
  <c r="I254" i="16"/>
  <c r="H256" i="17" s="1"/>
  <c r="G254" i="16"/>
  <c r="C256" i="17" s="1"/>
  <c r="I253" i="16"/>
  <c r="H255" i="17" s="1"/>
  <c r="G253" i="16"/>
  <c r="C255" i="17" s="1"/>
  <c r="I252" i="16"/>
  <c r="H254" i="17" s="1"/>
  <c r="G252" i="16"/>
  <c r="C254" i="17" s="1"/>
  <c r="I251" i="16"/>
  <c r="H253" i="17" s="1"/>
  <c r="G251" i="16"/>
  <c r="C253" i="17" s="1"/>
  <c r="I250" i="16"/>
  <c r="H252" i="17" s="1"/>
  <c r="G250" i="16"/>
  <c r="C252" i="17" s="1"/>
  <c r="I249" i="16"/>
  <c r="G249" i="16"/>
  <c r="I248" i="16"/>
  <c r="H250" i="17" s="1"/>
  <c r="G248" i="16"/>
  <c r="C250" i="17" s="1"/>
  <c r="I247" i="16"/>
  <c r="H249" i="17" s="1"/>
  <c r="G247" i="16"/>
  <c r="C249" i="17" s="1"/>
  <c r="I246" i="16"/>
  <c r="H248" i="17" s="1"/>
  <c r="G246" i="16"/>
  <c r="C248" i="17" s="1"/>
  <c r="I245" i="16"/>
  <c r="H247" i="17" s="1"/>
  <c r="G245" i="16"/>
  <c r="C247" i="17" s="1"/>
  <c r="I244" i="16"/>
  <c r="H246" i="17" s="1"/>
  <c r="G244" i="16"/>
  <c r="C246" i="17" s="1"/>
  <c r="I243" i="16"/>
  <c r="H245" i="17" s="1"/>
  <c r="G243" i="16"/>
  <c r="C245" i="17" s="1"/>
  <c r="I242" i="16"/>
  <c r="H244" i="17" s="1"/>
  <c r="G242" i="16"/>
  <c r="I241" i="16"/>
  <c r="H243" i="17" s="1"/>
  <c r="G241" i="16"/>
  <c r="I240" i="16"/>
  <c r="H242" i="17" s="1"/>
  <c r="G240" i="16"/>
  <c r="C242" i="17" s="1"/>
  <c r="I239" i="16"/>
  <c r="H241" i="17" s="1"/>
  <c r="G239" i="16"/>
  <c r="C241" i="17" s="1"/>
  <c r="I238" i="16"/>
  <c r="H240" i="17" s="1"/>
  <c r="G238" i="16"/>
  <c r="C240" i="17" s="1"/>
  <c r="I237" i="16"/>
  <c r="H239" i="17" s="1"/>
  <c r="G237" i="16"/>
  <c r="C239" i="17" s="1"/>
  <c r="I236" i="16"/>
  <c r="H238" i="17" s="1"/>
  <c r="G236" i="16"/>
  <c r="C238" i="17" s="1"/>
  <c r="I235" i="16"/>
  <c r="H237" i="17" s="1"/>
  <c r="G235" i="16"/>
  <c r="I234" i="16"/>
  <c r="H236" i="17" s="1"/>
  <c r="G234" i="16"/>
  <c r="I233" i="16"/>
  <c r="H235" i="17" s="1"/>
  <c r="G233" i="16"/>
  <c r="C235" i="17" s="1"/>
  <c r="I232" i="16"/>
  <c r="H234" i="17" s="1"/>
  <c r="G232" i="16"/>
  <c r="C234" i="17" s="1"/>
  <c r="I231" i="16"/>
  <c r="H233" i="17" s="1"/>
  <c r="G231" i="16"/>
  <c r="I230" i="16"/>
  <c r="H232" i="17" s="1"/>
  <c r="G230" i="16"/>
  <c r="C232" i="17" s="1"/>
  <c r="I229" i="16"/>
  <c r="H231" i="17" s="1"/>
  <c r="G229" i="16"/>
  <c r="C231" i="17" s="1"/>
  <c r="I228" i="16"/>
  <c r="H230" i="17" s="1"/>
  <c r="G228" i="16"/>
  <c r="C230" i="17" s="1"/>
  <c r="I227" i="16"/>
  <c r="H229" i="17" s="1"/>
  <c r="G227" i="16"/>
  <c r="C229" i="17" s="1"/>
  <c r="I226" i="16"/>
  <c r="H228" i="17" s="1"/>
  <c r="G226" i="16"/>
  <c r="C228" i="17" s="1"/>
  <c r="I225" i="16"/>
  <c r="H227" i="17" s="1"/>
  <c r="G225" i="16"/>
  <c r="C227" i="17" s="1"/>
  <c r="I224" i="16"/>
  <c r="G224" i="16"/>
  <c r="C226" i="17" s="1"/>
  <c r="I223" i="16"/>
  <c r="H225" i="17" s="1"/>
  <c r="G223" i="16"/>
  <c r="C225" i="17" s="1"/>
  <c r="I222" i="16"/>
  <c r="H224" i="17" s="1"/>
  <c r="G222" i="16"/>
  <c r="C224" i="17" s="1"/>
  <c r="I221" i="16"/>
  <c r="H223" i="17" s="1"/>
  <c r="G221" i="16"/>
  <c r="C223" i="17" s="1"/>
  <c r="I220" i="16"/>
  <c r="H222" i="17" s="1"/>
  <c r="G220" i="16"/>
  <c r="C222" i="17" s="1"/>
  <c r="I219" i="16"/>
  <c r="G219" i="16"/>
  <c r="C221" i="17" s="1"/>
  <c r="I218" i="16"/>
  <c r="G218" i="16"/>
  <c r="C220" i="17" s="1"/>
  <c r="I217" i="16"/>
  <c r="H219" i="17" s="1"/>
  <c r="G217" i="16"/>
  <c r="C219" i="17" s="1"/>
  <c r="I216" i="16"/>
  <c r="H218" i="17" s="1"/>
  <c r="G216" i="16"/>
  <c r="C218" i="17" s="1"/>
  <c r="I215" i="16"/>
  <c r="H217" i="17" s="1"/>
  <c r="G215" i="16"/>
  <c r="C217" i="17" s="1"/>
  <c r="I214" i="16"/>
  <c r="G214" i="16"/>
  <c r="C216" i="17" s="1"/>
  <c r="I213" i="16"/>
  <c r="G213" i="16"/>
  <c r="C215" i="17" s="1"/>
  <c r="I212" i="16"/>
  <c r="H214" i="17" s="1"/>
  <c r="G212" i="16"/>
  <c r="C214" i="17" s="1"/>
  <c r="I211" i="16"/>
  <c r="H213" i="17" s="1"/>
  <c r="G211" i="16"/>
  <c r="C213" i="17" s="1"/>
  <c r="I210" i="16"/>
  <c r="G210" i="16"/>
  <c r="C212" i="17" s="1"/>
  <c r="I209" i="16"/>
  <c r="H211" i="17" s="1"/>
  <c r="G209" i="16"/>
  <c r="C211" i="17" s="1"/>
  <c r="I208" i="16"/>
  <c r="H210" i="17" s="1"/>
  <c r="G208" i="16"/>
  <c r="C210" i="17" s="1"/>
  <c r="I207" i="16"/>
  <c r="H209" i="17" s="1"/>
  <c r="G207" i="16"/>
  <c r="C209" i="17" s="1"/>
  <c r="I206" i="16"/>
  <c r="H208" i="17" s="1"/>
  <c r="G206" i="16"/>
  <c r="C208" i="17" s="1"/>
  <c r="I205" i="16"/>
  <c r="H207" i="17" s="1"/>
  <c r="G205" i="16"/>
  <c r="C207" i="17" s="1"/>
  <c r="I204" i="16"/>
  <c r="H206" i="17" s="1"/>
  <c r="G204" i="16"/>
  <c r="C206" i="17" s="1"/>
  <c r="I203" i="16"/>
  <c r="H205" i="17" s="1"/>
  <c r="G203" i="16"/>
  <c r="C205" i="17" s="1"/>
  <c r="I201" i="16"/>
  <c r="H203" i="17" s="1"/>
  <c r="G201" i="16"/>
  <c r="C203" i="17" s="1"/>
  <c r="I199" i="16"/>
  <c r="H201" i="17" s="1"/>
  <c r="G199" i="16"/>
  <c r="C201" i="17" s="1"/>
  <c r="I197" i="16"/>
  <c r="H199" i="17" s="1"/>
  <c r="G197" i="16"/>
  <c r="I195" i="16"/>
  <c r="H197" i="17" s="1"/>
  <c r="G195" i="16"/>
  <c r="I193" i="16"/>
  <c r="H195" i="17" s="1"/>
  <c r="G193" i="16"/>
  <c r="C195" i="17" s="1"/>
  <c r="I191" i="16"/>
  <c r="H193" i="17" s="1"/>
  <c r="G191" i="16"/>
  <c r="C193" i="17" s="1"/>
  <c r="I189" i="16"/>
  <c r="H191" i="17" s="1"/>
  <c r="G189" i="16"/>
  <c r="C191" i="17" s="1"/>
  <c r="I187" i="16"/>
  <c r="H189" i="17" s="1"/>
  <c r="G187" i="16"/>
  <c r="C189" i="17" s="1"/>
  <c r="I185" i="16"/>
  <c r="H187" i="17" s="1"/>
  <c r="G185" i="16"/>
  <c r="C187" i="17" s="1"/>
  <c r="I183" i="16"/>
  <c r="H185" i="17" s="1"/>
  <c r="G183" i="16"/>
  <c r="C185" i="17" s="1"/>
  <c r="I181" i="16"/>
  <c r="H183" i="17" s="1"/>
  <c r="G181" i="16"/>
  <c r="C183" i="17" s="1"/>
  <c r="I179" i="16"/>
  <c r="H181" i="17" s="1"/>
  <c r="G179" i="16"/>
  <c r="C181" i="17" s="1"/>
  <c r="I177" i="16"/>
  <c r="H179" i="17" s="1"/>
  <c r="G177" i="16"/>
  <c r="C179" i="17" s="1"/>
  <c r="I175" i="16"/>
  <c r="H177" i="17" s="1"/>
  <c r="G175" i="16"/>
  <c r="C177" i="17" s="1"/>
  <c r="I173" i="16"/>
  <c r="H175" i="17" s="1"/>
  <c r="G173" i="16"/>
  <c r="C175" i="17" s="1"/>
  <c r="I171" i="16"/>
  <c r="H173" i="17" s="1"/>
  <c r="G171" i="16"/>
  <c r="C173" i="17" s="1"/>
  <c r="I169" i="16"/>
  <c r="H171" i="17" s="1"/>
  <c r="G169" i="16"/>
  <c r="C171" i="17" s="1"/>
  <c r="I129" i="16"/>
  <c r="H131" i="17" s="1"/>
  <c r="I127" i="16"/>
  <c r="H129" i="17" s="1"/>
  <c r="I125" i="16"/>
  <c r="H127" i="17" s="1"/>
  <c r="G125" i="16"/>
  <c r="C127" i="17" s="1"/>
  <c r="I123" i="16"/>
  <c r="H125" i="17" s="1"/>
  <c r="G123" i="16"/>
  <c r="C125" i="17" s="1"/>
  <c r="I121" i="16"/>
  <c r="H123" i="17" s="1"/>
  <c r="G121" i="16"/>
  <c r="C123" i="17" s="1"/>
  <c r="I119" i="16"/>
  <c r="G119" i="16"/>
  <c r="C121" i="17" s="1"/>
  <c r="I117" i="16"/>
  <c r="H119" i="17" s="1"/>
  <c r="G117" i="16"/>
  <c r="C119" i="17" s="1"/>
  <c r="I115" i="16"/>
  <c r="H117" i="17" s="1"/>
  <c r="G115" i="16"/>
  <c r="I113" i="16"/>
  <c r="H115" i="17" s="1"/>
  <c r="G113" i="16"/>
  <c r="C115" i="17" s="1"/>
  <c r="I111" i="16"/>
  <c r="H113" i="17" s="1"/>
  <c r="G111" i="16"/>
  <c r="C113" i="17" s="1"/>
  <c r="I109" i="16"/>
  <c r="H111" i="17" s="1"/>
  <c r="G109" i="16"/>
  <c r="C111" i="17" s="1"/>
  <c r="I107" i="16"/>
  <c r="H109" i="17" s="1"/>
  <c r="G107" i="16"/>
  <c r="C109" i="17" s="1"/>
  <c r="I105" i="16"/>
  <c r="H107" i="17" s="1"/>
  <c r="G105" i="16"/>
  <c r="I103" i="16"/>
  <c r="H105" i="17" s="1"/>
  <c r="G103" i="16"/>
  <c r="C105" i="17" s="1"/>
  <c r="I101" i="16"/>
  <c r="H103" i="17" s="1"/>
  <c r="G101" i="16"/>
  <c r="I99" i="16"/>
  <c r="H101" i="17" s="1"/>
  <c r="G99" i="16"/>
  <c r="C101" i="17" s="1"/>
  <c r="I97" i="16"/>
  <c r="H99" i="17" s="1"/>
  <c r="G97" i="16"/>
  <c r="C99" i="17" s="1"/>
  <c r="I96" i="16"/>
  <c r="H98" i="17" s="1"/>
  <c r="I95" i="16"/>
  <c r="H97" i="17" s="1"/>
  <c r="G95" i="16"/>
  <c r="C97" i="17" s="1"/>
  <c r="I94" i="16"/>
  <c r="H96" i="17" s="1"/>
  <c r="G94" i="16"/>
  <c r="C96" i="17" s="1"/>
  <c r="I93" i="16"/>
  <c r="H95" i="17" s="1"/>
  <c r="G93" i="16"/>
  <c r="C95" i="17" s="1"/>
  <c r="I92" i="16"/>
  <c r="H94" i="17" s="1"/>
  <c r="G92" i="16"/>
  <c r="C94" i="17" s="1"/>
  <c r="I91" i="16"/>
  <c r="H93" i="17" s="1"/>
  <c r="G91" i="16"/>
  <c r="C93" i="17" s="1"/>
  <c r="I90" i="16"/>
  <c r="H92" i="17" s="1"/>
  <c r="G90" i="16"/>
  <c r="C92" i="17" s="1"/>
  <c r="I89" i="16"/>
  <c r="H91" i="17" s="1"/>
  <c r="G89" i="16"/>
  <c r="C91" i="17" s="1"/>
  <c r="I88" i="16"/>
  <c r="H90" i="17" s="1"/>
  <c r="G88" i="16"/>
  <c r="C90" i="17" s="1"/>
  <c r="I87" i="16"/>
  <c r="H89" i="17" s="1"/>
  <c r="G87" i="16"/>
  <c r="C89" i="17" s="1"/>
  <c r="I86" i="16"/>
  <c r="H88" i="17" s="1"/>
  <c r="G86" i="16"/>
  <c r="I85" i="16"/>
  <c r="H87" i="17" s="1"/>
  <c r="G85" i="16"/>
  <c r="C87" i="17" s="1"/>
  <c r="I84" i="16"/>
  <c r="H86" i="17" s="1"/>
  <c r="G84" i="16"/>
  <c r="C86" i="17" s="1"/>
  <c r="I83" i="16"/>
  <c r="G83" i="16"/>
  <c r="C85" i="17" s="1"/>
  <c r="I82" i="16"/>
  <c r="H84" i="17" s="1"/>
  <c r="G82" i="16"/>
  <c r="C84" i="17" s="1"/>
  <c r="I81" i="16"/>
  <c r="H83" i="17" s="1"/>
  <c r="G81" i="16"/>
  <c r="C83" i="17" s="1"/>
  <c r="I80" i="16"/>
  <c r="H82" i="17" s="1"/>
  <c r="G80" i="16"/>
  <c r="C82" i="17" s="1"/>
  <c r="I79" i="16"/>
  <c r="H81" i="17" s="1"/>
  <c r="G79" i="16"/>
  <c r="C81" i="17" s="1"/>
  <c r="I78" i="16"/>
  <c r="G78" i="16"/>
  <c r="C80" i="17" s="1"/>
  <c r="I77" i="16"/>
  <c r="G77" i="16"/>
  <c r="C79" i="17" s="1"/>
  <c r="I76" i="16"/>
  <c r="G76" i="16"/>
  <c r="C78" i="17" s="1"/>
  <c r="I75" i="16"/>
  <c r="H77" i="17" s="1"/>
  <c r="G75" i="16"/>
  <c r="C77" i="17" s="1"/>
  <c r="I74" i="16"/>
  <c r="H76" i="17" s="1"/>
  <c r="G74" i="16"/>
  <c r="C76" i="17" s="1"/>
  <c r="I73" i="16"/>
  <c r="H75" i="17" s="1"/>
  <c r="G73" i="16"/>
  <c r="C75" i="17" s="1"/>
  <c r="I72" i="16"/>
  <c r="H74" i="17" s="1"/>
  <c r="G72" i="16"/>
  <c r="C74" i="17" s="1"/>
  <c r="I71" i="16"/>
  <c r="H73" i="17" s="1"/>
  <c r="G71" i="16"/>
  <c r="C73" i="17" s="1"/>
  <c r="I70" i="16"/>
  <c r="H72" i="17" s="1"/>
  <c r="G70" i="16"/>
  <c r="C72" i="17" s="1"/>
  <c r="I69" i="16"/>
  <c r="H71" i="17" s="1"/>
  <c r="G69" i="16"/>
  <c r="C71" i="17" s="1"/>
  <c r="I68" i="16"/>
  <c r="H70" i="17" s="1"/>
  <c r="G68" i="16"/>
  <c r="C70" i="17" s="1"/>
  <c r="I67" i="16"/>
  <c r="H69" i="17" s="1"/>
  <c r="G67" i="16"/>
  <c r="C69" i="17" s="1"/>
  <c r="I66" i="16"/>
  <c r="H68" i="17" s="1"/>
  <c r="G66" i="16"/>
  <c r="C68" i="17" s="1"/>
  <c r="I65" i="16"/>
  <c r="H67" i="17" s="1"/>
  <c r="G65" i="16"/>
  <c r="C67" i="17" s="1"/>
  <c r="I64" i="16"/>
  <c r="H66" i="17" s="1"/>
  <c r="G64" i="16"/>
  <c r="C66" i="17" s="1"/>
  <c r="I63" i="16"/>
  <c r="H65" i="17" s="1"/>
  <c r="G63" i="16"/>
  <c r="C65" i="17" s="1"/>
  <c r="I62" i="16"/>
  <c r="H64" i="17" s="1"/>
  <c r="G62" i="16"/>
  <c r="C64" i="17" s="1"/>
  <c r="I61" i="16"/>
  <c r="H63" i="17" s="1"/>
  <c r="G61" i="16"/>
  <c r="C63" i="17" s="1"/>
  <c r="I60" i="16"/>
  <c r="G60" i="16"/>
  <c r="C62" i="17" s="1"/>
  <c r="I59" i="16"/>
  <c r="H61" i="17" s="1"/>
  <c r="G59" i="16"/>
  <c r="C61" i="17" s="1"/>
  <c r="I58" i="16"/>
  <c r="H60" i="17" s="1"/>
  <c r="G58" i="16"/>
  <c r="C60" i="17" s="1"/>
  <c r="I57" i="16"/>
  <c r="H59" i="17" s="1"/>
  <c r="G57" i="16"/>
  <c r="I56" i="16"/>
  <c r="H58" i="17" s="1"/>
  <c r="G56" i="16"/>
  <c r="I55" i="16"/>
  <c r="H57" i="17" s="1"/>
  <c r="G55" i="16"/>
  <c r="C57" i="17" s="1"/>
  <c r="I54" i="16"/>
  <c r="H56" i="17" s="1"/>
  <c r="G54" i="16"/>
  <c r="C56" i="17" s="1"/>
  <c r="I53" i="16"/>
  <c r="H55" i="17" s="1"/>
  <c r="G53" i="16"/>
  <c r="C55" i="17" s="1"/>
  <c r="I52" i="16"/>
  <c r="H54" i="17" s="1"/>
  <c r="G52" i="16"/>
  <c r="C54" i="17" s="1"/>
  <c r="I51" i="16"/>
  <c r="H53" i="17" s="1"/>
  <c r="G51" i="16"/>
  <c r="C53" i="17" s="1"/>
  <c r="I50" i="16"/>
  <c r="H52" i="17" s="1"/>
  <c r="G50" i="16"/>
  <c r="I49" i="16"/>
  <c r="H51" i="17" s="1"/>
  <c r="G49" i="16"/>
  <c r="C51" i="17" s="1"/>
  <c r="I48" i="16"/>
  <c r="H50" i="17" s="1"/>
  <c r="G48" i="16"/>
  <c r="I47" i="16"/>
  <c r="H49" i="17" s="1"/>
  <c r="G47" i="16"/>
  <c r="C49" i="17" s="1"/>
  <c r="I46" i="16"/>
  <c r="G46" i="16"/>
  <c r="I45" i="16"/>
  <c r="G45" i="16"/>
  <c r="C47" i="17" s="1"/>
  <c r="I44" i="16"/>
  <c r="H46" i="17" s="1"/>
  <c r="G44" i="16"/>
  <c r="C46" i="17" s="1"/>
  <c r="I43" i="16"/>
  <c r="H45" i="17" s="1"/>
  <c r="G43" i="16"/>
  <c r="C45" i="17" s="1"/>
  <c r="I42" i="16"/>
  <c r="H44" i="17" s="1"/>
  <c r="G42" i="16"/>
  <c r="C44" i="17" s="1"/>
  <c r="I41" i="16"/>
  <c r="H43" i="17" s="1"/>
  <c r="G41" i="16"/>
  <c r="C43" i="17" s="1"/>
  <c r="I40" i="16"/>
  <c r="H42" i="17" s="1"/>
  <c r="G40" i="16"/>
  <c r="C42" i="17" s="1"/>
  <c r="I39" i="16"/>
  <c r="H41" i="17" s="1"/>
  <c r="G39" i="16"/>
  <c r="C41" i="17" s="1"/>
  <c r="I38" i="16"/>
  <c r="H40" i="17" s="1"/>
  <c r="G38" i="16"/>
  <c r="C40" i="17" s="1"/>
  <c r="I37" i="16"/>
  <c r="H39" i="17" s="1"/>
  <c r="G37" i="16"/>
  <c r="C39" i="17" s="1"/>
  <c r="I36" i="16"/>
  <c r="H38" i="17" s="1"/>
  <c r="G36" i="16"/>
  <c r="C38" i="17" s="1"/>
  <c r="I35" i="16"/>
  <c r="H37" i="17" s="1"/>
  <c r="G35" i="16"/>
  <c r="C37" i="17" s="1"/>
  <c r="I34" i="16"/>
  <c r="G34" i="16"/>
  <c r="C36" i="17" s="1"/>
  <c r="I33" i="16"/>
  <c r="H35" i="17" s="1"/>
  <c r="G33" i="16"/>
  <c r="C35" i="17" s="1"/>
  <c r="I32" i="16"/>
  <c r="H34" i="17" s="1"/>
  <c r="G32" i="16"/>
  <c r="C34" i="17" s="1"/>
  <c r="I31" i="16"/>
  <c r="H33" i="17" s="1"/>
  <c r="G31" i="16"/>
  <c r="C33" i="17" s="1"/>
  <c r="I30" i="16"/>
  <c r="H32" i="17" s="1"/>
  <c r="G30" i="16"/>
  <c r="C32" i="17" s="1"/>
  <c r="I29" i="16"/>
  <c r="H31" i="17" s="1"/>
  <c r="G29" i="16"/>
  <c r="C31" i="17" s="1"/>
  <c r="I28" i="16"/>
  <c r="H30" i="17" s="1"/>
  <c r="G28" i="16"/>
  <c r="C30" i="17" s="1"/>
  <c r="I27" i="16"/>
  <c r="G27" i="16"/>
  <c r="C29" i="17" s="1"/>
  <c r="I26" i="16"/>
  <c r="H28" i="17" s="1"/>
  <c r="G26" i="16"/>
  <c r="C28" i="17" s="1"/>
  <c r="I25" i="16"/>
  <c r="H27" i="17" s="1"/>
  <c r="G25" i="16"/>
  <c r="C27" i="17" s="1"/>
  <c r="I24" i="16"/>
  <c r="H26" i="17" s="1"/>
  <c r="G24" i="16"/>
  <c r="C26" i="17" s="1"/>
  <c r="I23" i="16"/>
  <c r="H25" i="17" s="1"/>
  <c r="G23" i="16"/>
  <c r="C25" i="17" s="1"/>
  <c r="I22" i="16"/>
  <c r="H24" i="17" s="1"/>
  <c r="G22" i="16"/>
  <c r="C24" i="17" s="1"/>
  <c r="I21" i="16"/>
  <c r="H23" i="17" s="1"/>
  <c r="G21" i="16"/>
  <c r="C23" i="17" s="1"/>
  <c r="I20" i="16"/>
  <c r="H22" i="17" s="1"/>
  <c r="G20" i="16"/>
  <c r="C22" i="17" s="1"/>
  <c r="I19" i="16"/>
  <c r="H21" i="17" s="1"/>
  <c r="G19" i="16"/>
  <c r="C21" i="17" s="1"/>
  <c r="I18" i="16"/>
  <c r="H20" i="17" s="1"/>
  <c r="G18" i="16"/>
  <c r="C20" i="17" s="1"/>
  <c r="I17" i="16"/>
  <c r="H19" i="17" s="1"/>
  <c r="G17" i="16"/>
  <c r="C19" i="17" s="1"/>
  <c r="I16" i="16"/>
  <c r="H18" i="17" s="1"/>
  <c r="G16" i="16"/>
  <c r="C18" i="17" s="1"/>
  <c r="I15" i="16"/>
  <c r="H17" i="17" s="1"/>
  <c r="G15" i="16"/>
  <c r="C17" i="17" s="1"/>
  <c r="I14" i="16"/>
  <c r="H16" i="17" s="1"/>
  <c r="G14" i="16"/>
  <c r="C16" i="17" s="1"/>
  <c r="I13" i="16"/>
  <c r="H15" i="17" s="1"/>
  <c r="G13" i="16"/>
  <c r="I12" i="16"/>
  <c r="H14" i="17" s="1"/>
  <c r="G12" i="16"/>
  <c r="C14" i="17" s="1"/>
  <c r="I11" i="16"/>
  <c r="H13" i="17" s="1"/>
  <c r="G11" i="16"/>
  <c r="C13" i="17" s="1"/>
  <c r="I10" i="16"/>
  <c r="H12" i="17" s="1"/>
  <c r="G10" i="16"/>
  <c r="C12" i="17" s="1"/>
  <c r="I9" i="16"/>
  <c r="H11" i="17" s="1"/>
  <c r="G9" i="16"/>
  <c r="C11" i="17" s="1"/>
  <c r="I8" i="16"/>
  <c r="H10" i="17" s="1"/>
  <c r="G8" i="16"/>
  <c r="C10" i="17" s="1"/>
  <c r="I7" i="16"/>
  <c r="H9" i="17" s="1"/>
  <c r="G7" i="16"/>
  <c r="C9" i="17" s="1"/>
  <c r="I6" i="16"/>
  <c r="H8" i="17" s="1"/>
  <c r="G6" i="16"/>
  <c r="C8" i="17" s="1"/>
  <c r="I5" i="16"/>
  <c r="H7" i="17" s="1"/>
  <c r="G5" i="16"/>
  <c r="I4" i="16"/>
  <c r="H6" i="17" s="1"/>
  <c r="G4" i="16"/>
  <c r="C6" i="17" s="1"/>
  <c r="I3" i="16"/>
  <c r="H5" i="17" s="1"/>
  <c r="G3" i="16"/>
  <c r="C5" i="17" s="1"/>
  <c r="I2" i="16"/>
  <c r="H4" i="17" s="1"/>
  <c r="G2" i="16"/>
  <c r="C4" i="17" s="1"/>
  <c r="I3" i="14"/>
  <c r="G5" i="17" s="1"/>
  <c r="I4" i="14"/>
  <c r="G6" i="17" s="1"/>
  <c r="I5" i="14"/>
  <c r="G7" i="17" s="1"/>
  <c r="I6" i="14"/>
  <c r="G8" i="17" s="1"/>
  <c r="I7" i="14"/>
  <c r="G9" i="17" s="1"/>
  <c r="I8" i="14"/>
  <c r="G10" i="17" s="1"/>
  <c r="I9" i="14"/>
  <c r="G11" i="17" s="1"/>
  <c r="I10" i="14"/>
  <c r="G12" i="17" s="1"/>
  <c r="I11" i="14"/>
  <c r="G13" i="17" s="1"/>
  <c r="I12" i="14"/>
  <c r="G14" i="17" s="1"/>
  <c r="I13" i="14"/>
  <c r="G15" i="17" s="1"/>
  <c r="I14" i="14"/>
  <c r="G16" i="17" s="1"/>
  <c r="I15" i="14"/>
  <c r="G17" i="17" s="1"/>
  <c r="I16" i="14"/>
  <c r="G18" i="17" s="1"/>
  <c r="I17" i="14"/>
  <c r="G19" i="17" s="1"/>
  <c r="I18" i="14"/>
  <c r="G20" i="17" s="1"/>
  <c r="I19" i="14"/>
  <c r="I20" i="14"/>
  <c r="I21" i="14"/>
  <c r="G23" i="17" s="1"/>
  <c r="I22" i="14"/>
  <c r="G24" i="17" s="1"/>
  <c r="I23" i="14"/>
  <c r="G25" i="17" s="1"/>
  <c r="I24" i="14"/>
  <c r="G26" i="17" s="1"/>
  <c r="I25" i="14"/>
  <c r="G27" i="17" s="1"/>
  <c r="I26" i="14"/>
  <c r="G28" i="17" s="1"/>
  <c r="I27" i="14"/>
  <c r="I28" i="14"/>
  <c r="G30" i="17" s="1"/>
  <c r="I29" i="14"/>
  <c r="I30" i="14"/>
  <c r="G32" i="17" s="1"/>
  <c r="I31" i="14"/>
  <c r="G33" i="17" s="1"/>
  <c r="I32" i="14"/>
  <c r="G34" i="17" s="1"/>
  <c r="I33" i="14"/>
  <c r="G35" i="17" s="1"/>
  <c r="I34" i="14"/>
  <c r="G36" i="17" s="1"/>
  <c r="I35" i="14"/>
  <c r="G37" i="17" s="1"/>
  <c r="I36" i="14"/>
  <c r="G38" i="17" s="1"/>
  <c r="I37" i="14"/>
  <c r="G39" i="17" s="1"/>
  <c r="I38" i="14"/>
  <c r="G40" i="17" s="1"/>
  <c r="I39" i="14"/>
  <c r="G41" i="17" s="1"/>
  <c r="I40" i="14"/>
  <c r="G42" i="17" s="1"/>
  <c r="I41" i="14"/>
  <c r="G43" i="17" s="1"/>
  <c r="I42" i="14"/>
  <c r="G44" i="17" s="1"/>
  <c r="I43" i="14"/>
  <c r="G45" i="17" s="1"/>
  <c r="I44" i="14"/>
  <c r="G46" i="17" s="1"/>
  <c r="I45" i="14"/>
  <c r="G47" i="17" s="1"/>
  <c r="I46" i="14"/>
  <c r="G48" i="17" s="1"/>
  <c r="I47" i="14"/>
  <c r="I48" i="14"/>
  <c r="I49" i="14"/>
  <c r="I50" i="14"/>
  <c r="I51" i="14"/>
  <c r="G53" i="17" s="1"/>
  <c r="I52" i="14"/>
  <c r="G54" i="17" s="1"/>
  <c r="I53" i="14"/>
  <c r="G55" i="17" s="1"/>
  <c r="I54" i="14"/>
  <c r="G56" i="17" s="1"/>
  <c r="I55" i="14"/>
  <c r="G57" i="17" s="1"/>
  <c r="I56" i="14"/>
  <c r="G58" i="17" s="1"/>
  <c r="I57" i="14"/>
  <c r="G59" i="17" s="1"/>
  <c r="I58" i="14"/>
  <c r="G60" i="17" s="1"/>
  <c r="I59" i="14"/>
  <c r="G61" i="17" s="1"/>
  <c r="I60" i="14"/>
  <c r="G62" i="17" s="1"/>
  <c r="I61" i="14"/>
  <c r="G63" i="17" s="1"/>
  <c r="I62" i="14"/>
  <c r="G64" i="17" s="1"/>
  <c r="I63" i="14"/>
  <c r="G65" i="17" s="1"/>
  <c r="I64" i="14"/>
  <c r="G66" i="17" s="1"/>
  <c r="I65" i="14"/>
  <c r="G67" i="17" s="1"/>
  <c r="I66" i="14"/>
  <c r="G68" i="17" s="1"/>
  <c r="I67" i="14"/>
  <c r="G69" i="17" s="1"/>
  <c r="I68" i="14"/>
  <c r="G70" i="17" s="1"/>
  <c r="I69" i="14"/>
  <c r="G71" i="17" s="1"/>
  <c r="I70" i="14"/>
  <c r="G72" i="17" s="1"/>
  <c r="I71" i="14"/>
  <c r="G73" i="17" s="1"/>
  <c r="I72" i="14"/>
  <c r="G74" i="17" s="1"/>
  <c r="I73" i="14"/>
  <c r="G75" i="17" s="1"/>
  <c r="I74" i="14"/>
  <c r="G76" i="17" s="1"/>
  <c r="I75" i="14"/>
  <c r="G77" i="17" s="1"/>
  <c r="I76" i="14"/>
  <c r="G78" i="17" s="1"/>
  <c r="I77" i="14"/>
  <c r="G79" i="17" s="1"/>
  <c r="I78" i="14"/>
  <c r="G80" i="17" s="1"/>
  <c r="I79" i="14"/>
  <c r="G81" i="17" s="1"/>
  <c r="I80" i="14"/>
  <c r="G82" i="17" s="1"/>
  <c r="I81" i="14"/>
  <c r="G83" i="17" s="1"/>
  <c r="I82" i="14"/>
  <c r="G84" i="17" s="1"/>
  <c r="I83" i="14"/>
  <c r="G85" i="17" s="1"/>
  <c r="I84" i="14"/>
  <c r="G86" i="17" s="1"/>
  <c r="I85" i="14"/>
  <c r="G87" i="17" s="1"/>
  <c r="I86" i="14"/>
  <c r="G88" i="17" s="1"/>
  <c r="I87" i="14"/>
  <c r="I88" i="14"/>
  <c r="I89" i="14"/>
  <c r="G91" i="17" s="1"/>
  <c r="I90" i="14"/>
  <c r="G92" i="17" s="1"/>
  <c r="I91" i="14"/>
  <c r="G93" i="17" s="1"/>
  <c r="I92" i="14"/>
  <c r="G94" i="17" s="1"/>
  <c r="I93" i="14"/>
  <c r="G95" i="17" s="1"/>
  <c r="I95" i="14"/>
  <c r="G97" i="17" s="1"/>
  <c r="I97" i="14"/>
  <c r="G99" i="17" s="1"/>
  <c r="I99" i="14"/>
  <c r="G101" i="17" s="1"/>
  <c r="I101" i="14"/>
  <c r="G103" i="17" s="1"/>
  <c r="I103" i="14"/>
  <c r="G105" i="17" s="1"/>
  <c r="I105" i="14"/>
  <c r="G107" i="17" s="1"/>
  <c r="I107" i="14"/>
  <c r="G109" i="17" s="1"/>
  <c r="I109" i="14"/>
  <c r="G111" i="17" s="1"/>
  <c r="I111" i="14"/>
  <c r="G113" i="17" s="1"/>
  <c r="I113" i="14"/>
  <c r="G115" i="17" s="1"/>
  <c r="I115" i="14"/>
  <c r="G117" i="17" s="1"/>
  <c r="I117" i="14"/>
  <c r="G119" i="17" s="1"/>
  <c r="I119" i="14"/>
  <c r="G121" i="17" s="1"/>
  <c r="I121" i="14"/>
  <c r="G123" i="17" s="1"/>
  <c r="I123" i="14"/>
  <c r="G125" i="17" s="1"/>
  <c r="I125" i="14"/>
  <c r="G127" i="17" s="1"/>
  <c r="I169" i="14"/>
  <c r="G171" i="17" s="1"/>
  <c r="I171" i="14"/>
  <c r="G173" i="17" s="1"/>
  <c r="I173" i="14"/>
  <c r="G175" i="17" s="1"/>
  <c r="I175" i="14"/>
  <c r="G177" i="17" s="1"/>
  <c r="I177" i="14"/>
  <c r="G179" i="17" s="1"/>
  <c r="I179" i="14"/>
  <c r="G181" i="17" s="1"/>
  <c r="I181" i="14"/>
  <c r="G183" i="17" s="1"/>
  <c r="I183" i="14"/>
  <c r="G185" i="17" s="1"/>
  <c r="I185" i="14"/>
  <c r="G187" i="17" s="1"/>
  <c r="I187" i="14"/>
  <c r="G189" i="17" s="1"/>
  <c r="I189" i="14"/>
  <c r="G191" i="17" s="1"/>
  <c r="I191" i="14"/>
  <c r="G193" i="17" s="1"/>
  <c r="I193" i="14"/>
  <c r="G195" i="17" s="1"/>
  <c r="I195" i="14"/>
  <c r="G197" i="17" s="1"/>
  <c r="I197" i="14"/>
  <c r="G199" i="17" s="1"/>
  <c r="I199" i="14"/>
  <c r="G201" i="17" s="1"/>
  <c r="I201" i="14"/>
  <c r="G203" i="17" s="1"/>
  <c r="I203" i="14"/>
  <c r="G205" i="17" s="1"/>
  <c r="I204" i="14"/>
  <c r="G206" i="17" s="1"/>
  <c r="I205" i="14"/>
  <c r="G207" i="17" s="1"/>
  <c r="I206" i="14"/>
  <c r="G208" i="17" s="1"/>
  <c r="I207" i="14"/>
  <c r="G209" i="17" s="1"/>
  <c r="I208" i="14"/>
  <c r="G210" i="17" s="1"/>
  <c r="I209" i="14"/>
  <c r="G211" i="17" s="1"/>
  <c r="I210" i="14"/>
  <c r="G212" i="17" s="1"/>
  <c r="I211" i="14"/>
  <c r="G213" i="17" s="1"/>
  <c r="I212" i="14"/>
  <c r="G214" i="17" s="1"/>
  <c r="I213" i="14"/>
  <c r="G215" i="17" s="1"/>
  <c r="I214" i="14"/>
  <c r="G216" i="17" s="1"/>
  <c r="I215" i="14"/>
  <c r="G217" i="17" s="1"/>
  <c r="I216" i="14"/>
  <c r="G218" i="17" s="1"/>
  <c r="I217" i="14"/>
  <c r="G219" i="17" s="1"/>
  <c r="I218" i="14"/>
  <c r="G220" i="17" s="1"/>
  <c r="I219" i="14"/>
  <c r="G221" i="17" s="1"/>
  <c r="I220" i="14"/>
  <c r="I221" i="14"/>
  <c r="G223" i="17" s="1"/>
  <c r="I222" i="14"/>
  <c r="G224" i="17" s="1"/>
  <c r="I223" i="14"/>
  <c r="G225" i="17" s="1"/>
  <c r="I224" i="14"/>
  <c r="G226" i="17" s="1"/>
  <c r="I225" i="14"/>
  <c r="G227" i="17" s="1"/>
  <c r="I226" i="14"/>
  <c r="G228" i="17" s="1"/>
  <c r="I227" i="14"/>
  <c r="G229" i="17" s="1"/>
  <c r="I228" i="14"/>
  <c r="G230" i="17" s="1"/>
  <c r="I229" i="14"/>
  <c r="G231" i="17" s="1"/>
  <c r="I230" i="14"/>
  <c r="G232" i="17" s="1"/>
  <c r="I231" i="14"/>
  <c r="G233" i="17" s="1"/>
  <c r="I232" i="14"/>
  <c r="G234" i="17" s="1"/>
  <c r="I233" i="14"/>
  <c r="G235" i="17" s="1"/>
  <c r="I234" i="14"/>
  <c r="G236" i="17" s="1"/>
  <c r="I235" i="14"/>
  <c r="G237" i="17" s="1"/>
  <c r="I236" i="14"/>
  <c r="G238" i="17" s="1"/>
  <c r="I237" i="14"/>
  <c r="G239" i="17" s="1"/>
  <c r="I238" i="14"/>
  <c r="G240" i="17" s="1"/>
  <c r="I239" i="14"/>
  <c r="G241" i="17" s="1"/>
  <c r="I240" i="14"/>
  <c r="G242" i="17" s="1"/>
  <c r="I241" i="14"/>
  <c r="G243" i="17" s="1"/>
  <c r="I242" i="14"/>
  <c r="G244" i="17" s="1"/>
  <c r="I243" i="14"/>
  <c r="G245" i="17" s="1"/>
  <c r="I244" i="14"/>
  <c r="G246" i="17" s="1"/>
  <c r="I245" i="14"/>
  <c r="G247" i="17" s="1"/>
  <c r="I246" i="14"/>
  <c r="G248" i="17" s="1"/>
  <c r="I247" i="14"/>
  <c r="G249" i="17" s="1"/>
  <c r="I248" i="14"/>
  <c r="G250" i="17" s="1"/>
  <c r="I249" i="14"/>
  <c r="G251" i="17" s="1"/>
  <c r="I250" i="14"/>
  <c r="I251" i="14"/>
  <c r="G253" i="17" s="1"/>
  <c r="I252" i="14"/>
  <c r="G254" i="17" s="1"/>
  <c r="I253" i="14"/>
  <c r="G255" i="17" s="1"/>
  <c r="I254" i="14"/>
  <c r="G256" i="17" s="1"/>
  <c r="I255" i="14"/>
  <c r="G257" i="17" s="1"/>
  <c r="I256" i="14"/>
  <c r="G258" i="17" s="1"/>
  <c r="I257" i="14"/>
  <c r="G259" i="17" s="1"/>
  <c r="I258" i="14"/>
  <c r="G260" i="17" s="1"/>
  <c r="I259" i="14"/>
  <c r="G261" i="17" s="1"/>
  <c r="I260" i="14"/>
  <c r="G262" i="17" s="1"/>
  <c r="I261" i="14"/>
  <c r="G263" i="17" s="1"/>
  <c r="I262" i="14"/>
  <c r="G264" i="17" s="1"/>
  <c r="I263" i="14"/>
  <c r="G265" i="17" s="1"/>
  <c r="I264" i="14"/>
  <c r="G266" i="17" s="1"/>
  <c r="I265" i="14"/>
  <c r="G267" i="17" s="1"/>
  <c r="I266" i="14"/>
  <c r="G268" i="17" s="1"/>
  <c r="I267" i="14"/>
  <c r="G269" i="17" s="1"/>
  <c r="I268" i="14"/>
  <c r="G270" i="17" s="1"/>
  <c r="I269" i="14"/>
  <c r="G271" i="17" s="1"/>
  <c r="I270" i="14"/>
  <c r="G272" i="17" s="1"/>
  <c r="I271" i="14"/>
  <c r="G273" i="17" s="1"/>
  <c r="I272" i="14"/>
  <c r="G274" i="17" s="1"/>
  <c r="I273" i="14"/>
  <c r="G275" i="17" s="1"/>
  <c r="I274" i="14"/>
  <c r="G276" i="17" s="1"/>
  <c r="I275" i="14"/>
  <c r="G277" i="17" s="1"/>
  <c r="I276" i="14"/>
  <c r="G278" i="17" s="1"/>
  <c r="I277" i="14"/>
  <c r="G279" i="17" s="1"/>
  <c r="I278" i="14"/>
  <c r="G280" i="17" s="1"/>
  <c r="I279" i="14"/>
  <c r="G281" i="17" s="1"/>
  <c r="I280" i="14"/>
  <c r="G282" i="17" s="1"/>
  <c r="I281" i="14"/>
  <c r="G283" i="17" s="1"/>
  <c r="I282" i="14"/>
  <c r="G284" i="17" s="1"/>
  <c r="I283" i="14"/>
  <c r="G285" i="17" s="1"/>
  <c r="I284" i="14"/>
  <c r="G286" i="17" s="1"/>
  <c r="I285" i="14"/>
  <c r="G287" i="17" s="1"/>
  <c r="I286" i="14"/>
  <c r="G288" i="17" s="1"/>
  <c r="I287" i="14"/>
  <c r="G289" i="17" s="1"/>
  <c r="I288" i="14"/>
  <c r="G290" i="17" s="1"/>
  <c r="I289" i="14"/>
  <c r="G291" i="17" s="1"/>
  <c r="I290" i="14"/>
  <c r="I291" i="14"/>
  <c r="G293" i="17" s="1"/>
  <c r="I292" i="14"/>
  <c r="G294" i="17" s="1"/>
  <c r="I2" i="14"/>
  <c r="G4" i="17" s="1"/>
  <c r="G3" i="14"/>
  <c r="G4" i="14"/>
  <c r="G5" i="14"/>
  <c r="B7" i="17" s="1"/>
  <c r="G6" i="14"/>
  <c r="B8" i="17" s="1"/>
  <c r="G7" i="14"/>
  <c r="B9" i="17" s="1"/>
  <c r="G8" i="14"/>
  <c r="B10" i="17" s="1"/>
  <c r="G9" i="14"/>
  <c r="B11" i="17" s="1"/>
  <c r="G10" i="14"/>
  <c r="B12" i="17" s="1"/>
  <c r="G11" i="14"/>
  <c r="B13" i="17" s="1"/>
  <c r="G12" i="14"/>
  <c r="B14" i="17" s="1"/>
  <c r="G13" i="14"/>
  <c r="B15" i="17" s="1"/>
  <c r="G14" i="14"/>
  <c r="B16" i="17" s="1"/>
  <c r="G15" i="14"/>
  <c r="B17" i="17" s="1"/>
  <c r="G16" i="14"/>
  <c r="B18" i="17" s="1"/>
  <c r="G17" i="14"/>
  <c r="B19" i="17" s="1"/>
  <c r="G18" i="14"/>
  <c r="B20" i="17" s="1"/>
  <c r="G19" i="14"/>
  <c r="B21" i="17" s="1"/>
  <c r="G20" i="14"/>
  <c r="B22" i="17" s="1"/>
  <c r="G21" i="14"/>
  <c r="B23" i="17" s="1"/>
  <c r="G22" i="14"/>
  <c r="B24" i="17" s="1"/>
  <c r="G23" i="14"/>
  <c r="B25" i="17" s="1"/>
  <c r="G24" i="14"/>
  <c r="B26" i="17" s="1"/>
  <c r="G25" i="14"/>
  <c r="B27" i="17" s="1"/>
  <c r="G26" i="14"/>
  <c r="B28" i="17" s="1"/>
  <c r="G27" i="14"/>
  <c r="B29" i="17" s="1"/>
  <c r="G28" i="14"/>
  <c r="B30" i="17" s="1"/>
  <c r="G29" i="14"/>
  <c r="B31" i="17" s="1"/>
  <c r="G30" i="14"/>
  <c r="B32" i="17" s="1"/>
  <c r="G31" i="14"/>
  <c r="B33" i="17" s="1"/>
  <c r="G32" i="14"/>
  <c r="B34" i="17" s="1"/>
  <c r="G33" i="14"/>
  <c r="B35" i="17" s="1"/>
  <c r="G34" i="14"/>
  <c r="B36" i="17" s="1"/>
  <c r="G35" i="14"/>
  <c r="B37" i="17" s="1"/>
  <c r="G36" i="14"/>
  <c r="B38" i="17" s="1"/>
  <c r="G37" i="14"/>
  <c r="B39" i="17" s="1"/>
  <c r="G38" i="14"/>
  <c r="B40" i="17" s="1"/>
  <c r="G39" i="14"/>
  <c r="B41" i="17" s="1"/>
  <c r="G40" i="14"/>
  <c r="B42" i="17" s="1"/>
  <c r="G41" i="14"/>
  <c r="B43" i="17" s="1"/>
  <c r="G42" i="14"/>
  <c r="B44" i="17" s="1"/>
  <c r="G43" i="14"/>
  <c r="B45" i="17" s="1"/>
  <c r="G44" i="14"/>
  <c r="B46" i="17" s="1"/>
  <c r="G45" i="14"/>
  <c r="B47" i="17" s="1"/>
  <c r="G46" i="14"/>
  <c r="B48" i="17" s="1"/>
  <c r="G47" i="14"/>
  <c r="B49" i="17" s="1"/>
  <c r="G48" i="14"/>
  <c r="B50" i="17" s="1"/>
  <c r="G49" i="14"/>
  <c r="B51" i="17" s="1"/>
  <c r="G50" i="14"/>
  <c r="B52" i="17" s="1"/>
  <c r="G51" i="14"/>
  <c r="B53" i="17" s="1"/>
  <c r="G52" i="14"/>
  <c r="G53" i="14"/>
  <c r="G54" i="14"/>
  <c r="G55" i="14"/>
  <c r="B57" i="17" s="1"/>
  <c r="G56" i="14"/>
  <c r="B58" i="17" s="1"/>
  <c r="G57" i="14"/>
  <c r="B59" i="17" s="1"/>
  <c r="G58" i="14"/>
  <c r="B60" i="17" s="1"/>
  <c r="G59" i="14"/>
  <c r="B61" i="17" s="1"/>
  <c r="G60" i="14"/>
  <c r="B62" i="17" s="1"/>
  <c r="G61" i="14"/>
  <c r="B63" i="17" s="1"/>
  <c r="G62" i="14"/>
  <c r="B64" i="17" s="1"/>
  <c r="G63" i="14"/>
  <c r="B65" i="17" s="1"/>
  <c r="G64" i="14"/>
  <c r="B66" i="17" s="1"/>
  <c r="G65" i="14"/>
  <c r="B67" i="17" s="1"/>
  <c r="G66" i="14"/>
  <c r="B68" i="17" s="1"/>
  <c r="G67" i="14"/>
  <c r="B69" i="17" s="1"/>
  <c r="G68" i="14"/>
  <c r="B70" i="17" s="1"/>
  <c r="G69" i="14"/>
  <c r="B71" i="17" s="1"/>
  <c r="G70" i="14"/>
  <c r="B72" i="17" s="1"/>
  <c r="G71" i="14"/>
  <c r="B73" i="17" s="1"/>
  <c r="G72" i="14"/>
  <c r="B74" i="17" s="1"/>
  <c r="G73" i="14"/>
  <c r="B75" i="17" s="1"/>
  <c r="G74" i="14"/>
  <c r="B76" i="17" s="1"/>
  <c r="G75" i="14"/>
  <c r="B77" i="17" s="1"/>
  <c r="G76" i="14"/>
  <c r="B78" i="17" s="1"/>
  <c r="G77" i="14"/>
  <c r="B79" i="17" s="1"/>
  <c r="G78" i="14"/>
  <c r="B80" i="17" s="1"/>
  <c r="G79" i="14"/>
  <c r="B81" i="17" s="1"/>
  <c r="G80" i="14"/>
  <c r="B82" i="17" s="1"/>
  <c r="G81" i="14"/>
  <c r="B83" i="17" s="1"/>
  <c r="G82" i="14"/>
  <c r="B84" i="17" s="1"/>
  <c r="G83" i="14"/>
  <c r="B85" i="17" s="1"/>
  <c r="G84" i="14"/>
  <c r="B86" i="17" s="1"/>
  <c r="G85" i="14"/>
  <c r="B87" i="17" s="1"/>
  <c r="G86" i="14"/>
  <c r="B88" i="17" s="1"/>
  <c r="G87" i="14"/>
  <c r="B89" i="17" s="1"/>
  <c r="G88" i="14"/>
  <c r="B90" i="17" s="1"/>
  <c r="G89" i="14"/>
  <c r="B91" i="17" s="1"/>
  <c r="G90" i="14"/>
  <c r="B92" i="17" s="1"/>
  <c r="G91" i="14"/>
  <c r="B93" i="17" s="1"/>
  <c r="G92" i="14"/>
  <c r="B94" i="17" s="1"/>
  <c r="G93" i="14"/>
  <c r="B95" i="17" s="1"/>
  <c r="G95" i="14"/>
  <c r="B97" i="17" s="1"/>
  <c r="G97" i="14"/>
  <c r="B99" i="17" s="1"/>
  <c r="G99" i="14"/>
  <c r="B101" i="17" s="1"/>
  <c r="G101" i="14"/>
  <c r="B103" i="17" s="1"/>
  <c r="G103" i="14"/>
  <c r="B105" i="17" s="1"/>
  <c r="G105" i="14"/>
  <c r="B107" i="17" s="1"/>
  <c r="G107" i="14"/>
  <c r="B109" i="17" s="1"/>
  <c r="G109" i="14"/>
  <c r="B111" i="17" s="1"/>
  <c r="G111" i="14"/>
  <c r="B113" i="17" s="1"/>
  <c r="G113" i="14"/>
  <c r="B115" i="17" s="1"/>
  <c r="G115" i="14"/>
  <c r="B117" i="17" s="1"/>
  <c r="G117" i="14"/>
  <c r="B119" i="17" s="1"/>
  <c r="G119" i="14"/>
  <c r="B121" i="17" s="1"/>
  <c r="G121" i="14"/>
  <c r="B123" i="17" s="1"/>
  <c r="G123" i="14"/>
  <c r="B125" i="17" s="1"/>
  <c r="G125" i="14"/>
  <c r="B127" i="17" s="1"/>
  <c r="G169" i="14"/>
  <c r="B171" i="17" s="1"/>
  <c r="G171" i="14"/>
  <c r="B173" i="17" s="1"/>
  <c r="G173" i="14"/>
  <c r="B175" i="17" s="1"/>
  <c r="G175" i="14"/>
  <c r="B177" i="17" s="1"/>
  <c r="G177" i="14"/>
  <c r="B179" i="17" s="1"/>
  <c r="G179" i="14"/>
  <c r="B181" i="17" s="1"/>
  <c r="G181" i="14"/>
  <c r="B183" i="17" s="1"/>
  <c r="G183" i="14"/>
  <c r="B185" i="17" s="1"/>
  <c r="G185" i="14"/>
  <c r="B187" i="17" s="1"/>
  <c r="G187" i="14"/>
  <c r="B189" i="17" s="1"/>
  <c r="G189" i="14"/>
  <c r="B191" i="17" s="1"/>
  <c r="G191" i="14"/>
  <c r="B193" i="17" s="1"/>
  <c r="G193" i="14"/>
  <c r="B195" i="17" s="1"/>
  <c r="G195" i="14"/>
  <c r="B197" i="17" s="1"/>
  <c r="G197" i="14"/>
  <c r="G199" i="14"/>
  <c r="G201" i="14"/>
  <c r="B203" i="17" s="1"/>
  <c r="G203" i="14"/>
  <c r="B205" i="17" s="1"/>
  <c r="G204" i="14"/>
  <c r="B206" i="17" s="1"/>
  <c r="G205" i="14"/>
  <c r="B207" i="17" s="1"/>
  <c r="G206" i="14"/>
  <c r="B208" i="17" s="1"/>
  <c r="G207" i="14"/>
  <c r="B209" i="17" s="1"/>
  <c r="G208" i="14"/>
  <c r="B210" i="17" s="1"/>
  <c r="G209" i="14"/>
  <c r="B211" i="17" s="1"/>
  <c r="G210" i="14"/>
  <c r="B212" i="17" s="1"/>
  <c r="G211" i="14"/>
  <c r="B213" i="17" s="1"/>
  <c r="G212" i="14"/>
  <c r="B214" i="17" s="1"/>
  <c r="G213" i="14"/>
  <c r="B215" i="17" s="1"/>
  <c r="G214" i="14"/>
  <c r="B216" i="17" s="1"/>
  <c r="G215" i="14"/>
  <c r="B217" i="17" s="1"/>
  <c r="G216" i="14"/>
  <c r="B218" i="17" s="1"/>
  <c r="G217" i="14"/>
  <c r="B219" i="17" s="1"/>
  <c r="G218" i="14"/>
  <c r="B220" i="17" s="1"/>
  <c r="G219" i="14"/>
  <c r="B221" i="17" s="1"/>
  <c r="G220" i="14"/>
  <c r="B222" i="17" s="1"/>
  <c r="G221" i="14"/>
  <c r="B223" i="17" s="1"/>
  <c r="G222" i="14"/>
  <c r="B224" i="17" s="1"/>
  <c r="G223" i="14"/>
  <c r="B225" i="17" s="1"/>
  <c r="G224" i="14"/>
  <c r="B226" i="17" s="1"/>
  <c r="G225" i="14"/>
  <c r="B227" i="17" s="1"/>
  <c r="G226" i="14"/>
  <c r="B228" i="17" s="1"/>
  <c r="G227" i="14"/>
  <c r="B229" i="17" s="1"/>
  <c r="G228" i="14"/>
  <c r="B230" i="17" s="1"/>
  <c r="G229" i="14"/>
  <c r="G230" i="14"/>
  <c r="G231" i="14"/>
  <c r="G232" i="14"/>
  <c r="B234" i="17" s="1"/>
  <c r="G233" i="14"/>
  <c r="B235" i="17" s="1"/>
  <c r="G234" i="14"/>
  <c r="B236" i="17" s="1"/>
  <c r="G235" i="14"/>
  <c r="B237" i="17" s="1"/>
  <c r="G236" i="14"/>
  <c r="B238" i="17" s="1"/>
  <c r="G237" i="14"/>
  <c r="B239" i="17" s="1"/>
  <c r="G238" i="14"/>
  <c r="B240" i="17" s="1"/>
  <c r="G239" i="14"/>
  <c r="B241" i="17" s="1"/>
  <c r="G240" i="14"/>
  <c r="B242" i="17" s="1"/>
  <c r="G241" i="14"/>
  <c r="B243" i="17" s="1"/>
  <c r="G242" i="14"/>
  <c r="B244" i="17" s="1"/>
  <c r="G243" i="14"/>
  <c r="B245" i="17" s="1"/>
  <c r="G244" i="14"/>
  <c r="B246" i="17" s="1"/>
  <c r="G245" i="14"/>
  <c r="B247" i="17" s="1"/>
  <c r="G246" i="14"/>
  <c r="B248" i="17" s="1"/>
  <c r="G247" i="14"/>
  <c r="B249" i="17" s="1"/>
  <c r="G248" i="14"/>
  <c r="B250" i="17" s="1"/>
  <c r="G249" i="14"/>
  <c r="B251" i="17" s="1"/>
  <c r="G250" i="14"/>
  <c r="G251" i="14"/>
  <c r="G252" i="14"/>
  <c r="G253" i="14"/>
  <c r="B255" i="17" s="1"/>
  <c r="G254" i="14"/>
  <c r="B256" i="17" s="1"/>
  <c r="G255" i="14"/>
  <c r="B257" i="17" s="1"/>
  <c r="G256" i="14"/>
  <c r="B258" i="17" s="1"/>
  <c r="G257" i="14"/>
  <c r="B259" i="17" s="1"/>
  <c r="G258" i="14"/>
  <c r="B260" i="17" s="1"/>
  <c r="G259" i="14"/>
  <c r="B261" i="17" s="1"/>
  <c r="G260" i="14"/>
  <c r="G261" i="14"/>
  <c r="B263" i="17" s="1"/>
  <c r="G262" i="14"/>
  <c r="B264" i="17" s="1"/>
  <c r="G263" i="14"/>
  <c r="B265" i="17" s="1"/>
  <c r="G264" i="14"/>
  <c r="B266" i="17" s="1"/>
  <c r="G265" i="14"/>
  <c r="B267" i="17" s="1"/>
  <c r="G266" i="14"/>
  <c r="B268" i="17" s="1"/>
  <c r="G267" i="14"/>
  <c r="B269" i="17" s="1"/>
  <c r="G268" i="14"/>
  <c r="B270" i="17" s="1"/>
  <c r="G269" i="14"/>
  <c r="B271" i="17" s="1"/>
  <c r="G270" i="14"/>
  <c r="B272" i="17" s="1"/>
  <c r="G271" i="14"/>
  <c r="B273" i="17" s="1"/>
  <c r="G272" i="14"/>
  <c r="B274" i="17" s="1"/>
  <c r="G273" i="14"/>
  <c r="B275" i="17" s="1"/>
  <c r="G274" i="14"/>
  <c r="B276" i="17" s="1"/>
  <c r="G275" i="14"/>
  <c r="B277" i="17" s="1"/>
  <c r="G276" i="14"/>
  <c r="B278" i="17" s="1"/>
  <c r="G277" i="14"/>
  <c r="B279" i="17" s="1"/>
  <c r="G278" i="14"/>
  <c r="B280" i="17" s="1"/>
  <c r="G279" i="14"/>
  <c r="B281" i="17" s="1"/>
  <c r="G280" i="14"/>
  <c r="B282" i="17" s="1"/>
  <c r="G281" i="14"/>
  <c r="B283" i="17" s="1"/>
  <c r="G282" i="14"/>
  <c r="B284" i="17" s="1"/>
  <c r="G283" i="14"/>
  <c r="B285" i="17" s="1"/>
  <c r="G284" i="14"/>
  <c r="B286" i="17" s="1"/>
  <c r="G285" i="14"/>
  <c r="B287" i="17" s="1"/>
  <c r="G286" i="14"/>
  <c r="B288" i="17" s="1"/>
  <c r="G287" i="14"/>
  <c r="B289" i="17" s="1"/>
  <c r="G288" i="14"/>
  <c r="G289" i="14"/>
  <c r="G290" i="14"/>
  <c r="B292" i="17" s="1"/>
  <c r="G291" i="14"/>
  <c r="B293" i="17" s="1"/>
  <c r="G292" i="14"/>
  <c r="B294" i="17" s="1"/>
  <c r="G2" i="14"/>
  <c r="B4" i="17" s="1"/>
  <c r="O13" i="1" a="1"/>
  <c r="O13" i="1" s="1"/>
  <c r="K3" i="17"/>
  <c r="K2" i="17"/>
  <c r="R134" i="20" l="1"/>
  <c r="S167" i="20"/>
  <c r="S139" i="20"/>
  <c r="R199" i="20"/>
  <c r="R159" i="20"/>
  <c r="S183" i="20"/>
  <c r="R142" i="20"/>
  <c r="R153" i="20"/>
  <c r="S155" i="20"/>
  <c r="S161" i="20"/>
  <c r="R162" i="20"/>
  <c r="R146" i="20"/>
  <c r="R175" i="20"/>
  <c r="S168" i="20"/>
  <c r="R155" i="20"/>
  <c r="R125" i="20"/>
  <c r="R136" i="20"/>
  <c r="S169" i="20"/>
  <c r="R156" i="20"/>
  <c r="S151" i="20"/>
  <c r="S143" i="20"/>
  <c r="S111" i="20"/>
  <c r="R154" i="20"/>
  <c r="S179" i="20"/>
  <c r="S164" i="20"/>
  <c r="R141" i="20"/>
  <c r="R117" i="20"/>
  <c r="R119" i="20"/>
  <c r="S107" i="20"/>
  <c r="O173" i="20"/>
  <c r="O183" i="20"/>
  <c r="S199" i="20"/>
  <c r="S201" i="20"/>
  <c r="R193" i="20"/>
  <c r="S191" i="20"/>
  <c r="S185" i="20"/>
  <c r="R99" i="20"/>
  <c r="R195" i="20"/>
  <c r="O152" i="20"/>
  <c r="S150" i="20"/>
  <c r="S152" i="20"/>
  <c r="S165" i="20"/>
  <c r="S163" i="20"/>
  <c r="R137" i="20"/>
  <c r="S138" i="20"/>
  <c r="R133" i="20"/>
  <c r="S113" i="20"/>
  <c r="O156" i="20"/>
  <c r="R149" i="20"/>
  <c r="S140" i="20"/>
  <c r="S133" i="20"/>
  <c r="S157" i="20"/>
  <c r="S145" i="20"/>
  <c r="P145" i="20"/>
  <c r="R123" i="20"/>
  <c r="R203" i="20"/>
  <c r="S203" i="20"/>
  <c r="R168" i="20"/>
  <c r="R166" i="20"/>
  <c r="S166" i="20"/>
  <c r="R164" i="20"/>
  <c r="O201" i="20"/>
  <c r="S162" i="20"/>
  <c r="R197" i="20"/>
  <c r="S197" i="20"/>
  <c r="R132" i="20"/>
  <c r="S132" i="20"/>
  <c r="R177" i="20"/>
  <c r="S125" i="20"/>
  <c r="S147" i="20"/>
  <c r="R189" i="20"/>
  <c r="R163" i="20"/>
  <c r="R183" i="20"/>
  <c r="R185" i="20"/>
  <c r="R150" i="20"/>
  <c r="S127" i="20"/>
  <c r="S177" i="20"/>
  <c r="R152" i="20"/>
  <c r="S119" i="20"/>
  <c r="S175" i="20"/>
  <c r="S146" i="20"/>
  <c r="R143" i="20"/>
  <c r="S129" i="20"/>
  <c r="S160" i="20"/>
  <c r="S142" i="20"/>
  <c r="S189" i="20"/>
  <c r="R151" i="20"/>
  <c r="R160" i="20"/>
  <c r="R144" i="20"/>
  <c r="R158" i="20"/>
  <c r="R127" i="20"/>
  <c r="R161" i="20"/>
  <c r="S158" i="20"/>
  <c r="R191" i="20"/>
  <c r="R171" i="20"/>
  <c r="S144" i="20"/>
  <c r="R147" i="20"/>
  <c r="R129" i="20"/>
  <c r="R145" i="20"/>
  <c r="R157" i="20"/>
  <c r="R139" i="20"/>
  <c r="S121" i="20"/>
  <c r="S171" i="20"/>
  <c r="S141" i="20"/>
  <c r="R103" i="20"/>
  <c r="R101" i="20"/>
  <c r="S187" i="20"/>
  <c r="S109" i="20"/>
  <c r="R138" i="20"/>
  <c r="R113" i="20"/>
  <c r="S137" i="20"/>
  <c r="R115" i="20"/>
  <c r="O151" i="20"/>
  <c r="R105" i="20"/>
  <c r="R111" i="20"/>
  <c r="S105" i="20"/>
  <c r="S117" i="20"/>
  <c r="S149" i="20"/>
  <c r="R131" i="20"/>
  <c r="O191" i="20"/>
  <c r="S135" i="20"/>
  <c r="S134" i="20"/>
  <c r="S101" i="20"/>
  <c r="R135" i="20"/>
  <c r="S103" i="20"/>
  <c r="R109" i="20"/>
  <c r="S115" i="20"/>
  <c r="R107" i="20"/>
  <c r="R181" i="20"/>
  <c r="R148" i="20"/>
  <c r="O103" i="20"/>
  <c r="P168" i="20"/>
  <c r="P201" i="20"/>
  <c r="P193" i="20"/>
  <c r="P101" i="20"/>
  <c r="P151" i="20"/>
  <c r="P187" i="20"/>
  <c r="O163" i="20"/>
  <c r="O136" i="20"/>
  <c r="P150" i="20"/>
  <c r="O203" i="20"/>
  <c r="P203" i="20"/>
  <c r="O155" i="20"/>
  <c r="O161" i="20"/>
  <c r="O129" i="20"/>
  <c r="P165" i="20"/>
  <c r="P189" i="20"/>
  <c r="O143" i="20"/>
  <c r="P167" i="20"/>
  <c r="P156" i="20"/>
  <c r="O101" i="20"/>
  <c r="P191" i="20"/>
  <c r="P147" i="20"/>
  <c r="P117" i="20"/>
  <c r="P105" i="20"/>
  <c r="P199" i="20"/>
  <c r="P166" i="20"/>
  <c r="O115" i="20"/>
  <c r="O166" i="20"/>
  <c r="P160" i="20"/>
  <c r="O133" i="20"/>
  <c r="P109" i="20"/>
  <c r="P129" i="20"/>
  <c r="O175" i="20"/>
  <c r="O171" i="20"/>
  <c r="P162" i="20"/>
  <c r="P164" i="20"/>
  <c r="O162" i="20"/>
  <c r="O135" i="20"/>
  <c r="O144" i="20"/>
  <c r="O169" i="20"/>
  <c r="O111" i="20"/>
  <c r="O195" i="20"/>
  <c r="P148" i="20"/>
  <c r="O109" i="20"/>
  <c r="P136" i="20"/>
  <c r="P171" i="20"/>
  <c r="P157" i="20"/>
  <c r="O123" i="20"/>
  <c r="O125" i="20"/>
  <c r="O165" i="20"/>
  <c r="P137" i="20"/>
  <c r="O147" i="20"/>
  <c r="O113" i="20"/>
  <c r="O140" i="20"/>
  <c r="P125" i="20"/>
  <c r="O153" i="20"/>
  <c r="O146" i="20"/>
  <c r="P134" i="20"/>
  <c r="P146" i="20"/>
  <c r="O160" i="20"/>
  <c r="P169" i="20"/>
  <c r="P121" i="20"/>
  <c r="P131" i="20"/>
  <c r="P107" i="20"/>
  <c r="P141" i="20"/>
  <c r="P158" i="20"/>
  <c r="O121" i="20"/>
  <c r="O142" i="20"/>
  <c r="O179" i="20"/>
  <c r="P149" i="20"/>
  <c r="P144" i="20"/>
  <c r="O145" i="20"/>
  <c r="O167" i="20"/>
  <c r="O134" i="20"/>
  <c r="P143" i="20"/>
  <c r="P173" i="20"/>
  <c r="O197" i="20"/>
  <c r="P155" i="20"/>
  <c r="O119" i="20"/>
  <c r="P163" i="20"/>
  <c r="O164" i="20"/>
  <c r="P175" i="20"/>
  <c r="O185" i="20"/>
  <c r="O138" i="20"/>
  <c r="P103" i="20"/>
  <c r="P133" i="20"/>
  <c r="O99" i="20"/>
  <c r="P153" i="20"/>
  <c r="O193" i="20"/>
  <c r="O158" i="20"/>
  <c r="O132" i="20"/>
  <c r="P183" i="20"/>
  <c r="O148" i="20"/>
  <c r="O177" i="20"/>
  <c r="P197" i="20"/>
  <c r="P177" i="20"/>
  <c r="P138" i="20"/>
  <c r="P115" i="20"/>
  <c r="P113" i="20"/>
  <c r="P123" i="20"/>
  <c r="P185" i="20"/>
  <c r="P195" i="20"/>
  <c r="P142" i="20"/>
  <c r="P119" i="20"/>
  <c r="P139" i="20"/>
  <c r="O168" i="20"/>
  <c r="O199" i="20"/>
  <c r="O154" i="20"/>
  <c r="P135" i="20"/>
  <c r="P154" i="20"/>
  <c r="O187" i="20"/>
  <c r="P127" i="20"/>
  <c r="P159" i="20"/>
  <c r="O131" i="20"/>
  <c r="O105" i="20"/>
  <c r="O141" i="20"/>
  <c r="P179" i="20"/>
  <c r="O117" i="20"/>
  <c r="O181" i="20"/>
  <c r="O137" i="20"/>
  <c r="O127" i="20"/>
  <c r="O139" i="20"/>
  <c r="O157" i="20"/>
  <c r="O107" i="20"/>
  <c r="P99" i="20"/>
  <c r="O149" i="20"/>
  <c r="O159" i="20"/>
  <c r="O150" i="20"/>
  <c r="P152" i="20"/>
  <c r="P140" i="20"/>
  <c r="Q105" i="22"/>
  <c r="P105" i="22" s="1"/>
  <c r="Q90" i="22"/>
  <c r="P90" i="22" s="1"/>
  <c r="Q104" i="22"/>
  <c r="P104" i="22" s="1"/>
  <c r="Q91" i="22"/>
  <c r="Q100" i="22"/>
  <c r="Q95" i="22"/>
  <c r="Q93" i="22"/>
  <c r="Q97" i="22"/>
  <c r="Q101" i="22"/>
  <c r="Q89" i="22"/>
  <c r="Q102" i="22"/>
  <c r="Q106" i="22"/>
  <c r="Q96" i="22"/>
  <c r="Q94" i="22"/>
  <c r="Q88" i="22"/>
  <c r="Q99" i="22"/>
  <c r="Q98" i="22"/>
  <c r="Q103" i="22"/>
  <c r="Q92" i="22"/>
  <c r="J3" i="22"/>
  <c r="J3" i="21"/>
  <c r="Q13" i="21"/>
  <c r="P13" i="21" s="1"/>
  <c r="Q18" i="21"/>
  <c r="P18" i="21" s="1"/>
  <c r="D282" i="17"/>
  <c r="D29" i="17"/>
  <c r="K27" i="18" s="1"/>
  <c r="D232" i="17"/>
  <c r="K230" i="18" s="1"/>
  <c r="D241" i="17"/>
  <c r="K239" i="18" s="1"/>
  <c r="D201" i="17"/>
  <c r="I199" i="18" s="1"/>
  <c r="I230" i="18"/>
  <c r="D269" i="17"/>
  <c r="K267" i="18" s="1"/>
  <c r="D89" i="17"/>
  <c r="K87" i="18" s="1"/>
  <c r="D121" i="17"/>
  <c r="K119" i="18" s="1"/>
  <c r="D80" i="17"/>
  <c r="K78" i="18" s="1"/>
  <c r="D20" i="17"/>
  <c r="F4" i="17"/>
  <c r="J2" i="18" s="1"/>
  <c r="D260" i="17"/>
  <c r="K258" i="18" s="1"/>
  <c r="D37" i="17"/>
  <c r="K35" i="18" s="1"/>
  <c r="I258" i="18"/>
  <c r="D44" i="17"/>
  <c r="I27" i="18"/>
  <c r="D261" i="17"/>
  <c r="I280" i="18"/>
  <c r="K280" i="18"/>
  <c r="D22" i="17"/>
  <c r="F287" i="17"/>
  <c r="F267" i="17"/>
  <c r="D237" i="17"/>
  <c r="D217" i="17"/>
  <c r="D284" i="17"/>
  <c r="F219" i="17"/>
  <c r="D19" i="17"/>
  <c r="F13" i="17"/>
  <c r="D264" i="17"/>
  <c r="F47" i="17"/>
  <c r="D102" i="18"/>
  <c r="F99" i="17"/>
  <c r="F127" i="17"/>
  <c r="C190" i="18"/>
  <c r="D100" i="18"/>
  <c r="C178" i="18"/>
  <c r="D127" i="18"/>
  <c r="C202" i="18"/>
  <c r="D118" i="18"/>
  <c r="D98" i="18"/>
  <c r="C198" i="18"/>
  <c r="C192" i="18"/>
  <c r="C196" i="18"/>
  <c r="D124" i="18"/>
  <c r="D96" i="18"/>
  <c r="C194" i="18"/>
  <c r="D94" i="18"/>
  <c r="C188" i="18"/>
  <c r="C186" i="18"/>
  <c r="D108" i="18"/>
  <c r="C184" i="18"/>
  <c r="D104" i="18"/>
  <c r="C182" i="18"/>
  <c r="D134" i="18"/>
  <c r="D114" i="18"/>
  <c r="C200" i="18"/>
  <c r="D122" i="18"/>
  <c r="D186" i="18"/>
  <c r="D188" i="18"/>
  <c r="D137" i="18"/>
  <c r="D136" i="18"/>
  <c r="D142" i="18"/>
  <c r="D106" i="18"/>
  <c r="D176" i="18"/>
  <c r="D174" i="18"/>
  <c r="D194" i="18"/>
  <c r="D172" i="18"/>
  <c r="D196" i="18"/>
  <c r="D192" i="18"/>
  <c r="D112" i="18"/>
  <c r="D110" i="18"/>
  <c r="D184" i="18"/>
  <c r="D133" i="18"/>
  <c r="D190" i="18"/>
  <c r="D139" i="18"/>
  <c r="D132" i="18"/>
  <c r="D202" i="18"/>
  <c r="D182" i="18"/>
  <c r="D131" i="18"/>
  <c r="D128" i="18"/>
  <c r="D200" i="18"/>
  <c r="D180" i="18"/>
  <c r="D126" i="18"/>
  <c r="D198" i="18"/>
  <c r="D178" i="18"/>
  <c r="D140" i="18"/>
  <c r="D120" i="18"/>
  <c r="D116" i="18"/>
  <c r="D138" i="18"/>
  <c r="D135" i="18"/>
  <c r="D130" i="18"/>
  <c r="D129" i="18"/>
  <c r="D141" i="18"/>
  <c r="D145" i="18"/>
  <c r="D167" i="18"/>
  <c r="D151" i="18"/>
  <c r="D156" i="18"/>
  <c r="D146" i="18"/>
  <c r="D161" i="18"/>
  <c r="D160" i="18"/>
  <c r="D159" i="18"/>
  <c r="D153" i="18"/>
  <c r="D162" i="18"/>
  <c r="D152" i="18"/>
  <c r="D155" i="18"/>
  <c r="D154" i="18"/>
  <c r="D170" i="18"/>
  <c r="D150" i="18"/>
  <c r="C102" i="18"/>
  <c r="D149" i="18"/>
  <c r="D158" i="18"/>
  <c r="D168" i="18"/>
  <c r="D165" i="18"/>
  <c r="D157" i="18"/>
  <c r="D148" i="18"/>
  <c r="D166" i="18"/>
  <c r="D164" i="18"/>
  <c r="D144" i="18"/>
  <c r="D147" i="18"/>
  <c r="D163" i="18"/>
  <c r="D143" i="18"/>
  <c r="C174" i="18"/>
  <c r="C98" i="18"/>
  <c r="C122" i="18"/>
  <c r="C176" i="18"/>
  <c r="C100" i="18"/>
  <c r="C131" i="18"/>
  <c r="C137" i="18"/>
  <c r="C118" i="18"/>
  <c r="C128" i="18"/>
  <c r="C114" i="18"/>
  <c r="C141" i="18"/>
  <c r="C139" i="18"/>
  <c r="C112" i="18"/>
  <c r="C94" i="18"/>
  <c r="C138" i="18"/>
  <c r="C132" i="18"/>
  <c r="C108" i="18"/>
  <c r="C104" i="18"/>
  <c r="C96" i="18"/>
  <c r="C136" i="18"/>
  <c r="C135" i="18"/>
  <c r="C134" i="18"/>
  <c r="C106" i="18"/>
  <c r="C130" i="18"/>
  <c r="C120" i="18"/>
  <c r="C133" i="18"/>
  <c r="C110" i="18"/>
  <c r="C129" i="18"/>
  <c r="C143" i="18"/>
  <c r="C142" i="18"/>
  <c r="C140" i="18"/>
  <c r="C116" i="18"/>
  <c r="C165" i="18"/>
  <c r="C153" i="18"/>
  <c r="C152" i="18"/>
  <c r="C151" i="18"/>
  <c r="C170" i="18"/>
  <c r="C150" i="18"/>
  <c r="C162" i="18"/>
  <c r="C147" i="18"/>
  <c r="C127" i="18"/>
  <c r="C146" i="18"/>
  <c r="C126" i="18"/>
  <c r="C145" i="18"/>
  <c r="C180" i="18"/>
  <c r="C144" i="18"/>
  <c r="C124" i="18"/>
  <c r="C159" i="18"/>
  <c r="C158" i="18"/>
  <c r="C157" i="18"/>
  <c r="C161" i="18"/>
  <c r="C160" i="18"/>
  <c r="C156" i="18"/>
  <c r="C154" i="18"/>
  <c r="C168" i="18"/>
  <c r="C148" i="18"/>
  <c r="C166" i="18"/>
  <c r="C155" i="18"/>
  <c r="C172" i="18"/>
  <c r="C149" i="18"/>
  <c r="C167" i="18"/>
  <c r="C164" i="18"/>
  <c r="C163" i="18"/>
  <c r="D72" i="17"/>
  <c r="D256" i="17"/>
  <c r="D289" i="17"/>
  <c r="D27" i="17"/>
  <c r="D17" i="17"/>
  <c r="D7" i="17"/>
  <c r="D26" i="17"/>
  <c r="D229" i="17"/>
  <c r="D61" i="17"/>
  <c r="D274" i="17"/>
  <c r="D59" i="17"/>
  <c r="D277" i="17"/>
  <c r="D92" i="17"/>
  <c r="D52" i="17"/>
  <c r="D286" i="17"/>
  <c r="F288" i="17"/>
  <c r="F258" i="17"/>
  <c r="F228" i="17"/>
  <c r="F218" i="17"/>
  <c r="D60" i="17"/>
  <c r="F208" i="17"/>
  <c r="F79" i="17"/>
  <c r="F39" i="17"/>
  <c r="D262" i="17"/>
  <c r="D57" i="17"/>
  <c r="D47" i="17"/>
  <c r="D221" i="17"/>
  <c r="D76" i="17"/>
  <c r="F115" i="17"/>
  <c r="D240" i="17"/>
  <c r="D197" i="17"/>
  <c r="F199" i="17"/>
  <c r="D209" i="17"/>
  <c r="D93" i="17"/>
  <c r="D64" i="17"/>
  <c r="D276" i="17"/>
  <c r="D107" i="17"/>
  <c r="D285" i="17"/>
  <c r="D81" i="17"/>
  <c r="D77" i="17"/>
  <c r="F279" i="17"/>
  <c r="F259" i="17"/>
  <c r="F209" i="17"/>
  <c r="F177" i="17"/>
  <c r="D181" i="17"/>
  <c r="G186" i="16"/>
  <c r="C188" i="17" s="1"/>
  <c r="I120" i="16"/>
  <c r="H122" i="17" s="1"/>
  <c r="D193" i="17"/>
  <c r="G182" i="16"/>
  <c r="C184" i="17" s="1"/>
  <c r="G188" i="16"/>
  <c r="C190" i="17" s="1"/>
  <c r="G180" i="16"/>
  <c r="C182" i="17" s="1"/>
  <c r="D97" i="17"/>
  <c r="D87" i="17"/>
  <c r="D69" i="17"/>
  <c r="D218" i="17"/>
  <c r="F244" i="17"/>
  <c r="D207" i="17"/>
  <c r="D84" i="17"/>
  <c r="D272" i="17"/>
  <c r="D216" i="17"/>
  <c r="D56" i="17"/>
  <c r="F77" i="17"/>
  <c r="F67" i="17"/>
  <c r="F57" i="17"/>
  <c r="D252" i="17"/>
  <c r="D36" i="17"/>
  <c r="F68" i="17"/>
  <c r="F86" i="17"/>
  <c r="F18" i="17"/>
  <c r="D6" i="17"/>
  <c r="F48" i="17"/>
  <c r="D280" i="17"/>
  <c r="D234" i="17"/>
  <c r="D294" i="17"/>
  <c r="F78" i="17"/>
  <c r="F38" i="17"/>
  <c r="F238" i="17"/>
  <c r="F185" i="17"/>
  <c r="F193" i="17"/>
  <c r="F181" i="17"/>
  <c r="G196" i="16"/>
  <c r="C198" i="17" s="1"/>
  <c r="D23" i="17"/>
  <c r="F237" i="17"/>
  <c r="D109" i="17"/>
  <c r="F105" i="17"/>
  <c r="D247" i="17"/>
  <c r="D210" i="17"/>
  <c r="D9" i="17"/>
  <c r="D246" i="17"/>
  <c r="F183" i="17"/>
  <c r="F281" i="17"/>
  <c r="F49" i="17"/>
  <c r="D281" i="17"/>
  <c r="D254" i="17"/>
  <c r="D236" i="17"/>
  <c r="D227" i="17"/>
  <c r="D14" i="17"/>
  <c r="D41" i="17"/>
  <c r="F84" i="17"/>
  <c r="D67" i="17"/>
  <c r="D249" i="17"/>
  <c r="D244" i="17"/>
  <c r="D40" i="17"/>
  <c r="D127" i="17"/>
  <c r="D187" i="17"/>
  <c r="D16" i="17"/>
  <c r="D32" i="17"/>
  <c r="D49" i="17"/>
  <c r="D66" i="17"/>
  <c r="D183" i="17"/>
  <c r="D70" i="17"/>
  <c r="D214" i="17"/>
  <c r="F235" i="17"/>
  <c r="F284" i="17"/>
  <c r="D257" i="17"/>
  <c r="F253" i="17"/>
  <c r="D283" i="17"/>
  <c r="D287" i="17"/>
  <c r="D224" i="17"/>
  <c r="D5" i="17"/>
  <c r="F95" i="17"/>
  <c r="F282" i="17"/>
  <c r="F107" i="17"/>
  <c r="D267" i="17"/>
  <c r="D71" i="17"/>
  <c r="D62" i="17"/>
  <c r="D54" i="17"/>
  <c r="F233" i="17"/>
  <c r="F213" i="17"/>
  <c r="F52" i="17"/>
  <c r="F32" i="17"/>
  <c r="F12" i="17"/>
  <c r="D206" i="17"/>
  <c r="D113" i="17"/>
  <c r="F217" i="17"/>
  <c r="F226" i="17"/>
  <c r="F55" i="17"/>
  <c r="F215" i="17"/>
  <c r="F24" i="17"/>
  <c r="D259" i="17"/>
  <c r="D189" i="17"/>
  <c r="F263" i="17"/>
  <c r="F224" i="17"/>
  <c r="F83" i="17"/>
  <c r="D291" i="17"/>
  <c r="D78" i="17"/>
  <c r="F280" i="17"/>
  <c r="F76" i="17"/>
  <c r="D278" i="17"/>
  <c r="F35" i="17"/>
  <c r="D226" i="17"/>
  <c r="D90" i="17"/>
  <c r="D21" i="17"/>
  <c r="F264" i="17"/>
  <c r="D38" i="17"/>
  <c r="D46" i="17"/>
  <c r="F31" i="17"/>
  <c r="F231" i="17"/>
  <c r="F197" i="17"/>
  <c r="F70" i="17"/>
  <c r="F50" i="17"/>
  <c r="F30" i="17"/>
  <c r="F20" i="17"/>
  <c r="D213" i="17"/>
  <c r="D86" i="17"/>
  <c r="F111" i="17"/>
  <c r="F59" i="17"/>
  <c r="F113" i="17"/>
  <c r="F74" i="17"/>
  <c r="F93" i="17"/>
  <c r="D212" i="17"/>
  <c r="D94" i="17"/>
  <c r="D42" i="17"/>
  <c r="D34" i="17"/>
  <c r="F266" i="17"/>
  <c r="F66" i="17"/>
  <c r="F6" i="17"/>
  <c r="D74" i="17"/>
  <c r="F85" i="17"/>
  <c r="D48" i="17"/>
  <c r="F187" i="17"/>
  <c r="F255" i="17"/>
  <c r="F75" i="17"/>
  <c r="F15" i="17"/>
  <c r="D101" i="17"/>
  <c r="F293" i="17"/>
  <c r="F44" i="17"/>
  <c r="D268" i="17"/>
  <c r="D251" i="17"/>
  <c r="D117" i="17"/>
  <c r="F123" i="17"/>
  <c r="F73" i="17"/>
  <c r="F271" i="17"/>
  <c r="D171" i="17"/>
  <c r="F239" i="17"/>
  <c r="F117" i="17"/>
  <c r="F88" i="17"/>
  <c r="F58" i="17"/>
  <c r="D255" i="17"/>
  <c r="D220" i="17"/>
  <c r="D82" i="17"/>
  <c r="D235" i="17"/>
  <c r="D31" i="17"/>
  <c r="D242" i="17"/>
  <c r="F273" i="17"/>
  <c r="F53" i="17"/>
  <c r="F261" i="17"/>
  <c r="F278" i="17"/>
  <c r="F229" i="17"/>
  <c r="D211" i="17"/>
  <c r="D125" i="17"/>
  <c r="F236" i="17"/>
  <c r="F64" i="17"/>
  <c r="F33" i="17"/>
  <c r="D222" i="17"/>
  <c r="D4" i="17"/>
  <c r="D228" i="17"/>
  <c r="F227" i="17"/>
  <c r="F275" i="17"/>
  <c r="F65" i="17"/>
  <c r="D30" i="17"/>
  <c r="F250" i="17"/>
  <c r="F223" i="17"/>
  <c r="F205" i="17"/>
  <c r="F125" i="17"/>
  <c r="F80" i="17"/>
  <c r="F62" i="17"/>
  <c r="D273" i="17"/>
  <c r="D248" i="17"/>
  <c r="D103" i="17"/>
  <c r="D83" i="17"/>
  <c r="D43" i="17"/>
  <c r="F294" i="17"/>
  <c r="F276" i="17"/>
  <c r="F240" i="17"/>
  <c r="F232" i="17"/>
  <c r="F214" i="17"/>
  <c r="F89" i="17"/>
  <c r="F71" i="17"/>
  <c r="F25" i="17"/>
  <c r="F16" i="17"/>
  <c r="F7" i="17"/>
  <c r="D288" i="17"/>
  <c r="D223" i="17"/>
  <c r="D119" i="17"/>
  <c r="D91" i="17"/>
  <c r="D75" i="17"/>
  <c r="D35" i="17"/>
  <c r="D10" i="17"/>
  <c r="D185" i="17"/>
  <c r="F249" i="17"/>
  <c r="F222" i="17"/>
  <c r="F203" i="17"/>
  <c r="F61" i="17"/>
  <c r="F43" i="17"/>
  <c r="F34" i="17"/>
  <c r="D263" i="17"/>
  <c r="D239" i="17"/>
  <c r="D231" i="17"/>
  <c r="D215" i="17"/>
  <c r="D51" i="17"/>
  <c r="D18" i="17"/>
  <c r="F243" i="17"/>
  <c r="F216" i="17"/>
  <c r="D68" i="17"/>
  <c r="F268" i="17"/>
  <c r="F90" i="17"/>
  <c r="F72" i="17"/>
  <c r="F97" i="17"/>
  <c r="F230" i="17"/>
  <c r="F292" i="17"/>
  <c r="F274" i="17"/>
  <c r="F256" i="17"/>
  <c r="F247" i="17"/>
  <c r="F220" i="17"/>
  <c r="F212" i="17"/>
  <c r="F121" i="17"/>
  <c r="F109" i="17"/>
  <c r="F41" i="17"/>
  <c r="F23" i="17"/>
  <c r="F14" i="17"/>
  <c r="D270" i="17"/>
  <c r="D205" i="17"/>
  <c r="D115" i="17"/>
  <c r="D73" i="17"/>
  <c r="D65" i="17"/>
  <c r="D33" i="17"/>
  <c r="D24" i="17"/>
  <c r="D8" i="17"/>
  <c r="D275" i="17"/>
  <c r="F82" i="17"/>
  <c r="F36" i="17"/>
  <c r="D53" i="17"/>
  <c r="F251" i="17"/>
  <c r="F81" i="17"/>
  <c r="D191" i="17"/>
  <c r="F277" i="17"/>
  <c r="F8" i="17"/>
  <c r="D11" i="17"/>
  <c r="F60" i="17"/>
  <c r="D230" i="17"/>
  <c r="D58" i="17"/>
  <c r="F283" i="17"/>
  <c r="D25" i="17"/>
  <c r="F291" i="17"/>
  <c r="F246" i="17"/>
  <c r="F211" i="17"/>
  <c r="F119" i="17"/>
  <c r="F40" i="17"/>
  <c r="F22" i="17"/>
  <c r="D253" i="17"/>
  <c r="D245" i="17"/>
  <c r="D203" i="17"/>
  <c r="D88" i="17"/>
  <c r="F269" i="17"/>
  <c r="D208" i="17"/>
  <c r="F225" i="17"/>
  <c r="F92" i="17"/>
  <c r="F46" i="17"/>
  <c r="F28" i="17"/>
  <c r="F10" i="17"/>
  <c r="D250" i="17"/>
  <c r="D199" i="17"/>
  <c r="D13" i="17"/>
  <c r="F260" i="17"/>
  <c r="F234" i="17"/>
  <c r="F207" i="17"/>
  <c r="F9" i="17"/>
  <c r="D233" i="17"/>
  <c r="D28" i="17"/>
  <c r="F26" i="17"/>
  <c r="F248" i="17"/>
  <c r="F42" i="17"/>
  <c r="F265" i="17"/>
  <c r="D279" i="17"/>
  <c r="F290" i="17"/>
  <c r="F245" i="17"/>
  <c r="F210" i="17"/>
  <c r="F94" i="17"/>
  <c r="F21" i="17"/>
  <c r="D293" i="17"/>
  <c r="D111" i="17"/>
  <c r="D79" i="17"/>
  <c r="D63" i="17"/>
  <c r="D39" i="17"/>
  <c r="D15" i="17"/>
  <c r="F270" i="17"/>
  <c r="F37" i="17"/>
  <c r="F252" i="17"/>
  <c r="D45" i="17"/>
  <c r="F27" i="17"/>
  <c r="F206" i="17"/>
  <c r="F101" i="17"/>
  <c r="F54" i="17"/>
  <c r="D265" i="17"/>
  <c r="D105" i="17"/>
  <c r="F17" i="17"/>
  <c r="F179" i="17"/>
  <c r="F257" i="17"/>
  <c r="F201" i="17"/>
  <c r="D50" i="17"/>
  <c r="F5" i="17"/>
  <c r="D238" i="17"/>
  <c r="D99" i="17"/>
  <c r="F272" i="17"/>
  <c r="F254" i="17"/>
  <c r="D290" i="17"/>
  <c r="F242" i="17"/>
  <c r="F91" i="17"/>
  <c r="F45" i="17"/>
  <c r="D225" i="17"/>
  <c r="D12" i="17"/>
  <c r="F63" i="17"/>
  <c r="D271" i="17"/>
  <c r="F87" i="17"/>
  <c r="F51" i="17"/>
  <c r="F195" i="17"/>
  <c r="F289" i="17"/>
  <c r="F262" i="17"/>
  <c r="D292" i="17"/>
  <c r="D243" i="17"/>
  <c r="D219" i="17"/>
  <c r="D95" i="17"/>
  <c r="D55" i="17"/>
  <c r="F103" i="17"/>
  <c r="D258" i="17"/>
  <c r="D266" i="17"/>
  <c r="D123" i="17"/>
  <c r="D85" i="17"/>
  <c r="F286" i="17"/>
  <c r="F241" i="17"/>
  <c r="F285" i="17"/>
  <c r="F221" i="17"/>
  <c r="F69" i="17"/>
  <c r="F56" i="17"/>
  <c r="F29" i="17"/>
  <c r="F19" i="17"/>
  <c r="F11" i="17"/>
  <c r="G202" i="14"/>
  <c r="B204" i="17" s="1"/>
  <c r="D177" i="17"/>
  <c r="G122" i="16"/>
  <c r="C124" i="17" s="1"/>
  <c r="F175" i="17"/>
  <c r="F173" i="17"/>
  <c r="F171" i="17"/>
  <c r="D179" i="17"/>
  <c r="F189" i="17"/>
  <c r="D173" i="17"/>
  <c r="D195" i="17"/>
  <c r="F191" i="17"/>
  <c r="D175" i="17"/>
  <c r="I124" i="16"/>
  <c r="H126" i="17" s="1"/>
  <c r="I94" i="14"/>
  <c r="G96" i="17" s="1"/>
  <c r="F96" i="17" s="1"/>
  <c r="I114" i="16"/>
  <c r="H116" i="17" s="1"/>
  <c r="G124" i="16"/>
  <c r="C126" i="17" s="1"/>
  <c r="G126" i="16"/>
  <c r="C128" i="17" s="1"/>
  <c r="G120" i="16"/>
  <c r="C122" i="17" s="1"/>
  <c r="G118" i="16"/>
  <c r="C120" i="17" s="1"/>
  <c r="G112" i="16"/>
  <c r="C114" i="17" s="1"/>
  <c r="G131" i="16"/>
  <c r="C133" i="17" s="1"/>
  <c r="G141" i="16"/>
  <c r="C143" i="17" s="1"/>
  <c r="G161" i="16"/>
  <c r="C163" i="17" s="1"/>
  <c r="G138" i="16"/>
  <c r="C140" i="17" s="1"/>
  <c r="G147" i="16"/>
  <c r="C149" i="17" s="1"/>
  <c r="G151" i="16"/>
  <c r="C153" i="17" s="1"/>
  <c r="I146" i="16"/>
  <c r="H148" i="17" s="1"/>
  <c r="G150" i="16"/>
  <c r="C152" i="17" s="1"/>
  <c r="G110" i="16"/>
  <c r="C112" i="17" s="1"/>
  <c r="G130" i="16"/>
  <c r="C132" i="17" s="1"/>
  <c r="I126" i="16"/>
  <c r="H128" i="17" s="1"/>
  <c r="G198" i="14"/>
  <c r="B200" i="17" s="1"/>
  <c r="G98" i="16"/>
  <c r="C100" i="17" s="1"/>
  <c r="G128" i="16"/>
  <c r="C130" i="17" s="1"/>
  <c r="G100" i="16"/>
  <c r="C102" i="17" s="1"/>
  <c r="G102" i="16"/>
  <c r="C104" i="17" s="1"/>
  <c r="G132" i="16"/>
  <c r="C134" i="17" s="1"/>
  <c r="G114" i="16"/>
  <c r="C116" i="17" s="1"/>
  <c r="G158" i="16"/>
  <c r="C160" i="17" s="1"/>
  <c r="G168" i="16"/>
  <c r="C170" i="17" s="1"/>
  <c r="G134" i="16"/>
  <c r="C136" i="17" s="1"/>
  <c r="G135" i="16"/>
  <c r="C137" i="17" s="1"/>
  <c r="G133" i="16"/>
  <c r="C135" i="17" s="1"/>
  <c r="G108" i="16"/>
  <c r="C110" i="17" s="1"/>
  <c r="G140" i="16"/>
  <c r="C142" i="17" s="1"/>
  <c r="G104" i="16"/>
  <c r="C106" i="17" s="1"/>
  <c r="G106" i="16"/>
  <c r="C108" i="17" s="1"/>
  <c r="G145" i="16"/>
  <c r="C147" i="17" s="1"/>
  <c r="G142" i="16"/>
  <c r="C144" i="17" s="1"/>
  <c r="G144" i="16"/>
  <c r="C146" i="17" s="1"/>
  <c r="I196" i="16"/>
  <c r="H198" i="17" s="1"/>
  <c r="G176" i="16"/>
  <c r="C178" i="17" s="1"/>
  <c r="G190" i="16"/>
  <c r="C192" i="17" s="1"/>
  <c r="I139" i="16"/>
  <c r="H141" i="17" s="1"/>
  <c r="I143" i="16"/>
  <c r="H145" i="17" s="1"/>
  <c r="I116" i="16"/>
  <c r="H118" i="17" s="1"/>
  <c r="G160" i="16"/>
  <c r="C162" i="17" s="1"/>
  <c r="G170" i="16"/>
  <c r="C172" i="17" s="1"/>
  <c r="I149" i="16"/>
  <c r="H151" i="17" s="1"/>
  <c r="I104" i="16"/>
  <c r="H106" i="17" s="1"/>
  <c r="I150" i="16"/>
  <c r="H152" i="17" s="1"/>
  <c r="G178" i="16"/>
  <c r="C180" i="17" s="1"/>
  <c r="G192" i="16"/>
  <c r="C194" i="17" s="1"/>
  <c r="I159" i="16"/>
  <c r="H161" i="17" s="1"/>
  <c r="I130" i="16"/>
  <c r="H132" i="17" s="1"/>
  <c r="G157" i="16"/>
  <c r="C159" i="17" s="1"/>
  <c r="I100" i="14"/>
  <c r="G102" i="17" s="1"/>
  <c r="G152" i="16"/>
  <c r="C154" i="17" s="1"/>
  <c r="G153" i="16"/>
  <c r="C155" i="17" s="1"/>
  <c r="I134" i="16"/>
  <c r="H136" i="17" s="1"/>
  <c r="I126" i="14"/>
  <c r="G128" i="17" s="1"/>
  <c r="G162" i="16"/>
  <c r="C164" i="17" s="1"/>
  <c r="G172" i="16"/>
  <c r="C174" i="17" s="1"/>
  <c r="I122" i="14"/>
  <c r="G124" i="17" s="1"/>
  <c r="G164" i="16"/>
  <c r="C166" i="17" s="1"/>
  <c r="I166" i="16"/>
  <c r="H168" i="17" s="1"/>
  <c r="G167" i="16"/>
  <c r="C169" i="17" s="1"/>
  <c r="I194" i="16"/>
  <c r="H196" i="17" s="1"/>
  <c r="G163" i="16"/>
  <c r="C165" i="17" s="1"/>
  <c r="G200" i="16"/>
  <c r="C202" i="17" s="1"/>
  <c r="G202" i="16"/>
  <c r="C204" i="17" s="1"/>
  <c r="G198" i="16"/>
  <c r="C200" i="17" s="1"/>
  <c r="G148" i="16"/>
  <c r="C150" i="17" s="1"/>
  <c r="I114" i="14"/>
  <c r="G116" i="17" s="1"/>
  <c r="I164" i="16"/>
  <c r="H166" i="17" s="1"/>
  <c r="I184" i="16"/>
  <c r="H186" i="17" s="1"/>
  <c r="I110" i="16"/>
  <c r="H112" i="17" s="1"/>
  <c r="G96" i="16"/>
  <c r="C98" i="17" s="1"/>
  <c r="G116" i="16"/>
  <c r="C118" i="17" s="1"/>
  <c r="I137" i="16"/>
  <c r="H139" i="17" s="1"/>
  <c r="I106" i="16"/>
  <c r="H108" i="17" s="1"/>
  <c r="I157" i="16"/>
  <c r="H159" i="17" s="1"/>
  <c r="G159" i="16"/>
  <c r="C161" i="17" s="1"/>
  <c r="I174" i="16"/>
  <c r="H176" i="17" s="1"/>
  <c r="I170" i="16"/>
  <c r="H172" i="17" s="1"/>
  <c r="G136" i="16"/>
  <c r="C138" i="17" s="1"/>
  <c r="I140" i="16"/>
  <c r="H142" i="17" s="1"/>
  <c r="G146" i="16"/>
  <c r="C148" i="17" s="1"/>
  <c r="I144" i="16"/>
  <c r="H146" i="17" s="1"/>
  <c r="I147" i="16"/>
  <c r="H149" i="17" s="1"/>
  <c r="I160" i="16"/>
  <c r="H162" i="17" s="1"/>
  <c r="I167" i="16"/>
  <c r="H169" i="17" s="1"/>
  <c r="G129" i="16"/>
  <c r="C131" i="17" s="1"/>
  <c r="I163" i="16"/>
  <c r="H165" i="17" s="1"/>
  <c r="G149" i="16"/>
  <c r="C151" i="17" s="1"/>
  <c r="G166" i="16"/>
  <c r="C168" i="17" s="1"/>
  <c r="I153" i="16"/>
  <c r="H155" i="17" s="1"/>
  <c r="G137" i="16"/>
  <c r="C139" i="17" s="1"/>
  <c r="I154" i="16"/>
  <c r="H156" i="17" s="1"/>
  <c r="I180" i="16"/>
  <c r="H182" i="17" s="1"/>
  <c r="G165" i="16"/>
  <c r="C167" i="17" s="1"/>
  <c r="G155" i="16"/>
  <c r="C157" i="17" s="1"/>
  <c r="G143" i="16"/>
  <c r="C145" i="17" s="1"/>
  <c r="G156" i="16"/>
  <c r="C158" i="17" s="1"/>
  <c r="G139" i="16"/>
  <c r="C141" i="17" s="1"/>
  <c r="I136" i="16"/>
  <c r="H138" i="17" s="1"/>
  <c r="I133" i="16"/>
  <c r="H135" i="17" s="1"/>
  <c r="G194" i="16"/>
  <c r="C196" i="17" s="1"/>
  <c r="I100" i="16"/>
  <c r="H102" i="17" s="1"/>
  <c r="G184" i="16"/>
  <c r="C186" i="17" s="1"/>
  <c r="I176" i="16"/>
  <c r="H178" i="17" s="1"/>
  <c r="I190" i="16"/>
  <c r="H192" i="17" s="1"/>
  <c r="G154" i="16"/>
  <c r="C156" i="17" s="1"/>
  <c r="I156" i="16"/>
  <c r="H158" i="17" s="1"/>
  <c r="I200" i="16"/>
  <c r="H202" i="17" s="1"/>
  <c r="I186" i="16"/>
  <c r="H188" i="17" s="1"/>
  <c r="G174" i="16"/>
  <c r="C176" i="17" s="1"/>
  <c r="G127" i="16"/>
  <c r="C129" i="17" s="1"/>
  <c r="I131" i="16"/>
  <c r="H133" i="17" s="1"/>
  <c r="I141" i="16"/>
  <c r="H143" i="17" s="1"/>
  <c r="I151" i="16"/>
  <c r="H153" i="17" s="1"/>
  <c r="I161" i="16"/>
  <c r="H163" i="17" s="1"/>
  <c r="I98" i="16"/>
  <c r="H100" i="17" s="1"/>
  <c r="I108" i="16"/>
  <c r="H110" i="17" s="1"/>
  <c r="I118" i="16"/>
  <c r="H120" i="17" s="1"/>
  <c r="I128" i="16"/>
  <c r="H130" i="17" s="1"/>
  <c r="I138" i="16"/>
  <c r="H140" i="17" s="1"/>
  <c r="I148" i="16"/>
  <c r="H150" i="17" s="1"/>
  <c r="I158" i="16"/>
  <c r="H160" i="17" s="1"/>
  <c r="I168" i="16"/>
  <c r="H170" i="17" s="1"/>
  <c r="I178" i="16"/>
  <c r="H180" i="17" s="1"/>
  <c r="I188" i="16"/>
  <c r="H190" i="17" s="1"/>
  <c r="I198" i="16"/>
  <c r="H200" i="17" s="1"/>
  <c r="I135" i="16"/>
  <c r="H137" i="17" s="1"/>
  <c r="I145" i="16"/>
  <c r="H147" i="17" s="1"/>
  <c r="I155" i="16"/>
  <c r="H157" i="17" s="1"/>
  <c r="I165" i="16"/>
  <c r="H167" i="17" s="1"/>
  <c r="I102" i="16"/>
  <c r="H104" i="17" s="1"/>
  <c r="I112" i="16"/>
  <c r="H114" i="17" s="1"/>
  <c r="I122" i="16"/>
  <c r="H124" i="17" s="1"/>
  <c r="I132" i="16"/>
  <c r="H134" i="17" s="1"/>
  <c r="I142" i="16"/>
  <c r="H144" i="17" s="1"/>
  <c r="I152" i="16"/>
  <c r="H154" i="17" s="1"/>
  <c r="I162" i="16"/>
  <c r="H164" i="17" s="1"/>
  <c r="I172" i="16"/>
  <c r="H174" i="17" s="1"/>
  <c r="I182" i="16"/>
  <c r="H184" i="17" s="1"/>
  <c r="I192" i="16"/>
  <c r="H194" i="17" s="1"/>
  <c r="I202" i="16"/>
  <c r="H204" i="17" s="1"/>
  <c r="I202" i="14"/>
  <c r="G204" i="17" s="1"/>
  <c r="I102" i="14"/>
  <c r="G104" i="17" s="1"/>
  <c r="I118" i="14"/>
  <c r="G120" i="17" s="1"/>
  <c r="G174" i="14"/>
  <c r="B176" i="17" s="1"/>
  <c r="I194" i="14"/>
  <c r="G196" i="17" s="1"/>
  <c r="I120" i="14"/>
  <c r="G122" i="17" s="1"/>
  <c r="I98" i="14"/>
  <c r="G100" i="17" s="1"/>
  <c r="I96" i="14"/>
  <c r="G98" i="17" s="1"/>
  <c r="F98" i="17" s="1"/>
  <c r="I104" i="14"/>
  <c r="G106" i="17" s="1"/>
  <c r="I108" i="14"/>
  <c r="G110" i="17" s="1"/>
  <c r="I184" i="14"/>
  <c r="G186" i="17" s="1"/>
  <c r="G100" i="14"/>
  <c r="B102" i="17" s="1"/>
  <c r="I112" i="14"/>
  <c r="G114" i="17" s="1"/>
  <c r="I134" i="14"/>
  <c r="G136" i="17" s="1"/>
  <c r="I141" i="14"/>
  <c r="G143" i="17" s="1"/>
  <c r="I161" i="14"/>
  <c r="G163" i="17" s="1"/>
  <c r="I110" i="14"/>
  <c r="G112" i="17" s="1"/>
  <c r="I142" i="14"/>
  <c r="G144" i="17" s="1"/>
  <c r="I133" i="14"/>
  <c r="G135" i="17" s="1"/>
  <c r="I130" i="14"/>
  <c r="G132" i="17" s="1"/>
  <c r="I162" i="14"/>
  <c r="G164" i="17" s="1"/>
  <c r="I136" i="14"/>
  <c r="G138" i="17" s="1"/>
  <c r="I135" i="14"/>
  <c r="G137" i="17" s="1"/>
  <c r="I129" i="14"/>
  <c r="G131" i="17" s="1"/>
  <c r="F131" i="17" s="1"/>
  <c r="I128" i="14"/>
  <c r="G130" i="17" s="1"/>
  <c r="I131" i="14"/>
  <c r="G133" i="17" s="1"/>
  <c r="I182" i="14"/>
  <c r="G184" i="17" s="1"/>
  <c r="I176" i="14"/>
  <c r="G178" i="17" s="1"/>
  <c r="I150" i="14"/>
  <c r="G152" i="17" s="1"/>
  <c r="I137" i="14"/>
  <c r="G139" i="17" s="1"/>
  <c r="I180" i="14"/>
  <c r="G182" i="17" s="1"/>
  <c r="I200" i="14"/>
  <c r="G202" i="17" s="1"/>
  <c r="I116" i="14"/>
  <c r="G118" i="17" s="1"/>
  <c r="I186" i="14"/>
  <c r="G188" i="17" s="1"/>
  <c r="I196" i="14"/>
  <c r="G198" i="17" s="1"/>
  <c r="I174" i="14"/>
  <c r="G176" i="17" s="1"/>
  <c r="I138" i="14"/>
  <c r="G140" i="17" s="1"/>
  <c r="I198" i="14"/>
  <c r="G200" i="17" s="1"/>
  <c r="G188" i="14"/>
  <c r="B190" i="17" s="1"/>
  <c r="I170" i="14"/>
  <c r="G172" i="17" s="1"/>
  <c r="I127" i="14"/>
  <c r="G129" i="17" s="1"/>
  <c r="F129" i="17" s="1"/>
  <c r="I106" i="14"/>
  <c r="G108" i="17" s="1"/>
  <c r="I192" i="14"/>
  <c r="G194" i="17" s="1"/>
  <c r="I166" i="14"/>
  <c r="G168" i="17" s="1"/>
  <c r="I157" i="14"/>
  <c r="G159" i="17" s="1"/>
  <c r="G180" i="14"/>
  <c r="B182" i="17" s="1"/>
  <c r="G102" i="14"/>
  <c r="B104" i="17" s="1"/>
  <c r="I190" i="14"/>
  <c r="G192" i="17" s="1"/>
  <c r="I165" i="14"/>
  <c r="G167" i="17" s="1"/>
  <c r="I140" i="14"/>
  <c r="G142" i="17" s="1"/>
  <c r="I188" i="14"/>
  <c r="G190" i="17" s="1"/>
  <c r="I168" i="14"/>
  <c r="G170" i="17" s="1"/>
  <c r="I139" i="14"/>
  <c r="G141" i="17" s="1"/>
  <c r="I167" i="14"/>
  <c r="G169" i="17" s="1"/>
  <c r="I159" i="14"/>
  <c r="G161" i="17" s="1"/>
  <c r="I132" i="14"/>
  <c r="G134" i="17" s="1"/>
  <c r="I156" i="14"/>
  <c r="G158" i="17" s="1"/>
  <c r="I155" i="14"/>
  <c r="G157" i="17" s="1"/>
  <c r="I178" i="14"/>
  <c r="G180" i="17" s="1"/>
  <c r="I152" i="14"/>
  <c r="G154" i="17" s="1"/>
  <c r="I144" i="14"/>
  <c r="G146" i="17" s="1"/>
  <c r="I124" i="14"/>
  <c r="G126" i="17" s="1"/>
  <c r="I149" i="14"/>
  <c r="G151" i="17" s="1"/>
  <c r="I146" i="14"/>
  <c r="G148" i="17" s="1"/>
  <c r="I145" i="14"/>
  <c r="G147" i="17" s="1"/>
  <c r="I172" i="14"/>
  <c r="G174" i="17" s="1"/>
  <c r="I143" i="14"/>
  <c r="G145" i="17" s="1"/>
  <c r="I151" i="14"/>
  <c r="G153" i="17" s="1"/>
  <c r="I154" i="14"/>
  <c r="G156" i="17" s="1"/>
  <c r="I158" i="14"/>
  <c r="G160" i="17" s="1"/>
  <c r="I148" i="14"/>
  <c r="G150" i="17" s="1"/>
  <c r="I160" i="14"/>
  <c r="G162" i="17" s="1"/>
  <c r="I164" i="14"/>
  <c r="G166" i="17" s="1"/>
  <c r="I153" i="14"/>
  <c r="G155" i="17" s="1"/>
  <c r="I147" i="14"/>
  <c r="G149" i="17" s="1"/>
  <c r="I163" i="14"/>
  <c r="G165" i="17" s="1"/>
  <c r="G194" i="14"/>
  <c r="B196" i="17" s="1"/>
  <c r="G131" i="14"/>
  <c r="B133" i="17" s="1"/>
  <c r="G128" i="14"/>
  <c r="B130" i="17" s="1"/>
  <c r="G98" i="14"/>
  <c r="B100" i="17" s="1"/>
  <c r="G182" i="14"/>
  <c r="B184" i="17" s="1"/>
  <c r="G196" i="14"/>
  <c r="B198" i="17" s="1"/>
  <c r="G122" i="14"/>
  <c r="B124" i="17" s="1"/>
  <c r="G190" i="14"/>
  <c r="B192" i="17" s="1"/>
  <c r="G192" i="14"/>
  <c r="B194" i="17" s="1"/>
  <c r="G184" i="14"/>
  <c r="B186" i="17" s="1"/>
  <c r="G186" i="14"/>
  <c r="B188" i="17" s="1"/>
  <c r="G200" i="14"/>
  <c r="B202" i="17" s="1"/>
  <c r="G130" i="14"/>
  <c r="B132" i="17" s="1"/>
  <c r="G178" i="14"/>
  <c r="B180" i="17" s="1"/>
  <c r="G138" i="14"/>
  <c r="B140" i="17" s="1"/>
  <c r="G94" i="14"/>
  <c r="B96" i="17" s="1"/>
  <c r="D96" i="17" s="1"/>
  <c r="G116" i="14"/>
  <c r="B118" i="17" s="1"/>
  <c r="G96" i="14"/>
  <c r="B98" i="17" s="1"/>
  <c r="G118" i="14"/>
  <c r="B120" i="17" s="1"/>
  <c r="G108" i="14"/>
  <c r="B110" i="17" s="1"/>
  <c r="G176" i="14"/>
  <c r="B178" i="17" s="1"/>
  <c r="G114" i="14"/>
  <c r="B116" i="17" s="1"/>
  <c r="G142" i="14"/>
  <c r="B144" i="17" s="1"/>
  <c r="G139" i="14"/>
  <c r="B141" i="17" s="1"/>
  <c r="G172" i="14"/>
  <c r="B174" i="17" s="1"/>
  <c r="G137" i="14"/>
  <c r="B139" i="17" s="1"/>
  <c r="G134" i="14"/>
  <c r="B136" i="17" s="1"/>
  <c r="G133" i="14"/>
  <c r="B135" i="17" s="1"/>
  <c r="G167" i="14"/>
  <c r="B169" i="17" s="1"/>
  <c r="G146" i="14"/>
  <c r="B148" i="17" s="1"/>
  <c r="G166" i="14"/>
  <c r="B168" i="17" s="1"/>
  <c r="G143" i="14"/>
  <c r="B145" i="17" s="1"/>
  <c r="G136" i="14"/>
  <c r="B138" i="17" s="1"/>
  <c r="G135" i="14"/>
  <c r="B137" i="17" s="1"/>
  <c r="G120" i="14"/>
  <c r="B122" i="17" s="1"/>
  <c r="G170" i="14"/>
  <c r="B172" i="17" s="1"/>
  <c r="G110" i="14"/>
  <c r="B112" i="17" s="1"/>
  <c r="G168" i="14"/>
  <c r="B170" i="17" s="1"/>
  <c r="G129" i="14"/>
  <c r="B131" i="17" s="1"/>
  <c r="G112" i="14"/>
  <c r="B114" i="17" s="1"/>
  <c r="G159" i="14"/>
  <c r="B161" i="17" s="1"/>
  <c r="G126" i="14"/>
  <c r="B128" i="17" s="1"/>
  <c r="G106" i="14"/>
  <c r="B108" i="17" s="1"/>
  <c r="G127" i="14"/>
  <c r="B129" i="17" s="1"/>
  <c r="G151" i="14"/>
  <c r="B153" i="17" s="1"/>
  <c r="G132" i="14"/>
  <c r="B134" i="17" s="1"/>
  <c r="G124" i="14"/>
  <c r="B126" i="17" s="1"/>
  <c r="G104" i="14"/>
  <c r="B106" i="17" s="1"/>
  <c r="G140" i="14"/>
  <c r="B142" i="17" s="1"/>
  <c r="G144" i="14"/>
  <c r="B146" i="17" s="1"/>
  <c r="G141" i="14"/>
  <c r="B143" i="17" s="1"/>
  <c r="G145" i="14"/>
  <c r="B147" i="17" s="1"/>
  <c r="G161" i="14"/>
  <c r="B163" i="17" s="1"/>
  <c r="G162" i="14"/>
  <c r="B164" i="17" s="1"/>
  <c r="G153" i="14"/>
  <c r="B155" i="17" s="1"/>
  <c r="G164" i="14"/>
  <c r="B166" i="17" s="1"/>
  <c r="G158" i="14"/>
  <c r="B160" i="17" s="1"/>
  <c r="G157" i="14"/>
  <c r="B159" i="17" s="1"/>
  <c r="G156" i="14"/>
  <c r="B158" i="17" s="1"/>
  <c r="G155" i="14"/>
  <c r="B157" i="17" s="1"/>
  <c r="G149" i="14"/>
  <c r="B151" i="17" s="1"/>
  <c r="G154" i="14"/>
  <c r="B156" i="17" s="1"/>
  <c r="G150" i="14"/>
  <c r="B152" i="17" s="1"/>
  <c r="G148" i="14"/>
  <c r="B150" i="17" s="1"/>
  <c r="G160" i="14"/>
  <c r="B162" i="17" s="1"/>
  <c r="G152" i="14"/>
  <c r="B154" i="17" s="1"/>
  <c r="G147" i="14"/>
  <c r="B149" i="17" s="1"/>
  <c r="G165" i="14"/>
  <c r="B167" i="17" s="1"/>
  <c r="G163" i="14"/>
  <c r="B165" i="17" s="1"/>
  <c r="G43" i="10"/>
  <c r="H43" i="10"/>
  <c r="G44" i="10"/>
  <c r="H44" i="10"/>
  <c r="G45" i="10"/>
  <c r="H45" i="10"/>
  <c r="G46" i="10"/>
  <c r="H46" i="10"/>
  <c r="G47" i="10"/>
  <c r="H47" i="10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G59" i="10"/>
  <c r="H59" i="10"/>
  <c r="G60" i="10"/>
  <c r="H60" i="10"/>
  <c r="G61" i="10"/>
  <c r="H61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I72" i="12" a="1"/>
  <c r="M72" i="12" s="1"/>
  <c r="A72" i="12" a="1"/>
  <c r="B72" i="12" s="1"/>
  <c r="I71" i="12" a="1"/>
  <c r="A71" i="12" a="1"/>
  <c r="C71" i="12" s="1"/>
  <c r="I70" i="12" a="1"/>
  <c r="M70" i="12" s="1"/>
  <c r="A70" i="12" a="1"/>
  <c r="D70" i="12" s="1"/>
  <c r="I69" i="12" a="1"/>
  <c r="I69" i="12" s="1"/>
  <c r="A69" i="12" a="1"/>
  <c r="E69" i="12" s="1"/>
  <c r="I68" i="12" a="1"/>
  <c r="J68" i="12" s="1"/>
  <c r="A68" i="12" a="1"/>
  <c r="C68" i="12" s="1"/>
  <c r="I67" i="12" a="1"/>
  <c r="M67" i="12" s="1"/>
  <c r="A67" i="12" a="1"/>
  <c r="D67" i="12" s="1"/>
  <c r="I66" i="12" a="1"/>
  <c r="A66" i="12" a="1"/>
  <c r="C66" i="12" s="1"/>
  <c r="I65" i="12" a="1"/>
  <c r="I65" i="12" s="1"/>
  <c r="A65" i="12" a="1"/>
  <c r="C65" i="12" s="1"/>
  <c r="I64" i="12" a="1"/>
  <c r="I64" i="12" s="1"/>
  <c r="A64" i="12" a="1"/>
  <c r="E64" i="12" s="1"/>
  <c r="I63" i="12" a="1"/>
  <c r="J63" i="12" s="1"/>
  <c r="A63" i="12" a="1"/>
  <c r="A63" i="12" s="1"/>
  <c r="I62" i="12" a="1"/>
  <c r="M62" i="12" s="1"/>
  <c r="A62" i="12" a="1"/>
  <c r="D62" i="12" s="1"/>
  <c r="I61" i="12" a="1"/>
  <c r="A61" i="12" a="1"/>
  <c r="C61" i="12" s="1"/>
  <c r="I60" i="12" a="1"/>
  <c r="I60" i="12" s="1"/>
  <c r="A60" i="12" a="1"/>
  <c r="A60" i="12" s="1"/>
  <c r="I59" i="12" a="1"/>
  <c r="I59" i="12" s="1"/>
  <c r="A59" i="12" a="1"/>
  <c r="E59" i="12" s="1"/>
  <c r="I58" i="12" a="1"/>
  <c r="I58" i="12" s="1"/>
  <c r="A58" i="12" a="1"/>
  <c r="B58" i="12" s="1"/>
  <c r="I57" i="12" a="1"/>
  <c r="M57" i="12" s="1"/>
  <c r="A57" i="12" a="1"/>
  <c r="D57" i="12" s="1"/>
  <c r="I56" i="12" a="1"/>
  <c r="A56" i="12" a="1"/>
  <c r="C56" i="12" s="1"/>
  <c r="I55" i="12" a="1"/>
  <c r="M55" i="12" s="1"/>
  <c r="A55" i="12" a="1"/>
  <c r="A55" i="12" s="1"/>
  <c r="I54" i="12" a="1"/>
  <c r="I54" i="12" s="1"/>
  <c r="A54" i="12" a="1"/>
  <c r="E54" i="12" s="1"/>
  <c r="I53" i="12" a="1"/>
  <c r="I53" i="12" s="1"/>
  <c r="A53" i="12" a="1"/>
  <c r="C53" i="12" s="1"/>
  <c r="I52" i="12" a="1"/>
  <c r="M52" i="12" s="1"/>
  <c r="A52" i="12" a="1"/>
  <c r="D52" i="12" s="1"/>
  <c r="I51" i="12" a="1"/>
  <c r="A51" i="12" a="1"/>
  <c r="C51" i="12" s="1"/>
  <c r="I50" i="12" a="1"/>
  <c r="M50" i="12" s="1"/>
  <c r="A50" i="12" a="1"/>
  <c r="D50" i="12" s="1"/>
  <c r="I49" i="12" a="1"/>
  <c r="I49" i="12" s="1"/>
  <c r="A49" i="12" a="1"/>
  <c r="E49" i="12" s="1"/>
  <c r="I48" i="12" a="1"/>
  <c r="M48" i="12" s="1"/>
  <c r="A48" i="12" a="1"/>
  <c r="D48" i="12" s="1"/>
  <c r="I47" i="12" a="1"/>
  <c r="M47" i="12" s="1"/>
  <c r="A47" i="12" a="1"/>
  <c r="D47" i="12" s="1"/>
  <c r="I46" i="12" a="1"/>
  <c r="A46" i="12" a="1"/>
  <c r="C46" i="12" s="1"/>
  <c r="I45" i="12" a="1"/>
  <c r="J45" i="12" s="1"/>
  <c r="A45" i="12" a="1"/>
  <c r="E45" i="12" s="1"/>
  <c r="I44" i="12" a="1"/>
  <c r="I44" i="12" s="1"/>
  <c r="A44" i="12" a="1"/>
  <c r="E44" i="12" s="1"/>
  <c r="I43" i="12" a="1"/>
  <c r="J43" i="12" s="1"/>
  <c r="A43" i="12" a="1"/>
  <c r="E43" i="12" s="1"/>
  <c r="I42" i="12" a="1"/>
  <c r="M42" i="12" s="1"/>
  <c r="A42" i="12" a="1"/>
  <c r="D42" i="12" s="1"/>
  <c r="I41" i="12" a="1"/>
  <c r="A41" i="12" a="1"/>
  <c r="C41" i="12" s="1"/>
  <c r="I40" i="12" a="1"/>
  <c r="M40" i="12" s="1"/>
  <c r="A40" i="12" a="1"/>
  <c r="C40" i="12" s="1"/>
  <c r="I39" i="12" a="1"/>
  <c r="I39" i="12" s="1"/>
  <c r="A39" i="12" a="1"/>
  <c r="E39" i="12" s="1"/>
  <c r="I38" i="12" a="1"/>
  <c r="I38" i="12" s="1"/>
  <c r="A38" i="12" a="1"/>
  <c r="A38" i="12" s="1"/>
  <c r="I37" i="12" a="1"/>
  <c r="M37" i="12" s="1"/>
  <c r="A37" i="12" a="1"/>
  <c r="D37" i="12" s="1"/>
  <c r="I36" i="12" a="1"/>
  <c r="A36" i="12" a="1"/>
  <c r="C36" i="12" s="1"/>
  <c r="I35" i="12" a="1"/>
  <c r="M35" i="12" s="1"/>
  <c r="A35" i="12" a="1"/>
  <c r="D35" i="12" s="1"/>
  <c r="I34" i="12" a="1"/>
  <c r="I34" i="12" s="1"/>
  <c r="A34" i="12" a="1"/>
  <c r="E34" i="12" s="1"/>
  <c r="I33" i="12" a="1"/>
  <c r="K33" i="12" s="1"/>
  <c r="A33" i="12" a="1"/>
  <c r="B33" i="12" s="1"/>
  <c r="I32" i="12" a="1"/>
  <c r="M32" i="12" s="1"/>
  <c r="A32" i="12" a="1"/>
  <c r="B32" i="12" s="1"/>
  <c r="I31" i="12" a="1"/>
  <c r="A31" i="12" a="1"/>
  <c r="C31" i="12" s="1"/>
  <c r="I30" i="12" a="1"/>
  <c r="M30" i="12" s="1"/>
  <c r="A30" i="12" a="1"/>
  <c r="A30" i="12" s="1"/>
  <c r="I29" i="12" a="1"/>
  <c r="I29" i="12" s="1"/>
  <c r="A29" i="12" a="1"/>
  <c r="E29" i="12" s="1"/>
  <c r="I28" i="12" a="1"/>
  <c r="I28" i="12" s="1"/>
  <c r="A28" i="12" a="1"/>
  <c r="C28" i="12" s="1"/>
  <c r="I27" i="12" a="1"/>
  <c r="M27" i="12" s="1"/>
  <c r="A27" i="12" a="1"/>
  <c r="A27" i="12" s="1"/>
  <c r="I26" i="12" a="1"/>
  <c r="A26" i="12" a="1"/>
  <c r="C26" i="12" s="1"/>
  <c r="I25" i="12" a="1"/>
  <c r="J25" i="12" s="1"/>
  <c r="A25" i="12" a="1"/>
  <c r="D25" i="12" s="1"/>
  <c r="I24" i="12" a="1"/>
  <c r="I24" i="12" s="1"/>
  <c r="A24" i="12" a="1"/>
  <c r="E24" i="12" s="1"/>
  <c r="I23" i="12" a="1"/>
  <c r="K23" i="12" s="1"/>
  <c r="A23" i="12" a="1"/>
  <c r="A23" i="12" s="1"/>
  <c r="I22" i="12" a="1"/>
  <c r="M22" i="12" s="1"/>
  <c r="A22" i="12" a="1"/>
  <c r="D22" i="12" s="1"/>
  <c r="I21" i="12" a="1"/>
  <c r="A21" i="12" a="1"/>
  <c r="C21" i="12" s="1"/>
  <c r="I20" i="12" a="1"/>
  <c r="I20" i="12" s="1"/>
  <c r="A20" i="12" a="1"/>
  <c r="B20" i="12" s="1"/>
  <c r="I19" i="12" a="1"/>
  <c r="I19" i="12" s="1"/>
  <c r="A19" i="12" a="1"/>
  <c r="E19" i="12" s="1"/>
  <c r="I18" i="12" a="1"/>
  <c r="M18" i="12" s="1"/>
  <c r="A18" i="12" a="1"/>
  <c r="E18" i="12" s="1"/>
  <c r="I17" i="12" a="1"/>
  <c r="M17" i="12" s="1"/>
  <c r="A17" i="12" a="1"/>
  <c r="A17" i="12" s="1"/>
  <c r="I16" i="12" a="1"/>
  <c r="I16" i="12" s="1"/>
  <c r="A16" i="12" a="1"/>
  <c r="C16" i="12" s="1"/>
  <c r="I15" i="12" a="1"/>
  <c r="M15" i="12" s="1"/>
  <c r="A15" i="12" a="1"/>
  <c r="A15" i="12" s="1"/>
  <c r="I14" i="12" a="1"/>
  <c r="A14" i="12" a="1"/>
  <c r="C14" i="12" s="1"/>
  <c r="I13" i="12" a="1"/>
  <c r="M13" i="12" s="1"/>
  <c r="A13" i="12" a="1"/>
  <c r="C13" i="12" s="1"/>
  <c r="I12" i="12" a="1"/>
  <c r="I12" i="12" s="1"/>
  <c r="A12" i="12" a="1"/>
  <c r="E12" i="12" s="1"/>
  <c r="I11" i="12" a="1"/>
  <c r="M11" i="12" s="1"/>
  <c r="A11" i="12" a="1"/>
  <c r="E11" i="12" s="1"/>
  <c r="I10" i="12" a="1"/>
  <c r="M10" i="12" s="1"/>
  <c r="A10" i="12" a="1"/>
  <c r="B10" i="12" s="1"/>
  <c r="I9" i="12" a="1"/>
  <c r="A9" i="12" a="1"/>
  <c r="C9" i="12" s="1"/>
  <c r="I8" i="12" a="1"/>
  <c r="L8" i="12" s="1"/>
  <c r="A8" i="12" a="1"/>
  <c r="D8" i="12" s="1"/>
  <c r="I7" i="12" a="1"/>
  <c r="I7" i="12" s="1"/>
  <c r="A7" i="12" a="1"/>
  <c r="D7" i="12" s="1"/>
  <c r="I6" i="12" a="1"/>
  <c r="K6" i="12" s="1"/>
  <c r="A6" i="12" a="1"/>
  <c r="A6" i="12" s="1"/>
  <c r="I5" i="12" a="1"/>
  <c r="M5" i="12" s="1"/>
  <c r="A5" i="12" a="1"/>
  <c r="B5" i="12" s="1"/>
  <c r="I4" i="12" a="1"/>
  <c r="I4" i="12" s="1"/>
  <c r="A4" i="12" a="1"/>
  <c r="C4" i="12" s="1"/>
  <c r="I3" i="12" a="1"/>
  <c r="L3" i="12" s="1"/>
  <c r="A3" i="12" a="1"/>
  <c r="C3" i="12" s="1"/>
  <c r="I2" i="12" a="1"/>
  <c r="I2" i="12" s="1"/>
  <c r="A2" i="12" a="1"/>
  <c r="D2" i="12" s="1"/>
  <c r="AI21" i="12"/>
  <c r="P97" i="22" l="1"/>
  <c r="P98" i="22"/>
  <c r="P96" i="22"/>
  <c r="P106" i="22"/>
  <c r="P95" i="22"/>
  <c r="P99" i="22"/>
  <c r="P93" i="22"/>
  <c r="P88" i="22"/>
  <c r="P91" i="22"/>
  <c r="P100" i="22"/>
  <c r="P102" i="22"/>
  <c r="P92" i="22"/>
  <c r="P94" i="22"/>
  <c r="P89" i="22"/>
  <c r="P101" i="22"/>
  <c r="P103" i="22"/>
  <c r="I35" i="18"/>
  <c r="Q28" i="21"/>
  <c r="P28" i="21" s="1"/>
  <c r="Q11" i="21"/>
  <c r="P11" i="21" s="1"/>
  <c r="Q12" i="21"/>
  <c r="P12" i="21" s="1"/>
  <c r="Q14" i="21"/>
  <c r="P14" i="21" s="1"/>
  <c r="Q38" i="21"/>
  <c r="P38" i="21" s="1"/>
  <c r="Q15" i="21"/>
  <c r="P15" i="21" s="1"/>
  <c r="Q26" i="21"/>
  <c r="P26" i="21" s="1"/>
  <c r="Q16" i="21"/>
  <c r="P16" i="21" s="1"/>
  <c r="Q34" i="21"/>
  <c r="P34" i="21" s="1"/>
  <c r="Q9" i="21"/>
  <c r="P9" i="21" s="1"/>
  <c r="Q29" i="21"/>
  <c r="P29" i="21" s="1"/>
  <c r="Q22" i="21"/>
  <c r="P22" i="21" s="1"/>
  <c r="Q23" i="21"/>
  <c r="P23" i="21" s="1"/>
  <c r="Q33" i="21"/>
  <c r="P33" i="21" s="1"/>
  <c r="Q36" i="21"/>
  <c r="P36" i="21" s="1"/>
  <c r="Q6" i="21"/>
  <c r="Q10" i="21"/>
  <c r="P10" i="21" s="1"/>
  <c r="Q7" i="21"/>
  <c r="P7" i="21" s="1"/>
  <c r="Q20" i="21"/>
  <c r="P20" i="21" s="1"/>
  <c r="Q19" i="21"/>
  <c r="P19" i="21" s="1"/>
  <c r="Q17" i="21"/>
  <c r="P17" i="21" s="1"/>
  <c r="Q30" i="21"/>
  <c r="P30" i="21" s="1"/>
  <c r="Q27" i="21"/>
  <c r="P27" i="21" s="1"/>
  <c r="Q32" i="21"/>
  <c r="P32" i="21" s="1"/>
  <c r="Q37" i="21"/>
  <c r="P37" i="21" s="1"/>
  <c r="Q25" i="21"/>
  <c r="P25" i="21" s="1"/>
  <c r="Q24" i="21"/>
  <c r="P24" i="21" s="1"/>
  <c r="Q21" i="21"/>
  <c r="P21" i="21" s="1"/>
  <c r="Q35" i="21"/>
  <c r="P35" i="21" s="1"/>
  <c r="Q31" i="21"/>
  <c r="P31" i="21" s="1"/>
  <c r="K199" i="18"/>
  <c r="I239" i="18"/>
  <c r="D129" i="17"/>
  <c r="K127" i="18" s="1"/>
  <c r="D98" i="17"/>
  <c r="I96" i="18" s="1"/>
  <c r="I87" i="18"/>
  <c r="I267" i="18"/>
  <c r="I78" i="18"/>
  <c r="L2" i="18"/>
  <c r="H295" i="17"/>
  <c r="N3" i="17" s="1"/>
  <c r="C295" i="17"/>
  <c r="M3" i="17" s="1"/>
  <c r="G295" i="17"/>
  <c r="N2" i="17" s="1"/>
  <c r="B295" i="17"/>
  <c r="M2" i="17" s="1"/>
  <c r="D131" i="17"/>
  <c r="K129" i="18" s="1"/>
  <c r="K18" i="18"/>
  <c r="I18" i="18"/>
  <c r="I119" i="18"/>
  <c r="J219" i="18"/>
  <c r="L219" i="18"/>
  <c r="J61" i="18"/>
  <c r="L61" i="18"/>
  <c r="L99" i="18"/>
  <c r="J99" i="18"/>
  <c r="J40" i="18"/>
  <c r="L40" i="18"/>
  <c r="I201" i="18"/>
  <c r="K201" i="18"/>
  <c r="I51" i="18"/>
  <c r="K51" i="18"/>
  <c r="J254" i="18"/>
  <c r="L254" i="18"/>
  <c r="J201" i="18"/>
  <c r="L201" i="18"/>
  <c r="L292" i="18"/>
  <c r="J292" i="18"/>
  <c r="J62" i="18"/>
  <c r="L62" i="18"/>
  <c r="J269" i="18"/>
  <c r="L269" i="18"/>
  <c r="I40" i="18"/>
  <c r="K40" i="18"/>
  <c r="K19" i="18"/>
  <c r="I19" i="18"/>
  <c r="I204" i="18"/>
  <c r="K204" i="18"/>
  <c r="J233" i="18"/>
  <c r="L233" i="18"/>
  <c r="I279" i="18"/>
  <c r="K279" i="18"/>
  <c r="I232" i="18"/>
  <c r="K232" i="18"/>
  <c r="K62" i="18"/>
  <c r="I62" i="18"/>
  <c r="I284" i="18"/>
  <c r="K284" i="18"/>
  <c r="J265" i="18"/>
  <c r="L265" i="18"/>
  <c r="I10" i="18"/>
  <c r="K10" i="18"/>
  <c r="I243" i="18"/>
  <c r="K243" i="18"/>
  <c r="J220" i="18"/>
  <c r="L220" i="18"/>
  <c r="J234" i="18"/>
  <c r="L234" i="18"/>
  <c r="J10" i="18"/>
  <c r="L10" i="18"/>
  <c r="K212" i="18"/>
  <c r="I212" i="18"/>
  <c r="I278" i="18"/>
  <c r="K278" i="18"/>
  <c r="I50" i="18"/>
  <c r="K50" i="18"/>
  <c r="J285" i="18"/>
  <c r="L285" i="18"/>
  <c r="J46" i="18"/>
  <c r="L46" i="18"/>
  <c r="K20" i="18"/>
  <c r="I20" i="18"/>
  <c r="J71" i="18"/>
  <c r="L71" i="18"/>
  <c r="J239" i="18"/>
  <c r="L239" i="18"/>
  <c r="I223" i="18"/>
  <c r="K223" i="18"/>
  <c r="J24" i="18"/>
  <c r="L24" i="18"/>
  <c r="I251" i="18"/>
  <c r="K251" i="18"/>
  <c r="L80" i="18"/>
  <c r="J80" i="18"/>
  <c r="J247" i="18"/>
  <c r="L247" i="18"/>
  <c r="J121" i="18"/>
  <c r="L121" i="18"/>
  <c r="I224" i="18"/>
  <c r="K224" i="18"/>
  <c r="J30" i="18"/>
  <c r="L30" i="18"/>
  <c r="J279" i="18"/>
  <c r="L279" i="18"/>
  <c r="J284" i="18"/>
  <c r="L284" i="18"/>
  <c r="L43" i="18"/>
  <c r="J43" i="18"/>
  <c r="I43" i="18"/>
  <c r="K43" i="18"/>
  <c r="I26" i="18"/>
  <c r="K26" i="18"/>
  <c r="L20" i="18"/>
  <c r="J20" i="18"/>
  <c r="I273" i="18"/>
  <c r="K273" i="18"/>
  <c r="J228" i="18"/>
  <c r="L228" i="18"/>
  <c r="K209" i="18"/>
  <c r="I209" i="18"/>
  <c r="J91" i="18"/>
  <c r="L91" i="18"/>
  <c r="J33" i="18"/>
  <c r="L33" i="18"/>
  <c r="J50" i="18"/>
  <c r="L50" i="18"/>
  <c r="I4" i="18"/>
  <c r="K4" i="18"/>
  <c r="J197" i="18"/>
  <c r="L197" i="18"/>
  <c r="I275" i="18"/>
  <c r="K275" i="18"/>
  <c r="J47" i="18"/>
  <c r="L47" i="18"/>
  <c r="J25" i="18"/>
  <c r="L25" i="18"/>
  <c r="L290" i="18"/>
  <c r="J290" i="18"/>
  <c r="K210" i="18"/>
  <c r="I210" i="18"/>
  <c r="I207" i="18"/>
  <c r="K207" i="18"/>
  <c r="J89" i="18"/>
  <c r="L89" i="18"/>
  <c r="L250" i="18"/>
  <c r="J250" i="18"/>
  <c r="I231" i="18"/>
  <c r="K231" i="18"/>
  <c r="L38" i="18"/>
  <c r="J38" i="18"/>
  <c r="I6" i="18"/>
  <c r="K6" i="18"/>
  <c r="J95" i="18"/>
  <c r="L95" i="18"/>
  <c r="I8" i="18"/>
  <c r="K8" i="18"/>
  <c r="I246" i="18"/>
  <c r="K246" i="18"/>
  <c r="J227" i="18"/>
  <c r="L227" i="18"/>
  <c r="I249" i="18"/>
  <c r="K249" i="18"/>
  <c r="L72" i="18"/>
  <c r="J72" i="18"/>
  <c r="I276" i="18"/>
  <c r="K276" i="18"/>
  <c r="J211" i="18"/>
  <c r="L211" i="18"/>
  <c r="I64" i="18"/>
  <c r="K64" i="18"/>
  <c r="I244" i="18"/>
  <c r="K244" i="18"/>
  <c r="L16" i="18"/>
  <c r="J16" i="18"/>
  <c r="I195" i="18"/>
  <c r="K195" i="18"/>
  <c r="I57" i="18"/>
  <c r="K57" i="18"/>
  <c r="J240" i="18"/>
  <c r="L240" i="18"/>
  <c r="J35" i="18"/>
  <c r="L35" i="18"/>
  <c r="J7" i="18"/>
  <c r="L7" i="18"/>
  <c r="J117" i="18"/>
  <c r="L117" i="18"/>
  <c r="K22" i="18"/>
  <c r="I22" i="18"/>
  <c r="J70" i="18"/>
  <c r="L70" i="18"/>
  <c r="I33" i="18"/>
  <c r="K33" i="18"/>
  <c r="K271" i="18"/>
  <c r="I271" i="18"/>
  <c r="J276" i="18"/>
  <c r="L276" i="18"/>
  <c r="I266" i="18"/>
  <c r="K266" i="18"/>
  <c r="J111" i="18"/>
  <c r="L111" i="18"/>
  <c r="J74" i="18"/>
  <c r="L74" i="18"/>
  <c r="L231" i="18"/>
  <c r="J231" i="18"/>
  <c r="I47" i="18"/>
  <c r="K47" i="18"/>
  <c r="I7" i="18"/>
  <c r="K7" i="18"/>
  <c r="J84" i="18"/>
  <c r="L84" i="18"/>
  <c r="I238" i="18"/>
  <c r="K238" i="18"/>
  <c r="K272" i="18"/>
  <c r="I272" i="18"/>
  <c r="J283" i="18"/>
  <c r="L283" i="18"/>
  <c r="J204" i="18"/>
  <c r="L204" i="18"/>
  <c r="J246" i="18"/>
  <c r="L246" i="18"/>
  <c r="J34" i="18"/>
  <c r="L34" i="18"/>
  <c r="L272" i="18"/>
  <c r="J272" i="18"/>
  <c r="I41" i="18"/>
  <c r="K41" i="18"/>
  <c r="I264" i="18"/>
  <c r="K264" i="18"/>
  <c r="I288" i="18"/>
  <c r="K288" i="18"/>
  <c r="J268" i="18"/>
  <c r="L268" i="18"/>
  <c r="L205" i="18"/>
  <c r="J205" i="18"/>
  <c r="J209" i="18"/>
  <c r="L209" i="18"/>
  <c r="K31" i="18"/>
  <c r="I31" i="18"/>
  <c r="J88" i="18"/>
  <c r="L88" i="18"/>
  <c r="J60" i="18"/>
  <c r="L60" i="18"/>
  <c r="J259" i="18"/>
  <c r="L259" i="18"/>
  <c r="J42" i="18"/>
  <c r="L42" i="18"/>
  <c r="J57" i="18"/>
  <c r="L57" i="18"/>
  <c r="J278" i="18"/>
  <c r="L278" i="18"/>
  <c r="I52" i="18"/>
  <c r="K52" i="18"/>
  <c r="I30" i="18"/>
  <c r="K30" i="18"/>
  <c r="K208" i="18"/>
  <c r="I208" i="18"/>
  <c r="J66" i="18"/>
  <c r="L66" i="18"/>
  <c r="L113" i="18"/>
  <c r="J113" i="18"/>
  <c r="I59" i="18"/>
  <c r="K59" i="18"/>
  <c r="J125" i="18"/>
  <c r="L125" i="18"/>
  <c r="I256" i="18"/>
  <c r="K256" i="18"/>
  <c r="L252" i="18"/>
  <c r="J252" i="18"/>
  <c r="I13" i="18"/>
  <c r="K13" i="18"/>
  <c r="L232" i="18"/>
  <c r="J232" i="18"/>
  <c r="J244" i="18"/>
  <c r="L244" i="18"/>
  <c r="I63" i="18"/>
  <c r="K63" i="18"/>
  <c r="J266" i="18"/>
  <c r="L266" i="18"/>
  <c r="L78" i="18"/>
  <c r="J78" i="18"/>
  <c r="J51" i="18"/>
  <c r="L51" i="18"/>
  <c r="L291" i="18"/>
  <c r="J291" i="18"/>
  <c r="J109" i="18"/>
  <c r="L109" i="18"/>
  <c r="K60" i="18"/>
  <c r="I60" i="18"/>
  <c r="I14" i="18"/>
  <c r="K14" i="18"/>
  <c r="I245" i="18"/>
  <c r="K245" i="18"/>
  <c r="I34" i="18"/>
  <c r="K34" i="18"/>
  <c r="K227" i="18"/>
  <c r="I227" i="18"/>
  <c r="J97" i="18"/>
  <c r="L97" i="18"/>
  <c r="J101" i="18"/>
  <c r="L101" i="18"/>
  <c r="J270" i="18"/>
  <c r="L270" i="18"/>
  <c r="I37" i="18"/>
  <c r="K37" i="18"/>
  <c r="J258" i="18"/>
  <c r="L258" i="18"/>
  <c r="L289" i="18"/>
  <c r="J289" i="18"/>
  <c r="I66" i="18"/>
  <c r="K66" i="18"/>
  <c r="J123" i="18"/>
  <c r="L123" i="18"/>
  <c r="J271" i="18"/>
  <c r="L271" i="18"/>
  <c r="I289" i="18"/>
  <c r="K289" i="18"/>
  <c r="L103" i="18"/>
  <c r="J103" i="18"/>
  <c r="I250" i="18"/>
  <c r="K250" i="18"/>
  <c r="I219" i="18"/>
  <c r="K219" i="18"/>
  <c r="I24" i="18"/>
  <c r="K24" i="18"/>
  <c r="I53" i="18"/>
  <c r="K53" i="18"/>
  <c r="K61" i="18"/>
  <c r="I61" i="18"/>
  <c r="I11" i="18"/>
  <c r="K11" i="18"/>
  <c r="I23" i="18"/>
  <c r="K23" i="18"/>
  <c r="J214" i="18"/>
  <c r="L214" i="18"/>
  <c r="I221" i="18"/>
  <c r="K221" i="18"/>
  <c r="J203" i="18"/>
  <c r="L203" i="18"/>
  <c r="I240" i="18"/>
  <c r="K240" i="18"/>
  <c r="J13" i="18"/>
  <c r="L13" i="18"/>
  <c r="K211" i="18"/>
  <c r="I211" i="18"/>
  <c r="L81" i="18"/>
  <c r="J81" i="18"/>
  <c r="I265" i="18"/>
  <c r="K265" i="18"/>
  <c r="J55" i="18"/>
  <c r="L55" i="18"/>
  <c r="I45" i="18"/>
  <c r="K45" i="18"/>
  <c r="I5" i="18"/>
  <c r="K5" i="18"/>
  <c r="I259" i="18"/>
  <c r="K259" i="18"/>
  <c r="I236" i="18"/>
  <c r="K236" i="18"/>
  <c r="I197" i="18"/>
  <c r="K197" i="18"/>
  <c r="J281" i="18"/>
  <c r="L281" i="18"/>
  <c r="I203" i="18"/>
  <c r="K203" i="18"/>
  <c r="L241" i="18"/>
  <c r="J241" i="18"/>
  <c r="I286" i="18"/>
  <c r="K286" i="18"/>
  <c r="L221" i="18"/>
  <c r="J221" i="18"/>
  <c r="I29" i="18"/>
  <c r="K29" i="18"/>
  <c r="J73" i="18"/>
  <c r="L73" i="18"/>
  <c r="L18" i="18"/>
  <c r="J18" i="18"/>
  <c r="J222" i="18"/>
  <c r="L222" i="18"/>
  <c r="L105" i="18"/>
  <c r="J105" i="18"/>
  <c r="I38" i="18"/>
  <c r="K38" i="18"/>
  <c r="J235" i="18"/>
  <c r="L235" i="18"/>
  <c r="J65" i="18"/>
  <c r="L65" i="18"/>
  <c r="K55" i="18"/>
  <c r="I55" i="18"/>
  <c r="K15" i="18"/>
  <c r="I15" i="18"/>
  <c r="I217" i="18"/>
  <c r="K217" i="18"/>
  <c r="L3" i="18"/>
  <c r="J3" i="18"/>
  <c r="I248" i="18"/>
  <c r="K248" i="18"/>
  <c r="I56" i="18"/>
  <c r="K56" i="18"/>
  <c r="K268" i="18"/>
  <c r="I268" i="18"/>
  <c r="K16" i="18"/>
  <c r="I16" i="18"/>
  <c r="J5" i="18"/>
  <c r="L5" i="18"/>
  <c r="L248" i="18"/>
  <c r="J248" i="18"/>
  <c r="I233" i="18"/>
  <c r="K233" i="18"/>
  <c r="J253" i="18"/>
  <c r="L253" i="18"/>
  <c r="J28" i="18"/>
  <c r="L28" i="18"/>
  <c r="J261" i="18"/>
  <c r="L261" i="18"/>
  <c r="J280" i="18"/>
  <c r="L280" i="18"/>
  <c r="I242" i="18"/>
  <c r="K242" i="18"/>
  <c r="K21" i="18"/>
  <c r="I21" i="18"/>
  <c r="J75" i="18"/>
  <c r="L75" i="18"/>
  <c r="I260" i="18"/>
  <c r="K260" i="18"/>
  <c r="I25" i="18"/>
  <c r="K25" i="18"/>
  <c r="I241" i="18"/>
  <c r="K241" i="18"/>
  <c r="I48" i="18"/>
  <c r="K48" i="18"/>
  <c r="I291" i="18"/>
  <c r="K291" i="18"/>
  <c r="J8" i="18"/>
  <c r="L8" i="18"/>
  <c r="I228" i="18"/>
  <c r="K228" i="18"/>
  <c r="J12" i="18"/>
  <c r="L12" i="18"/>
  <c r="I49" i="18"/>
  <c r="K49" i="18"/>
  <c r="J14" i="18"/>
  <c r="L14" i="18"/>
  <c r="I28" i="18"/>
  <c r="K28" i="18"/>
  <c r="J48" i="18"/>
  <c r="L48" i="18"/>
  <c r="J93" i="18"/>
  <c r="L93" i="18"/>
  <c r="K247" i="18"/>
  <c r="I247" i="18"/>
  <c r="I54" i="18"/>
  <c r="K54" i="18"/>
  <c r="J207" i="18"/>
  <c r="L207" i="18"/>
  <c r="J37" i="18"/>
  <c r="L37" i="18"/>
  <c r="K287" i="18"/>
  <c r="I287" i="18"/>
  <c r="J45" i="18"/>
  <c r="L45" i="18"/>
  <c r="I290" i="18"/>
  <c r="K290" i="18"/>
  <c r="L199" i="18"/>
  <c r="J199" i="18"/>
  <c r="L19" i="18"/>
  <c r="J19" i="18"/>
  <c r="J26" i="18"/>
  <c r="L26" i="18"/>
  <c r="L58" i="18"/>
  <c r="J58" i="18"/>
  <c r="L21" i="18"/>
  <c r="J21" i="18"/>
  <c r="K213" i="18"/>
  <c r="I213" i="18"/>
  <c r="L23" i="18"/>
  <c r="J23" i="18"/>
  <c r="L63" i="18"/>
  <c r="J63" i="18"/>
  <c r="I218" i="18"/>
  <c r="K218" i="18"/>
  <c r="I46" i="18"/>
  <c r="K46" i="18"/>
  <c r="J68" i="18"/>
  <c r="L68" i="18"/>
  <c r="I257" i="18"/>
  <c r="K257" i="18"/>
  <c r="I3" i="18"/>
  <c r="K3" i="18"/>
  <c r="I65" i="18"/>
  <c r="K65" i="18"/>
  <c r="K214" i="18"/>
  <c r="I214" i="18"/>
  <c r="J257" i="18"/>
  <c r="L257" i="18"/>
  <c r="J77" i="18"/>
  <c r="L77" i="18"/>
  <c r="K254" i="18"/>
  <c r="I254" i="18"/>
  <c r="I262" i="18"/>
  <c r="K262" i="18"/>
  <c r="J260" i="18"/>
  <c r="L260" i="18"/>
  <c r="J255" i="18"/>
  <c r="L255" i="18"/>
  <c r="L92" i="18"/>
  <c r="J92" i="18"/>
  <c r="J44" i="18"/>
  <c r="L44" i="18"/>
  <c r="I9" i="18"/>
  <c r="K9" i="18"/>
  <c r="J39" i="18"/>
  <c r="L39" i="18"/>
  <c r="I229" i="18"/>
  <c r="K229" i="18"/>
  <c r="J69" i="18"/>
  <c r="L69" i="18"/>
  <c r="J273" i="18"/>
  <c r="L273" i="18"/>
  <c r="I253" i="18"/>
  <c r="K253" i="18"/>
  <c r="L83" i="18"/>
  <c r="J83" i="18"/>
  <c r="J195" i="18"/>
  <c r="L195" i="18"/>
  <c r="L22" i="18"/>
  <c r="J22" i="18"/>
  <c r="I222" i="18"/>
  <c r="K222" i="18"/>
  <c r="L82" i="18"/>
  <c r="J82" i="18"/>
  <c r="K270" i="18"/>
  <c r="I270" i="18"/>
  <c r="J277" i="18"/>
  <c r="L277" i="18"/>
  <c r="J206" i="18"/>
  <c r="L206" i="18"/>
  <c r="J11" i="18"/>
  <c r="L11" i="18"/>
  <c r="J9" i="18"/>
  <c r="L9" i="18"/>
  <c r="J287" i="18"/>
  <c r="L287" i="18"/>
  <c r="J208" i="18"/>
  <c r="L208" i="18"/>
  <c r="J90" i="18"/>
  <c r="L90" i="18"/>
  <c r="J6" i="18"/>
  <c r="L6" i="18"/>
  <c r="L107" i="18"/>
  <c r="J107" i="18"/>
  <c r="I237" i="18"/>
  <c r="K237" i="18"/>
  <c r="J87" i="18"/>
  <c r="L87" i="18"/>
  <c r="J225" i="18"/>
  <c r="L225" i="18"/>
  <c r="J56" i="18"/>
  <c r="L56" i="18"/>
  <c r="L229" i="18"/>
  <c r="J229" i="18"/>
  <c r="J213" i="18"/>
  <c r="L213" i="18"/>
  <c r="I285" i="18"/>
  <c r="K285" i="18"/>
  <c r="K39" i="18"/>
  <c r="I39" i="18"/>
  <c r="I58" i="18"/>
  <c r="K58" i="18"/>
  <c r="I17" i="18"/>
  <c r="K17" i="18"/>
  <c r="J17" i="18"/>
  <c r="L17" i="18"/>
  <c r="L15" i="18"/>
  <c r="J15" i="18"/>
  <c r="J243" i="18"/>
  <c r="L243" i="18"/>
  <c r="J223" i="18"/>
  <c r="L223" i="18"/>
  <c r="J275" i="18"/>
  <c r="L275" i="18"/>
  <c r="J119" i="18"/>
  <c r="L119" i="18"/>
  <c r="I261" i="18"/>
  <c r="K261" i="18"/>
  <c r="L212" i="18"/>
  <c r="J212" i="18"/>
  <c r="I226" i="18"/>
  <c r="K226" i="18"/>
  <c r="J86" i="18"/>
  <c r="L86" i="18"/>
  <c r="J4" i="18"/>
  <c r="L4" i="18"/>
  <c r="J29" i="18"/>
  <c r="L29" i="18"/>
  <c r="J53" i="18"/>
  <c r="L53" i="18"/>
  <c r="I281" i="18"/>
  <c r="K281" i="18"/>
  <c r="I12" i="18"/>
  <c r="K12" i="18"/>
  <c r="J236" i="18"/>
  <c r="L236" i="18"/>
  <c r="I205" i="18"/>
  <c r="K205" i="18"/>
  <c r="J216" i="18"/>
  <c r="L216" i="18"/>
  <c r="J217" i="18"/>
  <c r="L217" i="18"/>
  <c r="J27" i="18"/>
  <c r="L27" i="18"/>
  <c r="J49" i="18"/>
  <c r="L49" i="18"/>
  <c r="L288" i="18"/>
  <c r="J288" i="18"/>
  <c r="I206" i="18"/>
  <c r="K206" i="18"/>
  <c r="J210" i="18"/>
  <c r="L210" i="18"/>
  <c r="L32" i="18"/>
  <c r="J32" i="18"/>
  <c r="L230" i="18"/>
  <c r="J230" i="18"/>
  <c r="I2" i="18"/>
  <c r="K2" i="18"/>
  <c r="J115" i="18"/>
  <c r="L115" i="18"/>
  <c r="J64" i="18"/>
  <c r="L64" i="18"/>
  <c r="I44" i="18"/>
  <c r="K44" i="18"/>
  <c r="J224" i="18"/>
  <c r="L224" i="18"/>
  <c r="L251" i="18"/>
  <c r="J251" i="18"/>
  <c r="I225" i="18"/>
  <c r="K225" i="18"/>
  <c r="L36" i="18"/>
  <c r="J36" i="18"/>
  <c r="J242" i="18"/>
  <c r="L242" i="18"/>
  <c r="I283" i="18"/>
  <c r="K283" i="18"/>
  <c r="J226" i="18"/>
  <c r="L226" i="18"/>
  <c r="I282" i="18"/>
  <c r="K282" i="18"/>
  <c r="K42" i="18"/>
  <c r="I42" i="18"/>
  <c r="J54" i="18"/>
  <c r="L54" i="18"/>
  <c r="J85" i="18"/>
  <c r="L85" i="18"/>
  <c r="I263" i="18"/>
  <c r="K263" i="18"/>
  <c r="I277" i="18"/>
  <c r="K277" i="18"/>
  <c r="J267" i="18"/>
  <c r="L267" i="18"/>
  <c r="L79" i="18"/>
  <c r="J79" i="18"/>
  <c r="J218" i="18"/>
  <c r="L218" i="18"/>
  <c r="J41" i="18"/>
  <c r="L41" i="18"/>
  <c r="J238" i="18"/>
  <c r="L238" i="18"/>
  <c r="I220" i="18"/>
  <c r="K220" i="18"/>
  <c r="J237" i="18"/>
  <c r="L237" i="18"/>
  <c r="J264" i="18"/>
  <c r="L264" i="18"/>
  <c r="K36" i="18"/>
  <c r="I36" i="18"/>
  <c r="J215" i="18"/>
  <c r="L215" i="18"/>
  <c r="I255" i="18"/>
  <c r="K255" i="18"/>
  <c r="K234" i="18"/>
  <c r="I234" i="18"/>
  <c r="L76" i="18"/>
  <c r="J76" i="18"/>
  <c r="I216" i="18"/>
  <c r="K216" i="18"/>
  <c r="J256" i="18"/>
  <c r="L256" i="18"/>
  <c r="I215" i="18"/>
  <c r="K215" i="18"/>
  <c r="J67" i="18"/>
  <c r="L67" i="18"/>
  <c r="K269" i="18"/>
  <c r="I269" i="18"/>
  <c r="L52" i="18"/>
  <c r="J52" i="18"/>
  <c r="J263" i="18"/>
  <c r="L263" i="18"/>
  <c r="L249" i="18"/>
  <c r="J249" i="18"/>
  <c r="J245" i="18"/>
  <c r="L245" i="18"/>
  <c r="L59" i="18"/>
  <c r="J59" i="18"/>
  <c r="J274" i="18"/>
  <c r="L274" i="18"/>
  <c r="J31" i="18"/>
  <c r="L31" i="18"/>
  <c r="I32" i="18"/>
  <c r="K32" i="18"/>
  <c r="J262" i="18"/>
  <c r="L262" i="18"/>
  <c r="J282" i="18"/>
  <c r="L282" i="18"/>
  <c r="I252" i="18"/>
  <c r="K252" i="18"/>
  <c r="I292" i="18"/>
  <c r="K292" i="18"/>
  <c r="K274" i="18"/>
  <c r="I274" i="18"/>
  <c r="J286" i="18"/>
  <c r="L286" i="18"/>
  <c r="I235" i="18"/>
  <c r="K235" i="18"/>
  <c r="K109" i="18"/>
  <c r="I109" i="18"/>
  <c r="K70" i="18"/>
  <c r="I70" i="18"/>
  <c r="I80" i="18"/>
  <c r="K80" i="18"/>
  <c r="I72" i="18"/>
  <c r="K72" i="18"/>
  <c r="K82" i="18"/>
  <c r="I82" i="18"/>
  <c r="K75" i="18"/>
  <c r="I75" i="18"/>
  <c r="I79" i="18"/>
  <c r="K79" i="18"/>
  <c r="I105" i="18"/>
  <c r="K105" i="18"/>
  <c r="K86" i="18"/>
  <c r="I86" i="18"/>
  <c r="K111" i="18"/>
  <c r="I111" i="18"/>
  <c r="I67" i="18"/>
  <c r="K67" i="18"/>
  <c r="K85" i="18"/>
  <c r="I85" i="18"/>
  <c r="K103" i="18"/>
  <c r="I103" i="18"/>
  <c r="I92" i="18"/>
  <c r="K92" i="18"/>
  <c r="K88" i="18"/>
  <c r="I88" i="18"/>
  <c r="K95" i="18"/>
  <c r="I95" i="18"/>
  <c r="K91" i="18"/>
  <c r="I91" i="18"/>
  <c r="K90" i="18"/>
  <c r="I90" i="18"/>
  <c r="K101" i="18"/>
  <c r="I101" i="18"/>
  <c r="K115" i="18"/>
  <c r="I115" i="18"/>
  <c r="K81" i="18"/>
  <c r="I81" i="18"/>
  <c r="K83" i="18"/>
  <c r="I83" i="18"/>
  <c r="I121" i="18"/>
  <c r="K121" i="18"/>
  <c r="I73" i="18"/>
  <c r="K73" i="18"/>
  <c r="I123" i="18"/>
  <c r="K123" i="18"/>
  <c r="K89" i="18"/>
  <c r="I89" i="18"/>
  <c r="K76" i="18"/>
  <c r="I76" i="18"/>
  <c r="K74" i="18"/>
  <c r="I74" i="18"/>
  <c r="K71" i="18"/>
  <c r="I71" i="18"/>
  <c r="K117" i="18"/>
  <c r="I117" i="18"/>
  <c r="K99" i="18"/>
  <c r="I99" i="18"/>
  <c r="K84" i="18"/>
  <c r="I84" i="18"/>
  <c r="K69" i="18"/>
  <c r="I69" i="18"/>
  <c r="I68" i="18"/>
  <c r="K68" i="18"/>
  <c r="I97" i="18"/>
  <c r="K97" i="18"/>
  <c r="K113" i="18"/>
  <c r="I113" i="18"/>
  <c r="K125" i="18"/>
  <c r="I125" i="18"/>
  <c r="I107" i="18"/>
  <c r="K107" i="18"/>
  <c r="I93" i="18"/>
  <c r="K93" i="18"/>
  <c r="I77" i="18"/>
  <c r="K77" i="18"/>
  <c r="J96" i="18"/>
  <c r="L96" i="18"/>
  <c r="L94" i="18"/>
  <c r="J94" i="18"/>
  <c r="K94" i="18"/>
  <c r="I94" i="18"/>
  <c r="J169" i="18"/>
  <c r="L169" i="18"/>
  <c r="L171" i="18"/>
  <c r="J171" i="18"/>
  <c r="K179" i="18"/>
  <c r="I179" i="18"/>
  <c r="J173" i="18"/>
  <c r="L173" i="18"/>
  <c r="L175" i="18"/>
  <c r="J175" i="18"/>
  <c r="J185" i="18"/>
  <c r="L185" i="18"/>
  <c r="I187" i="18"/>
  <c r="K187" i="18"/>
  <c r="I175" i="18"/>
  <c r="K175" i="18"/>
  <c r="L179" i="18"/>
  <c r="J179" i="18"/>
  <c r="J191" i="18"/>
  <c r="L191" i="18"/>
  <c r="L177" i="18"/>
  <c r="J177" i="18"/>
  <c r="J183" i="18"/>
  <c r="L183" i="18"/>
  <c r="L193" i="18"/>
  <c r="J193" i="18"/>
  <c r="K189" i="18"/>
  <c r="I189" i="18"/>
  <c r="I169" i="18"/>
  <c r="K169" i="18"/>
  <c r="K173" i="18"/>
  <c r="I173" i="18"/>
  <c r="K183" i="18"/>
  <c r="I183" i="18"/>
  <c r="K181" i="18"/>
  <c r="I181" i="18"/>
  <c r="L181" i="18"/>
  <c r="J181" i="18"/>
  <c r="L189" i="18"/>
  <c r="J189" i="18"/>
  <c r="K193" i="18"/>
  <c r="I193" i="18"/>
  <c r="K191" i="18"/>
  <c r="I191" i="18"/>
  <c r="I171" i="18"/>
  <c r="K171" i="18"/>
  <c r="J187" i="18"/>
  <c r="L187" i="18"/>
  <c r="I177" i="18"/>
  <c r="K177" i="18"/>
  <c r="K185" i="18"/>
  <c r="I185" i="18"/>
  <c r="L127" i="18"/>
  <c r="J127" i="18"/>
  <c r="L129" i="18"/>
  <c r="J129" i="18"/>
  <c r="F158" i="17"/>
  <c r="F48" i="10"/>
  <c r="F122" i="17"/>
  <c r="D184" i="17"/>
  <c r="D188" i="17"/>
  <c r="D182" i="17"/>
  <c r="F116" i="17"/>
  <c r="D21" i="12"/>
  <c r="D190" i="17"/>
  <c r="D108" i="17"/>
  <c r="F118" i="17"/>
  <c r="F114" i="17"/>
  <c r="D198" i="17"/>
  <c r="F120" i="17"/>
  <c r="D204" i="17"/>
  <c r="D194" i="17"/>
  <c r="F108" i="17"/>
  <c r="F104" i="17"/>
  <c r="D152" i="17"/>
  <c r="F112" i="17"/>
  <c r="F134" i="17"/>
  <c r="F124" i="17"/>
  <c r="F135" i="17"/>
  <c r="D174" i="17"/>
  <c r="D139" i="17"/>
  <c r="F136" i="17"/>
  <c r="F126" i="17"/>
  <c r="D200" i="17"/>
  <c r="D202" i="17"/>
  <c r="D134" i="17"/>
  <c r="F194" i="17"/>
  <c r="F184" i="17"/>
  <c r="F100" i="17"/>
  <c r="D148" i="17"/>
  <c r="F143" i="17"/>
  <c r="D100" i="17"/>
  <c r="F102" i="17"/>
  <c r="F106" i="17"/>
  <c r="F110" i="17"/>
  <c r="D112" i="17"/>
  <c r="D110" i="17"/>
  <c r="D118" i="17"/>
  <c r="D137" i="17"/>
  <c r="D180" i="17"/>
  <c r="D132" i="17"/>
  <c r="F151" i="17"/>
  <c r="D116" i="17"/>
  <c r="D114" i="17"/>
  <c r="F196" i="17"/>
  <c r="D165" i="17"/>
  <c r="D157" i="17"/>
  <c r="F139" i="17"/>
  <c r="F192" i="17"/>
  <c r="D141" i="17"/>
  <c r="F146" i="17"/>
  <c r="F165" i="17"/>
  <c r="D120" i="17"/>
  <c r="F198" i="17"/>
  <c r="D160" i="17"/>
  <c r="F202" i="17"/>
  <c r="D163" i="17"/>
  <c r="F128" i="17"/>
  <c r="F188" i="17"/>
  <c r="D126" i="17"/>
  <c r="D133" i="17"/>
  <c r="D145" i="17"/>
  <c r="D146" i="17"/>
  <c r="D122" i="17"/>
  <c r="D128" i="17"/>
  <c r="I126" i="18" s="1"/>
  <c r="D151" i="17"/>
  <c r="D130" i="17"/>
  <c r="F166" i="17"/>
  <c r="J164" i="18" s="1"/>
  <c r="D124" i="17"/>
  <c r="F160" i="17"/>
  <c r="D135" i="17"/>
  <c r="D144" i="17"/>
  <c r="F172" i="17"/>
  <c r="F155" i="17"/>
  <c r="F178" i="17"/>
  <c r="D168" i="17"/>
  <c r="F152" i="17"/>
  <c r="D153" i="17"/>
  <c r="D186" i="17"/>
  <c r="F148" i="17"/>
  <c r="D176" i="17"/>
  <c r="F204" i="17"/>
  <c r="F180" i="17"/>
  <c r="D156" i="17"/>
  <c r="F157" i="17"/>
  <c r="F200" i="17"/>
  <c r="F130" i="17"/>
  <c r="F138" i="17"/>
  <c r="D169" i="17"/>
  <c r="D161" i="17"/>
  <c r="D178" i="17"/>
  <c r="D196" i="17"/>
  <c r="F140" i="17"/>
  <c r="D102" i="17"/>
  <c r="F163" i="17"/>
  <c r="J161" i="18" s="1"/>
  <c r="F149" i="17"/>
  <c r="D192" i="17"/>
  <c r="D170" i="17"/>
  <c r="D136" i="17"/>
  <c r="F162" i="17"/>
  <c r="F170" i="17"/>
  <c r="D140" i="17"/>
  <c r="F190" i="17"/>
  <c r="F182" i="17"/>
  <c r="F186" i="17"/>
  <c r="F133" i="17"/>
  <c r="D172" i="17"/>
  <c r="D104" i="17"/>
  <c r="F161" i="17"/>
  <c r="D149" i="17"/>
  <c r="D155" i="17"/>
  <c r="D167" i="17"/>
  <c r="F145" i="17"/>
  <c r="D106" i="17"/>
  <c r="D150" i="17"/>
  <c r="F154" i="17"/>
  <c r="J152" i="18" s="1"/>
  <c r="F176" i="17"/>
  <c r="F174" i="17"/>
  <c r="F137" i="17"/>
  <c r="F147" i="17"/>
  <c r="D142" i="17"/>
  <c r="D159" i="17"/>
  <c r="D154" i="17"/>
  <c r="D143" i="17"/>
  <c r="D147" i="17"/>
  <c r="F153" i="17"/>
  <c r="F144" i="17"/>
  <c r="D158" i="17"/>
  <c r="D164" i="17"/>
  <c r="D162" i="17"/>
  <c r="D138" i="17"/>
  <c r="D166" i="17"/>
  <c r="F156" i="17"/>
  <c r="F141" i="17"/>
  <c r="F169" i="17"/>
  <c r="F159" i="17"/>
  <c r="F168" i="17"/>
  <c r="F132" i="17"/>
  <c r="F167" i="17"/>
  <c r="F164" i="17"/>
  <c r="F150" i="17"/>
  <c r="F142" i="17"/>
  <c r="D54" i="10"/>
  <c r="D44" i="10"/>
  <c r="D43" i="10"/>
  <c r="D53" i="10"/>
  <c r="F54" i="10"/>
  <c r="D56" i="10"/>
  <c r="D46" i="10"/>
  <c r="M2" i="12"/>
  <c r="D4" i="12"/>
  <c r="M19" i="12"/>
  <c r="J19" i="12"/>
  <c r="D23" i="12"/>
  <c r="E23" i="12"/>
  <c r="C23" i="12"/>
  <c r="J2" i="12"/>
  <c r="K19" i="12"/>
  <c r="B23" i="12"/>
  <c r="K2" i="12"/>
  <c r="L2" i="12"/>
  <c r="L19" i="12"/>
  <c r="E4" i="12"/>
  <c r="E21" i="12"/>
  <c r="F21" i="12" s="1"/>
  <c r="D50" i="10"/>
  <c r="F59" i="10"/>
  <c r="D47" i="10"/>
  <c r="F61" i="10"/>
  <c r="F60" i="10"/>
  <c r="D58" i="10"/>
  <c r="F57" i="10"/>
  <c r="D52" i="10"/>
  <c r="D51" i="10"/>
  <c r="D60" i="10"/>
  <c r="D49" i="10"/>
  <c r="D57" i="10"/>
  <c r="F56" i="10"/>
  <c r="D59" i="10"/>
  <c r="D48" i="10"/>
  <c r="D55" i="10"/>
  <c r="D45" i="10"/>
  <c r="F55" i="10"/>
  <c r="F58" i="10"/>
  <c r="F53" i="10"/>
  <c r="F43" i="10"/>
  <c r="F47" i="10"/>
  <c r="D61" i="10"/>
  <c r="F51" i="10"/>
  <c r="F46" i="10"/>
  <c r="F52" i="10"/>
  <c r="F50" i="10"/>
  <c r="F49" i="10"/>
  <c r="F45" i="10"/>
  <c r="F44" i="10"/>
  <c r="E68" i="12"/>
  <c r="D68" i="12"/>
  <c r="B68" i="12"/>
  <c r="A68" i="12"/>
  <c r="C11" i="12"/>
  <c r="A11" i="12"/>
  <c r="B11" i="12"/>
  <c r="D11" i="12"/>
  <c r="K29" i="12"/>
  <c r="J29" i="12"/>
  <c r="B6" i="12"/>
  <c r="C6" i="12"/>
  <c r="D6" i="12"/>
  <c r="E6" i="12"/>
  <c r="E58" i="12"/>
  <c r="J24" i="12"/>
  <c r="D58" i="12"/>
  <c r="A53" i="12"/>
  <c r="B53" i="12"/>
  <c r="D53" i="12"/>
  <c r="E53" i="12"/>
  <c r="K24" i="12"/>
  <c r="M24" i="12"/>
  <c r="C58" i="12"/>
  <c r="L24" i="12"/>
  <c r="L29" i="12"/>
  <c r="M29" i="12"/>
  <c r="D63" i="12"/>
  <c r="B63" i="12"/>
  <c r="C63" i="12"/>
  <c r="E63" i="12"/>
  <c r="E48" i="12"/>
  <c r="F48" i="12" s="1"/>
  <c r="K34" i="12"/>
  <c r="L34" i="12"/>
  <c r="E16" i="12"/>
  <c r="M39" i="12"/>
  <c r="L44" i="12"/>
  <c r="J54" i="12"/>
  <c r="M44" i="12"/>
  <c r="J59" i="12"/>
  <c r="E31" i="12"/>
  <c r="L59" i="12"/>
  <c r="B18" i="12"/>
  <c r="E46" i="12"/>
  <c r="J39" i="12"/>
  <c r="K49" i="12"/>
  <c r="K54" i="12"/>
  <c r="L54" i="12"/>
  <c r="D36" i="12"/>
  <c r="M54" i="12"/>
  <c r="L7" i="12"/>
  <c r="A18" i="12"/>
  <c r="C18" i="12"/>
  <c r="A28" i="12"/>
  <c r="E9" i="12"/>
  <c r="D14" i="12"/>
  <c r="D28" i="12"/>
  <c r="C33" i="12"/>
  <c r="B38" i="12"/>
  <c r="A43" i="12"/>
  <c r="E66" i="12"/>
  <c r="D71" i="12"/>
  <c r="J44" i="12"/>
  <c r="D31" i="12"/>
  <c r="J64" i="12"/>
  <c r="J12" i="12"/>
  <c r="E36" i="12"/>
  <c r="K69" i="12"/>
  <c r="M7" i="12"/>
  <c r="D18" i="12"/>
  <c r="F18" i="12" s="1"/>
  <c r="B28" i="12"/>
  <c r="E56" i="12"/>
  <c r="D61" i="12"/>
  <c r="D66" i="12"/>
  <c r="E14" i="12"/>
  <c r="E28" i="12"/>
  <c r="D33" i="12"/>
  <c r="C38" i="12"/>
  <c r="B43" i="12"/>
  <c r="A48" i="12"/>
  <c r="E71" i="12"/>
  <c r="B16" i="12"/>
  <c r="D16" i="12"/>
  <c r="M34" i="12"/>
  <c r="J49" i="12"/>
  <c r="L49" i="12"/>
  <c r="J7" i="12"/>
  <c r="M59" i="12"/>
  <c r="E41" i="12"/>
  <c r="M64" i="12"/>
  <c r="M69" i="12"/>
  <c r="E51" i="12"/>
  <c r="E61" i="12"/>
  <c r="E33" i="12"/>
  <c r="D38" i="12"/>
  <c r="C43" i="12"/>
  <c r="B48" i="12"/>
  <c r="L39" i="12"/>
  <c r="K44" i="12"/>
  <c r="E26" i="12"/>
  <c r="M49" i="12"/>
  <c r="K64" i="12"/>
  <c r="D41" i="12"/>
  <c r="L64" i="12"/>
  <c r="L12" i="12"/>
  <c r="E38" i="12"/>
  <c r="D43" i="12"/>
  <c r="F43" i="12" s="1"/>
  <c r="C48" i="12"/>
  <c r="A58" i="12"/>
  <c r="A16" i="12"/>
  <c r="J34" i="12"/>
  <c r="K39" i="12"/>
  <c r="D26" i="12"/>
  <c r="K59" i="12"/>
  <c r="K7" i="12"/>
  <c r="J69" i="12"/>
  <c r="K12" i="12"/>
  <c r="D46" i="12"/>
  <c r="L69" i="12"/>
  <c r="M12" i="12"/>
  <c r="D51" i="12"/>
  <c r="D56" i="12"/>
  <c r="A33" i="12"/>
  <c r="D9" i="12"/>
  <c r="L56" i="12"/>
  <c r="J56" i="12"/>
  <c r="I56" i="12"/>
  <c r="M56" i="12"/>
  <c r="K56" i="12"/>
  <c r="I21" i="12"/>
  <c r="L21" i="12"/>
  <c r="J21" i="12"/>
  <c r="K21" i="12"/>
  <c r="M21" i="12"/>
  <c r="L31" i="12"/>
  <c r="K31" i="12"/>
  <c r="I31" i="12"/>
  <c r="M31" i="12"/>
  <c r="J31" i="12"/>
  <c r="L61" i="12"/>
  <c r="J61" i="12"/>
  <c r="I61" i="12"/>
  <c r="K61" i="12"/>
  <c r="M61" i="12"/>
  <c r="M26" i="12"/>
  <c r="I26" i="12"/>
  <c r="L26" i="12"/>
  <c r="K26" i="12"/>
  <c r="J26" i="12"/>
  <c r="L41" i="12"/>
  <c r="I41" i="12"/>
  <c r="K41" i="12"/>
  <c r="M41" i="12"/>
  <c r="J41" i="12"/>
  <c r="M66" i="12"/>
  <c r="L66" i="12"/>
  <c r="J66" i="12"/>
  <c r="K66" i="12"/>
  <c r="I66" i="12"/>
  <c r="J14" i="12"/>
  <c r="M14" i="12"/>
  <c r="L14" i="12"/>
  <c r="I14" i="12"/>
  <c r="K14" i="12"/>
  <c r="J71" i="12"/>
  <c r="K71" i="12"/>
  <c r="I71" i="12"/>
  <c r="M71" i="12"/>
  <c r="L71" i="12"/>
  <c r="K36" i="12"/>
  <c r="I36" i="12"/>
  <c r="M36" i="12"/>
  <c r="L36" i="12"/>
  <c r="J36" i="12"/>
  <c r="L46" i="12"/>
  <c r="K46" i="12"/>
  <c r="I46" i="12"/>
  <c r="M46" i="12"/>
  <c r="J46" i="12"/>
  <c r="K51" i="12"/>
  <c r="J51" i="12"/>
  <c r="L51" i="12"/>
  <c r="I51" i="12"/>
  <c r="M51" i="12"/>
  <c r="K4" i="12"/>
  <c r="L4" i="12"/>
  <c r="J4" i="12"/>
  <c r="M4" i="12"/>
  <c r="I9" i="12"/>
  <c r="K9" i="12"/>
  <c r="L9" i="12"/>
  <c r="M9" i="12"/>
  <c r="J9" i="12"/>
  <c r="A3" i="12"/>
  <c r="B8" i="12"/>
  <c r="J58" i="12"/>
  <c r="E13" i="12"/>
  <c r="E30" i="12"/>
  <c r="E40" i="12"/>
  <c r="K43" i="12"/>
  <c r="A47" i="12"/>
  <c r="K48" i="12"/>
  <c r="E50" i="12"/>
  <c r="F50" i="12" s="1"/>
  <c r="A52" i="12"/>
  <c r="K53" i="12"/>
  <c r="E55" i="12"/>
  <c r="A57" i="12"/>
  <c r="K58" i="12"/>
  <c r="E60" i="12"/>
  <c r="A62" i="12"/>
  <c r="K63" i="12"/>
  <c r="E65" i="12"/>
  <c r="A67" i="12"/>
  <c r="K68" i="12"/>
  <c r="E70" i="12"/>
  <c r="A72" i="12"/>
  <c r="A20" i="12"/>
  <c r="B3" i="12"/>
  <c r="B35" i="12"/>
  <c r="B50" i="12"/>
  <c r="B70" i="12"/>
  <c r="I33" i="12"/>
  <c r="A5" i="12"/>
  <c r="K16" i="12"/>
  <c r="M6" i="12"/>
  <c r="I13" i="12"/>
  <c r="C22" i="12"/>
  <c r="C27" i="12"/>
  <c r="M33" i="12"/>
  <c r="I40" i="12"/>
  <c r="C47" i="12"/>
  <c r="I50" i="12"/>
  <c r="I55" i="12"/>
  <c r="M63" i="12"/>
  <c r="D5" i="12"/>
  <c r="J20" i="12"/>
  <c r="J35" i="12"/>
  <c r="J65" i="12"/>
  <c r="J70" i="12"/>
  <c r="A25" i="12"/>
  <c r="B25" i="12"/>
  <c r="C8" i="12"/>
  <c r="I23" i="12"/>
  <c r="C70" i="12"/>
  <c r="D3" i="12"/>
  <c r="D30" i="12"/>
  <c r="D45" i="12"/>
  <c r="F45" i="12" s="1"/>
  <c r="J48" i="12"/>
  <c r="J53" i="12"/>
  <c r="D60" i="12"/>
  <c r="K11" i="12"/>
  <c r="E35" i="12"/>
  <c r="F35" i="12" s="1"/>
  <c r="L18" i="12"/>
  <c r="H18" i="12" s="1"/>
  <c r="B27" i="12"/>
  <c r="L43" i="12"/>
  <c r="L53" i="12"/>
  <c r="L68" i="12"/>
  <c r="C5" i="12"/>
  <c r="C15" i="12"/>
  <c r="I25" i="12"/>
  <c r="I35" i="12"/>
  <c r="M43" i="12"/>
  <c r="M53" i="12"/>
  <c r="I70" i="12"/>
  <c r="J13" i="12"/>
  <c r="D27" i="12"/>
  <c r="J40" i="12"/>
  <c r="D72" i="12"/>
  <c r="A2" i="12"/>
  <c r="K3" i="12"/>
  <c r="E5" i="12"/>
  <c r="A7" i="12"/>
  <c r="K8" i="12"/>
  <c r="E10" i="12"/>
  <c r="A12" i="12"/>
  <c r="K13" i="12"/>
  <c r="E15" i="12"/>
  <c r="A19" i="12"/>
  <c r="K20" i="12"/>
  <c r="E22" i="12"/>
  <c r="F22" i="12" s="1"/>
  <c r="A24" i="12"/>
  <c r="K25" i="12"/>
  <c r="E27" i="12"/>
  <c r="A29" i="12"/>
  <c r="K30" i="12"/>
  <c r="E32" i="12"/>
  <c r="A34" i="12"/>
  <c r="K35" i="12"/>
  <c r="E37" i="12"/>
  <c r="F37" i="12" s="1"/>
  <c r="A39" i="12"/>
  <c r="K40" i="12"/>
  <c r="E42" i="12"/>
  <c r="F42" i="12" s="1"/>
  <c r="A44" i="12"/>
  <c r="K45" i="12"/>
  <c r="E47" i="12"/>
  <c r="F47" i="12" s="1"/>
  <c r="A49" i="12"/>
  <c r="K50" i="12"/>
  <c r="E52" i="12"/>
  <c r="F52" i="12" s="1"/>
  <c r="A54" i="12"/>
  <c r="K55" i="12"/>
  <c r="E57" i="12"/>
  <c r="F57" i="12" s="1"/>
  <c r="A59" i="12"/>
  <c r="K60" i="12"/>
  <c r="E62" i="12"/>
  <c r="A64" i="12"/>
  <c r="K65" i="12"/>
  <c r="E67" i="12"/>
  <c r="A69" i="12"/>
  <c r="K70" i="12"/>
  <c r="E72" i="12"/>
  <c r="A8" i="12"/>
  <c r="A40" i="12"/>
  <c r="A50" i="12"/>
  <c r="B55" i="12"/>
  <c r="B60" i="12"/>
  <c r="I18" i="12"/>
  <c r="I48" i="12"/>
  <c r="I68" i="12"/>
  <c r="J18" i="12"/>
  <c r="J38" i="12"/>
  <c r="E8" i="12"/>
  <c r="E25" i="12"/>
  <c r="F25" i="12" s="1"/>
  <c r="A42" i="12"/>
  <c r="L11" i="12"/>
  <c r="B15" i="12"/>
  <c r="B22" i="12"/>
  <c r="L28" i="12"/>
  <c r="L33" i="12"/>
  <c r="B47" i="12"/>
  <c r="L48" i="12"/>
  <c r="H48" i="12" s="1"/>
  <c r="B52" i="12"/>
  <c r="B57" i="12"/>
  <c r="L58" i="12"/>
  <c r="B67" i="12"/>
  <c r="C10" i="12"/>
  <c r="M16" i="12"/>
  <c r="M23" i="12"/>
  <c r="I30" i="12"/>
  <c r="M38" i="12"/>
  <c r="I45" i="12"/>
  <c r="C52" i="12"/>
  <c r="C57" i="12"/>
  <c r="M58" i="12"/>
  <c r="C72" i="12"/>
  <c r="J3" i="12"/>
  <c r="D15" i="12"/>
  <c r="J30" i="12"/>
  <c r="B12" i="12"/>
  <c r="L13" i="12"/>
  <c r="B19" i="12"/>
  <c r="L20" i="12"/>
  <c r="B24" i="12"/>
  <c r="L25" i="12"/>
  <c r="B29" i="12"/>
  <c r="L30" i="12"/>
  <c r="H30" i="12" s="1"/>
  <c r="L40" i="12"/>
  <c r="H40" i="12" s="1"/>
  <c r="B44" i="12"/>
  <c r="B49" i="12"/>
  <c r="L50" i="12"/>
  <c r="H50" i="12" s="1"/>
  <c r="B54" i="12"/>
  <c r="L55" i="12"/>
  <c r="H55" i="12" s="1"/>
  <c r="B59" i="12"/>
  <c r="L60" i="12"/>
  <c r="B64" i="12"/>
  <c r="L65" i="12"/>
  <c r="B69" i="12"/>
  <c r="L70" i="12"/>
  <c r="A45" i="12"/>
  <c r="A70" i="12"/>
  <c r="B30" i="12"/>
  <c r="B65" i="12"/>
  <c r="I11" i="12"/>
  <c r="C25" i="12"/>
  <c r="I43" i="12"/>
  <c r="J6" i="12"/>
  <c r="J11" i="12"/>
  <c r="D13" i="12"/>
  <c r="J16" i="12"/>
  <c r="D20" i="12"/>
  <c r="J28" i="12"/>
  <c r="J33" i="12"/>
  <c r="D40" i="12"/>
  <c r="D55" i="12"/>
  <c r="D65" i="12"/>
  <c r="K18" i="12"/>
  <c r="K38" i="12"/>
  <c r="B37" i="12"/>
  <c r="L63" i="12"/>
  <c r="I3" i="12"/>
  <c r="C32" i="12"/>
  <c r="C67" i="12"/>
  <c r="D10" i="12"/>
  <c r="D32" i="12"/>
  <c r="J50" i="12"/>
  <c r="J55" i="12"/>
  <c r="B34" i="12"/>
  <c r="L35" i="12"/>
  <c r="H35" i="12" s="1"/>
  <c r="B39" i="12"/>
  <c r="L45" i="12"/>
  <c r="C2" i="12"/>
  <c r="M3" i="12"/>
  <c r="I5" i="12"/>
  <c r="C7" i="12"/>
  <c r="M8" i="12"/>
  <c r="I10" i="12"/>
  <c r="C12" i="12"/>
  <c r="I15" i="12"/>
  <c r="I17" i="12"/>
  <c r="C19" i="12"/>
  <c r="M20" i="12"/>
  <c r="I22" i="12"/>
  <c r="C24" i="12"/>
  <c r="M25" i="12"/>
  <c r="I27" i="12"/>
  <c r="C29" i="12"/>
  <c r="I32" i="12"/>
  <c r="C34" i="12"/>
  <c r="I37" i="12"/>
  <c r="C39" i="12"/>
  <c r="I42" i="12"/>
  <c r="C44" i="12"/>
  <c r="M45" i="12"/>
  <c r="I47" i="12"/>
  <c r="C49" i="12"/>
  <c r="I52" i="12"/>
  <c r="C54" i="12"/>
  <c r="I57" i="12"/>
  <c r="C59" i="12"/>
  <c r="M60" i="12"/>
  <c r="I62" i="12"/>
  <c r="C64" i="12"/>
  <c r="M65" i="12"/>
  <c r="I67" i="12"/>
  <c r="C69" i="12"/>
  <c r="I72" i="12"/>
  <c r="A13" i="12"/>
  <c r="I6" i="12"/>
  <c r="C20" i="12"/>
  <c r="C60" i="12"/>
  <c r="E3" i="12"/>
  <c r="E20" i="12"/>
  <c r="L16" i="12"/>
  <c r="L38" i="12"/>
  <c r="C42" i="12"/>
  <c r="M68" i="12"/>
  <c r="J8" i="12"/>
  <c r="J60" i="12"/>
  <c r="J15" i="12"/>
  <c r="J17" i="12"/>
  <c r="D19" i="12"/>
  <c r="F19" i="12" s="1"/>
  <c r="J22" i="12"/>
  <c r="D24" i="12"/>
  <c r="F24" i="12" s="1"/>
  <c r="J27" i="12"/>
  <c r="D29" i="12"/>
  <c r="F29" i="12" s="1"/>
  <c r="J37" i="12"/>
  <c r="J42" i="12"/>
  <c r="J47" i="12"/>
  <c r="D49" i="12"/>
  <c r="F49" i="12" s="1"/>
  <c r="J52" i="12"/>
  <c r="D54" i="12"/>
  <c r="F54" i="12" s="1"/>
  <c r="J57" i="12"/>
  <c r="D59" i="12"/>
  <c r="J62" i="12"/>
  <c r="D64" i="12"/>
  <c r="J67" i="12"/>
  <c r="D69" i="12"/>
  <c r="J72" i="12"/>
  <c r="A65" i="12"/>
  <c r="B40" i="12"/>
  <c r="C30" i="12"/>
  <c r="C50" i="12"/>
  <c r="C55" i="12"/>
  <c r="A22" i="12"/>
  <c r="K28" i="12"/>
  <c r="A37" i="12"/>
  <c r="L23" i="12"/>
  <c r="M28" i="12"/>
  <c r="C62" i="12"/>
  <c r="B2" i="12"/>
  <c r="D12" i="12"/>
  <c r="J32" i="12"/>
  <c r="D34" i="12"/>
  <c r="F34" i="12" s="1"/>
  <c r="D39" i="12"/>
  <c r="F39" i="12" s="1"/>
  <c r="D44" i="12"/>
  <c r="F44" i="12" s="1"/>
  <c r="E2" i="12"/>
  <c r="A4" i="12"/>
  <c r="K5" i="12"/>
  <c r="E7" i="12"/>
  <c r="A9" i="12"/>
  <c r="K10" i="12"/>
  <c r="A14" i="12"/>
  <c r="K15" i="12"/>
  <c r="K17" i="12"/>
  <c r="A21" i="12"/>
  <c r="K22" i="12"/>
  <c r="A26" i="12"/>
  <c r="K27" i="12"/>
  <c r="A31" i="12"/>
  <c r="K32" i="12"/>
  <c r="A36" i="12"/>
  <c r="K37" i="12"/>
  <c r="A41" i="12"/>
  <c r="K42" i="12"/>
  <c r="A46" i="12"/>
  <c r="K47" i="12"/>
  <c r="A51" i="12"/>
  <c r="K52" i="12"/>
  <c r="A56" i="12"/>
  <c r="K57" i="12"/>
  <c r="A61" i="12"/>
  <c r="K62" i="12"/>
  <c r="A66" i="12"/>
  <c r="K67" i="12"/>
  <c r="A71" i="12"/>
  <c r="K72" i="12"/>
  <c r="A35" i="12"/>
  <c r="B45" i="12"/>
  <c r="C35" i="12"/>
  <c r="C45" i="12"/>
  <c r="J23" i="12"/>
  <c r="A10" i="12"/>
  <c r="A32" i="12"/>
  <c r="L6" i="12"/>
  <c r="I8" i="12"/>
  <c r="C37" i="12"/>
  <c r="B7" i="12"/>
  <c r="B4" i="12"/>
  <c r="B9" i="12"/>
  <c r="B14" i="12"/>
  <c r="L15" i="12"/>
  <c r="L17" i="12"/>
  <c r="B21" i="12"/>
  <c r="L22" i="12"/>
  <c r="H22" i="12" s="1"/>
  <c r="B26" i="12"/>
  <c r="L27" i="12"/>
  <c r="H27" i="12" s="1"/>
  <c r="B36" i="12"/>
  <c r="B41" i="12"/>
  <c r="L42" i="12"/>
  <c r="H42" i="12" s="1"/>
  <c r="B46" i="12"/>
  <c r="L47" i="12"/>
  <c r="H47" i="12" s="1"/>
  <c r="B51" i="12"/>
  <c r="L52" i="12"/>
  <c r="H52" i="12" s="1"/>
  <c r="B56" i="12"/>
  <c r="L57" i="12"/>
  <c r="H57" i="12" s="1"/>
  <c r="B61" i="12"/>
  <c r="L62" i="12"/>
  <c r="B66" i="12"/>
  <c r="L67" i="12"/>
  <c r="B71" i="12"/>
  <c r="L72" i="12"/>
  <c r="B13" i="12"/>
  <c r="I63" i="12"/>
  <c r="B42" i="12"/>
  <c r="B62" i="12"/>
  <c r="J5" i="12"/>
  <c r="J10" i="12"/>
  <c r="L5" i="12"/>
  <c r="L10" i="12"/>
  <c r="B31" i="12"/>
  <c r="L32" i="12"/>
  <c r="H32" i="12" s="1"/>
  <c r="L37" i="12"/>
  <c r="H37" i="12" s="1"/>
  <c r="K96" i="18" l="1"/>
  <c r="I127" i="18"/>
  <c r="P6" i="21"/>
  <c r="F295" i="17"/>
  <c r="D295" i="17"/>
  <c r="I129" i="18"/>
  <c r="K202" i="18"/>
  <c r="I202" i="18"/>
  <c r="I200" i="18"/>
  <c r="K200" i="18"/>
  <c r="K198" i="18"/>
  <c r="I198" i="18"/>
  <c r="K196" i="18"/>
  <c r="I196" i="18"/>
  <c r="J112" i="18"/>
  <c r="L112" i="18"/>
  <c r="L102" i="18"/>
  <c r="J102" i="18"/>
  <c r="L100" i="18"/>
  <c r="J100" i="18"/>
  <c r="L98" i="18"/>
  <c r="J98" i="18"/>
  <c r="K110" i="18"/>
  <c r="I110" i="18"/>
  <c r="L106" i="18"/>
  <c r="J106" i="18"/>
  <c r="L104" i="18"/>
  <c r="J104" i="18"/>
  <c r="K104" i="18"/>
  <c r="I104" i="18"/>
  <c r="K102" i="18"/>
  <c r="I102" i="18"/>
  <c r="K106" i="18"/>
  <c r="I106" i="18"/>
  <c r="K100" i="18"/>
  <c r="I100" i="18"/>
  <c r="L108" i="18"/>
  <c r="J108" i="18"/>
  <c r="K108" i="18"/>
  <c r="I108" i="18"/>
  <c r="K98" i="18"/>
  <c r="I98" i="18"/>
  <c r="K122" i="18"/>
  <c r="I122" i="18"/>
  <c r="K118" i="18"/>
  <c r="I118" i="18"/>
  <c r="K126" i="18"/>
  <c r="I114" i="18"/>
  <c r="K114" i="18"/>
  <c r="K120" i="18"/>
  <c r="I120" i="18"/>
  <c r="I116" i="18"/>
  <c r="K116" i="18"/>
  <c r="I112" i="18"/>
  <c r="K112" i="18"/>
  <c r="J120" i="18"/>
  <c r="L120" i="18"/>
  <c r="L202" i="18"/>
  <c r="J202" i="18"/>
  <c r="I128" i="18"/>
  <c r="K128" i="18"/>
  <c r="K124" i="18"/>
  <c r="I124" i="18"/>
  <c r="K182" i="18"/>
  <c r="I182" i="18"/>
  <c r="L135" i="18"/>
  <c r="J135" i="18"/>
  <c r="I184" i="18"/>
  <c r="K184" i="18"/>
  <c r="J186" i="18"/>
  <c r="L186" i="18"/>
  <c r="I135" i="18"/>
  <c r="K135" i="18"/>
  <c r="L133" i="18"/>
  <c r="J133" i="18"/>
  <c r="J130" i="18"/>
  <c r="L130" i="18"/>
  <c r="L172" i="18"/>
  <c r="J172" i="18"/>
  <c r="L126" i="18"/>
  <c r="J126" i="18"/>
  <c r="J160" i="18"/>
  <c r="L160" i="18"/>
  <c r="J146" i="18"/>
  <c r="L146" i="18"/>
  <c r="K178" i="18"/>
  <c r="I178" i="18"/>
  <c r="K190" i="18"/>
  <c r="I190" i="18"/>
  <c r="J147" i="18"/>
  <c r="L147" i="18"/>
  <c r="J110" i="18"/>
  <c r="L110" i="18"/>
  <c r="L170" i="18"/>
  <c r="J170" i="18"/>
  <c r="K133" i="18"/>
  <c r="I133" i="18"/>
  <c r="J144" i="18"/>
  <c r="L144" i="18"/>
  <c r="I139" i="18"/>
  <c r="K139" i="18"/>
  <c r="K146" i="18"/>
  <c r="I146" i="18"/>
  <c r="K192" i="18"/>
  <c r="I192" i="18"/>
  <c r="L190" i="18"/>
  <c r="J190" i="18"/>
  <c r="J136" i="18"/>
  <c r="L136" i="18"/>
  <c r="J182" i="18"/>
  <c r="L182" i="18"/>
  <c r="J142" i="18"/>
  <c r="L142" i="18"/>
  <c r="L192" i="18"/>
  <c r="J192" i="18"/>
  <c r="I136" i="18"/>
  <c r="K136" i="18"/>
  <c r="I194" i="18"/>
  <c r="K194" i="18"/>
  <c r="I176" i="18"/>
  <c r="K176" i="18"/>
  <c r="I145" i="18"/>
  <c r="K145" i="18"/>
  <c r="J184" i="18"/>
  <c r="L184" i="18"/>
  <c r="J194" i="18"/>
  <c r="L194" i="18"/>
  <c r="I188" i="18"/>
  <c r="K188" i="18"/>
  <c r="J180" i="18"/>
  <c r="L180" i="18"/>
  <c r="J139" i="18"/>
  <c r="L139" i="18"/>
  <c r="J154" i="18"/>
  <c r="L154" i="18"/>
  <c r="I142" i="18"/>
  <c r="K142" i="18"/>
  <c r="J188" i="18"/>
  <c r="L188" i="18"/>
  <c r="J178" i="18"/>
  <c r="L178" i="18"/>
  <c r="I144" i="18"/>
  <c r="K144" i="18"/>
  <c r="J124" i="18"/>
  <c r="L124" i="18"/>
  <c r="I138" i="18"/>
  <c r="K138" i="18"/>
  <c r="I143" i="18"/>
  <c r="K143" i="18"/>
  <c r="J134" i="18"/>
  <c r="L134" i="18"/>
  <c r="K180" i="18"/>
  <c r="I180" i="18"/>
  <c r="J143" i="18"/>
  <c r="L143" i="18"/>
  <c r="J131" i="18"/>
  <c r="L131" i="18"/>
  <c r="I132" i="18"/>
  <c r="K132" i="18"/>
  <c r="L114" i="18"/>
  <c r="J114" i="18"/>
  <c r="K140" i="18"/>
  <c r="I140" i="18"/>
  <c r="I174" i="18"/>
  <c r="K174" i="18"/>
  <c r="K131" i="18"/>
  <c r="I131" i="18"/>
  <c r="K130" i="18"/>
  <c r="I130" i="18"/>
  <c r="K186" i="18"/>
  <c r="I186" i="18"/>
  <c r="I157" i="18"/>
  <c r="K157" i="18"/>
  <c r="J148" i="18"/>
  <c r="L148" i="18"/>
  <c r="I147" i="18"/>
  <c r="K147" i="18"/>
  <c r="J158" i="18"/>
  <c r="L158" i="18"/>
  <c r="J118" i="18"/>
  <c r="L118" i="18"/>
  <c r="J159" i="18"/>
  <c r="L159" i="18"/>
  <c r="I167" i="18"/>
  <c r="K167" i="18"/>
  <c r="J141" i="18"/>
  <c r="L141" i="18"/>
  <c r="L137" i="18"/>
  <c r="J137" i="18"/>
  <c r="I170" i="18"/>
  <c r="K170" i="18"/>
  <c r="J116" i="18"/>
  <c r="L116" i="18"/>
  <c r="I149" i="18"/>
  <c r="K149" i="18"/>
  <c r="L198" i="18"/>
  <c r="J198" i="18"/>
  <c r="J155" i="18"/>
  <c r="L155" i="18"/>
  <c r="J140" i="18"/>
  <c r="L140" i="18"/>
  <c r="J149" i="18"/>
  <c r="L149" i="18"/>
  <c r="L168" i="18"/>
  <c r="J168" i="18"/>
  <c r="I137" i="18"/>
  <c r="K137" i="18"/>
  <c r="J162" i="18"/>
  <c r="L162" i="18"/>
  <c r="J145" i="18"/>
  <c r="L145" i="18"/>
  <c r="I172" i="18"/>
  <c r="K172" i="18"/>
  <c r="I134" i="18"/>
  <c r="K134" i="18"/>
  <c r="I151" i="18"/>
  <c r="K151" i="18"/>
  <c r="J166" i="18"/>
  <c r="L166" i="18"/>
  <c r="L174" i="18"/>
  <c r="J174" i="18"/>
  <c r="J150" i="18"/>
  <c r="L150" i="18"/>
  <c r="J156" i="18"/>
  <c r="L156" i="18"/>
  <c r="J157" i="18"/>
  <c r="L157" i="18"/>
  <c r="I166" i="18"/>
  <c r="K166" i="18"/>
  <c r="J167" i="18"/>
  <c r="L167" i="18"/>
  <c r="I148" i="18"/>
  <c r="K148" i="18"/>
  <c r="L176" i="18"/>
  <c r="J176" i="18"/>
  <c r="I150" i="18"/>
  <c r="K150" i="18"/>
  <c r="J151" i="18"/>
  <c r="L151" i="18"/>
  <c r="I152" i="18"/>
  <c r="K152" i="18"/>
  <c r="J153" i="18"/>
  <c r="L153" i="18"/>
  <c r="L196" i="18"/>
  <c r="J196" i="18"/>
  <c r="J163" i="18"/>
  <c r="L163" i="18"/>
  <c r="I141" i="18"/>
  <c r="K141" i="18"/>
  <c r="I168" i="18"/>
  <c r="K168" i="18"/>
  <c r="J122" i="18"/>
  <c r="L122" i="18"/>
  <c r="L132" i="18"/>
  <c r="J132" i="18"/>
  <c r="J200" i="18"/>
  <c r="L200" i="18"/>
  <c r="J138" i="18"/>
  <c r="L138" i="18"/>
  <c r="L128" i="18"/>
  <c r="J128" i="18"/>
  <c r="J165" i="18"/>
  <c r="L165" i="18"/>
  <c r="I153" i="18"/>
  <c r="K153" i="18"/>
  <c r="L164" i="18"/>
  <c r="L161" i="18"/>
  <c r="L152" i="18"/>
  <c r="I164" i="18"/>
  <c r="K164" i="18"/>
  <c r="I165" i="18"/>
  <c r="K165" i="18"/>
  <c r="I162" i="18"/>
  <c r="K162" i="18"/>
  <c r="I155" i="18"/>
  <c r="K155" i="18"/>
  <c r="I161" i="18"/>
  <c r="K161" i="18"/>
  <c r="I158" i="18"/>
  <c r="K158" i="18"/>
  <c r="I159" i="18"/>
  <c r="K159" i="18"/>
  <c r="I154" i="18"/>
  <c r="K154" i="18"/>
  <c r="I163" i="18"/>
  <c r="K163" i="18"/>
  <c r="I160" i="18"/>
  <c r="K160" i="18"/>
  <c r="I156" i="18"/>
  <c r="K156" i="18"/>
  <c r="C6" i="10"/>
  <c r="H19" i="12"/>
  <c r="F23" i="12"/>
  <c r="H25" i="12"/>
  <c r="H23" i="12"/>
  <c r="F51" i="12"/>
  <c r="C4" i="10"/>
  <c r="R19" i="12"/>
  <c r="S19" i="12" s="1"/>
  <c r="H21" i="12"/>
  <c r="H29" i="12"/>
  <c r="F56" i="12"/>
  <c r="H31" i="12"/>
  <c r="F20" i="12"/>
  <c r="H33" i="12"/>
  <c r="F41" i="12"/>
  <c r="H26" i="12"/>
  <c r="F46" i="12"/>
  <c r="H56" i="12"/>
  <c r="H24" i="12"/>
  <c r="F28" i="12"/>
  <c r="H44" i="12"/>
  <c r="H51" i="12"/>
  <c r="F55" i="12"/>
  <c r="H45" i="12"/>
  <c r="H36" i="12"/>
  <c r="H28" i="12"/>
  <c r="F26" i="12"/>
  <c r="H20" i="12"/>
  <c r="H38" i="12"/>
  <c r="H41" i="12"/>
  <c r="H34" i="12"/>
  <c r="H39" i="12"/>
  <c r="H53" i="12"/>
  <c r="H46" i="12"/>
  <c r="H54" i="12"/>
  <c r="H43" i="12"/>
  <c r="H49" i="12"/>
  <c r="F30" i="12"/>
  <c r="F31" i="12"/>
  <c r="F53" i="12"/>
  <c r="F36" i="12"/>
  <c r="F27" i="12"/>
  <c r="F40" i="12"/>
  <c r="F33" i="12"/>
  <c r="F32" i="12"/>
  <c r="F38" i="12"/>
  <c r="V22" i="12"/>
  <c r="W22" i="12" s="1"/>
  <c r="H7" i="10"/>
  <c r="V18" i="12"/>
  <c r="W18" i="12" s="1"/>
  <c r="H3" i="10"/>
  <c r="R48" i="12"/>
  <c r="T48" i="12" s="1"/>
  <c r="C33" i="10"/>
  <c r="R54" i="12"/>
  <c r="T54" i="12" s="1"/>
  <c r="C39" i="10"/>
  <c r="V37" i="12"/>
  <c r="X37" i="12" s="1"/>
  <c r="H22" i="10"/>
  <c r="R35" i="12"/>
  <c r="T35" i="12" s="1"/>
  <c r="C20" i="10"/>
  <c r="R49" i="12"/>
  <c r="S49" i="12" s="1"/>
  <c r="C34" i="10"/>
  <c r="R21" i="12"/>
  <c r="H23" i="10" l="1"/>
  <c r="H6" i="10"/>
  <c r="V23" i="12"/>
  <c r="W23" i="12" s="1"/>
  <c r="R20" i="12"/>
  <c r="S20" i="12" s="1"/>
  <c r="V26" i="12"/>
  <c r="W26" i="12" s="1"/>
  <c r="R28" i="12"/>
  <c r="T28" i="12" s="1"/>
  <c r="V33" i="12"/>
  <c r="X33" i="12" s="1"/>
  <c r="C18" i="10"/>
  <c r="V43" i="12"/>
  <c r="X43" i="12" s="1"/>
  <c r="H8" i="10"/>
  <c r="V21" i="12"/>
  <c r="W21" i="12" s="1"/>
  <c r="T19" i="12"/>
  <c r="AB19" i="12" s="1"/>
  <c r="V38" i="12"/>
  <c r="W38" i="12" s="1"/>
  <c r="H28" i="10"/>
  <c r="C5" i="10"/>
  <c r="C13" i="10"/>
  <c r="S54" i="12"/>
  <c r="AB54" i="12" s="1"/>
  <c r="H11" i="10"/>
  <c r="V19" i="12"/>
  <c r="W19" i="12" s="1"/>
  <c r="H4" i="10"/>
  <c r="V25" i="12"/>
  <c r="X25" i="12" s="1"/>
  <c r="H10" i="10"/>
  <c r="X22" i="12"/>
  <c r="AA22" i="12" s="1"/>
  <c r="X18" i="12"/>
  <c r="AC18" i="12" s="1"/>
  <c r="H18" i="10"/>
  <c r="R25" i="12"/>
  <c r="T25" i="12" s="1"/>
  <c r="C10" i="10"/>
  <c r="R23" i="12"/>
  <c r="T23" i="12" s="1"/>
  <c r="C8" i="10"/>
  <c r="W37" i="12"/>
  <c r="AA37" i="12" s="1"/>
  <c r="R33" i="12"/>
  <c r="S33" i="12" s="1"/>
  <c r="S48" i="12"/>
  <c r="AB48" i="12" s="1"/>
  <c r="V28" i="12"/>
  <c r="H13" i="10"/>
  <c r="V20" i="12"/>
  <c r="X20" i="12" s="1"/>
  <c r="H5" i="10"/>
  <c r="T49" i="12"/>
  <c r="AB49" i="12" s="1"/>
  <c r="V27" i="12"/>
  <c r="X27" i="12" s="1"/>
  <c r="H12" i="10"/>
  <c r="V41" i="12"/>
  <c r="W41" i="12" s="1"/>
  <c r="H26" i="10"/>
  <c r="R27" i="12"/>
  <c r="T27" i="12" s="1"/>
  <c r="C12" i="10"/>
  <c r="V30" i="12"/>
  <c r="X30" i="12" s="1"/>
  <c r="H15" i="10"/>
  <c r="V35" i="12"/>
  <c r="X35" i="12" s="1"/>
  <c r="H20" i="10"/>
  <c r="R36" i="12"/>
  <c r="T36" i="12" s="1"/>
  <c r="C21" i="10"/>
  <c r="V46" i="12"/>
  <c r="W46" i="12" s="1"/>
  <c r="H31" i="10"/>
  <c r="V24" i="12"/>
  <c r="X24" i="12" s="1"/>
  <c r="H9" i="10"/>
  <c r="R34" i="12"/>
  <c r="T34" i="12" s="1"/>
  <c r="C19" i="10"/>
  <c r="V44" i="12"/>
  <c r="W44" i="12" s="1"/>
  <c r="H29" i="10"/>
  <c r="V31" i="12"/>
  <c r="W31" i="12" s="1"/>
  <c r="H16" i="10"/>
  <c r="R57" i="12"/>
  <c r="S57" i="12" s="1"/>
  <c r="C42" i="10"/>
  <c r="R37" i="12"/>
  <c r="S37" i="12" s="1"/>
  <c r="C22" i="10"/>
  <c r="V32" i="12"/>
  <c r="W32" i="12" s="1"/>
  <c r="H17" i="10"/>
  <c r="V57" i="12"/>
  <c r="X57" i="12" s="1"/>
  <c r="H42" i="10"/>
  <c r="R50" i="12"/>
  <c r="S50" i="12" s="1"/>
  <c r="C35" i="10"/>
  <c r="V40" i="12"/>
  <c r="X40" i="12" s="1"/>
  <c r="H25" i="10"/>
  <c r="V47" i="12"/>
  <c r="W47" i="12" s="1"/>
  <c r="H32" i="10"/>
  <c r="V29" i="12"/>
  <c r="W29" i="12" s="1"/>
  <c r="H14" i="10"/>
  <c r="V36" i="12"/>
  <c r="H21" i="10"/>
  <c r="R24" i="12"/>
  <c r="S24" i="12" s="1"/>
  <c r="C9" i="10"/>
  <c r="V39" i="12"/>
  <c r="W39" i="12" s="1"/>
  <c r="H24" i="10"/>
  <c r="R53" i="12"/>
  <c r="T53" i="12" s="1"/>
  <c r="C38" i="10"/>
  <c r="V42" i="12"/>
  <c r="X42" i="12" s="1"/>
  <c r="H27" i="10"/>
  <c r="R22" i="12"/>
  <c r="T22" i="12" s="1"/>
  <c r="C7" i="10"/>
  <c r="R39" i="12"/>
  <c r="S39" i="12" s="1"/>
  <c r="C24" i="10"/>
  <c r="R26" i="12"/>
  <c r="T26" i="12" s="1"/>
  <c r="C11" i="10"/>
  <c r="V48" i="12"/>
  <c r="X48" i="12" s="1"/>
  <c r="H33" i="10"/>
  <c r="V50" i="12"/>
  <c r="X50" i="12" s="1"/>
  <c r="H35" i="10"/>
  <c r="R46" i="12"/>
  <c r="S46" i="12" s="1"/>
  <c r="C31" i="10"/>
  <c r="V49" i="12"/>
  <c r="X49" i="12" s="1"/>
  <c r="H34" i="10"/>
  <c r="R51" i="12"/>
  <c r="T51" i="12" s="1"/>
  <c r="C36" i="10"/>
  <c r="R52" i="12"/>
  <c r="S52" i="12" s="1"/>
  <c r="C37" i="10"/>
  <c r="S35" i="12"/>
  <c r="Z35" i="12" s="1"/>
  <c r="V52" i="12"/>
  <c r="X52" i="12" s="1"/>
  <c r="H37" i="10"/>
  <c r="V45" i="12"/>
  <c r="X45" i="12" s="1"/>
  <c r="H30" i="10"/>
  <c r="V51" i="12"/>
  <c r="X51" i="12" s="1"/>
  <c r="H36" i="10"/>
  <c r="V34" i="12"/>
  <c r="X34" i="12" s="1"/>
  <c r="H19" i="10"/>
  <c r="V56" i="12"/>
  <c r="W56" i="12" s="1"/>
  <c r="H41" i="10"/>
  <c r="R30" i="12"/>
  <c r="T30" i="12" s="1"/>
  <c r="C15" i="10"/>
  <c r="V54" i="12"/>
  <c r="X54" i="12" s="1"/>
  <c r="H39" i="10"/>
  <c r="V55" i="12"/>
  <c r="X55" i="12" s="1"/>
  <c r="H40" i="10"/>
  <c r="V53" i="12"/>
  <c r="W53" i="12" s="1"/>
  <c r="H38" i="10"/>
  <c r="R32" i="12"/>
  <c r="T32" i="12" s="1"/>
  <c r="C17" i="10"/>
  <c r="R31" i="12"/>
  <c r="S31" i="12" s="1"/>
  <c r="C16" i="10"/>
  <c r="R47" i="12"/>
  <c r="T47" i="12" s="1"/>
  <c r="C32" i="10"/>
  <c r="R43" i="12"/>
  <c r="T43" i="12" s="1"/>
  <c r="C28" i="10"/>
  <c r="R29" i="12"/>
  <c r="S29" i="12" s="1"/>
  <c r="C14" i="10"/>
  <c r="R44" i="12"/>
  <c r="S44" i="12" s="1"/>
  <c r="C29" i="10"/>
  <c r="R42" i="12"/>
  <c r="S42" i="12" s="1"/>
  <c r="C27" i="10"/>
  <c r="R41" i="12"/>
  <c r="T41" i="12" s="1"/>
  <c r="C26" i="10"/>
  <c r="R45" i="12"/>
  <c r="T45" i="12" s="1"/>
  <c r="C30" i="10"/>
  <c r="R40" i="12"/>
  <c r="T40" i="12" s="1"/>
  <c r="C25" i="10"/>
  <c r="R38" i="12"/>
  <c r="S38" i="12" s="1"/>
  <c r="C23" i="10"/>
  <c r="R55" i="12"/>
  <c r="C40" i="10"/>
  <c r="R56" i="12"/>
  <c r="S56" i="12" s="1"/>
  <c r="C41" i="10"/>
  <c r="R18" i="12"/>
  <c r="S18" i="12" s="1"/>
  <c r="C3" i="10"/>
  <c r="S21" i="12"/>
  <c r="T21" i="12"/>
  <c r="I72" i="1" a="1"/>
  <c r="M72" i="1" s="1"/>
  <c r="A72" i="1" a="1"/>
  <c r="C72" i="1" s="1"/>
  <c r="I71" i="1" a="1"/>
  <c r="A71" i="1" a="1"/>
  <c r="C71" i="1" s="1"/>
  <c r="I70" i="1" a="1"/>
  <c r="I70" i="1" s="1"/>
  <c r="A70" i="1" a="1"/>
  <c r="B70" i="1" s="1"/>
  <c r="I69" i="1" a="1"/>
  <c r="I69" i="1" s="1"/>
  <c r="A69" i="1" a="1"/>
  <c r="E69" i="1" s="1"/>
  <c r="I68" i="1" a="1"/>
  <c r="I68" i="1" s="1"/>
  <c r="A68" i="1" a="1"/>
  <c r="C68" i="1" s="1"/>
  <c r="I67" i="1" a="1"/>
  <c r="M67" i="1" s="1"/>
  <c r="A67" i="1" a="1"/>
  <c r="C67" i="1" s="1"/>
  <c r="I66" i="1" a="1"/>
  <c r="A66" i="1" a="1"/>
  <c r="C66" i="1" s="1"/>
  <c r="I65" i="1" a="1"/>
  <c r="M65" i="1" s="1"/>
  <c r="A65" i="1" a="1"/>
  <c r="C65" i="1" s="1"/>
  <c r="I64" i="1" a="1"/>
  <c r="I64" i="1" s="1"/>
  <c r="A64" i="1" a="1"/>
  <c r="E64" i="1" s="1"/>
  <c r="I63" i="1" a="1"/>
  <c r="L63" i="1" s="1"/>
  <c r="A63" i="1" a="1"/>
  <c r="A63" i="1" s="1"/>
  <c r="I62" i="1" a="1"/>
  <c r="M62" i="1" s="1"/>
  <c r="A62" i="1" a="1"/>
  <c r="D62" i="1" s="1"/>
  <c r="I61" i="1" a="1"/>
  <c r="A61" i="1" a="1"/>
  <c r="C61" i="1" s="1"/>
  <c r="I60" i="1" a="1"/>
  <c r="I60" i="1" s="1"/>
  <c r="A60" i="1" a="1"/>
  <c r="A60" i="1" s="1"/>
  <c r="I59" i="1" a="1"/>
  <c r="I59" i="1" s="1"/>
  <c r="A59" i="1" a="1"/>
  <c r="E59" i="1" s="1"/>
  <c r="I58" i="1" a="1"/>
  <c r="M58" i="1" s="1"/>
  <c r="A58" i="1" a="1"/>
  <c r="C58" i="1" s="1"/>
  <c r="I57" i="1" a="1"/>
  <c r="M57" i="1" s="1"/>
  <c r="A57" i="1" a="1"/>
  <c r="D57" i="1" s="1"/>
  <c r="I56" i="1" a="1"/>
  <c r="A56" i="1" a="1"/>
  <c r="C56" i="1" s="1"/>
  <c r="R56" i="1" s="1"/>
  <c r="I55" i="1" a="1"/>
  <c r="I55" i="1" s="1"/>
  <c r="A55" i="1" a="1"/>
  <c r="C55" i="1" s="1"/>
  <c r="R55" i="1" s="1"/>
  <c r="I54" i="1" a="1"/>
  <c r="I54" i="1" s="1"/>
  <c r="A54" i="1" a="1"/>
  <c r="E54" i="1" s="1"/>
  <c r="I53" i="1" a="1"/>
  <c r="M53" i="1" s="1"/>
  <c r="A53" i="1" a="1"/>
  <c r="A53" i="1" s="1"/>
  <c r="I52" i="1" a="1"/>
  <c r="M52" i="1" s="1"/>
  <c r="A52" i="1" a="1"/>
  <c r="C52" i="1" s="1"/>
  <c r="R52" i="1" s="1"/>
  <c r="I51" i="1" a="1"/>
  <c r="A51" i="1" a="1"/>
  <c r="C51" i="1" s="1"/>
  <c r="R51" i="1" s="1"/>
  <c r="I50" i="1" a="1"/>
  <c r="J50" i="1" s="1"/>
  <c r="A50" i="1" a="1"/>
  <c r="A50" i="1" s="1"/>
  <c r="I49" i="1" a="1"/>
  <c r="I49" i="1" s="1"/>
  <c r="A49" i="1" a="1"/>
  <c r="E49" i="1" s="1"/>
  <c r="I48" i="1" a="1"/>
  <c r="I48" i="1" s="1"/>
  <c r="A48" i="1" a="1"/>
  <c r="C48" i="1" s="1"/>
  <c r="R48" i="1" s="1"/>
  <c r="I47" i="1" a="1"/>
  <c r="M47" i="1" s="1"/>
  <c r="A47" i="1" a="1"/>
  <c r="D47" i="1" s="1"/>
  <c r="I46" i="1" a="1"/>
  <c r="A46" i="1" a="1"/>
  <c r="C46" i="1" s="1"/>
  <c r="R46" i="1" s="1"/>
  <c r="I45" i="1" a="1"/>
  <c r="M45" i="1" s="1"/>
  <c r="A45" i="1" a="1"/>
  <c r="C45" i="1" s="1"/>
  <c r="R45" i="1" s="1"/>
  <c r="I44" i="1" a="1"/>
  <c r="I44" i="1" s="1"/>
  <c r="A44" i="1" a="1"/>
  <c r="E44" i="1" s="1"/>
  <c r="I43" i="1" a="1"/>
  <c r="J43" i="1" s="1"/>
  <c r="A43" i="1" a="1"/>
  <c r="C43" i="1" s="1"/>
  <c r="R43" i="1" s="1"/>
  <c r="I42" i="1" a="1"/>
  <c r="M42" i="1" s="1"/>
  <c r="A42" i="1" a="1"/>
  <c r="C42" i="1" s="1"/>
  <c r="R42" i="1" s="1"/>
  <c r="I41" i="1" a="1"/>
  <c r="I41" i="1" s="1"/>
  <c r="A41" i="1" a="1"/>
  <c r="C41" i="1" s="1"/>
  <c r="R41" i="1" s="1"/>
  <c r="I40" i="1" a="1"/>
  <c r="J40" i="1" s="1"/>
  <c r="A40" i="1" a="1"/>
  <c r="C40" i="1" s="1"/>
  <c r="R40" i="1" s="1"/>
  <c r="I39" i="1" a="1"/>
  <c r="I39" i="1" s="1"/>
  <c r="A39" i="1" a="1"/>
  <c r="E39" i="1" s="1"/>
  <c r="I38" i="1" a="1"/>
  <c r="L38" i="1" s="1"/>
  <c r="A38" i="1" a="1"/>
  <c r="C38" i="1" s="1"/>
  <c r="R38" i="1" s="1"/>
  <c r="I37" i="1" a="1"/>
  <c r="M37" i="1" s="1"/>
  <c r="A37" i="1" a="1"/>
  <c r="B37" i="1" s="1"/>
  <c r="I36" i="1" a="1"/>
  <c r="A36" i="1" a="1"/>
  <c r="C36" i="1" s="1"/>
  <c r="R36" i="1" s="1"/>
  <c r="I35" i="1" a="1"/>
  <c r="M35" i="1" s="1"/>
  <c r="A35" i="1" a="1"/>
  <c r="C35" i="1" s="1"/>
  <c r="R35" i="1" s="1"/>
  <c r="I34" i="1" a="1"/>
  <c r="I34" i="1" s="1"/>
  <c r="A34" i="1" a="1"/>
  <c r="E34" i="1" s="1"/>
  <c r="I33" i="1" a="1"/>
  <c r="J33" i="1" s="1"/>
  <c r="A33" i="1" a="1"/>
  <c r="A33" i="1" s="1"/>
  <c r="I32" i="1" a="1"/>
  <c r="M32" i="1" s="1"/>
  <c r="A32" i="1" a="1"/>
  <c r="D32" i="1" s="1"/>
  <c r="I31" i="1" a="1"/>
  <c r="I31" i="1" s="1"/>
  <c r="A31" i="1" a="1"/>
  <c r="C31" i="1" s="1"/>
  <c r="R31" i="1" s="1"/>
  <c r="I30" i="1" a="1"/>
  <c r="I30" i="1" s="1"/>
  <c r="A30" i="1" a="1"/>
  <c r="B30" i="1" s="1"/>
  <c r="I29" i="1" a="1"/>
  <c r="I29" i="1" s="1"/>
  <c r="A29" i="1" a="1"/>
  <c r="E29" i="1" s="1"/>
  <c r="I28" i="1" a="1"/>
  <c r="I28" i="1" s="1"/>
  <c r="A28" i="1" a="1"/>
  <c r="C28" i="1" s="1"/>
  <c r="R28" i="1" s="1"/>
  <c r="I27" i="1" a="1"/>
  <c r="M27" i="1" s="1"/>
  <c r="A27" i="1" a="1"/>
  <c r="C27" i="1" s="1"/>
  <c r="R27" i="1" s="1"/>
  <c r="I26" i="1" a="1"/>
  <c r="A26" i="1" a="1"/>
  <c r="C26" i="1" s="1"/>
  <c r="R26" i="1" s="1"/>
  <c r="I25" i="1" a="1"/>
  <c r="J25" i="1" s="1"/>
  <c r="A25" i="1" a="1"/>
  <c r="D25" i="1" s="1"/>
  <c r="I24" i="1" a="1"/>
  <c r="I24" i="1" s="1"/>
  <c r="A24" i="1" a="1"/>
  <c r="E24" i="1" s="1"/>
  <c r="I23" i="1" a="1"/>
  <c r="L23" i="1" s="1"/>
  <c r="A23" i="1" a="1"/>
  <c r="A23" i="1" s="1"/>
  <c r="I22" i="1" a="1"/>
  <c r="M22" i="1" s="1"/>
  <c r="A22" i="1" a="1"/>
  <c r="E22" i="1" s="1"/>
  <c r="I21" i="1" a="1"/>
  <c r="I21" i="1" s="1"/>
  <c r="A21" i="1" a="1"/>
  <c r="C21" i="1" s="1"/>
  <c r="R21" i="1" s="1"/>
  <c r="I20" i="1" a="1"/>
  <c r="J20" i="1" s="1"/>
  <c r="A20" i="1" a="1"/>
  <c r="D20" i="1" s="1"/>
  <c r="I19" i="1" a="1"/>
  <c r="I19" i="1" s="1"/>
  <c r="A19" i="1" a="1"/>
  <c r="A19" i="1" s="1"/>
  <c r="I18" i="1" a="1"/>
  <c r="J18" i="1" s="1"/>
  <c r="A18" i="1" a="1"/>
  <c r="A18" i="1" s="1"/>
  <c r="I17" i="1" a="1"/>
  <c r="M17" i="1" s="1"/>
  <c r="A17" i="1" a="1"/>
  <c r="A17" i="1" s="1"/>
  <c r="I16" i="1" a="1"/>
  <c r="M16" i="1" s="1"/>
  <c r="A16" i="1" a="1"/>
  <c r="I15" i="1" a="1"/>
  <c r="M15" i="1" s="1"/>
  <c r="A15" i="1" a="1"/>
  <c r="B15" i="1" s="1"/>
  <c r="I14" i="1" a="1"/>
  <c r="A14" i="1" a="1"/>
  <c r="C14" i="1" s="1"/>
  <c r="I13" i="1" a="1"/>
  <c r="J13" i="1" s="1"/>
  <c r="A13" i="1" a="1"/>
  <c r="D13" i="1" s="1"/>
  <c r="I12" i="1" a="1"/>
  <c r="I12" i="1" s="1"/>
  <c r="A12" i="1" a="1"/>
  <c r="E12" i="1" s="1"/>
  <c r="I11" i="1" a="1"/>
  <c r="L11" i="1" s="1"/>
  <c r="A11" i="1" a="1"/>
  <c r="I10" i="1" a="1"/>
  <c r="M10" i="1" s="1"/>
  <c r="A10" i="1" a="1"/>
  <c r="D10" i="1" s="1"/>
  <c r="I9" i="1" a="1"/>
  <c r="I9" i="1" s="1"/>
  <c r="A9" i="1" a="1"/>
  <c r="C9" i="1" s="1"/>
  <c r="I8" i="1" a="1"/>
  <c r="L8" i="1" s="1"/>
  <c r="A8" i="1" a="1"/>
  <c r="C8" i="1" s="1"/>
  <c r="I7" i="1" a="1"/>
  <c r="I7" i="1" s="1"/>
  <c r="A7" i="1" a="1"/>
  <c r="A7" i="1" s="1"/>
  <c r="I6" i="1" a="1"/>
  <c r="L6" i="1" s="1"/>
  <c r="A6" i="1" a="1"/>
  <c r="E6" i="1" s="1"/>
  <c r="I5" i="1" a="1"/>
  <c r="M5" i="1" s="1"/>
  <c r="A5" i="1" a="1"/>
  <c r="C5" i="1" s="1"/>
  <c r="I4" i="1" a="1"/>
  <c r="A4" i="1" a="1"/>
  <c r="C4" i="1" s="1"/>
  <c r="I3" i="1" a="1"/>
  <c r="K3" i="1" s="1"/>
  <c r="A3" i="1" a="1"/>
  <c r="A3" i="1" s="1"/>
  <c r="I2" i="1" a="1"/>
  <c r="I2" i="1" s="1"/>
  <c r="A2" i="1" a="1"/>
  <c r="D2" i="1" s="1"/>
  <c r="X23" i="12" l="1"/>
  <c r="AA23" i="12" s="1"/>
  <c r="T20" i="12"/>
  <c r="Z20" i="12" s="1"/>
  <c r="X26" i="12"/>
  <c r="AC26" i="12" s="1"/>
  <c r="W43" i="12"/>
  <c r="AA43" i="12" s="1"/>
  <c r="W33" i="12"/>
  <c r="AA33" i="12" s="1"/>
  <c r="S28" i="12"/>
  <c r="Z28" i="12" s="1"/>
  <c r="Z19" i="12"/>
  <c r="X21" i="12"/>
  <c r="AA21" i="12" s="1"/>
  <c r="M19" i="1"/>
  <c r="K2" i="1"/>
  <c r="M2" i="1"/>
  <c r="L2" i="1"/>
  <c r="E21" i="1"/>
  <c r="D21" i="1"/>
  <c r="J19" i="1"/>
  <c r="K19" i="1"/>
  <c r="S19" i="1" s="1"/>
  <c r="J2" i="1"/>
  <c r="L19" i="1"/>
  <c r="X19" i="12"/>
  <c r="AA19" i="12" s="1"/>
  <c r="Z54" i="12"/>
  <c r="X38" i="12"/>
  <c r="AA38" i="12" s="1"/>
  <c r="AC22" i="12"/>
  <c r="W20" i="12"/>
  <c r="AC20" i="12" s="1"/>
  <c r="W25" i="12"/>
  <c r="AA25" i="12" s="1"/>
  <c r="S23" i="12"/>
  <c r="AB23" i="12" s="1"/>
  <c r="AD18" i="12"/>
  <c r="AA18" i="12"/>
  <c r="X39" i="12"/>
  <c r="AC39" i="12" s="1"/>
  <c r="AC37" i="12"/>
  <c r="S25" i="12"/>
  <c r="AB25" i="12" s="1"/>
  <c r="W40" i="12"/>
  <c r="AA40" i="12" s="1"/>
  <c r="X31" i="12"/>
  <c r="AC31" i="12" s="1"/>
  <c r="Z48" i="12"/>
  <c r="T31" i="12"/>
  <c r="AB31" i="12" s="1"/>
  <c r="W49" i="12"/>
  <c r="AC49" i="12" s="1"/>
  <c r="S36" i="12"/>
  <c r="AB36" i="12" s="1"/>
  <c r="W42" i="12"/>
  <c r="AC42" i="12" s="1"/>
  <c r="X41" i="12"/>
  <c r="AA41" i="12" s="1"/>
  <c r="S53" i="12"/>
  <c r="AB53" i="12" s="1"/>
  <c r="Z49" i="12"/>
  <c r="W27" i="12"/>
  <c r="AC27" i="12" s="1"/>
  <c r="T24" i="12"/>
  <c r="AB24" i="12" s="1"/>
  <c r="W30" i="12"/>
  <c r="AA30" i="12" s="1"/>
  <c r="T33" i="12"/>
  <c r="X32" i="12"/>
  <c r="AA32" i="12" s="1"/>
  <c r="S27" i="12"/>
  <c r="AB27" i="12" s="1"/>
  <c r="T37" i="12"/>
  <c r="Z37" i="12" s="1"/>
  <c r="W28" i="12"/>
  <c r="X28" i="12"/>
  <c r="T29" i="12"/>
  <c r="AB29" i="12" s="1"/>
  <c r="S22" i="12"/>
  <c r="AB22" i="12" s="1"/>
  <c r="W35" i="12"/>
  <c r="AA35" i="12" s="1"/>
  <c r="T57" i="12"/>
  <c r="Z57" i="12" s="1"/>
  <c r="W57" i="12"/>
  <c r="AA57" i="12" s="1"/>
  <c r="T56" i="12"/>
  <c r="Z56" i="12" s="1"/>
  <c r="X47" i="12"/>
  <c r="AC47" i="12" s="1"/>
  <c r="T44" i="12"/>
  <c r="AB44" i="12" s="1"/>
  <c r="X44" i="12"/>
  <c r="AC44" i="12" s="1"/>
  <c r="W34" i="12"/>
  <c r="AA34" i="12" s="1"/>
  <c r="S34" i="12"/>
  <c r="AB34" i="12" s="1"/>
  <c r="T39" i="12"/>
  <c r="AB39" i="12" s="1"/>
  <c r="W55" i="12"/>
  <c r="AA55" i="12" s="1"/>
  <c r="T50" i="12"/>
  <c r="Z50" i="12" s="1"/>
  <c r="X36" i="12"/>
  <c r="W36" i="12"/>
  <c r="T46" i="12"/>
  <c r="AB46" i="12" s="1"/>
  <c r="X29" i="12"/>
  <c r="AC29" i="12" s="1"/>
  <c r="W24" i="12"/>
  <c r="AC24" i="12" s="1"/>
  <c r="W45" i="12"/>
  <c r="AC45" i="12" s="1"/>
  <c r="W48" i="12"/>
  <c r="AC48" i="12" s="1"/>
  <c r="X46" i="12"/>
  <c r="AA46" i="12" s="1"/>
  <c r="W54" i="12"/>
  <c r="AC54" i="12" s="1"/>
  <c r="T38" i="12"/>
  <c r="AB38" i="12" s="1"/>
  <c r="X53" i="12"/>
  <c r="AC53" i="12" s="1"/>
  <c r="S30" i="12"/>
  <c r="Z30" i="12" s="1"/>
  <c r="S32" i="12"/>
  <c r="Z32" i="12" s="1"/>
  <c r="S26" i="12"/>
  <c r="Z26" i="12" s="1"/>
  <c r="W52" i="12"/>
  <c r="T52" i="12"/>
  <c r="AB52" i="12" s="1"/>
  <c r="S47" i="12"/>
  <c r="AB47" i="12" s="1"/>
  <c r="AB35" i="12"/>
  <c r="S51" i="12"/>
  <c r="AB51" i="12" s="1"/>
  <c r="T42" i="12"/>
  <c r="AB42" i="12" s="1"/>
  <c r="W50" i="12"/>
  <c r="AA50" i="12" s="1"/>
  <c r="S43" i="12"/>
  <c r="AB43" i="12" s="1"/>
  <c r="X56" i="12"/>
  <c r="AC56" i="12" s="1"/>
  <c r="S40" i="12"/>
  <c r="Z40" i="12" s="1"/>
  <c r="W51" i="12"/>
  <c r="AC51" i="12" s="1"/>
  <c r="S41" i="12"/>
  <c r="AB41" i="12" s="1"/>
  <c r="S45" i="12"/>
  <c r="Z45" i="12" s="1"/>
  <c r="T55" i="12"/>
  <c r="S55" i="12"/>
  <c r="T18" i="12"/>
  <c r="AB18" i="12" s="1"/>
  <c r="Z21" i="12"/>
  <c r="AB21" i="12"/>
  <c r="D71" i="1"/>
  <c r="E71" i="1"/>
  <c r="E61" i="1"/>
  <c r="D56" i="1"/>
  <c r="L7" i="1"/>
  <c r="M7" i="1"/>
  <c r="E46" i="1"/>
  <c r="E41" i="1"/>
  <c r="D41" i="1"/>
  <c r="M34" i="1"/>
  <c r="J34" i="1"/>
  <c r="K34" i="1"/>
  <c r="S34" i="1" s="1"/>
  <c r="D36" i="1"/>
  <c r="B53" i="1"/>
  <c r="A43" i="1"/>
  <c r="E31" i="1"/>
  <c r="B63" i="1"/>
  <c r="B58" i="1"/>
  <c r="B43" i="1"/>
  <c r="B38" i="1"/>
  <c r="J64" i="1"/>
  <c r="C33" i="1"/>
  <c r="R33" i="1" s="1"/>
  <c r="L64" i="1"/>
  <c r="J49" i="1"/>
  <c r="L59" i="1"/>
  <c r="B18" i="1"/>
  <c r="C18" i="1"/>
  <c r="R18" i="1" s="1"/>
  <c r="J39" i="1"/>
  <c r="K44" i="1"/>
  <c r="S44" i="1" s="1"/>
  <c r="L49" i="1"/>
  <c r="M54" i="1"/>
  <c r="D14" i="1"/>
  <c r="A68" i="1"/>
  <c r="D31" i="1"/>
  <c r="B68" i="1"/>
  <c r="D26" i="1"/>
  <c r="C63" i="1"/>
  <c r="B33" i="1"/>
  <c r="J59" i="1"/>
  <c r="K49" i="1"/>
  <c r="S49" i="1" s="1"/>
  <c r="J12" i="1"/>
  <c r="K12" i="1"/>
  <c r="J29" i="1"/>
  <c r="L39" i="1"/>
  <c r="D66" i="1"/>
  <c r="L12" i="1"/>
  <c r="J24" i="1"/>
  <c r="K29" i="1"/>
  <c r="S29" i="1" s="1"/>
  <c r="L34" i="1"/>
  <c r="M39" i="1"/>
  <c r="D61" i="1"/>
  <c r="E66" i="1"/>
  <c r="E36" i="1"/>
  <c r="D9" i="1"/>
  <c r="A48" i="1"/>
  <c r="B48" i="1"/>
  <c r="C53" i="1"/>
  <c r="R53" i="1" s="1"/>
  <c r="K69" i="1"/>
  <c r="D4" i="1"/>
  <c r="J54" i="1"/>
  <c r="B23" i="1"/>
  <c r="K54" i="1"/>
  <c r="S54" i="1" s="1"/>
  <c r="A58" i="1"/>
  <c r="E26" i="1"/>
  <c r="A38" i="1"/>
  <c r="J69" i="1"/>
  <c r="L69" i="1"/>
  <c r="E4" i="1"/>
  <c r="M69" i="1"/>
  <c r="C23" i="1"/>
  <c r="R23" i="1" s="1"/>
  <c r="J44" i="1"/>
  <c r="M59" i="1"/>
  <c r="M44" i="1"/>
  <c r="L29" i="1"/>
  <c r="J7" i="1"/>
  <c r="L24" i="1"/>
  <c r="M29" i="1"/>
  <c r="D51" i="1"/>
  <c r="E56" i="1"/>
  <c r="B72" i="1"/>
  <c r="E14" i="1"/>
  <c r="E9" i="1"/>
  <c r="A28" i="1"/>
  <c r="K64" i="1"/>
  <c r="B28" i="1"/>
  <c r="K59" i="1"/>
  <c r="M64" i="1"/>
  <c r="L54" i="1"/>
  <c r="K39" i="1"/>
  <c r="S39" i="1" s="1"/>
  <c r="L44" i="1"/>
  <c r="M49" i="1"/>
  <c r="M12" i="1"/>
  <c r="K24" i="1"/>
  <c r="S24" i="1" s="1"/>
  <c r="K7" i="1"/>
  <c r="M24" i="1"/>
  <c r="D46" i="1"/>
  <c r="E51" i="1"/>
  <c r="D16" i="1"/>
  <c r="E16" i="1"/>
  <c r="A16" i="1"/>
  <c r="M4" i="1"/>
  <c r="J4" i="1"/>
  <c r="L4" i="1"/>
  <c r="K4" i="1"/>
  <c r="D11" i="1"/>
  <c r="E11" i="1"/>
  <c r="C6" i="1"/>
  <c r="A11" i="1"/>
  <c r="D6" i="1"/>
  <c r="B11" i="1"/>
  <c r="B16" i="1"/>
  <c r="J26" i="1"/>
  <c r="M26" i="1"/>
  <c r="L26" i="1"/>
  <c r="K26" i="1"/>
  <c r="S26" i="1" s="1"/>
  <c r="L46" i="1"/>
  <c r="M46" i="1"/>
  <c r="K46" i="1"/>
  <c r="S46" i="1" s="1"/>
  <c r="J46" i="1"/>
  <c r="M51" i="1"/>
  <c r="J51" i="1"/>
  <c r="L51" i="1"/>
  <c r="K51" i="1"/>
  <c r="S51" i="1" s="1"/>
  <c r="M56" i="1"/>
  <c r="J56" i="1"/>
  <c r="L56" i="1"/>
  <c r="K56" i="1"/>
  <c r="S56" i="1" s="1"/>
  <c r="L61" i="1"/>
  <c r="K61" i="1"/>
  <c r="J61" i="1"/>
  <c r="M61" i="1"/>
  <c r="M66" i="1"/>
  <c r="J66" i="1"/>
  <c r="K66" i="1"/>
  <c r="L66" i="1"/>
  <c r="L71" i="1"/>
  <c r="M71" i="1"/>
  <c r="K71" i="1"/>
  <c r="J71" i="1"/>
  <c r="M9" i="1"/>
  <c r="L9" i="1"/>
  <c r="K9" i="1"/>
  <c r="A6" i="1"/>
  <c r="C11" i="1"/>
  <c r="L36" i="1"/>
  <c r="M36" i="1"/>
  <c r="K36" i="1"/>
  <c r="S36" i="1" s="1"/>
  <c r="J36" i="1"/>
  <c r="I26" i="1"/>
  <c r="I36" i="1"/>
  <c r="I46" i="1"/>
  <c r="I51" i="1"/>
  <c r="I56" i="1"/>
  <c r="I61" i="1"/>
  <c r="I66" i="1"/>
  <c r="I71" i="1"/>
  <c r="I4" i="1"/>
  <c r="K14" i="1"/>
  <c r="M14" i="1"/>
  <c r="J14" i="1"/>
  <c r="L14" i="1"/>
  <c r="J9" i="1"/>
  <c r="M21" i="1"/>
  <c r="L21" i="1"/>
  <c r="K21" i="1"/>
  <c r="S21" i="1" s="1"/>
  <c r="J21" i="1"/>
  <c r="M31" i="1"/>
  <c r="K31" i="1"/>
  <c r="S31" i="1" s="1"/>
  <c r="J31" i="1"/>
  <c r="L31" i="1"/>
  <c r="C16" i="1"/>
  <c r="M41" i="1"/>
  <c r="L41" i="1"/>
  <c r="K41" i="1"/>
  <c r="S41" i="1" s="1"/>
  <c r="J41" i="1"/>
  <c r="I14" i="1"/>
  <c r="B6" i="1"/>
  <c r="D18" i="1"/>
  <c r="E18" i="1"/>
  <c r="E23" i="1"/>
  <c r="D23" i="1"/>
  <c r="D28" i="1"/>
  <c r="E28" i="1"/>
  <c r="D33" i="1"/>
  <c r="E33" i="1"/>
  <c r="E38" i="1"/>
  <c r="D38" i="1"/>
  <c r="E43" i="1"/>
  <c r="D43" i="1"/>
  <c r="D48" i="1"/>
  <c r="E48" i="1"/>
  <c r="E53" i="1"/>
  <c r="D53" i="1"/>
  <c r="D58" i="1"/>
  <c r="E58" i="1"/>
  <c r="E63" i="1"/>
  <c r="D63" i="1"/>
  <c r="E68" i="1"/>
  <c r="D68" i="1"/>
  <c r="I23" i="1"/>
  <c r="C60" i="1"/>
  <c r="J6" i="1"/>
  <c r="D55" i="1"/>
  <c r="J63" i="1"/>
  <c r="D65" i="1"/>
  <c r="J68" i="1"/>
  <c r="D70" i="1"/>
  <c r="E3" i="1"/>
  <c r="A5" i="1"/>
  <c r="K6" i="1"/>
  <c r="E8" i="1"/>
  <c r="A10" i="1"/>
  <c r="K11" i="1"/>
  <c r="E13" i="1"/>
  <c r="A15" i="1"/>
  <c r="K16" i="1"/>
  <c r="K18" i="1"/>
  <c r="S18" i="1" s="1"/>
  <c r="E20" i="1"/>
  <c r="F20" i="1" s="1"/>
  <c r="A22" i="1"/>
  <c r="K23" i="1"/>
  <c r="S23" i="1" s="1"/>
  <c r="E25" i="1"/>
  <c r="F25" i="1" s="1"/>
  <c r="A27" i="1"/>
  <c r="K28" i="1"/>
  <c r="S28" i="1" s="1"/>
  <c r="E30" i="1"/>
  <c r="A32" i="1"/>
  <c r="K33" i="1"/>
  <c r="S33" i="1" s="1"/>
  <c r="E35" i="1"/>
  <c r="A37" i="1"/>
  <c r="K38" i="1"/>
  <c r="S38" i="1" s="1"/>
  <c r="E40" i="1"/>
  <c r="A42" i="1"/>
  <c r="K43" i="1"/>
  <c r="S43" i="1" s="1"/>
  <c r="E45" i="1"/>
  <c r="A47" i="1"/>
  <c r="K48" i="1"/>
  <c r="S48" i="1" s="1"/>
  <c r="E50" i="1"/>
  <c r="A52" i="1"/>
  <c r="K53" i="1"/>
  <c r="S53" i="1" s="1"/>
  <c r="E55" i="1"/>
  <c r="A57" i="1"/>
  <c r="K58" i="1"/>
  <c r="E60" i="1"/>
  <c r="A62" i="1"/>
  <c r="K63" i="1"/>
  <c r="E65" i="1"/>
  <c r="A67" i="1"/>
  <c r="K68" i="1"/>
  <c r="E70" i="1"/>
  <c r="A72" i="1"/>
  <c r="A40" i="1"/>
  <c r="A65" i="1"/>
  <c r="B35" i="1"/>
  <c r="C20" i="1"/>
  <c r="R20" i="1" s="1"/>
  <c r="D35" i="1"/>
  <c r="D50" i="1"/>
  <c r="B52" i="1"/>
  <c r="B57" i="1"/>
  <c r="B62" i="1"/>
  <c r="C22" i="1"/>
  <c r="R22" i="1" s="1"/>
  <c r="C62" i="1"/>
  <c r="D72" i="1"/>
  <c r="A35" i="1"/>
  <c r="C13" i="1"/>
  <c r="I63" i="1"/>
  <c r="J48" i="1"/>
  <c r="L28" i="1"/>
  <c r="M6" i="1"/>
  <c r="M18" i="1"/>
  <c r="M33" i="1"/>
  <c r="J45" i="1"/>
  <c r="D52" i="1"/>
  <c r="J65" i="1"/>
  <c r="A2" i="1"/>
  <c r="K8" i="1"/>
  <c r="A12" i="1"/>
  <c r="K13" i="1"/>
  <c r="K20" i="1"/>
  <c r="S20" i="1" s="1"/>
  <c r="K25" i="1"/>
  <c r="S25" i="1" s="1"/>
  <c r="E27" i="1"/>
  <c r="A29" i="1"/>
  <c r="K30" i="1"/>
  <c r="S30" i="1" s="1"/>
  <c r="E32" i="1"/>
  <c r="F32" i="1" s="1"/>
  <c r="A34" i="1"/>
  <c r="K35" i="1"/>
  <c r="S35" i="1" s="1"/>
  <c r="E37" i="1"/>
  <c r="A39" i="1"/>
  <c r="K40" i="1"/>
  <c r="S40" i="1" s="1"/>
  <c r="E42" i="1"/>
  <c r="A44" i="1"/>
  <c r="K45" i="1"/>
  <c r="S45" i="1" s="1"/>
  <c r="E47" i="1"/>
  <c r="F47" i="1" s="1"/>
  <c r="A49" i="1"/>
  <c r="K50" i="1"/>
  <c r="S50" i="1" s="1"/>
  <c r="E52" i="1"/>
  <c r="A54" i="1"/>
  <c r="K55" i="1"/>
  <c r="S55" i="1" s="1"/>
  <c r="E57" i="1"/>
  <c r="F57" i="1" s="1"/>
  <c r="A59" i="1"/>
  <c r="K60" i="1"/>
  <c r="E62" i="1"/>
  <c r="A64" i="1"/>
  <c r="K65" i="1"/>
  <c r="E67" i="1"/>
  <c r="A69" i="1"/>
  <c r="K70" i="1"/>
  <c r="E72" i="1"/>
  <c r="A13" i="1"/>
  <c r="B8" i="1"/>
  <c r="B65" i="1"/>
  <c r="I6" i="1"/>
  <c r="C25" i="1"/>
  <c r="R25" i="1" s="1"/>
  <c r="I38" i="1"/>
  <c r="C50" i="1"/>
  <c r="R50" i="1" s="1"/>
  <c r="J11" i="1"/>
  <c r="J23" i="1"/>
  <c r="B47" i="1"/>
  <c r="L58" i="1"/>
  <c r="L68" i="1"/>
  <c r="I3" i="1"/>
  <c r="C15" i="1"/>
  <c r="I20" i="1"/>
  <c r="M23" i="1"/>
  <c r="H23" i="1" s="1"/>
  <c r="M28" i="1"/>
  <c r="C37" i="1"/>
  <c r="R37" i="1" s="1"/>
  <c r="I40" i="1"/>
  <c r="I45" i="1"/>
  <c r="I50" i="1"/>
  <c r="C57" i="1"/>
  <c r="R57" i="1" s="1"/>
  <c r="I65" i="1"/>
  <c r="J30" i="1"/>
  <c r="J35" i="1"/>
  <c r="J55" i="1"/>
  <c r="J70" i="1"/>
  <c r="E5" i="1"/>
  <c r="E10" i="1"/>
  <c r="E15" i="1"/>
  <c r="B2" i="1"/>
  <c r="B12" i="1"/>
  <c r="L13" i="1"/>
  <c r="L20" i="1"/>
  <c r="B24" i="1"/>
  <c r="L25" i="1"/>
  <c r="L30" i="1"/>
  <c r="B34" i="1"/>
  <c r="L35" i="1"/>
  <c r="H35" i="1" s="1"/>
  <c r="B39" i="1"/>
  <c r="L40" i="1"/>
  <c r="B44" i="1"/>
  <c r="L45" i="1"/>
  <c r="H45" i="1" s="1"/>
  <c r="B49" i="1"/>
  <c r="L50" i="1"/>
  <c r="B54" i="1"/>
  <c r="L55" i="1"/>
  <c r="B59" i="1"/>
  <c r="L60" i="1"/>
  <c r="B64" i="1"/>
  <c r="L65" i="1"/>
  <c r="B69" i="1"/>
  <c r="L70" i="1"/>
  <c r="A30" i="1"/>
  <c r="A45" i="1"/>
  <c r="A55" i="1"/>
  <c r="I58" i="1"/>
  <c r="D45" i="1"/>
  <c r="D60" i="1"/>
  <c r="L33" i="1"/>
  <c r="L53" i="1"/>
  <c r="H53" i="1" s="1"/>
  <c r="B67" i="1"/>
  <c r="I13" i="1"/>
  <c r="I35" i="1"/>
  <c r="M68" i="1"/>
  <c r="D5" i="1"/>
  <c r="D42" i="1"/>
  <c r="B19" i="1"/>
  <c r="B29" i="1"/>
  <c r="C2" i="1"/>
  <c r="M3" i="1"/>
  <c r="I5" i="1"/>
  <c r="C7" i="1"/>
  <c r="M8" i="1"/>
  <c r="I10" i="1"/>
  <c r="C12" i="1"/>
  <c r="M13" i="1"/>
  <c r="I15" i="1"/>
  <c r="I17" i="1"/>
  <c r="C19" i="1"/>
  <c r="R19" i="1" s="1"/>
  <c r="M20" i="1"/>
  <c r="I22" i="1"/>
  <c r="C24" i="1"/>
  <c r="R24" i="1" s="1"/>
  <c r="M25" i="1"/>
  <c r="I27" i="1"/>
  <c r="C29" i="1"/>
  <c r="R29" i="1" s="1"/>
  <c r="M30" i="1"/>
  <c r="I32" i="1"/>
  <c r="C34" i="1"/>
  <c r="R34" i="1" s="1"/>
  <c r="I37" i="1"/>
  <c r="C39" i="1"/>
  <c r="R39" i="1" s="1"/>
  <c r="M40" i="1"/>
  <c r="I42" i="1"/>
  <c r="C44" i="1"/>
  <c r="R44" i="1" s="1"/>
  <c r="I47" i="1"/>
  <c r="C49" i="1"/>
  <c r="R49" i="1" s="1"/>
  <c r="M50" i="1"/>
  <c r="I52" i="1"/>
  <c r="C54" i="1"/>
  <c r="R54" i="1" s="1"/>
  <c r="M55" i="1"/>
  <c r="I57" i="1"/>
  <c r="C59" i="1"/>
  <c r="M60" i="1"/>
  <c r="I62" i="1"/>
  <c r="C64" i="1"/>
  <c r="I67" i="1"/>
  <c r="C69" i="1"/>
  <c r="M70" i="1"/>
  <c r="I72" i="1"/>
  <c r="A8" i="1"/>
  <c r="B3" i="1"/>
  <c r="B60" i="1"/>
  <c r="C3" i="1"/>
  <c r="I33" i="1"/>
  <c r="D3" i="1"/>
  <c r="D30" i="1"/>
  <c r="J38" i="1"/>
  <c r="J53" i="1"/>
  <c r="L48" i="1"/>
  <c r="C10" i="1"/>
  <c r="I25" i="1"/>
  <c r="M38" i="1"/>
  <c r="H38" i="1" s="1"/>
  <c r="M48" i="1"/>
  <c r="J3" i="1"/>
  <c r="J8" i="1"/>
  <c r="D15" i="1"/>
  <c r="D27" i="1"/>
  <c r="D37" i="1"/>
  <c r="J60" i="1"/>
  <c r="A24" i="1"/>
  <c r="L3" i="1"/>
  <c r="J15" i="1"/>
  <c r="J17" i="1"/>
  <c r="J22" i="1"/>
  <c r="J27" i="1"/>
  <c r="D29" i="1"/>
  <c r="F29" i="1" s="1"/>
  <c r="J32" i="1"/>
  <c r="D34" i="1"/>
  <c r="F34" i="1" s="1"/>
  <c r="J37" i="1"/>
  <c r="D39" i="1"/>
  <c r="F39" i="1" s="1"/>
  <c r="J42" i="1"/>
  <c r="D44" i="1"/>
  <c r="F44" i="1" s="1"/>
  <c r="J47" i="1"/>
  <c r="D49" i="1"/>
  <c r="F49" i="1" s="1"/>
  <c r="J52" i="1"/>
  <c r="D54" i="1"/>
  <c r="F54" i="1" s="1"/>
  <c r="J57" i="1"/>
  <c r="D59" i="1"/>
  <c r="J62" i="1"/>
  <c r="D64" i="1"/>
  <c r="J67" i="1"/>
  <c r="D69" i="1"/>
  <c r="J72" i="1"/>
  <c r="A20" i="1"/>
  <c r="A70" i="1"/>
  <c r="B13" i="1"/>
  <c r="B20" i="1"/>
  <c r="B25" i="1"/>
  <c r="B40" i="1"/>
  <c r="B45" i="1"/>
  <c r="B50" i="1"/>
  <c r="B55" i="1"/>
  <c r="I11" i="1"/>
  <c r="C30" i="1"/>
  <c r="R30" i="1" s="1"/>
  <c r="C70" i="1"/>
  <c r="D8" i="1"/>
  <c r="J28" i="1"/>
  <c r="D40" i="1"/>
  <c r="B42" i="1"/>
  <c r="M11" i="1"/>
  <c r="M63" i="1"/>
  <c r="J5" i="1"/>
  <c r="D7" i="1"/>
  <c r="J10" i="1"/>
  <c r="D12" i="1"/>
  <c r="D19" i="1"/>
  <c r="D24" i="1"/>
  <c r="F24" i="1" s="1"/>
  <c r="E2" i="1"/>
  <c r="A4" i="1"/>
  <c r="K5" i="1"/>
  <c r="E7" i="1"/>
  <c r="A9" i="1"/>
  <c r="K10" i="1"/>
  <c r="A14" i="1"/>
  <c r="K15" i="1"/>
  <c r="K17" i="1"/>
  <c r="E19" i="1"/>
  <c r="A21" i="1"/>
  <c r="K22" i="1"/>
  <c r="S22" i="1" s="1"/>
  <c r="A26" i="1"/>
  <c r="K27" i="1"/>
  <c r="S27" i="1" s="1"/>
  <c r="A31" i="1"/>
  <c r="K32" i="1"/>
  <c r="S32" i="1" s="1"/>
  <c r="A36" i="1"/>
  <c r="K37" i="1"/>
  <c r="S37" i="1" s="1"/>
  <c r="A41" i="1"/>
  <c r="K42" i="1"/>
  <c r="S42" i="1" s="1"/>
  <c r="A46" i="1"/>
  <c r="K47" i="1"/>
  <c r="S47" i="1" s="1"/>
  <c r="A51" i="1"/>
  <c r="K52" i="1"/>
  <c r="S52" i="1" s="1"/>
  <c r="A56" i="1"/>
  <c r="K57" i="1"/>
  <c r="S57" i="1" s="1"/>
  <c r="A61" i="1"/>
  <c r="K62" i="1"/>
  <c r="A66" i="1"/>
  <c r="K67" i="1"/>
  <c r="A71" i="1"/>
  <c r="K72" i="1"/>
  <c r="A25" i="1"/>
  <c r="I18" i="1"/>
  <c r="I43" i="1"/>
  <c r="I53" i="1"/>
  <c r="J16" i="1"/>
  <c r="B5" i="1"/>
  <c r="B10" i="1"/>
  <c r="L16" i="1"/>
  <c r="L18" i="1"/>
  <c r="B27" i="1"/>
  <c r="B32" i="1"/>
  <c r="L43" i="1"/>
  <c r="I8" i="1"/>
  <c r="M43" i="1"/>
  <c r="D22" i="1"/>
  <c r="F22" i="1" s="1"/>
  <c r="D67" i="1"/>
  <c r="B7" i="1"/>
  <c r="B4" i="1"/>
  <c r="L5" i="1"/>
  <c r="B9" i="1"/>
  <c r="L10" i="1"/>
  <c r="B14" i="1"/>
  <c r="L15" i="1"/>
  <c r="L17" i="1"/>
  <c r="B21" i="1"/>
  <c r="L22" i="1"/>
  <c r="H22" i="1" s="1"/>
  <c r="B26" i="1"/>
  <c r="L27" i="1"/>
  <c r="H27" i="1" s="1"/>
  <c r="B31" i="1"/>
  <c r="L32" i="1"/>
  <c r="H32" i="1" s="1"/>
  <c r="B36" i="1"/>
  <c r="L37" i="1"/>
  <c r="H37" i="1" s="1"/>
  <c r="B41" i="1"/>
  <c r="L42" i="1"/>
  <c r="H42" i="1" s="1"/>
  <c r="B46" i="1"/>
  <c r="L47" i="1"/>
  <c r="H47" i="1" s="1"/>
  <c r="B51" i="1"/>
  <c r="L52" i="1"/>
  <c r="H52" i="1" s="1"/>
  <c r="B56" i="1"/>
  <c r="L57" i="1"/>
  <c r="H57" i="1" s="1"/>
  <c r="B61" i="1"/>
  <c r="L62" i="1"/>
  <c r="B66" i="1"/>
  <c r="L67" i="1"/>
  <c r="B71" i="1"/>
  <c r="L72" i="1"/>
  <c r="I16" i="1"/>
  <c r="J58" i="1"/>
  <c r="B22" i="1"/>
  <c r="C32" i="1"/>
  <c r="R32" i="1" s="1"/>
  <c r="C47" i="1"/>
  <c r="R47" i="1" s="1"/>
  <c r="AD21" i="1"/>
  <c r="H19" i="1" l="1"/>
  <c r="AA26" i="12"/>
  <c r="AB20" i="12"/>
  <c r="AC23" i="12"/>
  <c r="AC33" i="12"/>
  <c r="AC43" i="12"/>
  <c r="AB28" i="12"/>
  <c r="AC21" i="12"/>
  <c r="AC19" i="12"/>
  <c r="F26" i="1"/>
  <c r="AC38" i="12"/>
  <c r="F19" i="1"/>
  <c r="H21" i="1"/>
  <c r="F21" i="1"/>
  <c r="H20" i="1"/>
  <c r="AC25" i="12"/>
  <c r="Z23" i="12"/>
  <c r="F30" i="1"/>
  <c r="AA20" i="12"/>
  <c r="H25" i="1"/>
  <c r="H34" i="1"/>
  <c r="F33" i="1"/>
  <c r="Z25" i="12"/>
  <c r="H18" i="1"/>
  <c r="F28" i="1"/>
  <c r="F23" i="1"/>
  <c r="AA24" i="12"/>
  <c r="H43" i="1"/>
  <c r="F27" i="1"/>
  <c r="AA39" i="12"/>
  <c r="H33" i="1"/>
  <c r="F18" i="1"/>
  <c r="H56" i="1"/>
  <c r="H49" i="1"/>
  <c r="H46" i="1"/>
  <c r="H40" i="1"/>
  <c r="H24" i="1"/>
  <c r="H30" i="1"/>
  <c r="H44" i="1"/>
  <c r="H54" i="1"/>
  <c r="H51" i="1"/>
  <c r="H39" i="1"/>
  <c r="H29" i="1"/>
  <c r="F31" i="1"/>
  <c r="AC40" i="12"/>
  <c r="H48" i="1"/>
  <c r="F35" i="1"/>
  <c r="H31" i="1"/>
  <c r="F46" i="1"/>
  <c r="H55" i="1"/>
  <c r="H36" i="1"/>
  <c r="H41" i="1"/>
  <c r="F40" i="1"/>
  <c r="H50" i="1"/>
  <c r="H28" i="1"/>
  <c r="H26" i="1"/>
  <c r="F36" i="1"/>
  <c r="F42" i="1"/>
  <c r="F37" i="1"/>
  <c r="F41" i="1"/>
  <c r="F43" i="1"/>
  <c r="F56" i="1"/>
  <c r="F50" i="1"/>
  <c r="F38" i="1"/>
  <c r="F48" i="1"/>
  <c r="F55" i="1"/>
  <c r="F52" i="1"/>
  <c r="F45" i="1"/>
  <c r="F51" i="1"/>
  <c r="F53" i="1"/>
  <c r="AG18" i="12"/>
  <c r="AA31" i="12"/>
  <c r="AB57" i="12"/>
  <c r="AB26" i="12"/>
  <c r="AA49" i="12"/>
  <c r="Z36" i="12"/>
  <c r="AC30" i="12"/>
  <c r="AA27" i="12"/>
  <c r="AB56" i="12"/>
  <c r="AC32" i="12"/>
  <c r="Z31" i="12"/>
  <c r="Z53" i="12"/>
  <c r="Z27" i="12"/>
  <c r="AC34" i="12"/>
  <c r="AB37" i="12"/>
  <c r="Z22" i="12"/>
  <c r="Z39" i="12"/>
  <c r="Z24" i="12"/>
  <c r="AC41" i="12"/>
  <c r="AA42" i="12"/>
  <c r="Z34" i="12"/>
  <c r="AC55" i="12"/>
  <c r="Z29" i="12"/>
  <c r="Z47" i="12"/>
  <c r="AB50" i="12"/>
  <c r="AC57" i="12"/>
  <c r="AA47" i="12"/>
  <c r="AB32" i="12"/>
  <c r="AC35" i="12"/>
  <c r="AB40" i="12"/>
  <c r="Z38" i="12"/>
  <c r="AB33" i="12"/>
  <c r="Z33" i="12"/>
  <c r="AB45" i="12"/>
  <c r="AC28" i="12"/>
  <c r="AA28" i="12"/>
  <c r="Z44" i="12"/>
  <c r="AA53" i="12"/>
  <c r="Z42" i="12"/>
  <c r="Z51" i="12"/>
  <c r="AA44" i="12"/>
  <c r="AC50" i="12"/>
  <c r="AA54" i="12"/>
  <c r="AC46" i="12"/>
  <c r="AA48" i="12"/>
  <c r="AC36" i="12"/>
  <c r="AA36" i="12"/>
  <c r="Z46" i="12"/>
  <c r="AA45" i="12"/>
  <c r="AA29" i="12"/>
  <c r="Z52" i="12"/>
  <c r="AB30" i="12"/>
  <c r="AA56" i="12"/>
  <c r="Z18" i="12"/>
  <c r="AF18" i="12" s="1"/>
  <c r="Z43" i="12"/>
  <c r="AA51" i="12"/>
  <c r="Z41" i="12"/>
  <c r="AA52" i="12"/>
  <c r="AC52" i="12"/>
  <c r="AB55" i="12"/>
  <c r="Z55" i="12"/>
  <c r="B19" i="10"/>
  <c r="D19" i="10" s="1"/>
  <c r="Y18" i="1" l="1"/>
  <c r="B6" i="10"/>
  <c r="D6" i="10" s="1"/>
  <c r="B35" i="10"/>
  <c r="D35" i="10" s="1"/>
  <c r="B3" i="10"/>
  <c r="D3" i="10" s="1"/>
  <c r="B4" i="10"/>
  <c r="D4" i="10" s="1"/>
  <c r="U19" i="1" s="1"/>
  <c r="O18" i="12"/>
  <c r="AE18" i="12"/>
  <c r="G42" i="10"/>
  <c r="F42" i="10" s="1"/>
  <c r="V57" i="1" s="1"/>
  <c r="B13" i="10"/>
  <c r="D13" i="10" s="1"/>
  <c r="B39" i="10"/>
  <c r="D39" i="10" s="1"/>
  <c r="B30" i="10"/>
  <c r="D30" i="10" s="1"/>
  <c r="B37" i="10"/>
  <c r="D37" i="10" s="1"/>
  <c r="B26" i="10"/>
  <c r="D26" i="10" s="1"/>
  <c r="B14" i="10"/>
  <c r="D14" i="10" s="1"/>
  <c r="B41" i="10"/>
  <c r="D41" i="10" s="1"/>
  <c r="B24" i="10"/>
  <c r="D24" i="10" s="1"/>
  <c r="B42" i="10"/>
  <c r="D42" i="10" s="1"/>
  <c r="B8" i="10"/>
  <c r="D8" i="10" s="1"/>
  <c r="B31" i="10"/>
  <c r="D31" i="10" s="1"/>
  <c r="B5" i="10"/>
  <c r="D5" i="10" s="1"/>
  <c r="B29" i="10"/>
  <c r="D29" i="10" s="1"/>
  <c r="B38" i="10"/>
  <c r="D38" i="10" s="1"/>
  <c r="B7" i="10"/>
  <c r="D7" i="10" s="1"/>
  <c r="B32" i="10"/>
  <c r="D32" i="10" s="1"/>
  <c r="B40" i="10"/>
  <c r="D40" i="10" s="1"/>
  <c r="B16" i="10"/>
  <c r="D16" i="10" s="1"/>
  <c r="B10" i="10"/>
  <c r="D10" i="10" s="1"/>
  <c r="B11" i="10"/>
  <c r="D11" i="10" s="1"/>
  <c r="B36" i="10"/>
  <c r="D36" i="10" s="1"/>
  <c r="B17" i="10"/>
  <c r="D17" i="10" s="1"/>
  <c r="B21" i="10"/>
  <c r="D21" i="10" s="1"/>
  <c r="B28" i="10"/>
  <c r="D28" i="10" s="1"/>
  <c r="B18" i="10"/>
  <c r="D18" i="10" s="1"/>
  <c r="B33" i="10"/>
  <c r="D33" i="10" s="1"/>
  <c r="B22" i="10"/>
  <c r="D22" i="10" s="1"/>
  <c r="B34" i="10"/>
  <c r="D34" i="10" s="1"/>
  <c r="B12" i="10"/>
  <c r="D12" i="10" s="1"/>
  <c r="B20" i="10"/>
  <c r="D20" i="10" s="1"/>
  <c r="B23" i="10"/>
  <c r="D23" i="10" s="1"/>
  <c r="B15" i="10"/>
  <c r="D15" i="10" s="1"/>
  <c r="B25" i="10"/>
  <c r="D25" i="10" s="1"/>
  <c r="B27" i="10"/>
  <c r="D27" i="10" s="1"/>
  <c r="G4" i="10" l="1"/>
  <c r="F4" i="10" s="1"/>
  <c r="V19" i="1" s="1"/>
  <c r="G6" i="10"/>
  <c r="F6" i="10" s="1"/>
  <c r="V21" i="1" s="1"/>
  <c r="G3" i="10"/>
  <c r="F3" i="10" s="1"/>
  <c r="V18" i="1" s="1"/>
  <c r="G8" i="10"/>
  <c r="F8" i="10" s="1"/>
  <c r="V23" i="1" s="1"/>
  <c r="G5" i="10"/>
  <c r="F5" i="10" s="1"/>
  <c r="V20" i="1" s="1"/>
  <c r="G12" i="10"/>
  <c r="F12" i="10" s="1"/>
  <c r="V27" i="1" s="1"/>
  <c r="G17" i="10"/>
  <c r="F17" i="10" s="1"/>
  <c r="V32" i="1" s="1"/>
  <c r="G9" i="10"/>
  <c r="F9" i="10" s="1"/>
  <c r="V24" i="1" s="1"/>
  <c r="G15" i="10"/>
  <c r="F15" i="10" s="1"/>
  <c r="V30" i="1" s="1"/>
  <c r="G7" i="10"/>
  <c r="F7" i="10" s="1"/>
  <c r="V22" i="1" s="1"/>
  <c r="G16" i="10"/>
  <c r="F16" i="10" s="1"/>
  <c r="V31" i="1" s="1"/>
  <c r="G31" i="10"/>
  <c r="F31" i="10" s="1"/>
  <c r="V46" i="1" s="1"/>
  <c r="G20" i="10"/>
  <c r="F20" i="10" s="1"/>
  <c r="V35" i="1" s="1"/>
  <c r="G23" i="10"/>
  <c r="F23" i="10" s="1"/>
  <c r="V38" i="1" s="1"/>
  <c r="G27" i="10"/>
  <c r="F27" i="10" s="1"/>
  <c r="V42" i="1" s="1"/>
  <c r="G10" i="10"/>
  <c r="F10" i="10" s="1"/>
  <c r="V25" i="1" s="1"/>
  <c r="G22" i="10"/>
  <c r="F22" i="10" s="1"/>
  <c r="V37" i="1" s="1"/>
  <c r="G40" i="10"/>
  <c r="F40" i="10" s="1"/>
  <c r="V55" i="1" s="1"/>
  <c r="G30" i="10"/>
  <c r="F30" i="10" s="1"/>
  <c r="V45" i="1" s="1"/>
  <c r="G18" i="10"/>
  <c r="F18" i="10" s="1"/>
  <c r="V33" i="1" s="1"/>
  <c r="G33" i="10"/>
  <c r="F33" i="10" s="1"/>
  <c r="V48" i="1" s="1"/>
  <c r="G26" i="10"/>
  <c r="F26" i="10" s="1"/>
  <c r="V41" i="1" s="1"/>
  <c r="G21" i="10"/>
  <c r="F21" i="10" s="1"/>
  <c r="V36" i="1" s="1"/>
  <c r="G41" i="10"/>
  <c r="F41" i="10" s="1"/>
  <c r="V56" i="1" s="1"/>
  <c r="G28" i="10"/>
  <c r="F28" i="10" s="1"/>
  <c r="V43" i="1" s="1"/>
  <c r="G25" i="10"/>
  <c r="F25" i="10" s="1"/>
  <c r="V40" i="1" s="1"/>
  <c r="G11" i="10"/>
  <c r="F11" i="10" s="1"/>
  <c r="V26" i="1" s="1"/>
  <c r="G34" i="10"/>
  <c r="F34" i="10" s="1"/>
  <c r="V49" i="1" s="1"/>
  <c r="G29" i="10"/>
  <c r="F29" i="10" s="1"/>
  <c r="V44" i="1" s="1"/>
  <c r="G35" i="10"/>
  <c r="F35" i="10" s="1"/>
  <c r="V50" i="1" s="1"/>
  <c r="G13" i="10"/>
  <c r="F13" i="10" s="1"/>
  <c r="V28" i="1" s="1"/>
  <c r="G19" i="10"/>
  <c r="F19" i="10" s="1"/>
  <c r="V34" i="1" s="1"/>
  <c r="G39" i="10"/>
  <c r="F39" i="10" s="1"/>
  <c r="V54" i="1" s="1"/>
  <c r="G32" i="10"/>
  <c r="F32" i="10" s="1"/>
  <c r="V47" i="1" s="1"/>
  <c r="G14" i="10"/>
  <c r="F14" i="10" s="1"/>
  <c r="V29" i="1" s="1"/>
  <c r="G36" i="10"/>
  <c r="F36" i="10" s="1"/>
  <c r="V51" i="1" s="1"/>
  <c r="G37" i="10"/>
  <c r="F37" i="10" s="1"/>
  <c r="V52" i="1" s="1"/>
  <c r="G38" i="10"/>
  <c r="F38" i="10" s="1"/>
  <c r="V53" i="1" s="1"/>
  <c r="G24" i="10"/>
  <c r="F24" i="10" s="1"/>
  <c r="V39" i="1" s="1"/>
  <c r="B9" i="10"/>
  <c r="D9" i="10" s="1"/>
  <c r="X57" i="1" l="1"/>
  <c r="U18" i="1"/>
  <c r="W18" i="1"/>
  <c r="X21" i="1"/>
  <c r="X18" i="1"/>
  <c r="X23" i="1"/>
  <c r="X30" i="1"/>
  <c r="X32" i="1"/>
  <c r="X22" i="1"/>
  <c r="X36" i="1"/>
  <c r="X40" i="1"/>
  <c r="X35" i="1"/>
  <c r="X46" i="1"/>
  <c r="X26" i="1"/>
  <c r="X34" i="1"/>
  <c r="X37" i="1"/>
  <c r="U24" i="1"/>
  <c r="X44" i="1"/>
  <c r="X49" i="1"/>
  <c r="X39" i="1"/>
  <c r="X33" i="1"/>
  <c r="X45" i="1"/>
  <c r="AB18" i="1" l="1"/>
  <c r="Z18" i="1"/>
  <c r="X25" i="1"/>
  <c r="X24" i="1"/>
  <c r="X47" i="1"/>
  <c r="X52" i="1"/>
  <c r="X27" i="1"/>
  <c r="X28" i="1"/>
  <c r="X56" i="1"/>
  <c r="X43" i="1"/>
  <c r="X55" i="1"/>
  <c r="X29" i="1"/>
  <c r="X54" i="1"/>
  <c r="X53" i="1"/>
  <c r="W24" i="1"/>
  <c r="X42" i="1"/>
  <c r="X31" i="1"/>
  <c r="W34" i="1"/>
  <c r="U34" i="1"/>
  <c r="W20" i="1"/>
  <c r="U20" i="1"/>
  <c r="X20" i="1"/>
  <c r="W54" i="1"/>
  <c r="U54" i="1"/>
  <c r="X50" i="1"/>
  <c r="U45" i="1"/>
  <c r="W45" i="1"/>
  <c r="AA18" i="1"/>
  <c r="U41" i="1"/>
  <c r="W41" i="1"/>
  <c r="U46" i="1"/>
  <c r="W46" i="1"/>
  <c r="U22" i="1"/>
  <c r="W22" i="1"/>
  <c r="U57" i="1"/>
  <c r="W57" i="1"/>
  <c r="U31" i="1"/>
  <c r="W31" i="1"/>
  <c r="U23" i="1"/>
  <c r="W23" i="1"/>
  <c r="U55" i="1"/>
  <c r="W55" i="1"/>
  <c r="X41" i="1"/>
  <c r="W37" i="1"/>
  <c r="U37" i="1"/>
  <c r="W36" i="1"/>
  <c r="U36" i="1"/>
  <c r="U40" i="1"/>
  <c r="W40" i="1"/>
  <c r="U39" i="1"/>
  <c r="W39" i="1"/>
  <c r="U43" i="1"/>
  <c r="W43" i="1"/>
  <c r="U25" i="1"/>
  <c r="W25" i="1"/>
  <c r="W30" i="1"/>
  <c r="U30" i="1"/>
  <c r="U50" i="1"/>
  <c r="W50" i="1"/>
  <c r="X19" i="1"/>
  <c r="W48" i="1"/>
  <c r="U48" i="1"/>
  <c r="X38" i="1"/>
  <c r="W19" i="1"/>
  <c r="U51" i="1"/>
  <c r="W51" i="1"/>
  <c r="U26" i="1"/>
  <c r="W26" i="1"/>
  <c r="X51" i="1"/>
  <c r="U28" i="1"/>
  <c r="W28" i="1"/>
  <c r="U52" i="1"/>
  <c r="W52" i="1"/>
  <c r="U33" i="1"/>
  <c r="W33" i="1"/>
  <c r="W44" i="1"/>
  <c r="U44" i="1"/>
  <c r="U29" i="1"/>
  <c r="W29" i="1"/>
  <c r="U47" i="1"/>
  <c r="W47" i="1"/>
  <c r="U38" i="1"/>
  <c r="W38" i="1"/>
  <c r="X48" i="1"/>
  <c r="W56" i="1"/>
  <c r="U56" i="1"/>
  <c r="W35" i="1"/>
  <c r="U35" i="1"/>
  <c r="U53" i="1"/>
  <c r="W53" i="1"/>
  <c r="U32" i="1"/>
  <c r="W32" i="1"/>
  <c r="U49" i="1"/>
  <c r="W49" i="1"/>
  <c r="U21" i="1"/>
  <c r="W21" i="1"/>
  <c r="W42" i="1"/>
  <c r="U42" i="1"/>
  <c r="W27" i="1"/>
  <c r="U27" i="1"/>
  <c r="O18" i="1" l="1"/>
  <c r="C3" i="3"/>
  <c r="Q7" i="22"/>
  <c r="P7" i="22" s="1"/>
  <c r="Q9" i="22" l="1"/>
  <c r="P9" i="22" s="1"/>
  <c r="Q11" i="22" l="1"/>
  <c r="P11" i="22" s="1"/>
  <c r="Q13" i="22" l="1"/>
  <c r="P13" i="22" s="1"/>
  <c r="Q15" i="22" l="1"/>
  <c r="P15" i="22" s="1"/>
  <c r="Q17" i="22" l="1"/>
  <c r="P17" i="22" s="1"/>
  <c r="Q19" i="22" l="1"/>
  <c r="P19" i="22" s="1"/>
  <c r="Q21" i="22" l="1"/>
  <c r="P21" i="22" s="1"/>
  <c r="Q23" i="22" l="1"/>
  <c r="P23" i="22" s="1"/>
  <c r="Q25" i="22" l="1"/>
  <c r="P25" i="22" s="1"/>
  <c r="Q27" i="22" l="1"/>
  <c r="P27" i="22" s="1"/>
  <c r="Q29" i="22" l="1"/>
  <c r="P29" i="22" s="1"/>
  <c r="Q31" i="22" l="1"/>
  <c r="P31" i="22" s="1"/>
  <c r="Q33" i="22" l="1"/>
  <c r="P33" i="22" s="1"/>
  <c r="Q35" i="22" l="1"/>
  <c r="P35" i="22" s="1"/>
  <c r="Q37" i="22" l="1"/>
  <c r="P37" i="22" s="1"/>
  <c r="Q39" i="22" l="1"/>
  <c r="P39" i="22" s="1"/>
  <c r="Q41" i="22" l="1"/>
  <c r="P41" i="22" s="1"/>
  <c r="Q43" i="22" l="1"/>
  <c r="P43" i="22" s="1"/>
  <c r="Q45" i="22" l="1"/>
  <c r="P45" i="22" s="1"/>
  <c r="Q47" i="22" l="1"/>
  <c r="P47" i="22" s="1"/>
  <c r="Q49" i="22" l="1"/>
  <c r="P49" i="22" s="1"/>
  <c r="Q51" i="22" l="1"/>
  <c r="P51" i="22" s="1"/>
  <c r="Q53" i="22" l="1"/>
  <c r="P53" i="22" s="1"/>
  <c r="Q55" i="22" l="1"/>
  <c r="P55" i="22" s="1"/>
  <c r="Q57" i="22" l="1"/>
  <c r="P57" i="22" s="1"/>
  <c r="Q59" i="22" l="1"/>
  <c r="P59" i="22" s="1"/>
  <c r="Q61" i="22" l="1"/>
  <c r="P61" i="22" s="1"/>
  <c r="Q63" i="22" l="1"/>
  <c r="P63" i="22" s="1"/>
  <c r="Q65" i="22" l="1"/>
  <c r="P65" i="22" s="1"/>
  <c r="Q67" i="22" l="1"/>
  <c r="P67" i="22" s="1"/>
  <c r="Q69" i="22" l="1"/>
  <c r="P69" i="22" s="1"/>
  <c r="Q71" i="22" l="1"/>
  <c r="P71" i="22" s="1"/>
  <c r="Q73" i="22" l="1"/>
  <c r="P73" i="22" s="1"/>
  <c r="Q75" i="22" l="1"/>
  <c r="P75" i="22" s="1"/>
  <c r="Q77" i="22" l="1"/>
  <c r="P77" i="22" s="1"/>
  <c r="Q79" i="22" l="1"/>
  <c r="P79" i="22" s="1"/>
  <c r="Q81" i="22" l="1"/>
  <c r="P81" i="22" s="1"/>
  <c r="Q83" i="22" l="1"/>
  <c r="P83" i="22" s="1"/>
  <c r="Q87" i="22" l="1"/>
  <c r="P87" i="22" s="1"/>
  <c r="Q85" i="22"/>
  <c r="P85" i="22" s="1"/>
  <c r="Q68" i="22"/>
  <c r="P68" i="22" s="1"/>
  <c r="Q38" i="22"/>
  <c r="P38" i="22" s="1"/>
  <c r="Q82" i="22"/>
  <c r="P82" i="22" s="1"/>
  <c r="Q14" i="22"/>
  <c r="P14" i="22" s="1"/>
  <c r="Q44" i="22"/>
  <c r="P44" i="22" s="1"/>
  <c r="Q32" i="22"/>
  <c r="P32" i="22" s="1"/>
  <c r="Q60" i="22"/>
  <c r="P60" i="22" s="1"/>
  <c r="Q48" i="22"/>
  <c r="P48" i="22" s="1"/>
  <c r="Q18" i="22"/>
  <c r="P18" i="22" s="1"/>
  <c r="Q40" i="22"/>
  <c r="P40" i="22" s="1"/>
  <c r="Q58" i="22"/>
  <c r="P58" i="22" s="1"/>
  <c r="Q76" i="22"/>
  <c r="P76" i="22" s="1"/>
  <c r="Q24" i="22"/>
  <c r="P24" i="22" s="1"/>
  <c r="Q64" i="22"/>
  <c r="P64" i="22" s="1"/>
  <c r="Q28" i="22"/>
  <c r="P28" i="22" s="1"/>
  <c r="Q56" i="22"/>
  <c r="P56" i="22" s="1"/>
  <c r="Q36" i="22"/>
  <c r="P36" i="22" s="1"/>
  <c r="Q80" i="22"/>
  <c r="P80" i="22" s="1"/>
  <c r="Q72" i="22"/>
  <c r="P72" i="22" s="1"/>
  <c r="Q74" i="22"/>
  <c r="P74" i="22" s="1"/>
  <c r="Q20" i="22"/>
  <c r="P20" i="22" s="1"/>
  <c r="Q66" i="22"/>
  <c r="P66" i="22" s="1"/>
  <c r="Q52" i="22"/>
  <c r="P52" i="22" s="1"/>
  <c r="Q86" i="22"/>
  <c r="P86" i="22" s="1"/>
  <c r="Q16" i="22"/>
  <c r="P16" i="22" s="1"/>
  <c r="Q30" i="22"/>
  <c r="P30" i="22" s="1"/>
  <c r="Q78" i="22"/>
  <c r="P78" i="22" s="1"/>
  <c r="Q70" i="22"/>
  <c r="P70" i="22" s="1"/>
  <c r="Q22" i="22"/>
  <c r="P22" i="22" s="1"/>
  <c r="Q54" i="22"/>
  <c r="P54" i="22" s="1"/>
  <c r="Q46" i="22"/>
  <c r="P46" i="22" s="1"/>
  <c r="Q26" i="22"/>
  <c r="P26" i="22" s="1"/>
  <c r="Q12" i="22"/>
  <c r="P12" i="22" s="1"/>
  <c r="Q84" i="22"/>
  <c r="P84" i="22" s="1"/>
  <c r="Q42" i="22"/>
  <c r="P42" i="22" s="1"/>
  <c r="Q50" i="22"/>
  <c r="P50" i="22" s="1"/>
  <c r="Q62" i="22"/>
  <c r="P62" i="22" s="1"/>
  <c r="Q10" i="22"/>
  <c r="P10" i="22" s="1"/>
  <c r="Q8" i="22"/>
  <c r="P8" i="22"/>
  <c r="Q6" i="22"/>
  <c r="P6" i="22" s="1"/>
  <c r="Q34" i="22"/>
  <c r="P34" i="22" s="1"/>
  <c r="N3" i="22" l="1"/>
  <c r="M3" i="22" s="1"/>
  <c r="L3" i="22"/>
  <c r="K3" i="22" s="1"/>
  <c r="Q8" i="21"/>
  <c r="P8" i="21" s="1"/>
  <c r="N3" i="21" l="1"/>
  <c r="M3" i="21" s="1"/>
  <c r="L3" i="21"/>
  <c r="K3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<sst xmlns="http://schemas.openxmlformats.org/spreadsheetml/2006/main" count="2223" uniqueCount="182">
  <si>
    <t>代碼</t>
  </si>
  <si>
    <t>商品</t>
  </si>
  <si>
    <t>成交</t>
  </si>
  <si>
    <t>總量</t>
  </si>
  <si>
    <t>內外盤比圖</t>
  </si>
  <si>
    <t>代碼</t>
    <phoneticPr fontId="2" type="noConversion"/>
  </si>
  <si>
    <t>履約價</t>
    <phoneticPr fontId="2" type="noConversion"/>
  </si>
  <si>
    <t>損益(賣方)-CALL</t>
    <phoneticPr fontId="2" type="noConversion"/>
  </si>
  <si>
    <t>損益(買方)-CALL</t>
    <phoneticPr fontId="2" type="noConversion"/>
  </si>
  <si>
    <t>損益(買方)-PUT</t>
    <phoneticPr fontId="2" type="noConversion"/>
  </si>
  <si>
    <t>損益(賣方)-PUT</t>
    <phoneticPr fontId="2" type="noConversion"/>
  </si>
  <si>
    <t>CALL</t>
    <phoneticPr fontId="2" type="noConversion"/>
  </si>
  <si>
    <t>PUT</t>
    <phoneticPr fontId="2" type="noConversion"/>
  </si>
  <si>
    <t>結算價</t>
    <phoneticPr fontId="2" type="noConversion"/>
  </si>
  <si>
    <t>結算價(X)</t>
    <phoneticPr fontId="2" type="noConversion"/>
  </si>
  <si>
    <t>損益(Y)</t>
    <phoneticPr fontId="2" type="noConversion"/>
  </si>
  <si>
    <t>損益值</t>
    <phoneticPr fontId="2" type="noConversion"/>
  </si>
  <si>
    <t>該履約價
持倉部位</t>
    <phoneticPr fontId="2" type="noConversion"/>
  </si>
  <si>
    <t>CALL(F18)
是否為數字</t>
    <phoneticPr fontId="2" type="noConversion"/>
  </si>
  <si>
    <r>
      <t xml:space="preserve">(CALL權利金*口數) - 
</t>
    </r>
    <r>
      <rPr>
        <sz val="11"/>
        <color rgb="FFC00000"/>
        <rFont val="微軟正黑體"/>
        <family val="2"/>
        <charset val="136"/>
      </rPr>
      <t>(結算價 - 履約價) * CALL
if  結算價&gt; 履約價</t>
    </r>
    <phoneticPr fontId="2" type="noConversion"/>
  </si>
  <si>
    <t>CALL(H18)
是否為數字</t>
    <phoneticPr fontId="2" type="noConversion"/>
  </si>
  <si>
    <r>
      <t xml:space="preserve">(PUT權利金*口數) - 
</t>
    </r>
    <r>
      <rPr>
        <sz val="11"/>
        <color rgb="FFC00000"/>
        <rFont val="微軟正黑體"/>
        <family val="2"/>
        <charset val="136"/>
      </rPr>
      <t>(履約價-結算價) * PUT
if  結算價&lt; 履約價</t>
    </r>
    <phoneticPr fontId="2" type="noConversion"/>
  </si>
  <si>
    <r>
      <rPr>
        <sz val="11"/>
        <color rgb="FFFF0000"/>
        <rFont val="微軟正黑體"/>
        <family val="2"/>
        <charset val="136"/>
      </rPr>
      <t>MAX([結算價-履約價],0)</t>
    </r>
    <r>
      <rPr>
        <sz val="11"/>
        <color rgb="FF0000FF"/>
        <rFont val="微軟正黑體"/>
        <family val="2"/>
        <charset val="136"/>
      </rPr>
      <t>*CALL
-(CALL權利金*口數)</t>
    </r>
    <phoneticPr fontId="2" type="noConversion"/>
  </si>
  <si>
    <r>
      <rPr>
        <sz val="11"/>
        <color rgb="FFFF0000"/>
        <rFont val="微軟正黑體"/>
        <family val="2"/>
        <charset val="136"/>
      </rPr>
      <t>MAX([履約價-結算價-],0)</t>
    </r>
    <r>
      <rPr>
        <sz val="11"/>
        <color rgb="FF0000FF"/>
        <rFont val="微軟正黑體"/>
        <family val="2"/>
        <charset val="136"/>
      </rPr>
      <t>*PUT
-(PUT權利金*口數)</t>
    </r>
    <phoneticPr fontId="2" type="noConversion"/>
  </si>
  <si>
    <t>權利金轉數字</t>
    <phoneticPr fontId="2" type="noConversion"/>
  </si>
  <si>
    <t>內外盤差</t>
    <phoneticPr fontId="2" type="noConversion"/>
  </si>
  <si>
    <t>買方</t>
    <phoneticPr fontId="2" type="noConversion"/>
  </si>
  <si>
    <t>賣方</t>
    <phoneticPr fontId="2" type="noConversion"/>
  </si>
  <si>
    <t>目前產品代碼</t>
    <phoneticPr fontId="2" type="noConversion"/>
  </si>
  <si>
    <t>TXON07</t>
    <phoneticPr fontId="2" type="noConversion"/>
  </si>
  <si>
    <t>商品代碼改為</t>
    <phoneticPr fontId="2" type="noConversion"/>
  </si>
  <si>
    <t xml:space="preserve"> </t>
    <phoneticPr fontId="2" type="noConversion"/>
  </si>
  <si>
    <t>商品名稱</t>
  </si>
  <si>
    <t>商品代碼</t>
  </si>
  <si>
    <t>結算幣別</t>
  </si>
  <si>
    <t>每一大點價值</t>
  </si>
  <si>
    <t>原始保證金</t>
  </si>
  <si>
    <t>維持保證金</t>
  </si>
  <si>
    <t>大台指期貨</t>
  </si>
  <si>
    <t>FITX</t>
  </si>
  <si>
    <t>TWD</t>
  </si>
  <si>
    <t>小台指期貨</t>
  </si>
  <si>
    <t>FIMTX</t>
  </si>
  <si>
    <t>小台指期貨W1</t>
  </si>
  <si>
    <t>FIMTX1</t>
  </si>
  <si>
    <t>小台指期貨W2</t>
  </si>
  <si>
    <t>FIMTX2</t>
  </si>
  <si>
    <t>小台指期貨W4</t>
  </si>
  <si>
    <t>FIMTX4</t>
  </si>
  <si>
    <t>小台指期貨W5</t>
  </si>
  <si>
    <t>FIMTX5</t>
  </si>
  <si>
    <t>客製化小台</t>
  </si>
  <si>
    <t>MXFFX</t>
  </si>
  <si>
    <t>微台指期貨</t>
  </si>
  <si>
    <t>FITM</t>
  </si>
  <si>
    <t>電子期貨</t>
  </si>
  <si>
    <t>FITE</t>
  </si>
  <si>
    <t>小電子期貨</t>
  </si>
  <si>
    <t>FIZE</t>
  </si>
  <si>
    <t>金融期貨</t>
  </si>
  <si>
    <t>FITF</t>
  </si>
  <si>
    <t>小金融期貨</t>
  </si>
  <si>
    <t>FIZF</t>
  </si>
  <si>
    <t>非金電期貨</t>
  </si>
  <si>
    <t>FIXI</t>
  </si>
  <si>
    <t>櫃買期貨</t>
  </si>
  <si>
    <t>FIGT</t>
  </si>
  <si>
    <t>富櫃200期貨</t>
  </si>
  <si>
    <t>FIG2</t>
  </si>
  <si>
    <t>臺灣生技期貨</t>
  </si>
  <si>
    <t>FIBT</t>
  </si>
  <si>
    <t>臺灣永續期貨</t>
  </si>
  <si>
    <t>FIE4</t>
  </si>
  <si>
    <t>東證期貨</t>
  </si>
  <si>
    <t>FITJ</t>
  </si>
  <si>
    <t>美國道瓊期貨</t>
  </si>
  <si>
    <t>FIUD</t>
  </si>
  <si>
    <t>美國那斯達克100期貨</t>
  </si>
  <si>
    <t>FIUN</t>
  </si>
  <si>
    <t>美國標普500期貨</t>
  </si>
  <si>
    <t>FISP</t>
  </si>
  <si>
    <t>英國富時100期貨</t>
  </si>
  <si>
    <t>FIF1</t>
  </si>
  <si>
    <t>中型100期貨</t>
  </si>
  <si>
    <t>FIM1</t>
  </si>
  <si>
    <t>航運期貨</t>
  </si>
  <si>
    <t>FISH</t>
  </si>
  <si>
    <t>半導體30期貨</t>
  </si>
  <si>
    <t>FISO</t>
  </si>
  <si>
    <t>費城半導體指數期貨</t>
  </si>
  <si>
    <t>FISX</t>
  </si>
  <si>
    <t>台指選擇權</t>
  </si>
  <si>
    <t>TXO</t>
  </si>
  <si>
    <t>台指選擇權W1</t>
  </si>
  <si>
    <t>TX1</t>
  </si>
  <si>
    <t>台指選擇權W2</t>
  </si>
  <si>
    <t>TX2</t>
  </si>
  <si>
    <t>台指選擇權W4</t>
  </si>
  <si>
    <t>TX4</t>
  </si>
  <si>
    <t>台指選擇權W5</t>
  </si>
  <si>
    <t>TX5</t>
  </si>
  <si>
    <t>台指選擇權F1</t>
  </si>
  <si>
    <t>TXU</t>
  </si>
  <si>
    <t>台指選擇權F2</t>
  </si>
  <si>
    <t>TXV</t>
  </si>
  <si>
    <t>台指選擇權F3</t>
  </si>
  <si>
    <t>TXX</t>
  </si>
  <si>
    <t>台指選擇權F4</t>
  </si>
  <si>
    <t>TXY</t>
  </si>
  <si>
    <t>台指選擇權F5</t>
  </si>
  <si>
    <t>TXZ</t>
  </si>
  <si>
    <t>電子選擇權</t>
  </si>
  <si>
    <t>TEO</t>
  </si>
  <si>
    <t>金融選擇權</t>
  </si>
  <si>
    <t>TFO</t>
  </si>
  <si>
    <t>商品名稱</t>
    <phoneticPr fontId="2" type="noConversion"/>
  </si>
  <si>
    <r>
      <rPr>
        <u/>
        <sz val="12"/>
        <color theme="1"/>
        <rFont val="新細明體"/>
        <family val="2"/>
        <charset val="136"/>
      </rPr>
      <t>保證金計算方式</t>
    </r>
    <r>
      <rPr>
        <u/>
        <sz val="12"/>
        <color theme="1"/>
        <rFont val="Arial"/>
        <family val="2"/>
      </rPr>
      <t>(</t>
    </r>
    <r>
      <rPr>
        <u/>
        <sz val="12"/>
        <color theme="1"/>
        <rFont val="新細明體"/>
        <family val="2"/>
        <charset val="136"/>
      </rPr>
      <t>指數商品</t>
    </r>
    <r>
      <rPr>
        <u/>
        <sz val="12"/>
        <color theme="1"/>
        <rFont val="Arial"/>
        <family val="2"/>
      </rPr>
      <t>)</t>
    </r>
  </si>
  <si>
    <t>現價</t>
    <phoneticPr fontId="2" type="noConversion"/>
  </si>
  <si>
    <t>台指選擇權(夜盤)</t>
    <phoneticPr fontId="2" type="noConversion"/>
  </si>
  <si>
    <t>TXO(N)</t>
    <phoneticPr fontId="2" type="noConversion"/>
  </si>
  <si>
    <t>7/16~7/23</t>
    <phoneticPr fontId="2" type="noConversion"/>
  </si>
  <si>
    <t>7/9~7/16</t>
    <phoneticPr fontId="2" type="noConversion"/>
  </si>
  <si>
    <t>TX5</t>
    <phoneticPr fontId="2" type="noConversion"/>
  </si>
  <si>
    <t>TXY</t>
    <phoneticPr fontId="2" type="noConversion"/>
  </si>
  <si>
    <t>週3</t>
    <phoneticPr fontId="2" type="noConversion"/>
  </si>
  <si>
    <t>週5</t>
    <phoneticPr fontId="2" type="noConversion"/>
  </si>
  <si>
    <t>小計</t>
    <phoneticPr fontId="2" type="noConversion"/>
  </si>
  <si>
    <t>內外盤比圖</t>
    <phoneticPr fontId="2" type="noConversion"/>
  </si>
  <si>
    <t>上次更新時間</t>
    <phoneticPr fontId="2" type="noConversion"/>
  </si>
  <si>
    <t>權利金(CALL)</t>
    <phoneticPr fontId="2" type="noConversion"/>
  </si>
  <si>
    <t>權利金
(PUT)</t>
    <phoneticPr fontId="2" type="noConversion"/>
  </si>
  <si>
    <t>s</t>
    <phoneticPr fontId="2" type="noConversion"/>
  </si>
  <si>
    <t>週3</t>
  </si>
  <si>
    <t>週5</t>
  </si>
  <si>
    <t>目前商品</t>
    <phoneticPr fontId="2" type="noConversion"/>
  </si>
  <si>
    <t>新商品</t>
    <phoneticPr fontId="2" type="noConversion"/>
  </si>
  <si>
    <t>口數</t>
    <phoneticPr fontId="2" type="noConversion"/>
  </si>
  <si>
    <t>商品代號</t>
    <phoneticPr fontId="2" type="noConversion"/>
  </si>
  <si>
    <t>指數</t>
    <phoneticPr fontId="2" type="noConversion"/>
  </si>
  <si>
    <t>b/s</t>
    <phoneticPr fontId="2" type="noConversion"/>
  </si>
  <si>
    <t>c/p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</si>
  <si>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</si>
  <si>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</si>
  <si>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</si>
  <si>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損益</t>
    <phoneticPr fontId="2" type="noConversion"/>
  </si>
  <si>
    <t>K</t>
    <phoneticPr fontId="2" type="noConversion"/>
  </si>
  <si>
    <t>P</t>
    <phoneticPr fontId="2" type="noConversion"/>
  </si>
  <si>
    <t>Q</t>
    <phoneticPr fontId="2" type="noConversion"/>
  </si>
  <si>
    <t>B</t>
    <phoneticPr fontId="2" type="noConversion"/>
  </si>
  <si>
    <t>p</t>
    <phoneticPr fontId="2" type="noConversion"/>
  </si>
  <si>
    <t>損益
點數合計</t>
    <phoneticPr fontId="2" type="noConversion"/>
  </si>
  <si>
    <t>即時損益金額</t>
    <phoneticPr fontId="2" type="noConversion"/>
  </si>
  <si>
    <t>最大獲利金額
[21500~24700]</t>
    <phoneticPr fontId="2" type="noConversion"/>
  </si>
  <si>
    <t>最大損失金額
[21500~24700]</t>
    <phoneticPr fontId="2" type="noConversion"/>
  </si>
  <si>
    <t>權利金(成交價)</t>
    <phoneticPr fontId="2" type="noConversion"/>
  </si>
  <si>
    <t>TX4N07</t>
    <phoneticPr fontId="2" type="noConversion"/>
  </si>
  <si>
    <t>TXYN07</t>
    <phoneticPr fontId="2" type="noConversion"/>
  </si>
  <si>
    <t>Call合計</t>
    <phoneticPr fontId="2" type="noConversion"/>
  </si>
  <si>
    <t>Put合計</t>
    <phoneticPr fontId="2" type="noConversion"/>
  </si>
  <si>
    <t>TSE
加權指數</t>
    <phoneticPr fontId="2" type="noConversion"/>
  </si>
  <si>
    <t>XQFAP|Quote!'</t>
  </si>
  <si>
    <t>.TF-price'</t>
  </si>
  <si>
    <t>C/P</t>
    <phoneticPr fontId="2" type="noConversion"/>
  </si>
  <si>
    <t>代號</t>
    <phoneticPr fontId="2" type="noConversion"/>
  </si>
  <si>
    <t>Quote</t>
    <phoneticPr fontId="2" type="noConversion"/>
  </si>
  <si>
    <t>A5~A19、C5~G19如異動，更新權利金報價</t>
    <phoneticPr fontId="2" type="noConversion"/>
  </si>
  <si>
    <t>權利金報價</t>
    <phoneticPr fontId="2" type="noConversion"/>
  </si>
  <si>
    <t>損益
金額</t>
    <phoneticPr fontId="2" type="noConversion"/>
  </si>
  <si>
    <t>價格</t>
    <phoneticPr fontId="2" type="noConversion"/>
  </si>
  <si>
    <t>即時損益點數</t>
    <phoneticPr fontId="2" type="noConversion"/>
  </si>
  <si>
    <t>成交</t>
    <phoneticPr fontId="2" type="noConversion"/>
  </si>
  <si>
    <t>W</t>
    <phoneticPr fontId="2" type="noConversion"/>
  </si>
  <si>
    <t>CALL</t>
  </si>
  <si>
    <t>PUT</t>
  </si>
  <si>
    <t>總量</t>
    <phoneticPr fontId="2" type="noConversion"/>
  </si>
  <si>
    <t>W+F</t>
    <phoneticPr fontId="2" type="noConversion"/>
  </si>
  <si>
    <t>CALL權利金</t>
    <phoneticPr fontId="2" type="noConversion"/>
  </si>
  <si>
    <t>PUT權利金</t>
    <phoneticPr fontId="2" type="noConversion"/>
  </si>
  <si>
    <t>量前20大</t>
    <phoneticPr fontId="2" type="noConversion"/>
  </si>
  <si>
    <t>時間</t>
    <phoneticPr fontId="2" type="noConversion"/>
  </si>
  <si>
    <t>SUM</t>
    <phoneticPr fontId="2" type="noConversion"/>
  </si>
  <si>
    <t>序號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</si>
</sst>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6" formatCode="_-* #,##0.0_-;\-* #,##0.0_-;_-* &quot;-&quot;??_-;_-@_-"/>
    <numFmt numFmtId="177" formatCode="0_ ;[Red]\-0\ "/>
  </numFmts>
  <fonts count="4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color rgb="FF0000FF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b/>
      <sz val="12"/>
      <color rgb="FFEE0000"/>
      <name val="微軟正黑體"/>
      <family val="2"/>
      <charset val="136"/>
    </font>
    <font>
      <b/>
      <sz val="11"/>
      <color rgb="FFEE0000"/>
      <name val="微軟正黑體"/>
      <family val="2"/>
      <charset val="136"/>
    </font>
    <font>
      <sz val="6"/>
      <color theme="1"/>
      <name val="新細明體"/>
      <family val="2"/>
      <charset val="136"/>
      <scheme val="minor"/>
    </font>
    <font>
      <b/>
      <sz val="6"/>
      <color rgb="FFEE0000"/>
      <name val="微軟正黑體"/>
      <family val="2"/>
      <charset val="136"/>
    </font>
    <font>
      <b/>
      <sz val="6"/>
      <color rgb="FF0000FF"/>
      <name val="微軟正黑體"/>
      <family val="2"/>
      <charset val="136"/>
    </font>
    <font>
      <sz val="6"/>
      <color theme="1"/>
      <name val="微軟正黑體"/>
      <family val="2"/>
      <charset val="136"/>
    </font>
    <font>
      <sz val="6"/>
      <color rgb="FF0000FF"/>
      <name val="微軟正黑體"/>
      <family val="2"/>
      <charset val="136"/>
    </font>
    <font>
      <sz val="11"/>
      <color rgb="FFC00000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u/>
      <sz val="11"/>
      <color rgb="FFC00000"/>
      <name val="微軟正黑體"/>
      <family val="2"/>
      <charset val="136"/>
    </font>
    <font>
      <b/>
      <sz val="20"/>
      <color rgb="FF00008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u/>
      <sz val="12"/>
      <color theme="1"/>
      <name val="新細明體"/>
      <family val="2"/>
      <charset val="136"/>
    </font>
    <font>
      <sz val="11"/>
      <color rgb="FF0000FF"/>
      <name val="Arial"/>
      <family val="2"/>
    </font>
    <font>
      <sz val="12"/>
      <color theme="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1"/>
      <color rgb="FFFF0000"/>
      <name val="微軟正黑體"/>
      <family val="2"/>
      <charset val="136"/>
    </font>
    <font>
      <sz val="13"/>
      <color theme="1"/>
      <name val="微軟正黑體"/>
      <family val="2"/>
      <charset val="136"/>
    </font>
    <font>
      <sz val="13"/>
      <color rgb="FF0000FF"/>
      <name val="微軟正黑體"/>
      <family val="2"/>
      <charset val="136"/>
    </font>
    <font>
      <b/>
      <sz val="13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0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b/>
      <sz val="11"/>
      <color rgb="FFFF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3"/>
      <color rgb="FF0000FF"/>
      <name val="微軟正黑體"/>
      <family val="2"/>
      <charset val="136"/>
    </font>
    <font>
      <b/>
      <sz val="12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sz val="12"/>
      <color rgb="FFFF0000"/>
      <name val="微軟正黑體"/>
      <family val="2"/>
      <charset val="136"/>
    </font>
    <font>
      <b/>
      <sz val="12"/>
      <color theme="8" tint="0.39997558519241921"/>
      <name val="微軟正黑體"/>
      <family val="2"/>
      <charset val="136"/>
    </font>
    <font>
      <b/>
      <sz val="12"/>
      <color theme="5" tint="-0.249977111117893"/>
      <name val="微軟正黑體"/>
      <family val="2"/>
      <charset val="136"/>
    </font>
    <font>
      <b/>
      <sz val="12"/>
      <color rgb="FFD050C4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2"/>
      <color rgb="FFC00000"/>
      <name val="微軟正黑體"/>
      <family val="2"/>
      <charset val="136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B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1EA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7C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6DEF4"/>
        <bgColor indexed="64"/>
      </patternFill>
    </fill>
    <fill>
      <patternFill patternType="solid">
        <fgColor rgb="FFFFE38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AEAEA"/>
      </left>
      <right style="medium">
        <color rgb="FFEAEAEA"/>
      </right>
      <top style="medium">
        <color rgb="FFEAEAEA"/>
      </top>
      <bottom style="medium">
        <color rgb="FFEAEAEA"/>
      </bottom>
      <diagonal/>
    </border>
    <border>
      <left style="medium">
        <color rgb="FFEAEAEA"/>
      </left>
      <right/>
      <top style="medium">
        <color rgb="FFEAEAEA"/>
      </top>
      <bottom style="medium">
        <color rgb="FFEAEAEA"/>
      </bottom>
      <diagonal/>
    </border>
    <border>
      <left/>
      <right style="medium">
        <color rgb="FFEAEAEA"/>
      </right>
      <top style="medium">
        <color rgb="FFEAEAEA"/>
      </top>
      <bottom style="medium">
        <color rgb="FFEAEAEA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38" fontId="4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2" borderId="1" xfId="0" applyFont="1" applyFill="1" applyBorder="1" applyAlignment="1">
      <alignment horizontal="center" vertical="center" wrapText="1"/>
    </xf>
    <xf numFmtId="38" fontId="12" fillId="0" borderId="1" xfId="0" applyNumberFormat="1" applyFont="1" applyBorder="1" applyAlignment="1">
      <alignment horizontal="center" vertical="center"/>
    </xf>
    <xf numFmtId="38" fontId="13" fillId="0" borderId="1" xfId="0" applyNumberFormat="1" applyFont="1" applyBorder="1" applyAlignment="1">
      <alignment horizontal="center" vertical="center"/>
    </xf>
    <xf numFmtId="38" fontId="13" fillId="3" borderId="1" xfId="0" applyNumberFormat="1" applyFont="1" applyFill="1" applyBorder="1" applyAlignment="1">
      <alignment horizontal="center" vertical="center"/>
    </xf>
    <xf numFmtId="38" fontId="14" fillId="0" borderId="1" xfId="0" applyNumberFormat="1" applyFont="1" applyBorder="1" applyAlignment="1">
      <alignment horizontal="center" vertical="center"/>
    </xf>
    <xf numFmtId="38" fontId="14" fillId="4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38" fontId="4" fillId="0" borderId="0" xfId="0" applyNumberFormat="1" applyFont="1" applyAlignment="1">
      <alignment horizontal="center" vertical="center" wrapText="1"/>
    </xf>
    <xf numFmtId="38" fontId="9" fillId="2" borderId="1" xfId="0" applyNumberFormat="1" applyFont="1" applyFill="1" applyBorder="1" applyAlignment="1">
      <alignment horizontal="center" vertical="center" wrapText="1"/>
    </xf>
    <xf numFmtId="38" fontId="4" fillId="0" borderId="0" xfId="1" applyNumberFormat="1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8" fontId="7" fillId="0" borderId="0" xfId="0" applyNumberFormat="1" applyFont="1" applyAlignment="1">
      <alignment horizontal="center" vertical="center" wrapText="1"/>
    </xf>
    <xf numFmtId="0" fontId="17" fillId="5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38" fontId="4" fillId="0" borderId="0" xfId="1" applyNumberFormat="1" applyFont="1" applyFill="1" applyAlignment="1">
      <alignment horizontal="center" vertical="center" wrapText="1"/>
    </xf>
    <xf numFmtId="0" fontId="20" fillId="0" borderId="0" xfId="0" applyFont="1">
      <alignment vertical="center"/>
    </xf>
    <xf numFmtId="0" fontId="21" fillId="6" borderId="2" xfId="0" applyFont="1" applyFill="1" applyBorder="1" applyAlignment="1">
      <alignment horizontal="center" vertical="center"/>
    </xf>
    <xf numFmtId="3" fontId="21" fillId="6" borderId="2" xfId="0" applyNumberFormat="1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24" fillId="6" borderId="2" xfId="0" applyFont="1" applyFill="1" applyBorder="1" applyAlignment="1">
      <alignment horizontal="center" vertical="center"/>
    </xf>
    <xf numFmtId="3" fontId="24" fillId="6" borderId="2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27" fillId="2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38" fontId="28" fillId="0" borderId="0" xfId="0" applyNumberFormat="1" applyFont="1" applyAlignment="1">
      <alignment horizontal="center" vertical="center" wrapText="1"/>
    </xf>
    <xf numFmtId="177" fontId="28" fillId="10" borderId="0" xfId="0" applyNumberFormat="1" applyFont="1" applyFill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 wrapText="1"/>
    </xf>
    <xf numFmtId="177" fontId="31" fillId="0" borderId="1" xfId="0" applyNumberFormat="1" applyFont="1" applyBorder="1" applyAlignment="1">
      <alignment horizontal="center" vertical="center" wrapText="1"/>
    </xf>
    <xf numFmtId="177" fontId="31" fillId="2" borderId="1" xfId="0" applyNumberFormat="1" applyFont="1" applyFill="1" applyBorder="1" applyAlignment="1">
      <alignment horizontal="center" vertical="center" wrapText="1"/>
    </xf>
    <xf numFmtId="177" fontId="29" fillId="10" borderId="0" xfId="0" applyNumberFormat="1" applyFont="1" applyFill="1" applyAlignment="1">
      <alignment horizontal="center" vertical="center" wrapText="1"/>
    </xf>
    <xf numFmtId="177" fontId="29" fillId="0" borderId="0" xfId="0" applyNumberFormat="1" applyFont="1" applyAlignment="1">
      <alignment horizontal="center" vertical="center" wrapText="1"/>
    </xf>
    <xf numFmtId="177" fontId="31" fillId="11" borderId="1" xfId="0" applyNumberFormat="1" applyFont="1" applyFill="1" applyBorder="1" applyAlignment="1">
      <alignment horizontal="center" vertical="center" wrapText="1"/>
    </xf>
    <xf numFmtId="177" fontId="28" fillId="11" borderId="0" xfId="0" applyNumberFormat="1" applyFont="1" applyFill="1" applyAlignment="1">
      <alignment horizontal="center" vertical="center" wrapText="1"/>
    </xf>
    <xf numFmtId="177" fontId="29" fillId="2" borderId="0" xfId="0" applyNumberFormat="1" applyFont="1" applyFill="1" applyAlignment="1">
      <alignment horizontal="center" vertical="center" wrapText="1"/>
    </xf>
    <xf numFmtId="177" fontId="28" fillId="2" borderId="0" xfId="0" applyNumberFormat="1" applyFont="1" applyFill="1" applyAlignment="1">
      <alignment horizontal="center" vertical="center" wrapText="1"/>
    </xf>
    <xf numFmtId="177" fontId="30" fillId="2" borderId="0" xfId="0" applyNumberFormat="1" applyFont="1" applyFill="1" applyAlignment="1">
      <alignment horizontal="center" vertical="center" wrapText="1"/>
    </xf>
    <xf numFmtId="38" fontId="32" fillId="2" borderId="1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38" fontId="4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38" fontId="4" fillId="4" borderId="1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38" fontId="4" fillId="4" borderId="0" xfId="1" applyNumberFormat="1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38" fontId="7" fillId="4" borderId="0" xfId="0" applyNumberFormat="1" applyFont="1" applyFill="1" applyAlignment="1">
      <alignment horizontal="center" vertical="center" wrapText="1"/>
    </xf>
    <xf numFmtId="22" fontId="25" fillId="0" borderId="0" xfId="0" applyNumberFormat="1" applyFont="1">
      <alignment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22" fontId="34" fillId="0" borderId="0" xfId="0" applyNumberFormat="1" applyFont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38" fontId="4" fillId="12" borderId="0" xfId="0" applyNumberFormat="1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5" fillId="0" borderId="0" xfId="0" applyFont="1">
      <alignment vertical="center"/>
    </xf>
    <xf numFmtId="38" fontId="37" fillId="0" borderId="1" xfId="0" applyNumberFormat="1" applyFont="1" applyBorder="1" applyAlignment="1">
      <alignment horizontal="center" vertical="center"/>
    </xf>
    <xf numFmtId="38" fontId="37" fillId="0" borderId="8" xfId="0" applyNumberFormat="1" applyFont="1" applyBorder="1" applyAlignment="1">
      <alignment horizontal="center" vertical="center"/>
    </xf>
    <xf numFmtId="38" fontId="37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76" fontId="35" fillId="0" borderId="1" xfId="1" applyNumberFormat="1" applyFont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38" fontId="35" fillId="0" borderId="0" xfId="0" applyNumberFormat="1" applyFont="1">
      <alignment vertical="center"/>
    </xf>
    <xf numFmtId="0" fontId="38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38" fontId="37" fillId="9" borderId="1" xfId="0" applyNumberFormat="1" applyFont="1" applyFill="1" applyBorder="1" applyAlignment="1">
      <alignment horizontal="center" vertical="center" wrapText="1"/>
    </xf>
    <xf numFmtId="38" fontId="37" fillId="9" borderId="1" xfId="1" applyNumberFormat="1" applyFont="1" applyFill="1" applyBorder="1" applyAlignment="1">
      <alignment horizontal="center" vertical="center" wrapText="1"/>
    </xf>
    <xf numFmtId="0" fontId="37" fillId="9" borderId="0" xfId="0" applyFont="1" applyFill="1">
      <alignment vertical="center"/>
    </xf>
    <xf numFmtId="0" fontId="41" fillId="15" borderId="1" xfId="0" applyFont="1" applyFill="1" applyBorder="1" applyAlignment="1">
      <alignment horizontal="center" vertical="center" wrapText="1"/>
    </xf>
    <xf numFmtId="0" fontId="41" fillId="15" borderId="0" xfId="0" applyFont="1" applyFill="1" applyAlignment="1">
      <alignment horizontal="center" vertical="center" wrapText="1"/>
    </xf>
    <xf numFmtId="0" fontId="40" fillId="18" borderId="0" xfId="0" applyFont="1" applyFill="1" applyAlignment="1">
      <alignment horizontal="center" vertical="center" wrapText="1"/>
    </xf>
    <xf numFmtId="0" fontId="30" fillId="15" borderId="0" xfId="0" applyFont="1" applyFill="1" applyAlignment="1">
      <alignment horizontal="center" vertical="center" wrapText="1"/>
    </xf>
    <xf numFmtId="177" fontId="39" fillId="15" borderId="0" xfId="0" applyNumberFormat="1" applyFont="1" applyFill="1" applyAlignment="1">
      <alignment horizontal="center" vertical="center" wrapText="1"/>
    </xf>
    <xf numFmtId="177" fontId="31" fillId="15" borderId="1" xfId="0" applyNumberFormat="1" applyFont="1" applyFill="1" applyBorder="1" applyAlignment="1">
      <alignment horizontal="center" vertical="center" wrapText="1"/>
    </xf>
    <xf numFmtId="177" fontId="30" fillId="15" borderId="0" xfId="0" applyNumberFormat="1" applyFont="1" applyFill="1" applyAlignment="1">
      <alignment horizontal="center" vertical="center" wrapText="1"/>
    </xf>
    <xf numFmtId="38" fontId="30" fillId="15" borderId="0" xfId="0" applyNumberFormat="1" applyFont="1" applyFill="1" applyAlignment="1">
      <alignment horizontal="center" vertical="center" wrapText="1"/>
    </xf>
    <xf numFmtId="0" fontId="30" fillId="19" borderId="0" xfId="0" applyFont="1" applyFill="1" applyAlignment="1">
      <alignment horizontal="center" vertical="center" wrapText="1"/>
    </xf>
    <xf numFmtId="177" fontId="30" fillId="19" borderId="0" xfId="0" applyNumberFormat="1" applyFont="1" applyFill="1" applyAlignment="1">
      <alignment horizontal="center" vertical="center" wrapText="1"/>
    </xf>
    <xf numFmtId="38" fontId="30" fillId="19" borderId="0" xfId="0" applyNumberFormat="1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177" fontId="31" fillId="15" borderId="0" xfId="0" applyNumberFormat="1" applyFont="1" applyFill="1" applyAlignment="1">
      <alignment horizontal="center" vertical="center" wrapText="1"/>
    </xf>
    <xf numFmtId="0" fontId="42" fillId="15" borderId="0" xfId="0" applyFont="1" applyFill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3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0" fontId="26" fillId="16" borderId="1" xfId="0" applyFont="1" applyFill="1" applyBorder="1" applyAlignment="1">
      <alignment horizontal="center" vertical="center" wrapText="1"/>
    </xf>
    <xf numFmtId="0" fontId="31" fillId="20" borderId="1" xfId="0" applyFont="1" applyFill="1" applyBorder="1" applyAlignment="1">
      <alignment horizontal="center" vertical="center" wrapText="1"/>
    </xf>
    <xf numFmtId="0" fontId="42" fillId="20" borderId="1" xfId="0" applyFont="1" applyFill="1" applyBorder="1" applyAlignment="1">
      <alignment horizontal="center" vertical="center" wrapText="1"/>
    </xf>
    <xf numFmtId="0" fontId="31" fillId="17" borderId="0" xfId="0" applyFont="1" applyFill="1" applyAlignment="1">
      <alignment horizontal="center" vertical="center" wrapText="1"/>
    </xf>
    <xf numFmtId="0" fontId="43" fillId="17" borderId="0" xfId="0" applyFont="1" applyFill="1" applyAlignment="1">
      <alignment horizontal="center" vertical="center" wrapText="1"/>
    </xf>
    <xf numFmtId="0" fontId="43" fillId="15" borderId="0" xfId="0" applyFont="1" applyFill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43" fillId="21" borderId="0" xfId="0" applyFont="1" applyFill="1" applyAlignment="1">
      <alignment horizontal="center" vertical="center" wrapText="1"/>
    </xf>
    <xf numFmtId="0" fontId="45" fillId="21" borderId="0" xfId="0" applyFont="1" applyFill="1" applyAlignment="1">
      <alignment horizontal="center" vertical="center" wrapText="1"/>
    </xf>
    <xf numFmtId="0" fontId="26" fillId="20" borderId="9" xfId="0" applyFont="1" applyFill="1" applyBorder="1" applyAlignment="1">
      <alignment horizontal="center" vertical="center" wrapText="1"/>
    </xf>
    <xf numFmtId="0" fontId="26" fillId="20" borderId="10" xfId="0" applyFont="1" applyFill="1" applyBorder="1" applyAlignment="1">
      <alignment horizontal="center" vertical="center" wrapText="1"/>
    </xf>
    <xf numFmtId="0" fontId="34" fillId="17" borderId="1" xfId="0" applyFont="1" applyFill="1" applyBorder="1" applyAlignment="1">
      <alignment horizontal="center" vertical="center" wrapText="1"/>
    </xf>
    <xf numFmtId="0" fontId="34" fillId="16" borderId="1" xfId="0" applyFont="1" applyFill="1" applyBorder="1" applyAlignment="1">
      <alignment horizontal="center" vertical="center" wrapText="1"/>
    </xf>
    <xf numFmtId="0" fontId="26" fillId="22" borderId="1" xfId="0" applyFont="1" applyFill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 wrapText="1"/>
    </xf>
    <xf numFmtId="1" fontId="44" fillId="22" borderId="1" xfId="0" applyNumberFormat="1" applyFont="1" applyFill="1" applyBorder="1" applyAlignment="1">
      <alignment horizontal="center" vertical="center" wrapText="1"/>
    </xf>
    <xf numFmtId="0" fontId="26" fillId="20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77" fontId="31" fillId="8" borderId="5" xfId="0" applyNumberFormat="1" applyFont="1" applyFill="1" applyBorder="1" applyAlignment="1">
      <alignment horizontal="center" vertical="center" wrapText="1"/>
    </xf>
    <xf numFmtId="177" fontId="31" fillId="8" borderId="6" xfId="0" applyNumberFormat="1" applyFont="1" applyFill="1" applyBorder="1" applyAlignment="1">
      <alignment horizontal="center" vertical="center" wrapText="1"/>
    </xf>
    <xf numFmtId="177" fontId="31" fillId="8" borderId="7" xfId="0" applyNumberFormat="1" applyFont="1" applyFill="1" applyBorder="1" applyAlignment="1">
      <alignment horizontal="center" vertical="center" wrapText="1"/>
    </xf>
    <xf numFmtId="177" fontId="31" fillId="9" borderId="5" xfId="0" applyNumberFormat="1" applyFont="1" applyFill="1" applyBorder="1" applyAlignment="1">
      <alignment horizontal="center" vertical="center" wrapText="1"/>
    </xf>
    <xf numFmtId="177" fontId="31" fillId="9" borderId="6" xfId="0" applyNumberFormat="1" applyFont="1" applyFill="1" applyBorder="1" applyAlignment="1">
      <alignment horizontal="center" vertical="center" wrapText="1"/>
    </xf>
    <xf numFmtId="177" fontId="31" fillId="9" borderId="7" xfId="0" applyNumberFormat="1" applyFont="1" applyFill="1" applyBorder="1" applyAlignment="1">
      <alignment horizontal="center" vertical="center" wrapText="1"/>
    </xf>
    <xf numFmtId="177" fontId="31" fillId="13" borderId="5" xfId="0" applyNumberFormat="1" applyFont="1" applyFill="1" applyBorder="1" applyAlignment="1">
      <alignment horizontal="center" vertical="center" wrapText="1"/>
    </xf>
    <xf numFmtId="177" fontId="31" fillId="13" borderId="6" xfId="0" applyNumberFormat="1" applyFont="1" applyFill="1" applyBorder="1" applyAlignment="1">
      <alignment horizontal="center" vertical="center" wrapText="1"/>
    </xf>
    <xf numFmtId="177" fontId="31" fillId="13" borderId="7" xfId="0" applyNumberFormat="1" applyFont="1" applyFill="1" applyBorder="1" applyAlignment="1">
      <alignment horizontal="center" vertical="center" wrapText="1"/>
    </xf>
    <xf numFmtId="177" fontId="31" fillId="14" borderId="5" xfId="0" applyNumberFormat="1" applyFont="1" applyFill="1" applyBorder="1" applyAlignment="1">
      <alignment horizontal="center" vertical="center" wrapText="1"/>
    </xf>
    <xf numFmtId="177" fontId="31" fillId="14" borderId="6" xfId="0" applyNumberFormat="1" applyFont="1" applyFill="1" applyBorder="1" applyAlignment="1">
      <alignment horizontal="center" vertical="center" wrapText="1"/>
    </xf>
    <xf numFmtId="177" fontId="31" fillId="14" borderId="7" xfId="0" applyNumberFormat="1" applyFont="1" applyFill="1" applyBorder="1" applyAlignment="1">
      <alignment horizontal="center" vertical="center" wrapText="1"/>
    </xf>
    <xf numFmtId="0" fontId="26" fillId="20" borderId="1" xfId="0" applyFont="1" applyFill="1" applyBorder="1" applyAlignment="1">
      <alignment horizontal="center" vertical="center" wrapText="1"/>
    </xf>
    <xf numFmtId="0" fontId="45" fillId="21" borderId="0" xfId="0" applyFont="1" applyFill="1" applyAlignment="1">
      <alignment horizontal="center" vertical="center" wrapText="1"/>
    </xf>
    <xf numFmtId="0" fontId="26" fillId="22" borderId="1" xfId="0" applyFont="1" applyFill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 wrapText="1"/>
    </xf>
    <xf numFmtId="0" fontId="44" fillId="22" borderId="8" xfId="0" applyFont="1" applyFill="1" applyBorder="1" applyAlignment="1">
      <alignment horizontal="center" vertical="center" wrapText="1"/>
    </xf>
    <xf numFmtId="0" fontId="44" fillId="22" borderId="9" xfId="0" applyFont="1" applyFill="1" applyBorder="1" applyAlignment="1">
      <alignment horizontal="center" vertical="center" wrapText="1"/>
    </xf>
    <xf numFmtId="0" fontId="42" fillId="22" borderId="8" xfId="0" applyFont="1" applyFill="1" applyBorder="1" applyAlignment="1">
      <alignment horizontal="center" vertical="center" wrapText="1"/>
    </xf>
    <xf numFmtId="0" fontId="42" fillId="22" borderId="9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34" fillId="17" borderId="8" xfId="0" applyFont="1" applyFill="1" applyBorder="1" applyAlignment="1">
      <alignment horizontal="center" vertical="center" wrapText="1"/>
    </xf>
    <xf numFmtId="0" fontId="34" fillId="17" borderId="9" xfId="0" applyFont="1" applyFill="1" applyBorder="1" applyAlignment="1">
      <alignment horizontal="center" vertical="center" wrapText="1"/>
    </xf>
    <xf numFmtId="0" fontId="34" fillId="9" borderId="8" xfId="0" applyFont="1" applyFill="1" applyBorder="1" applyAlignment="1">
      <alignment horizontal="center" vertical="center" wrapText="1"/>
    </xf>
    <xf numFmtId="0" fontId="34" fillId="9" borderId="9" xfId="0" applyFont="1" applyFill="1" applyBorder="1" applyAlignment="1">
      <alignment horizontal="center" vertical="center" wrapText="1"/>
    </xf>
    <xf numFmtId="0" fontId="42" fillId="22" borderId="5" xfId="0" applyFont="1" applyFill="1" applyBorder="1" applyAlignment="1">
      <alignment horizontal="center" vertical="center" wrapText="1"/>
    </xf>
    <xf numFmtId="0" fontId="42" fillId="22" borderId="7" xfId="0" applyFont="1" applyFill="1" applyBorder="1" applyAlignment="1">
      <alignment horizontal="center" vertical="center" wrapText="1"/>
    </xf>
    <xf numFmtId="0" fontId="22" fillId="6" borderId="3" xfId="2" applyFont="1" applyFill="1" applyBorder="1" applyAlignment="1">
      <alignment horizontal="center" vertical="center"/>
    </xf>
    <xf numFmtId="0" fontId="22" fillId="6" borderId="4" xfId="2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47" fillId="0" borderId="1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177" fontId="46" fillId="0" borderId="0" xfId="0" applyNumberFormat="1" applyFont="1" applyFill="1" applyBorder="1" applyAlignment="1">
      <alignment horizontal="center" vertical="center"/>
    </xf>
    <xf numFmtId="177" fontId="46" fillId="0" borderId="1" xfId="0" applyNumberFormat="1" applyFont="1" applyFill="1" applyBorder="1" applyAlignment="1">
      <alignment horizontal="center" vertical="center"/>
    </xf>
    <xf numFmtId="177" fontId="29" fillId="0" borderId="0" xfId="0" applyNumberFormat="1" applyFont="1" applyFill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47" fillId="0" borderId="0" xfId="0" applyFont="1" applyFill="1" applyBorder="1" applyAlignment="1">
      <alignment horizontal="center" vertical="center"/>
    </xf>
    <xf numFmtId="0" fontId="46" fillId="0" borderId="9" xfId="0" applyFont="1" applyFill="1" applyBorder="1" applyAlignment="1">
      <alignment horizontal="center" vertical="center"/>
    </xf>
    <xf numFmtId="0" fontId="47" fillId="0" borderId="1" xfId="0" applyFont="1" applyFill="1" applyBorder="1" applyAlignment="1">
      <alignment horizontal="center" vertical="center"/>
    </xf>
    <xf numFmtId="22" fontId="46" fillId="0" borderId="1" xfId="0" applyNumberFormat="1" applyFont="1" applyFill="1" applyBorder="1" applyAlignment="1">
      <alignment horizontal="center" vertical="center"/>
    </xf>
  </cellXfs>
  <cellStyles count="3">
    <cellStyle name="一般" xfId="0" builtinId="0"/>
    <cellStyle name="千分位" xfId="1" builtinId="3"/>
    <cellStyle name="超連結" xfId="2" builtinId="8"/>
  </cellStyles>
  <dxfs count="0"/>
  <tableStyles count="0" defaultTableStyle="TableStyleMedium2" defaultPivotStyle="PivotStyleLight16"/>
  <colors>
    <mruColors>
      <color rgb="FF0000FF"/>
      <color rgb="FFDDDDDD"/>
      <color rgb="FFFFE389"/>
      <color rgb="FFFFD347"/>
      <color rgb="FFB7CFFF"/>
      <color rgb="FFF6DEF4"/>
      <color rgb="FFD050C4"/>
      <color rgb="FF6699FF"/>
      <color rgb="FF009900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r>
              <a:rPr lang="en-US" altLang="zh-TW" sz="2000">
                <a:solidFill>
                  <a:srgbClr val="EE0000"/>
                </a:solidFill>
              </a:rPr>
              <a:t>+</a:t>
            </a: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'損益(結算價3+5)'!$D$1</c:f>
              <c:strCache>
                <c:ptCount val="1"/>
                <c:pt idx="0">
                  <c:v>損益(Y)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'損益(結算價3+5)'!$A$2:$A$41</c:f>
              <c:numCache>
                <c:formatCode>#,##0_);[Red]\(#,##0\)</c:formatCode>
                <c:ptCount val="40"/>
                <c:pt idx="0">
                  <c:v>21500</c:v>
                </c:pt>
                <c:pt idx="1">
                  <c:v>21550</c:v>
                </c:pt>
                <c:pt idx="2">
                  <c:v>21600</c:v>
                </c:pt>
                <c:pt idx="3">
                  <c:v>21650</c:v>
                </c:pt>
                <c:pt idx="4">
                  <c:v>21700</c:v>
                </c:pt>
                <c:pt idx="5">
                  <c:v>21750</c:v>
                </c:pt>
                <c:pt idx="6">
                  <c:v>21800</c:v>
                </c:pt>
                <c:pt idx="7">
                  <c:v>21850</c:v>
                </c:pt>
                <c:pt idx="8">
                  <c:v>21900</c:v>
                </c:pt>
                <c:pt idx="9">
                  <c:v>21950</c:v>
                </c:pt>
                <c:pt idx="10">
                  <c:v>22000</c:v>
                </c:pt>
                <c:pt idx="11">
                  <c:v>22050</c:v>
                </c:pt>
                <c:pt idx="12">
                  <c:v>22100</c:v>
                </c:pt>
                <c:pt idx="13">
                  <c:v>22150</c:v>
                </c:pt>
                <c:pt idx="14">
                  <c:v>22200</c:v>
                </c:pt>
                <c:pt idx="15">
                  <c:v>22250</c:v>
                </c:pt>
                <c:pt idx="16">
                  <c:v>22300</c:v>
                </c:pt>
                <c:pt idx="17">
                  <c:v>22350</c:v>
                </c:pt>
                <c:pt idx="18">
                  <c:v>22400</c:v>
                </c:pt>
                <c:pt idx="19">
                  <c:v>22450</c:v>
                </c:pt>
                <c:pt idx="20">
                  <c:v>22500</c:v>
                </c:pt>
                <c:pt idx="21">
                  <c:v>22550</c:v>
                </c:pt>
                <c:pt idx="22">
                  <c:v>22600</c:v>
                </c:pt>
                <c:pt idx="23">
                  <c:v>22650</c:v>
                </c:pt>
                <c:pt idx="24">
                  <c:v>22700</c:v>
                </c:pt>
                <c:pt idx="25">
                  <c:v>22750</c:v>
                </c:pt>
                <c:pt idx="26">
                  <c:v>22800</c:v>
                </c:pt>
                <c:pt idx="27">
                  <c:v>22850</c:v>
                </c:pt>
                <c:pt idx="28">
                  <c:v>22900</c:v>
                </c:pt>
                <c:pt idx="29">
                  <c:v>22950</c:v>
                </c:pt>
                <c:pt idx="30">
                  <c:v>23000</c:v>
                </c:pt>
                <c:pt idx="31">
                  <c:v>23050</c:v>
                </c:pt>
                <c:pt idx="32">
                  <c:v>23100</c:v>
                </c:pt>
                <c:pt idx="33">
                  <c:v>23150</c:v>
                </c:pt>
                <c:pt idx="34">
                  <c:v>23200</c:v>
                </c:pt>
                <c:pt idx="35">
                  <c:v>23250</c:v>
                </c:pt>
                <c:pt idx="36">
                  <c:v>23300</c:v>
                </c:pt>
                <c:pt idx="37">
                  <c:v>23350</c:v>
                </c:pt>
                <c:pt idx="38">
                  <c:v>23400</c:v>
                </c:pt>
                <c:pt idx="39">
                  <c:v>23500</c:v>
                </c:pt>
              </c:numCache>
            </c:numRef>
          </c:xVal>
          <c:yVal>
            <c:numRef>
              <c:f>'損益(結算價3+5)'!$D$2:$D$41</c:f>
              <c:numCache>
                <c:formatCode>#,##0_);[Red]\(#,##0\)</c:formatCode>
                <c:ptCount val="40"/>
                <c:pt idx="0">
                  <c:v>-690.44724872000108</c:v>
                </c:pt>
                <c:pt idx="1">
                  <c:v>-683.1088187200013</c:v>
                </c:pt>
                <c:pt idx="2">
                  <c:v>-675.77038872000094</c:v>
                </c:pt>
                <c:pt idx="3">
                  <c:v>-666.38207872000112</c:v>
                </c:pt>
                <c:pt idx="4">
                  <c:v>-656.99376872000141</c:v>
                </c:pt>
                <c:pt idx="5">
                  <c:v>-647.20545872000105</c:v>
                </c:pt>
                <c:pt idx="6">
                  <c:v>-637.41714872000125</c:v>
                </c:pt>
                <c:pt idx="7">
                  <c:v>-634.02878872000099</c:v>
                </c:pt>
                <c:pt idx="8">
                  <c:v>-629.99035872000115</c:v>
                </c:pt>
                <c:pt idx="9">
                  <c:v>-621.54497872000115</c:v>
                </c:pt>
                <c:pt idx="10">
                  <c:v>-612.39264872000092</c:v>
                </c:pt>
                <c:pt idx="11">
                  <c:v>-589.53193872000077</c:v>
                </c:pt>
                <c:pt idx="12">
                  <c:v>-566.82122872000082</c:v>
                </c:pt>
                <c:pt idx="13">
                  <c:v>-544.31107872000052</c:v>
                </c:pt>
                <c:pt idx="14">
                  <c:v>-518.90117872000087</c:v>
                </c:pt>
                <c:pt idx="15">
                  <c:v>-493.84045872000053</c:v>
                </c:pt>
                <c:pt idx="16">
                  <c:v>-467.17935872000055</c:v>
                </c:pt>
                <c:pt idx="17">
                  <c:v>-434.52345872000046</c:v>
                </c:pt>
                <c:pt idx="18">
                  <c:v>-403.67748872000061</c:v>
                </c:pt>
                <c:pt idx="19">
                  <c:v>-372.73568872000033</c:v>
                </c:pt>
                <c:pt idx="20">
                  <c:v>-337.31446872000043</c:v>
                </c:pt>
                <c:pt idx="21">
                  <c:v>-280.01270872000021</c:v>
                </c:pt>
                <c:pt idx="22">
                  <c:v>-209.6812987200002</c:v>
                </c:pt>
                <c:pt idx="23">
                  <c:v>-132.39924872000014</c:v>
                </c:pt>
                <c:pt idx="24">
                  <c:v>-47.940948720000222</c:v>
                </c:pt>
                <c:pt idx="25">
                  <c:v>39.762431279999866</c:v>
                </c:pt>
                <c:pt idx="26">
                  <c:v>117.66766127999992</c:v>
                </c:pt>
                <c:pt idx="27">
                  <c:v>180.91877127999999</c:v>
                </c:pt>
                <c:pt idx="28">
                  <c:v>224.00828128000001</c:v>
                </c:pt>
                <c:pt idx="29">
                  <c:v>263.03571128000004</c:v>
                </c:pt>
                <c:pt idx="30">
                  <c:v>299.38808128000005</c:v>
                </c:pt>
                <c:pt idx="31">
                  <c:v>325.61690128000004</c:v>
                </c:pt>
                <c:pt idx="32">
                  <c:v>381.94898128000011</c:v>
                </c:pt>
                <c:pt idx="33">
                  <c:v>429.14570128000014</c:v>
                </c:pt>
                <c:pt idx="34">
                  <c:v>468.98848128000014</c:v>
                </c:pt>
                <c:pt idx="35">
                  <c:v>469.64405128000016</c:v>
                </c:pt>
                <c:pt idx="36">
                  <c:v>468.77362128000016</c:v>
                </c:pt>
                <c:pt idx="37">
                  <c:v>425.8058412800001</c:v>
                </c:pt>
                <c:pt idx="38">
                  <c:v>363.08512128000018</c:v>
                </c:pt>
                <c:pt idx="39">
                  <c:v>277.57144128000016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1-48B4-AA0F-F8DEED5F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7483001831E-2"/>
              <c:y val="0.25001809646804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'損益(結算價3+5)'!$B$1</c:f>
              <c:strCache>
                <c:ptCount val="1"/>
                <c:pt idx="0">
                  <c:v>買方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TW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'損益(結算價3+5)'!$A$2:$A$41</c:f>
              <c:numCache>
                <c:formatCode>#,##0_);[Red]\(#,##0\)</c:formatCode>
                <c:ptCount val="40"/>
                <c:pt idx="0">
                  <c:v>21500</c:v>
                </c:pt>
                <c:pt idx="1">
                  <c:v>21550</c:v>
                </c:pt>
                <c:pt idx="2">
                  <c:v>21600</c:v>
                </c:pt>
                <c:pt idx="3">
                  <c:v>21650</c:v>
                </c:pt>
                <c:pt idx="4">
                  <c:v>21700</c:v>
                </c:pt>
                <c:pt idx="5">
                  <c:v>21750</c:v>
                </c:pt>
                <c:pt idx="6">
                  <c:v>21800</c:v>
                </c:pt>
                <c:pt idx="7">
                  <c:v>21850</c:v>
                </c:pt>
                <c:pt idx="8">
                  <c:v>21900</c:v>
                </c:pt>
                <c:pt idx="9">
                  <c:v>21950</c:v>
                </c:pt>
                <c:pt idx="10">
                  <c:v>22000</c:v>
                </c:pt>
                <c:pt idx="11">
                  <c:v>22050</c:v>
                </c:pt>
                <c:pt idx="12">
                  <c:v>22100</c:v>
                </c:pt>
                <c:pt idx="13">
                  <c:v>22150</c:v>
                </c:pt>
                <c:pt idx="14">
                  <c:v>22200</c:v>
                </c:pt>
                <c:pt idx="15">
                  <c:v>22250</c:v>
                </c:pt>
                <c:pt idx="16">
                  <c:v>22300</c:v>
                </c:pt>
                <c:pt idx="17">
                  <c:v>22350</c:v>
                </c:pt>
                <c:pt idx="18">
                  <c:v>22400</c:v>
                </c:pt>
                <c:pt idx="19">
                  <c:v>22450</c:v>
                </c:pt>
                <c:pt idx="20">
                  <c:v>22500</c:v>
                </c:pt>
                <c:pt idx="21">
                  <c:v>22550</c:v>
                </c:pt>
                <c:pt idx="22">
                  <c:v>22600</c:v>
                </c:pt>
                <c:pt idx="23">
                  <c:v>22650</c:v>
                </c:pt>
                <c:pt idx="24">
                  <c:v>22700</c:v>
                </c:pt>
                <c:pt idx="25">
                  <c:v>22750</c:v>
                </c:pt>
                <c:pt idx="26">
                  <c:v>22800</c:v>
                </c:pt>
                <c:pt idx="27">
                  <c:v>22850</c:v>
                </c:pt>
                <c:pt idx="28">
                  <c:v>22900</c:v>
                </c:pt>
                <c:pt idx="29">
                  <c:v>22950</c:v>
                </c:pt>
                <c:pt idx="30">
                  <c:v>23000</c:v>
                </c:pt>
                <c:pt idx="31">
                  <c:v>23050</c:v>
                </c:pt>
                <c:pt idx="32">
                  <c:v>23100</c:v>
                </c:pt>
                <c:pt idx="33">
                  <c:v>23150</c:v>
                </c:pt>
                <c:pt idx="34">
                  <c:v>23200</c:v>
                </c:pt>
                <c:pt idx="35">
                  <c:v>23250</c:v>
                </c:pt>
                <c:pt idx="36">
                  <c:v>23300</c:v>
                </c:pt>
                <c:pt idx="37">
                  <c:v>23350</c:v>
                </c:pt>
                <c:pt idx="38">
                  <c:v>23400</c:v>
                </c:pt>
                <c:pt idx="39">
                  <c:v>23500</c:v>
                </c:pt>
              </c:numCache>
            </c:numRef>
          </c:xVal>
          <c:yVal>
            <c:numRef>
              <c:f>'損益(結算價3+5)'!$B$2:$B$41</c:f>
              <c:numCache>
                <c:formatCode>#,##0_);[Red]\(#,##0\)</c:formatCode>
                <c:ptCount val="40"/>
                <c:pt idx="0">
                  <c:v>2619.0398346700003</c:v>
                </c:pt>
                <c:pt idx="1">
                  <c:v>2492.9990546700005</c:v>
                </c:pt>
                <c:pt idx="2">
                  <c:v>2366.9582746699998</c:v>
                </c:pt>
                <c:pt idx="3">
                  <c:v>2242.9673746700005</c:v>
                </c:pt>
                <c:pt idx="4">
                  <c:v>2118.9764746700002</c:v>
                </c:pt>
                <c:pt idx="5">
                  <c:v>1995.3855746700001</c:v>
                </c:pt>
                <c:pt idx="6">
                  <c:v>1871.7946746699999</c:v>
                </c:pt>
                <c:pt idx="7">
                  <c:v>1748.2037746700003</c:v>
                </c:pt>
                <c:pt idx="8">
                  <c:v>1625.26294467</c:v>
                </c:pt>
                <c:pt idx="9">
                  <c:v>1506.7290646700001</c:v>
                </c:pt>
                <c:pt idx="10">
                  <c:v>1388.9021346700004</c:v>
                </c:pt>
                <c:pt idx="11">
                  <c:v>1284.78358467</c:v>
                </c:pt>
                <c:pt idx="12">
                  <c:v>1180.6650346700001</c:v>
                </c:pt>
                <c:pt idx="13">
                  <c:v>1076.5464846699999</c:v>
                </c:pt>
                <c:pt idx="14">
                  <c:v>975.32768466999983</c:v>
                </c:pt>
                <c:pt idx="15">
                  <c:v>874.10888467000007</c:v>
                </c:pt>
                <c:pt idx="16">
                  <c:v>774.49046467000016</c:v>
                </c:pt>
                <c:pt idx="17">
                  <c:v>680.96684467</c:v>
                </c:pt>
                <c:pt idx="18">
                  <c:v>587.44322467000006</c:v>
                </c:pt>
                <c:pt idx="19">
                  <c:v>494.01543467000005</c:v>
                </c:pt>
                <c:pt idx="20">
                  <c:v>405.06706467000004</c:v>
                </c:pt>
                <c:pt idx="21">
                  <c:v>338.24925467000003</c:v>
                </c:pt>
                <c:pt idx="22">
                  <c:v>284.46109467000002</c:v>
                </c:pt>
                <c:pt idx="23">
                  <c:v>237.62357467000007</c:v>
                </c:pt>
                <c:pt idx="24">
                  <c:v>197.96230467000004</c:v>
                </c:pt>
                <c:pt idx="25">
                  <c:v>161.84611467000005</c:v>
                </c:pt>
                <c:pt idx="26">
                  <c:v>125.72992467000006</c:v>
                </c:pt>
                <c:pt idx="27">
                  <c:v>89.663714670000047</c:v>
                </c:pt>
                <c:pt idx="28">
                  <c:v>53.797504670000045</c:v>
                </c:pt>
                <c:pt idx="29">
                  <c:v>17.931294670000046</c:v>
                </c:pt>
                <c:pt idx="30">
                  <c:v>-17.284925329999965</c:v>
                </c:pt>
                <c:pt idx="31">
                  <c:v>-52.501145329999957</c:v>
                </c:pt>
                <c:pt idx="32">
                  <c:v>-57.614105329999973</c:v>
                </c:pt>
                <c:pt idx="33">
                  <c:v>-62.727065329999967</c:v>
                </c:pt>
                <c:pt idx="34">
                  <c:v>-67.840025329999989</c:v>
                </c:pt>
                <c:pt idx="35">
                  <c:v>-72.95298532999999</c:v>
                </c:pt>
                <c:pt idx="36">
                  <c:v>-72.986335330000003</c:v>
                </c:pt>
                <c:pt idx="37">
                  <c:v>-73.019685330000001</c:v>
                </c:pt>
                <c:pt idx="38">
                  <c:v>-73.05303533</c:v>
                </c:pt>
                <c:pt idx="39">
                  <c:v>-73.086385329999985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4-4FEC-B072-A531A9577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7.7360197234058278E-2"/>
              <c:y val="0.523684960836632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'損益(結算價3+5)'!$C$1</c:f>
              <c:strCache>
                <c:ptCount val="1"/>
                <c:pt idx="0">
                  <c:v>賣方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TW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'損益(結算價3+5)'!$A$2:$A$41</c:f>
              <c:numCache>
                <c:formatCode>#,##0_);[Red]\(#,##0\)</c:formatCode>
                <c:ptCount val="40"/>
                <c:pt idx="0">
                  <c:v>21500</c:v>
                </c:pt>
                <c:pt idx="1">
                  <c:v>21550</c:v>
                </c:pt>
                <c:pt idx="2">
                  <c:v>21600</c:v>
                </c:pt>
                <c:pt idx="3">
                  <c:v>21650</c:v>
                </c:pt>
                <c:pt idx="4">
                  <c:v>21700</c:v>
                </c:pt>
                <c:pt idx="5">
                  <c:v>21750</c:v>
                </c:pt>
                <c:pt idx="6">
                  <c:v>21800</c:v>
                </c:pt>
                <c:pt idx="7">
                  <c:v>21850</c:v>
                </c:pt>
                <c:pt idx="8">
                  <c:v>21900</c:v>
                </c:pt>
                <c:pt idx="9">
                  <c:v>21950</c:v>
                </c:pt>
                <c:pt idx="10">
                  <c:v>22000</c:v>
                </c:pt>
                <c:pt idx="11">
                  <c:v>22050</c:v>
                </c:pt>
                <c:pt idx="12">
                  <c:v>22100</c:v>
                </c:pt>
                <c:pt idx="13">
                  <c:v>22150</c:v>
                </c:pt>
                <c:pt idx="14">
                  <c:v>22200</c:v>
                </c:pt>
                <c:pt idx="15">
                  <c:v>22250</c:v>
                </c:pt>
                <c:pt idx="16">
                  <c:v>22300</c:v>
                </c:pt>
                <c:pt idx="17">
                  <c:v>22350</c:v>
                </c:pt>
                <c:pt idx="18">
                  <c:v>22400</c:v>
                </c:pt>
                <c:pt idx="19">
                  <c:v>22450</c:v>
                </c:pt>
                <c:pt idx="20">
                  <c:v>22500</c:v>
                </c:pt>
                <c:pt idx="21">
                  <c:v>22550</c:v>
                </c:pt>
                <c:pt idx="22">
                  <c:v>22600</c:v>
                </c:pt>
                <c:pt idx="23">
                  <c:v>22650</c:v>
                </c:pt>
                <c:pt idx="24">
                  <c:v>22700</c:v>
                </c:pt>
                <c:pt idx="25">
                  <c:v>22750</c:v>
                </c:pt>
                <c:pt idx="26">
                  <c:v>22800</c:v>
                </c:pt>
                <c:pt idx="27">
                  <c:v>22850</c:v>
                </c:pt>
                <c:pt idx="28">
                  <c:v>22900</c:v>
                </c:pt>
                <c:pt idx="29">
                  <c:v>22950</c:v>
                </c:pt>
                <c:pt idx="30">
                  <c:v>23000</c:v>
                </c:pt>
                <c:pt idx="31">
                  <c:v>23050</c:v>
                </c:pt>
                <c:pt idx="32">
                  <c:v>23100</c:v>
                </c:pt>
                <c:pt idx="33">
                  <c:v>23150</c:v>
                </c:pt>
                <c:pt idx="34">
                  <c:v>23200</c:v>
                </c:pt>
                <c:pt idx="35">
                  <c:v>23250</c:v>
                </c:pt>
                <c:pt idx="36">
                  <c:v>23300</c:v>
                </c:pt>
                <c:pt idx="37">
                  <c:v>23350</c:v>
                </c:pt>
                <c:pt idx="38">
                  <c:v>23400</c:v>
                </c:pt>
                <c:pt idx="39">
                  <c:v>23500</c:v>
                </c:pt>
              </c:numCache>
            </c:numRef>
          </c:xVal>
          <c:yVal>
            <c:numRef>
              <c:f>'損益(結算價3+5)'!$C$2:$C$41</c:f>
              <c:numCache>
                <c:formatCode>#,##0_);[Red]\(#,##0\)</c:formatCode>
                <c:ptCount val="40"/>
                <c:pt idx="0">
                  <c:v>-3309.4870833900018</c:v>
                </c:pt>
                <c:pt idx="1">
                  <c:v>-3176.1078733900017</c:v>
                </c:pt>
                <c:pt idx="2">
                  <c:v>-3042.7286633900012</c:v>
                </c:pt>
                <c:pt idx="3">
                  <c:v>-2909.3494533900011</c:v>
                </c:pt>
                <c:pt idx="4">
                  <c:v>-2775.9702433900006</c:v>
                </c:pt>
                <c:pt idx="5">
                  <c:v>-2642.5910333900006</c:v>
                </c:pt>
                <c:pt idx="6">
                  <c:v>-2509.211823390001</c:v>
                </c:pt>
                <c:pt idx="7">
                  <c:v>-2382.2325633900009</c:v>
                </c:pt>
                <c:pt idx="8">
                  <c:v>-2255.2533033900004</c:v>
                </c:pt>
                <c:pt idx="9">
                  <c:v>-2128.2740433900008</c:v>
                </c:pt>
                <c:pt idx="10">
                  <c:v>-2001.2947833900009</c:v>
                </c:pt>
                <c:pt idx="11">
                  <c:v>-1874.3155233900006</c:v>
                </c:pt>
                <c:pt idx="12">
                  <c:v>-1747.4862633900009</c:v>
                </c:pt>
                <c:pt idx="13">
                  <c:v>-1620.8575633900007</c:v>
                </c:pt>
                <c:pt idx="14">
                  <c:v>-1494.2288633900009</c:v>
                </c:pt>
                <c:pt idx="15">
                  <c:v>-1367.9493433900006</c:v>
                </c:pt>
                <c:pt idx="16">
                  <c:v>-1241.6698233900006</c:v>
                </c:pt>
                <c:pt idx="17">
                  <c:v>-1115.4903033900005</c:v>
                </c:pt>
                <c:pt idx="18">
                  <c:v>-991.12071339000067</c:v>
                </c:pt>
                <c:pt idx="19">
                  <c:v>-866.75112339000043</c:v>
                </c:pt>
                <c:pt idx="20">
                  <c:v>-742.38153339000053</c:v>
                </c:pt>
                <c:pt idx="21">
                  <c:v>-618.26196339000046</c:v>
                </c:pt>
                <c:pt idx="22">
                  <c:v>-494.14239339000028</c:v>
                </c:pt>
                <c:pt idx="23">
                  <c:v>-370.02282339000027</c:v>
                </c:pt>
                <c:pt idx="24">
                  <c:v>-245.90325339000026</c:v>
                </c:pt>
                <c:pt idx="25">
                  <c:v>-122.08368339000017</c:v>
                </c:pt>
                <c:pt idx="26">
                  <c:v>-8.062263390000167</c:v>
                </c:pt>
                <c:pt idx="27">
                  <c:v>91.255056609999912</c:v>
                </c:pt>
                <c:pt idx="28">
                  <c:v>170.2107766099999</c:v>
                </c:pt>
                <c:pt idx="29">
                  <c:v>245.10441660999996</c:v>
                </c:pt>
                <c:pt idx="30">
                  <c:v>316.67300660999996</c:v>
                </c:pt>
                <c:pt idx="31">
                  <c:v>378.11804661000008</c:v>
                </c:pt>
                <c:pt idx="32">
                  <c:v>439.56308661000008</c:v>
                </c:pt>
                <c:pt idx="33">
                  <c:v>491.8727666100001</c:v>
                </c:pt>
                <c:pt idx="34">
                  <c:v>536.82850661000009</c:v>
                </c:pt>
                <c:pt idx="35">
                  <c:v>542.59703661000003</c:v>
                </c:pt>
                <c:pt idx="36">
                  <c:v>541.75995661000013</c:v>
                </c:pt>
                <c:pt idx="37">
                  <c:v>498.82552661000022</c:v>
                </c:pt>
                <c:pt idx="38">
                  <c:v>436.13815661000018</c:v>
                </c:pt>
                <c:pt idx="39">
                  <c:v>350.65782661000014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F-4BBA-9BA9-1F17DE22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5890069378E-2"/>
              <c:y val="4.73031369266678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200"/>
      </c:valAx>
      <c:valAx>
        <c:axId val="112342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r>
              <a:rPr lang="en-US" altLang="zh-TW" sz="2000">
                <a:solidFill>
                  <a:srgbClr val="EE0000"/>
                </a:solidFill>
              </a:rPr>
              <a:t>+</a:t>
            </a: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'損益計算(W+F)'!$G$1</c:f>
              <c:strCache>
                <c:ptCount val="1"/>
                <c:pt idx="0">
                  <c:v>損益(Y)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'損益計算(W+F)'!$G$2:$G$292</c:f>
              <c:numCache>
                <c:formatCode>0</c:formatCode>
                <c:ptCount val="291"/>
                <c:pt idx="0">
                  <c:v>-6596.7774697099994</c:v>
                </c:pt>
                <c:pt idx="1">
                  <c:v>-6550.4959897099998</c:v>
                </c:pt>
                <c:pt idx="2">
                  <c:v>-6504.2145097100001</c:v>
                </c:pt>
                <c:pt idx="3">
                  <c:v>-6457.9330297099987</c:v>
                </c:pt>
                <c:pt idx="4">
                  <c:v>-6411.6515497100008</c:v>
                </c:pt>
                <c:pt idx="5">
                  <c:v>-6365.3700697099985</c:v>
                </c:pt>
                <c:pt idx="6">
                  <c:v>-6319.0885897099997</c:v>
                </c:pt>
                <c:pt idx="7">
                  <c:v>-6272.8071097100019</c:v>
                </c:pt>
                <c:pt idx="8">
                  <c:v>-6226.5256297099995</c:v>
                </c:pt>
                <c:pt idx="9">
                  <c:v>-6180.244149709999</c:v>
                </c:pt>
                <c:pt idx="10">
                  <c:v>-6133.9626697100011</c:v>
                </c:pt>
                <c:pt idx="11">
                  <c:v>-6087.6811897099997</c:v>
                </c:pt>
                <c:pt idx="12">
                  <c:v>-6041.3997097099991</c:v>
                </c:pt>
                <c:pt idx="13">
                  <c:v>-5995.1182297099976</c:v>
                </c:pt>
                <c:pt idx="14">
                  <c:v>-5948.8367497099989</c:v>
                </c:pt>
                <c:pt idx="15">
                  <c:v>-5902.5552697099993</c:v>
                </c:pt>
                <c:pt idx="16">
                  <c:v>-5856.2737897099978</c:v>
                </c:pt>
                <c:pt idx="17">
                  <c:v>-5809.9923097099982</c:v>
                </c:pt>
                <c:pt idx="18">
                  <c:v>-5763.7108297100021</c:v>
                </c:pt>
                <c:pt idx="19">
                  <c:v>-5717.4293497100007</c:v>
                </c:pt>
                <c:pt idx="20">
                  <c:v>-5671.1478697099974</c:v>
                </c:pt>
                <c:pt idx="21">
                  <c:v>-5624.8663897099996</c:v>
                </c:pt>
                <c:pt idx="22">
                  <c:v>-5578.5849097099981</c:v>
                </c:pt>
                <c:pt idx="23">
                  <c:v>-5532.3034297099975</c:v>
                </c:pt>
                <c:pt idx="24">
                  <c:v>-5486.0219497099997</c:v>
                </c:pt>
                <c:pt idx="25">
                  <c:v>-5439.740469710001</c:v>
                </c:pt>
                <c:pt idx="26">
                  <c:v>-5393.4589897099995</c:v>
                </c:pt>
                <c:pt idx="27">
                  <c:v>-5347.1775097099999</c:v>
                </c:pt>
                <c:pt idx="28">
                  <c:v>-5300.8960297099975</c:v>
                </c:pt>
                <c:pt idx="29">
                  <c:v>-5254.6145497100006</c:v>
                </c:pt>
                <c:pt idx="30">
                  <c:v>-5208.3330697099982</c:v>
                </c:pt>
                <c:pt idx="31">
                  <c:v>-5162.0515897100004</c:v>
                </c:pt>
                <c:pt idx="32">
                  <c:v>-5115.7701097100007</c:v>
                </c:pt>
                <c:pt idx="33">
                  <c:v>-5069.4886297100029</c:v>
                </c:pt>
                <c:pt idx="34">
                  <c:v>-5023.2071497100005</c:v>
                </c:pt>
                <c:pt idx="35">
                  <c:v>-4976.92566971</c:v>
                </c:pt>
                <c:pt idx="36">
                  <c:v>-4930.6441897099976</c:v>
                </c:pt>
                <c:pt idx="37">
                  <c:v>-4884.3627097099989</c:v>
                </c:pt>
                <c:pt idx="38">
                  <c:v>-4838.0812297099992</c:v>
                </c:pt>
                <c:pt idx="39">
                  <c:v>-4791.7997497099977</c:v>
                </c:pt>
                <c:pt idx="40">
                  <c:v>-4745.5182697100008</c:v>
                </c:pt>
                <c:pt idx="41">
                  <c:v>-4699.2367897099994</c:v>
                </c:pt>
                <c:pt idx="42">
                  <c:v>-4652.9553097099979</c:v>
                </c:pt>
                <c:pt idx="43">
                  <c:v>-4606.6738297100001</c:v>
                </c:pt>
                <c:pt idx="44">
                  <c:v>-4560.3923497099986</c:v>
                </c:pt>
                <c:pt idx="45">
                  <c:v>-4514.110869709998</c:v>
                </c:pt>
                <c:pt idx="46">
                  <c:v>-4467.8293897099993</c:v>
                </c:pt>
                <c:pt idx="47">
                  <c:v>-4421.5479097099997</c:v>
                </c:pt>
                <c:pt idx="48">
                  <c:v>-4375.2664297099991</c:v>
                </c:pt>
                <c:pt idx="49">
                  <c:v>-4328.9849497099995</c:v>
                </c:pt>
                <c:pt idx="50">
                  <c:v>-4282.7034697099971</c:v>
                </c:pt>
                <c:pt idx="51">
                  <c:v>-4236.4219897100011</c:v>
                </c:pt>
                <c:pt idx="52">
                  <c:v>-4190.1405097100014</c:v>
                </c:pt>
                <c:pt idx="53">
                  <c:v>-4143.859029709999</c:v>
                </c:pt>
                <c:pt idx="54">
                  <c:v>-4097.5775497099994</c:v>
                </c:pt>
                <c:pt idx="55">
                  <c:v>-4051.2960697099998</c:v>
                </c:pt>
                <c:pt idx="56">
                  <c:v>-4005.0145897100001</c:v>
                </c:pt>
                <c:pt idx="57">
                  <c:v>-3958.7331097099996</c:v>
                </c:pt>
                <c:pt idx="58">
                  <c:v>-3912.4516297100022</c:v>
                </c:pt>
                <c:pt idx="59">
                  <c:v>-3866.1701497099994</c:v>
                </c:pt>
                <c:pt idx="60">
                  <c:v>-3819.8886697099997</c:v>
                </c:pt>
                <c:pt idx="61">
                  <c:v>-3773.6071897099991</c:v>
                </c:pt>
                <c:pt idx="62">
                  <c:v>-3727.325709709999</c:v>
                </c:pt>
                <c:pt idx="63">
                  <c:v>-3681.0442297099999</c:v>
                </c:pt>
                <c:pt idx="64">
                  <c:v>-3634.7627497099984</c:v>
                </c:pt>
                <c:pt idx="65">
                  <c:v>-3588.4812697099992</c:v>
                </c:pt>
                <c:pt idx="66">
                  <c:v>-3542.19978971</c:v>
                </c:pt>
                <c:pt idx="67">
                  <c:v>-3495.9183097099994</c:v>
                </c:pt>
                <c:pt idx="68">
                  <c:v>-3449.6368297100007</c:v>
                </c:pt>
                <c:pt idx="69">
                  <c:v>-3403.3553497099997</c:v>
                </c:pt>
                <c:pt idx="70">
                  <c:v>-3357.0738697099996</c:v>
                </c:pt>
                <c:pt idx="71">
                  <c:v>-3310.7923897100009</c:v>
                </c:pt>
                <c:pt idx="72">
                  <c:v>-3264.5109097099994</c:v>
                </c:pt>
                <c:pt idx="73">
                  <c:v>-3218.2294297099993</c:v>
                </c:pt>
                <c:pt idx="74">
                  <c:v>-3171.9479497100001</c:v>
                </c:pt>
                <c:pt idx="75">
                  <c:v>-3125.66646971</c:v>
                </c:pt>
                <c:pt idx="76">
                  <c:v>-3079.3849897099994</c:v>
                </c:pt>
                <c:pt idx="77">
                  <c:v>-3033.1035097100003</c:v>
                </c:pt>
                <c:pt idx="78">
                  <c:v>-2986.8220297099997</c:v>
                </c:pt>
                <c:pt idx="79">
                  <c:v>-2940.5405497099996</c:v>
                </c:pt>
                <c:pt idx="80">
                  <c:v>-2894.2590697100009</c:v>
                </c:pt>
                <c:pt idx="81">
                  <c:v>-2847.9775897100008</c:v>
                </c:pt>
                <c:pt idx="82">
                  <c:v>-2801.6961097099997</c:v>
                </c:pt>
                <c:pt idx="83">
                  <c:v>-2755.4146297099996</c:v>
                </c:pt>
                <c:pt idx="84">
                  <c:v>-2709.1331497100005</c:v>
                </c:pt>
                <c:pt idx="85">
                  <c:v>-2662.8516697100013</c:v>
                </c:pt>
                <c:pt idx="86">
                  <c:v>-2616.5701897099998</c:v>
                </c:pt>
                <c:pt idx="87">
                  <c:v>-2570.2887097099997</c:v>
                </c:pt>
                <c:pt idx="88">
                  <c:v>-2524.007229710001</c:v>
                </c:pt>
                <c:pt idx="89">
                  <c:v>-2477.7257497099986</c:v>
                </c:pt>
                <c:pt idx="90">
                  <c:v>-2431.4442697099994</c:v>
                </c:pt>
                <c:pt idx="91">
                  <c:v>-2385.1627897100007</c:v>
                </c:pt>
                <c:pt idx="92">
                  <c:v>-2338.881309710001</c:v>
                </c:pt>
                <c:pt idx="93">
                  <c:v>-2302.2804297100015</c:v>
                </c:pt>
                <c:pt idx="94">
                  <c:v>-2265.679549710002</c:v>
                </c:pt>
                <c:pt idx="95">
                  <c:v>-2229.3286397099992</c:v>
                </c:pt>
                <c:pt idx="96">
                  <c:v>-2192.9777297099981</c:v>
                </c:pt>
                <c:pt idx="97">
                  <c:v>-2156.6768697099988</c:v>
                </c:pt>
                <c:pt idx="98">
                  <c:v>-2120.3760097100003</c:v>
                </c:pt>
                <c:pt idx="99">
                  <c:v>-2084.3251497099996</c:v>
                </c:pt>
                <c:pt idx="100">
                  <c:v>-2048.2742897100002</c:v>
                </c:pt>
                <c:pt idx="101">
                  <c:v>-2012.0734297100007</c:v>
                </c:pt>
                <c:pt idx="102">
                  <c:v>-1975.8725697100006</c:v>
                </c:pt>
                <c:pt idx="103">
                  <c:v>-1939.7217197100001</c:v>
                </c:pt>
                <c:pt idx="104">
                  <c:v>-1903.5708697099997</c:v>
                </c:pt>
                <c:pt idx="105">
                  <c:v>-1867.5200197099998</c:v>
                </c:pt>
                <c:pt idx="106">
                  <c:v>-1831.4691697099995</c:v>
                </c:pt>
                <c:pt idx="107">
                  <c:v>-1795.4183197099994</c:v>
                </c:pt>
                <c:pt idx="108">
                  <c:v>-1759.3674697100003</c:v>
                </c:pt>
                <c:pt idx="109">
                  <c:v>-1722.2666197100002</c:v>
                </c:pt>
                <c:pt idx="110">
                  <c:v>-1685.1657697100002</c:v>
                </c:pt>
                <c:pt idx="111">
                  <c:v>-1646.6645497099994</c:v>
                </c:pt>
                <c:pt idx="112">
                  <c:v>-1608.1633297100002</c:v>
                </c:pt>
                <c:pt idx="113">
                  <c:v>-1569.6621097100001</c:v>
                </c:pt>
                <c:pt idx="114">
                  <c:v>-1531.1608897099993</c:v>
                </c:pt>
                <c:pt idx="115">
                  <c:v>-1492.5763497099999</c:v>
                </c:pt>
                <c:pt idx="116">
                  <c:v>-1453.9918097099999</c:v>
                </c:pt>
                <c:pt idx="117">
                  <c:v>-1420.0572697099997</c:v>
                </c:pt>
                <c:pt idx="118">
                  <c:v>-1386.1227297100006</c:v>
                </c:pt>
                <c:pt idx="119">
                  <c:v>-1352.8383497099996</c:v>
                </c:pt>
                <c:pt idx="120">
                  <c:v>-1319.5539697100003</c:v>
                </c:pt>
                <c:pt idx="121">
                  <c:v>-1285.9197897099998</c:v>
                </c:pt>
                <c:pt idx="122">
                  <c:v>-1252.2856097100007</c:v>
                </c:pt>
                <c:pt idx="123">
                  <c:v>-1216.8017697100001</c:v>
                </c:pt>
                <c:pt idx="124">
                  <c:v>-1181.3179297099998</c:v>
                </c:pt>
                <c:pt idx="125">
                  <c:v>-1145.4840797099998</c:v>
                </c:pt>
                <c:pt idx="126">
                  <c:v>-1109.6502297100003</c:v>
                </c:pt>
                <c:pt idx="127">
                  <c:v>-1080.41637971</c:v>
                </c:pt>
                <c:pt idx="128">
                  <c:v>-1050.5324597100002</c:v>
                </c:pt>
                <c:pt idx="129">
                  <c:v>-1016.1515697100002</c:v>
                </c:pt>
                <c:pt idx="130">
                  <c:v>-981.06372970999973</c:v>
                </c:pt>
                <c:pt idx="131">
                  <c:v>-932.27754971000013</c:v>
                </c:pt>
                <c:pt idx="132">
                  <c:v>-883.84134971000003</c:v>
                </c:pt>
                <c:pt idx="133">
                  <c:v>-835.60570971000027</c:v>
                </c:pt>
                <c:pt idx="134">
                  <c:v>-784.72060971000008</c:v>
                </c:pt>
                <c:pt idx="135">
                  <c:v>-734.13376970999991</c:v>
                </c:pt>
                <c:pt idx="136">
                  <c:v>-681.69655970999997</c:v>
                </c:pt>
                <c:pt idx="137">
                  <c:v>-622.31244971000012</c:v>
                </c:pt>
                <c:pt idx="138">
                  <c:v>-564.77838970999994</c:v>
                </c:pt>
                <c:pt idx="139">
                  <c:v>-506.89856971000012</c:v>
                </c:pt>
                <c:pt idx="140">
                  <c:v>-445.14438971000004</c:v>
                </c:pt>
                <c:pt idx="141">
                  <c:v>-362.44063970999997</c:v>
                </c:pt>
                <c:pt idx="142">
                  <c:v>-267.03636971000003</c:v>
                </c:pt>
                <c:pt idx="143">
                  <c:v>-163.17381971000009</c:v>
                </c:pt>
                <c:pt idx="144">
                  <c:v>-54.949459709999964</c:v>
                </c:pt>
                <c:pt idx="145">
                  <c:v>57.93396029000003</c:v>
                </c:pt>
                <c:pt idx="146">
                  <c:v>159.69244028999995</c:v>
                </c:pt>
                <c:pt idx="147">
                  <c:v>244.01718029</c:v>
                </c:pt>
                <c:pt idx="148">
                  <c:v>309.61366028999998</c:v>
                </c:pt>
                <c:pt idx="149">
                  <c:v>370.74921028999989</c:v>
                </c:pt>
                <c:pt idx="150">
                  <c:v>428.16494028999989</c:v>
                </c:pt>
                <c:pt idx="151">
                  <c:v>474.60511028999986</c:v>
                </c:pt>
                <c:pt idx="152">
                  <c:v>549.89076029000012</c:v>
                </c:pt>
                <c:pt idx="153">
                  <c:v>613.02112029000011</c:v>
                </c:pt>
                <c:pt idx="154">
                  <c:v>664.80693029000008</c:v>
                </c:pt>
                <c:pt idx="155">
                  <c:v>667.09031029000005</c:v>
                </c:pt>
                <c:pt idx="156">
                  <c:v>658.98431028999994</c:v>
                </c:pt>
                <c:pt idx="157">
                  <c:v>608.83124028999998</c:v>
                </c:pt>
                <c:pt idx="158">
                  <c:v>535.9813702900002</c:v>
                </c:pt>
                <c:pt idx="159">
                  <c:v>426.99419028999995</c:v>
                </c:pt>
                <c:pt idx="160">
                  <c:v>298.12182029000002</c:v>
                </c:pt>
                <c:pt idx="161">
                  <c:v>131.2650802900001</c:v>
                </c:pt>
                <c:pt idx="162">
                  <c:v>-50.111789709999897</c:v>
                </c:pt>
                <c:pt idx="163">
                  <c:v>-258.12881970999996</c:v>
                </c:pt>
                <c:pt idx="164">
                  <c:v>-460.96600971000004</c:v>
                </c:pt>
                <c:pt idx="165">
                  <c:v>-679.22219970999993</c:v>
                </c:pt>
                <c:pt idx="166">
                  <c:v>-899.90252970999995</c:v>
                </c:pt>
                <c:pt idx="167">
                  <c:v>-1134.4229397099998</c:v>
                </c:pt>
                <c:pt idx="168">
                  <c:v>-1368.9433497099997</c:v>
                </c:pt>
                <c:pt idx="169">
                  <c:v>-1606.9807197100001</c:v>
                </c:pt>
                <c:pt idx="170">
                  <c:v>-1845.0180897099997</c:v>
                </c:pt>
                <c:pt idx="171">
                  <c:v>-2057.2656997100003</c:v>
                </c:pt>
                <c:pt idx="172">
                  <c:v>-2269.5133097099997</c:v>
                </c:pt>
                <c:pt idx="173">
                  <c:v>-2473.9065597099998</c:v>
                </c:pt>
                <c:pt idx="174">
                  <c:v>-2678.2998097100003</c:v>
                </c:pt>
                <c:pt idx="175">
                  <c:v>-2869.6991697100007</c:v>
                </c:pt>
                <c:pt idx="176">
                  <c:v>-3061.0985297100001</c:v>
                </c:pt>
                <c:pt idx="177">
                  <c:v>-3246.34602971</c:v>
                </c:pt>
                <c:pt idx="178">
                  <c:v>-3431.5935297100009</c:v>
                </c:pt>
                <c:pt idx="179">
                  <c:v>-3622.4654297100014</c:v>
                </c:pt>
                <c:pt idx="180">
                  <c:v>-3813.3373297100002</c:v>
                </c:pt>
                <c:pt idx="181">
                  <c:v>-4004.3767897100001</c:v>
                </c:pt>
                <c:pt idx="182">
                  <c:v>-4195.4162497100006</c:v>
                </c:pt>
                <c:pt idx="183">
                  <c:v>-4402.1249197099987</c:v>
                </c:pt>
                <c:pt idx="184">
                  <c:v>-4608.8335897100005</c:v>
                </c:pt>
                <c:pt idx="185">
                  <c:v>-4833.3422597099989</c:v>
                </c:pt>
                <c:pt idx="186">
                  <c:v>-5057.8509297099999</c:v>
                </c:pt>
                <c:pt idx="187">
                  <c:v>-5295.1595997099985</c:v>
                </c:pt>
                <c:pt idx="188">
                  <c:v>-5532.4682697100006</c:v>
                </c:pt>
                <c:pt idx="189">
                  <c:v>-5769.6269397099995</c:v>
                </c:pt>
                <c:pt idx="190">
                  <c:v>-6006.7856097099975</c:v>
                </c:pt>
                <c:pt idx="191">
                  <c:v>-6243.94427971</c:v>
                </c:pt>
                <c:pt idx="192">
                  <c:v>-6481.1029497100008</c:v>
                </c:pt>
                <c:pt idx="193">
                  <c:v>-6718.2616197099996</c:v>
                </c:pt>
                <c:pt idx="194">
                  <c:v>-6955.4202897099995</c:v>
                </c:pt>
                <c:pt idx="195">
                  <c:v>-7192.6289597100013</c:v>
                </c:pt>
                <c:pt idx="196">
                  <c:v>-7429.8376297099976</c:v>
                </c:pt>
                <c:pt idx="197">
                  <c:v>-7667.0962997100014</c:v>
                </c:pt>
                <c:pt idx="198">
                  <c:v>-7904.3549697099998</c:v>
                </c:pt>
                <c:pt idx="199">
                  <c:v>-8141.8136397099979</c:v>
                </c:pt>
                <c:pt idx="200">
                  <c:v>-8379.2723097099988</c:v>
                </c:pt>
                <c:pt idx="201">
                  <c:v>-8617.1809797099959</c:v>
                </c:pt>
                <c:pt idx="202">
                  <c:v>-8855.0896497099966</c:v>
                </c:pt>
                <c:pt idx="203">
                  <c:v>-9092.9983197099973</c:v>
                </c:pt>
                <c:pt idx="204">
                  <c:v>-9330.9069897099998</c:v>
                </c:pt>
                <c:pt idx="205">
                  <c:v>-9568.8156597099969</c:v>
                </c:pt>
                <c:pt idx="206">
                  <c:v>-9806.7243297099994</c:v>
                </c:pt>
                <c:pt idx="207">
                  <c:v>-10044.63299971</c:v>
                </c:pt>
                <c:pt idx="208">
                  <c:v>-10282.541669709997</c:v>
                </c:pt>
                <c:pt idx="209">
                  <c:v>-10520.450339709998</c:v>
                </c:pt>
                <c:pt idx="210">
                  <c:v>-10758.359009709999</c:v>
                </c:pt>
                <c:pt idx="211">
                  <c:v>-10996.267679709998</c:v>
                </c:pt>
                <c:pt idx="212">
                  <c:v>-11234.176349709996</c:v>
                </c:pt>
                <c:pt idx="213">
                  <c:v>-11472.085019709999</c:v>
                </c:pt>
                <c:pt idx="214">
                  <c:v>-11709.99368971</c:v>
                </c:pt>
                <c:pt idx="215">
                  <c:v>-11947.902359709997</c:v>
                </c:pt>
                <c:pt idx="216">
                  <c:v>-12185.811029709999</c:v>
                </c:pt>
                <c:pt idx="217">
                  <c:v>-12423.71969971</c:v>
                </c:pt>
                <c:pt idx="218">
                  <c:v>-12661.628369709995</c:v>
                </c:pt>
                <c:pt idx="219">
                  <c:v>-12899.537039709994</c:v>
                </c:pt>
                <c:pt idx="220">
                  <c:v>-13137.445709709998</c:v>
                </c:pt>
                <c:pt idx="221">
                  <c:v>-13375.354379709996</c:v>
                </c:pt>
                <c:pt idx="222">
                  <c:v>-13613.263049709998</c:v>
                </c:pt>
                <c:pt idx="223">
                  <c:v>-13851.171719710001</c:v>
                </c:pt>
                <c:pt idx="224">
                  <c:v>-14089.080389709998</c:v>
                </c:pt>
                <c:pt idx="225">
                  <c:v>-14326.989059709995</c:v>
                </c:pt>
                <c:pt idx="226">
                  <c:v>-14564.897729709999</c:v>
                </c:pt>
                <c:pt idx="227">
                  <c:v>-14802.806399709998</c:v>
                </c:pt>
                <c:pt idx="228">
                  <c:v>-15040.715069709993</c:v>
                </c:pt>
                <c:pt idx="229">
                  <c:v>-15278.623739709998</c:v>
                </c:pt>
                <c:pt idx="230">
                  <c:v>-15516.53240971</c:v>
                </c:pt>
                <c:pt idx="231">
                  <c:v>-15754.441079709997</c:v>
                </c:pt>
                <c:pt idx="232">
                  <c:v>-15992.349749710002</c:v>
                </c:pt>
                <c:pt idx="233">
                  <c:v>-16230.258419709997</c:v>
                </c:pt>
                <c:pt idx="234">
                  <c:v>-16468.167089709998</c:v>
                </c:pt>
                <c:pt idx="235">
                  <c:v>-16706.075759709998</c:v>
                </c:pt>
                <c:pt idx="236">
                  <c:v>-16943.984429709992</c:v>
                </c:pt>
                <c:pt idx="237">
                  <c:v>-17181.893099709996</c:v>
                </c:pt>
                <c:pt idx="238">
                  <c:v>-17419.80176971</c:v>
                </c:pt>
                <c:pt idx="239">
                  <c:v>-17657.710439710005</c:v>
                </c:pt>
                <c:pt idx="240">
                  <c:v>-17895.619109710002</c:v>
                </c:pt>
                <c:pt idx="241">
                  <c:v>-18133.527779709999</c:v>
                </c:pt>
                <c:pt idx="242">
                  <c:v>-18371.436449710003</c:v>
                </c:pt>
                <c:pt idx="243">
                  <c:v>-18609.34511971</c:v>
                </c:pt>
                <c:pt idx="244">
                  <c:v>-18847.253789709994</c:v>
                </c:pt>
                <c:pt idx="245">
                  <c:v>-19085.162459709998</c:v>
                </c:pt>
                <c:pt idx="246">
                  <c:v>-19323.071129709999</c:v>
                </c:pt>
                <c:pt idx="247">
                  <c:v>-19560.979799709999</c:v>
                </c:pt>
                <c:pt idx="248">
                  <c:v>-19798.888469709997</c:v>
                </c:pt>
                <c:pt idx="249">
                  <c:v>-20036.797139709994</c:v>
                </c:pt>
                <c:pt idx="250">
                  <c:v>-20274.705809710009</c:v>
                </c:pt>
                <c:pt idx="251">
                  <c:v>-20512.614479709999</c:v>
                </c:pt>
                <c:pt idx="252">
                  <c:v>-20750.523149709992</c:v>
                </c:pt>
                <c:pt idx="253">
                  <c:v>-20988.43181971</c:v>
                </c:pt>
                <c:pt idx="254">
                  <c:v>-21226.340489710001</c:v>
                </c:pt>
                <c:pt idx="255">
                  <c:v>-21464.249159710002</c:v>
                </c:pt>
                <c:pt idx="256">
                  <c:v>-21702.157829710006</c:v>
                </c:pt>
                <c:pt idx="257">
                  <c:v>-21940.066499709996</c:v>
                </c:pt>
                <c:pt idx="258">
                  <c:v>-22177.975169710004</c:v>
                </c:pt>
                <c:pt idx="259">
                  <c:v>-22415.883839710004</c:v>
                </c:pt>
                <c:pt idx="260">
                  <c:v>-22653.792509709994</c:v>
                </c:pt>
                <c:pt idx="261">
                  <c:v>-22891.701179710002</c:v>
                </c:pt>
                <c:pt idx="262">
                  <c:v>-23129.609849710003</c:v>
                </c:pt>
                <c:pt idx="263">
                  <c:v>-23367.51851971</c:v>
                </c:pt>
                <c:pt idx="264">
                  <c:v>-23605.427189710001</c:v>
                </c:pt>
                <c:pt idx="265">
                  <c:v>-23843.335859709994</c:v>
                </c:pt>
                <c:pt idx="266">
                  <c:v>-24081.244529710002</c:v>
                </c:pt>
                <c:pt idx="267">
                  <c:v>-24319.153199710003</c:v>
                </c:pt>
                <c:pt idx="268">
                  <c:v>-24557.061869710007</c:v>
                </c:pt>
                <c:pt idx="269">
                  <c:v>-24794.970539710001</c:v>
                </c:pt>
                <c:pt idx="270">
                  <c:v>-25032.879209709994</c:v>
                </c:pt>
                <c:pt idx="271">
                  <c:v>-25270.787879709998</c:v>
                </c:pt>
                <c:pt idx="272">
                  <c:v>-25508.696549710003</c:v>
                </c:pt>
                <c:pt idx="273">
                  <c:v>-25746.605219709996</c:v>
                </c:pt>
                <c:pt idx="274">
                  <c:v>-25984.51388970999</c:v>
                </c:pt>
                <c:pt idx="275">
                  <c:v>-26222.422559710008</c:v>
                </c:pt>
                <c:pt idx="276">
                  <c:v>-26460.331229709998</c:v>
                </c:pt>
                <c:pt idx="277">
                  <c:v>-26698.239899709995</c:v>
                </c:pt>
                <c:pt idx="278">
                  <c:v>-26936.14856971</c:v>
                </c:pt>
                <c:pt idx="279">
                  <c:v>-27174.05723971</c:v>
                </c:pt>
                <c:pt idx="280">
                  <c:v>-27411.965909710001</c:v>
                </c:pt>
                <c:pt idx="281">
                  <c:v>-27649.874579710005</c:v>
                </c:pt>
                <c:pt idx="282">
                  <c:v>-27887.783249709999</c:v>
                </c:pt>
                <c:pt idx="283">
                  <c:v>-28125.691919710003</c:v>
                </c:pt>
                <c:pt idx="284">
                  <c:v>-28363.600589710004</c:v>
                </c:pt>
                <c:pt idx="285">
                  <c:v>-28601.509259709994</c:v>
                </c:pt>
                <c:pt idx="286">
                  <c:v>-28839.417929710002</c:v>
                </c:pt>
                <c:pt idx="287">
                  <c:v>-29077.326599710006</c:v>
                </c:pt>
                <c:pt idx="288">
                  <c:v>-29315.23526971</c:v>
                </c:pt>
                <c:pt idx="289">
                  <c:v>-29553.143939710004</c:v>
                </c:pt>
                <c:pt idx="290">
                  <c:v>-29791.052609709994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7AC-8ADB-B587EAAA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7483001831E-2"/>
              <c:y val="0.25001809646804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"/>
          <c:min val="-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4154319687370329E-2"/>
          <c:y val="3.5856569935324947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'損益計算(W+F)'!$E$1</c:f>
              <c:strCache>
                <c:ptCount val="1"/>
                <c:pt idx="0">
                  <c:v>買方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'損益計算(W+F)'!$E$2:$E$292</c:f>
              <c:numCache>
                <c:formatCode>0</c:formatCode>
                <c:ptCount val="291"/>
                <c:pt idx="0">
                  <c:v>17857.542156119995</c:v>
                </c:pt>
                <c:pt idx="1">
                  <c:v>17730.199256119999</c:v>
                </c:pt>
                <c:pt idx="2">
                  <c:v>17602.856356119999</c:v>
                </c:pt>
                <c:pt idx="3">
                  <c:v>17475.513456119999</c:v>
                </c:pt>
                <c:pt idx="4">
                  <c:v>17348.17055612</c:v>
                </c:pt>
                <c:pt idx="5">
                  <c:v>17220.82765612</c:v>
                </c:pt>
                <c:pt idx="6">
                  <c:v>17093.48475612</c:v>
                </c:pt>
                <c:pt idx="7">
                  <c:v>16966.141856119997</c:v>
                </c:pt>
                <c:pt idx="8">
                  <c:v>16838.798956120001</c:v>
                </c:pt>
                <c:pt idx="9">
                  <c:v>16711.456056120001</c:v>
                </c:pt>
                <c:pt idx="10">
                  <c:v>16584.113156119998</c:v>
                </c:pt>
                <c:pt idx="11">
                  <c:v>16456.770256119999</c:v>
                </c:pt>
                <c:pt idx="12">
                  <c:v>16329.427356120001</c:v>
                </c:pt>
                <c:pt idx="13">
                  <c:v>16202.084456120001</c:v>
                </c:pt>
                <c:pt idx="14">
                  <c:v>16074.74155612</c:v>
                </c:pt>
                <c:pt idx="15">
                  <c:v>15947.39865612</c:v>
                </c:pt>
                <c:pt idx="16">
                  <c:v>15820.055756120006</c:v>
                </c:pt>
                <c:pt idx="17">
                  <c:v>15692.712856119999</c:v>
                </c:pt>
                <c:pt idx="18">
                  <c:v>15565.369956120001</c:v>
                </c:pt>
                <c:pt idx="19">
                  <c:v>15438.027056120003</c:v>
                </c:pt>
                <c:pt idx="20">
                  <c:v>15310.68415612</c:v>
                </c:pt>
                <c:pt idx="21">
                  <c:v>15183.341256119998</c:v>
                </c:pt>
                <c:pt idx="22">
                  <c:v>15055.998356120004</c:v>
                </c:pt>
                <c:pt idx="23">
                  <c:v>14928.655456120001</c:v>
                </c:pt>
                <c:pt idx="24">
                  <c:v>14801.312556119999</c:v>
                </c:pt>
                <c:pt idx="25">
                  <c:v>14673.969656119998</c:v>
                </c:pt>
                <c:pt idx="26">
                  <c:v>14546.626756120002</c:v>
                </c:pt>
                <c:pt idx="27">
                  <c:v>14419.283856120002</c:v>
                </c:pt>
                <c:pt idx="28">
                  <c:v>14291.940956119997</c:v>
                </c:pt>
                <c:pt idx="29">
                  <c:v>14164.598056120005</c:v>
                </c:pt>
                <c:pt idx="30">
                  <c:v>14037.255156119998</c:v>
                </c:pt>
                <c:pt idx="31">
                  <c:v>13909.912256119998</c:v>
                </c:pt>
                <c:pt idx="32">
                  <c:v>13782.569356120001</c:v>
                </c:pt>
                <c:pt idx="33">
                  <c:v>13655.226456120001</c:v>
                </c:pt>
                <c:pt idx="34">
                  <c:v>13527.883556120001</c:v>
                </c:pt>
                <c:pt idx="35">
                  <c:v>13400.54065612</c:v>
                </c:pt>
                <c:pt idx="36">
                  <c:v>13273.197756120004</c:v>
                </c:pt>
                <c:pt idx="37">
                  <c:v>13145.854856120002</c:v>
                </c:pt>
                <c:pt idx="38">
                  <c:v>13018.511956120003</c:v>
                </c:pt>
                <c:pt idx="39">
                  <c:v>12891.169056119998</c:v>
                </c:pt>
                <c:pt idx="40">
                  <c:v>12763.82615612</c:v>
                </c:pt>
                <c:pt idx="41">
                  <c:v>12636.483256120006</c:v>
                </c:pt>
                <c:pt idx="42">
                  <c:v>12509.140356120002</c:v>
                </c:pt>
                <c:pt idx="43">
                  <c:v>12381.797456120003</c:v>
                </c:pt>
                <c:pt idx="44">
                  <c:v>12254.454556120001</c:v>
                </c:pt>
                <c:pt idx="45">
                  <c:v>12127.11165612</c:v>
                </c:pt>
                <c:pt idx="46">
                  <c:v>11999.768756119998</c:v>
                </c:pt>
                <c:pt idx="47">
                  <c:v>11872.425856120002</c:v>
                </c:pt>
                <c:pt idx="48">
                  <c:v>11745.082956120001</c:v>
                </c:pt>
                <c:pt idx="49">
                  <c:v>11617.740056119999</c:v>
                </c:pt>
                <c:pt idx="50">
                  <c:v>11490.397156120001</c:v>
                </c:pt>
                <c:pt idx="51">
                  <c:v>11363.054256120002</c:v>
                </c:pt>
                <c:pt idx="52">
                  <c:v>11235.711356120002</c:v>
                </c:pt>
                <c:pt idx="53">
                  <c:v>11108.368456119999</c:v>
                </c:pt>
                <c:pt idx="54">
                  <c:v>10981.025556120003</c:v>
                </c:pt>
                <c:pt idx="55">
                  <c:v>10853.682656119998</c:v>
                </c:pt>
                <c:pt idx="56">
                  <c:v>10726.33975612</c:v>
                </c:pt>
                <c:pt idx="57">
                  <c:v>10598.99685612</c:v>
                </c:pt>
                <c:pt idx="58">
                  <c:v>10471.653956119999</c:v>
                </c:pt>
                <c:pt idx="59">
                  <c:v>10344.311056120001</c:v>
                </c:pt>
                <c:pt idx="60">
                  <c:v>10216.968156119998</c:v>
                </c:pt>
                <c:pt idx="61">
                  <c:v>10089.625256120004</c:v>
                </c:pt>
                <c:pt idx="62">
                  <c:v>9962.2823561200003</c:v>
                </c:pt>
                <c:pt idx="63">
                  <c:v>9834.9394561199988</c:v>
                </c:pt>
                <c:pt idx="64">
                  <c:v>9707.5965561199991</c:v>
                </c:pt>
                <c:pt idx="65">
                  <c:v>9580.2536561199977</c:v>
                </c:pt>
                <c:pt idx="66">
                  <c:v>9452.9107561200017</c:v>
                </c:pt>
                <c:pt idx="67">
                  <c:v>9325.567856120002</c:v>
                </c:pt>
                <c:pt idx="68">
                  <c:v>9198.2249561200006</c:v>
                </c:pt>
                <c:pt idx="69">
                  <c:v>9070.8820561200009</c:v>
                </c:pt>
                <c:pt idx="70">
                  <c:v>8943.5391561200031</c:v>
                </c:pt>
                <c:pt idx="71">
                  <c:v>8816.1962561199998</c:v>
                </c:pt>
                <c:pt idx="72">
                  <c:v>8688.8533561200002</c:v>
                </c:pt>
                <c:pt idx="73">
                  <c:v>8561.5104561200005</c:v>
                </c:pt>
                <c:pt idx="74">
                  <c:v>8434.1675561199991</c:v>
                </c:pt>
                <c:pt idx="75">
                  <c:v>8306.8246561200012</c:v>
                </c:pt>
                <c:pt idx="76">
                  <c:v>8179.4817561200007</c:v>
                </c:pt>
                <c:pt idx="77">
                  <c:v>8052.1388561199992</c:v>
                </c:pt>
                <c:pt idx="78">
                  <c:v>7924.7959561200014</c:v>
                </c:pt>
                <c:pt idx="79">
                  <c:v>7797.4530561199981</c:v>
                </c:pt>
                <c:pt idx="80">
                  <c:v>7670.1101561200003</c:v>
                </c:pt>
                <c:pt idx="81">
                  <c:v>7542.7672561199997</c:v>
                </c:pt>
                <c:pt idx="82">
                  <c:v>7415.4243561200019</c:v>
                </c:pt>
                <c:pt idx="83">
                  <c:v>7288.0814561200004</c:v>
                </c:pt>
                <c:pt idx="84">
                  <c:v>7160.7385561199999</c:v>
                </c:pt>
                <c:pt idx="85">
                  <c:v>7033.3956561200002</c:v>
                </c:pt>
                <c:pt idx="86">
                  <c:v>6906.0527561199988</c:v>
                </c:pt>
                <c:pt idx="87">
                  <c:v>6778.7098561200009</c:v>
                </c:pt>
                <c:pt idx="88">
                  <c:v>6651.3669561200004</c:v>
                </c:pt>
                <c:pt idx="89">
                  <c:v>6524.0240561200008</c:v>
                </c:pt>
                <c:pt idx="90">
                  <c:v>6396.6811561200011</c:v>
                </c:pt>
                <c:pt idx="91">
                  <c:v>6269.3382561199996</c:v>
                </c:pt>
                <c:pt idx="92">
                  <c:v>6141.9953561200009</c:v>
                </c:pt>
                <c:pt idx="93">
                  <c:v>6014.6524561199994</c:v>
                </c:pt>
                <c:pt idx="94">
                  <c:v>5887.3095561199998</c:v>
                </c:pt>
                <c:pt idx="95">
                  <c:v>5759.9666561200002</c:v>
                </c:pt>
                <c:pt idx="96">
                  <c:v>5632.6237561200014</c:v>
                </c:pt>
                <c:pt idx="97">
                  <c:v>5505.2808561200018</c:v>
                </c:pt>
                <c:pt idx="98">
                  <c:v>5377.9379561200012</c:v>
                </c:pt>
                <c:pt idx="99">
                  <c:v>5250.5950561199988</c:v>
                </c:pt>
                <c:pt idx="100">
                  <c:v>5123.2521561200001</c:v>
                </c:pt>
                <c:pt idx="101">
                  <c:v>4996.0592561200001</c:v>
                </c:pt>
                <c:pt idx="102">
                  <c:v>4868.8663561200001</c:v>
                </c:pt>
                <c:pt idx="103">
                  <c:v>4741.673456120001</c:v>
                </c:pt>
                <c:pt idx="104">
                  <c:v>4614.4805561199992</c:v>
                </c:pt>
                <c:pt idx="105">
                  <c:v>4487.2876561199992</c:v>
                </c:pt>
                <c:pt idx="106">
                  <c:v>4360.094756120001</c:v>
                </c:pt>
                <c:pt idx="107">
                  <c:v>4232.90185612</c:v>
                </c:pt>
                <c:pt idx="108">
                  <c:v>4105.7089561200009</c:v>
                </c:pt>
                <c:pt idx="109">
                  <c:v>3979.5660561200007</c:v>
                </c:pt>
                <c:pt idx="110">
                  <c:v>3853.4231561200008</c:v>
                </c:pt>
                <c:pt idx="111">
                  <c:v>3728.6806261200004</c:v>
                </c:pt>
                <c:pt idx="112">
                  <c:v>3603.9380961200009</c:v>
                </c:pt>
                <c:pt idx="113">
                  <c:v>3479.19556612</c:v>
                </c:pt>
                <c:pt idx="114">
                  <c:v>3354.4530361200009</c:v>
                </c:pt>
                <c:pt idx="115">
                  <c:v>3229.7938261200011</c:v>
                </c:pt>
                <c:pt idx="116">
                  <c:v>3105.1346161200008</c:v>
                </c:pt>
                <c:pt idx="117">
                  <c:v>2980.475406120001</c:v>
                </c:pt>
                <c:pt idx="118">
                  <c:v>2855.8161961200003</c:v>
                </c:pt>
                <c:pt idx="119">
                  <c:v>2731.156986120001</c:v>
                </c:pt>
                <c:pt idx="120">
                  <c:v>2606.4977761200012</c:v>
                </c:pt>
                <c:pt idx="121">
                  <c:v>2482.1883661200004</c:v>
                </c:pt>
                <c:pt idx="122">
                  <c:v>2357.8789561200001</c:v>
                </c:pt>
                <c:pt idx="123">
                  <c:v>2235.4192061200006</c:v>
                </c:pt>
                <c:pt idx="124">
                  <c:v>2112.9594561200006</c:v>
                </c:pt>
                <c:pt idx="125">
                  <c:v>1990.8497161200005</c:v>
                </c:pt>
                <c:pt idx="126">
                  <c:v>1868.7399761200002</c:v>
                </c:pt>
                <c:pt idx="127">
                  <c:v>1746.6302361200003</c:v>
                </c:pt>
                <c:pt idx="128">
                  <c:v>1625.1705661200001</c:v>
                </c:pt>
                <c:pt idx="129">
                  <c:v>1508.2078661199998</c:v>
                </c:pt>
                <c:pt idx="130">
                  <c:v>1391.9521161200005</c:v>
                </c:pt>
                <c:pt idx="131">
                  <c:v>1289.3947061199999</c:v>
                </c:pt>
                <c:pt idx="132">
                  <c:v>1186.83729612</c:v>
                </c:pt>
                <c:pt idx="133">
                  <c:v>1084.2798861200001</c:v>
                </c:pt>
                <c:pt idx="134">
                  <c:v>984.37193612000021</c:v>
                </c:pt>
                <c:pt idx="135">
                  <c:v>884.4639861200003</c:v>
                </c:pt>
                <c:pt idx="136">
                  <c:v>786.40640612000016</c:v>
                </c:pt>
                <c:pt idx="137">
                  <c:v>695.39572612000006</c:v>
                </c:pt>
                <c:pt idx="138">
                  <c:v>604.38504612000008</c:v>
                </c:pt>
                <c:pt idx="139">
                  <c:v>513.72012612000003</c:v>
                </c:pt>
                <c:pt idx="140">
                  <c:v>426.92956612000012</c:v>
                </c:pt>
                <c:pt idx="141">
                  <c:v>361.33859612000009</c:v>
                </c:pt>
                <c:pt idx="142">
                  <c:v>308.49814612000006</c:v>
                </c:pt>
                <c:pt idx="143">
                  <c:v>264.11597612000003</c:v>
                </c:pt>
                <c:pt idx="144">
                  <c:v>224.09561612000007</c:v>
                </c:pt>
                <c:pt idx="145">
                  <c:v>189.03431612000008</c:v>
                </c:pt>
                <c:pt idx="146">
                  <c:v>154.02301612000005</c:v>
                </c:pt>
                <c:pt idx="147">
                  <c:v>119.06175612000007</c:v>
                </c:pt>
                <c:pt idx="148">
                  <c:v>84.300496120000062</c:v>
                </c:pt>
                <c:pt idx="149">
                  <c:v>49.539236120000041</c:v>
                </c:pt>
                <c:pt idx="150">
                  <c:v>15.427966120000031</c:v>
                </c:pt>
                <c:pt idx="151">
                  <c:v>-18.683303879999986</c:v>
                </c:pt>
                <c:pt idx="152">
                  <c:v>-23.949093879999978</c:v>
                </c:pt>
                <c:pt idx="153">
                  <c:v>-29.214883879999984</c:v>
                </c:pt>
                <c:pt idx="154">
                  <c:v>-34.480673879999998</c:v>
                </c:pt>
                <c:pt idx="155">
                  <c:v>-39.746463879999993</c:v>
                </c:pt>
                <c:pt idx="156">
                  <c:v>-45.012253879999996</c:v>
                </c:pt>
                <c:pt idx="157">
                  <c:v>-50.278043879999998</c:v>
                </c:pt>
                <c:pt idx="158">
                  <c:v>-55.543833880000008</c:v>
                </c:pt>
                <c:pt idx="159">
                  <c:v>-60.809623879999997</c:v>
                </c:pt>
                <c:pt idx="160">
                  <c:v>-61.675603880000011</c:v>
                </c:pt>
                <c:pt idx="161">
                  <c:v>-57.656463880000011</c:v>
                </c:pt>
                <c:pt idx="162">
                  <c:v>-53.332683880000005</c:v>
                </c:pt>
                <c:pt idx="163">
                  <c:v>-49.008903879999998</c:v>
                </c:pt>
                <c:pt idx="164">
                  <c:v>-39.505283880000007</c:v>
                </c:pt>
                <c:pt idx="165">
                  <c:v>-30.001663880000009</c:v>
                </c:pt>
                <c:pt idx="166">
                  <c:v>-20.498043880000022</c:v>
                </c:pt>
                <c:pt idx="167">
                  <c:v>-10.994423880000031</c:v>
                </c:pt>
                <c:pt idx="168">
                  <c:v>-1.4908038800000358</c:v>
                </c:pt>
                <c:pt idx="169">
                  <c:v>8.012816119999945</c:v>
                </c:pt>
                <c:pt idx="170">
                  <c:v>17.516436119999941</c:v>
                </c:pt>
                <c:pt idx="171">
                  <c:v>52.909816119999924</c:v>
                </c:pt>
                <c:pt idx="172">
                  <c:v>88.30319611999991</c:v>
                </c:pt>
                <c:pt idx="173">
                  <c:v>131.5509361199999</c:v>
                </c:pt>
                <c:pt idx="174">
                  <c:v>174.7986761199999</c:v>
                </c:pt>
                <c:pt idx="175">
                  <c:v>231.04030611999988</c:v>
                </c:pt>
                <c:pt idx="176">
                  <c:v>287.28193611999984</c:v>
                </c:pt>
                <c:pt idx="177">
                  <c:v>349.67542611999988</c:v>
                </c:pt>
                <c:pt idx="178">
                  <c:v>412.06891611999981</c:v>
                </c:pt>
                <c:pt idx="179">
                  <c:v>474.51240611999992</c:v>
                </c:pt>
                <c:pt idx="180">
                  <c:v>536.95589611999981</c:v>
                </c:pt>
                <c:pt idx="181">
                  <c:v>599.39938611999969</c:v>
                </c:pt>
                <c:pt idx="182">
                  <c:v>661.8428761199998</c:v>
                </c:pt>
                <c:pt idx="183">
                  <c:v>724.2863661199998</c:v>
                </c:pt>
                <c:pt idx="184">
                  <c:v>786.72985611999991</c:v>
                </c:pt>
                <c:pt idx="185">
                  <c:v>849.17334611999979</c:v>
                </c:pt>
                <c:pt idx="186">
                  <c:v>911.61683611999979</c:v>
                </c:pt>
                <c:pt idx="187">
                  <c:v>974.06032611999967</c:v>
                </c:pt>
                <c:pt idx="188">
                  <c:v>1036.5038161199998</c:v>
                </c:pt>
                <c:pt idx="189">
                  <c:v>1099.0973061199995</c:v>
                </c:pt>
                <c:pt idx="190">
                  <c:v>1161.6907961199995</c:v>
                </c:pt>
                <c:pt idx="191">
                  <c:v>1224.2842861199999</c:v>
                </c:pt>
                <c:pt idx="192">
                  <c:v>1286.8777761199995</c:v>
                </c:pt>
                <c:pt idx="193">
                  <c:v>1349.4712661199997</c:v>
                </c:pt>
                <c:pt idx="194">
                  <c:v>1412.0647561199994</c:v>
                </c:pt>
                <c:pt idx="195">
                  <c:v>1474.6582461199998</c:v>
                </c:pt>
                <c:pt idx="196">
                  <c:v>1537.2517361199996</c:v>
                </c:pt>
                <c:pt idx="197">
                  <c:v>1599.8452261199996</c:v>
                </c:pt>
                <c:pt idx="198">
                  <c:v>1662.4387161199995</c:v>
                </c:pt>
                <c:pt idx="199">
                  <c:v>1725.0322061199993</c:v>
                </c:pt>
                <c:pt idx="200">
                  <c:v>1787.6256961199995</c:v>
                </c:pt>
                <c:pt idx="201">
                  <c:v>1850.2191861199994</c:v>
                </c:pt>
                <c:pt idx="202">
                  <c:v>1912.8126761199994</c:v>
                </c:pt>
                <c:pt idx="203">
                  <c:v>1975.4061661199992</c:v>
                </c:pt>
                <c:pt idx="204">
                  <c:v>2037.9996561199996</c:v>
                </c:pt>
                <c:pt idx="205">
                  <c:v>2100.5931461199993</c:v>
                </c:pt>
                <c:pt idx="206">
                  <c:v>2163.1866361199995</c:v>
                </c:pt>
                <c:pt idx="207">
                  <c:v>2225.7801261199993</c:v>
                </c:pt>
                <c:pt idx="208">
                  <c:v>2288.3736161199995</c:v>
                </c:pt>
                <c:pt idx="209">
                  <c:v>2350.9671061199997</c:v>
                </c:pt>
                <c:pt idx="210">
                  <c:v>2413.5605961199994</c:v>
                </c:pt>
                <c:pt idx="211">
                  <c:v>2476.1540861199996</c:v>
                </c:pt>
                <c:pt idx="212">
                  <c:v>2538.7475761199994</c:v>
                </c:pt>
                <c:pt idx="213">
                  <c:v>2601.3410661199996</c:v>
                </c:pt>
                <c:pt idx="214">
                  <c:v>2663.9345561199993</c:v>
                </c:pt>
                <c:pt idx="215">
                  <c:v>2726.5280461199991</c:v>
                </c:pt>
                <c:pt idx="216">
                  <c:v>2789.1215361199993</c:v>
                </c:pt>
                <c:pt idx="217">
                  <c:v>2851.715026119999</c:v>
                </c:pt>
                <c:pt idx="218">
                  <c:v>2914.3085161199988</c:v>
                </c:pt>
                <c:pt idx="219">
                  <c:v>2976.902006119999</c:v>
                </c:pt>
                <c:pt idx="220">
                  <c:v>3039.4954961199992</c:v>
                </c:pt>
                <c:pt idx="221">
                  <c:v>3102.0889861199994</c:v>
                </c:pt>
                <c:pt idx="222">
                  <c:v>3164.6824761199991</c:v>
                </c:pt>
                <c:pt idx="223">
                  <c:v>3227.2759661199993</c:v>
                </c:pt>
                <c:pt idx="224">
                  <c:v>3289.8694561199991</c:v>
                </c:pt>
                <c:pt idx="225">
                  <c:v>3352.4629461199993</c:v>
                </c:pt>
                <c:pt idx="226">
                  <c:v>3415.0564361199986</c:v>
                </c:pt>
                <c:pt idx="227">
                  <c:v>3477.6499261199997</c:v>
                </c:pt>
                <c:pt idx="228">
                  <c:v>3540.2434161199994</c:v>
                </c:pt>
                <c:pt idx="229">
                  <c:v>3602.8369061199992</c:v>
                </c:pt>
                <c:pt idx="230">
                  <c:v>3665.4303961199989</c:v>
                </c:pt>
                <c:pt idx="231">
                  <c:v>3728.0238861199991</c:v>
                </c:pt>
                <c:pt idx="232">
                  <c:v>3790.6173761199993</c:v>
                </c:pt>
                <c:pt idx="233">
                  <c:v>3853.2108661199995</c:v>
                </c:pt>
                <c:pt idx="234">
                  <c:v>3915.8043561199993</c:v>
                </c:pt>
                <c:pt idx="235">
                  <c:v>3978.3978461199995</c:v>
                </c:pt>
                <c:pt idx="236">
                  <c:v>4040.9913361199992</c:v>
                </c:pt>
                <c:pt idx="237">
                  <c:v>4103.584826119999</c:v>
                </c:pt>
                <c:pt idx="238">
                  <c:v>4166.1783161199992</c:v>
                </c:pt>
                <c:pt idx="239">
                  <c:v>4228.7718061199985</c:v>
                </c:pt>
                <c:pt idx="240">
                  <c:v>4291.3652961199996</c:v>
                </c:pt>
                <c:pt idx="241">
                  <c:v>4353.9587861199998</c:v>
                </c:pt>
                <c:pt idx="242">
                  <c:v>4416.55227612</c:v>
                </c:pt>
                <c:pt idx="243">
                  <c:v>4479.1457661200002</c:v>
                </c:pt>
                <c:pt idx="244">
                  <c:v>4541.7392561199995</c:v>
                </c:pt>
                <c:pt idx="245">
                  <c:v>4604.3327461199997</c:v>
                </c:pt>
                <c:pt idx="246">
                  <c:v>4666.9262361199999</c:v>
                </c:pt>
                <c:pt idx="247">
                  <c:v>4729.5197261199992</c:v>
                </c:pt>
                <c:pt idx="248">
                  <c:v>4792.1132161199994</c:v>
                </c:pt>
                <c:pt idx="249">
                  <c:v>4854.7067061199996</c:v>
                </c:pt>
                <c:pt idx="250">
                  <c:v>4917.3001961199998</c:v>
                </c:pt>
                <c:pt idx="251">
                  <c:v>4979.8936861199991</c:v>
                </c:pt>
                <c:pt idx="252">
                  <c:v>5042.4871761199993</c:v>
                </c:pt>
                <c:pt idx="253">
                  <c:v>5105.0806661200004</c:v>
                </c:pt>
                <c:pt idx="254">
                  <c:v>5167.6741561199988</c:v>
                </c:pt>
                <c:pt idx="255">
                  <c:v>5230.267646119999</c:v>
                </c:pt>
                <c:pt idx="256">
                  <c:v>5292.8611361199992</c:v>
                </c:pt>
                <c:pt idx="257">
                  <c:v>5355.4546261199994</c:v>
                </c:pt>
                <c:pt idx="258">
                  <c:v>5418.0481161199987</c:v>
                </c:pt>
                <c:pt idx="259">
                  <c:v>5480.6416061199989</c:v>
                </c:pt>
                <c:pt idx="260">
                  <c:v>5543.2350961199991</c:v>
                </c:pt>
                <c:pt idx="261">
                  <c:v>5605.8285861199993</c:v>
                </c:pt>
                <c:pt idx="262">
                  <c:v>5668.4220761199986</c:v>
                </c:pt>
                <c:pt idx="263">
                  <c:v>5731.0155661199997</c:v>
                </c:pt>
                <c:pt idx="264">
                  <c:v>5793.609056119999</c:v>
                </c:pt>
                <c:pt idx="265">
                  <c:v>5856.2025461199983</c:v>
                </c:pt>
                <c:pt idx="266">
                  <c:v>5918.7960361199985</c:v>
                </c:pt>
                <c:pt idx="267">
                  <c:v>5981.3895261199987</c:v>
                </c:pt>
                <c:pt idx="268">
                  <c:v>6043.9830161199989</c:v>
                </c:pt>
                <c:pt idx="269">
                  <c:v>6106.57650612</c:v>
                </c:pt>
                <c:pt idx="270">
                  <c:v>6169.1699961199984</c:v>
                </c:pt>
                <c:pt idx="271">
                  <c:v>6231.7634861199986</c:v>
                </c:pt>
                <c:pt idx="272">
                  <c:v>6294.3569761199988</c:v>
                </c:pt>
                <c:pt idx="273">
                  <c:v>6356.9504661199981</c:v>
                </c:pt>
                <c:pt idx="274">
                  <c:v>6419.5439561199983</c:v>
                </c:pt>
                <c:pt idx="275">
                  <c:v>6482.1374461199994</c:v>
                </c:pt>
                <c:pt idx="276">
                  <c:v>6544.7309361199987</c:v>
                </c:pt>
                <c:pt idx="277">
                  <c:v>6607.324426119998</c:v>
                </c:pt>
                <c:pt idx="278">
                  <c:v>6669.9179161199982</c:v>
                </c:pt>
                <c:pt idx="279">
                  <c:v>6732.5114061199984</c:v>
                </c:pt>
                <c:pt idx="280">
                  <c:v>6795.1048961199995</c:v>
                </c:pt>
                <c:pt idx="281">
                  <c:v>6857.6983861199988</c:v>
                </c:pt>
                <c:pt idx="282">
                  <c:v>6920.2918761199981</c:v>
                </c:pt>
                <c:pt idx="283">
                  <c:v>6982.8853661199983</c:v>
                </c:pt>
                <c:pt idx="284">
                  <c:v>7045.4788561199985</c:v>
                </c:pt>
                <c:pt idx="285">
                  <c:v>7108.0723461199977</c:v>
                </c:pt>
                <c:pt idx="286">
                  <c:v>7170.6658361199998</c:v>
                </c:pt>
                <c:pt idx="287">
                  <c:v>7233.2593261199981</c:v>
                </c:pt>
                <c:pt idx="288">
                  <c:v>7295.8528161199974</c:v>
                </c:pt>
                <c:pt idx="289">
                  <c:v>7358.4463061199986</c:v>
                </c:pt>
                <c:pt idx="290">
                  <c:v>7421.0397961199978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0-4C7A-95B8-577CDFFB4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7.7360197234058278E-2"/>
              <c:y val="0.523684960836632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'損益計算(W+F)'!$F$1</c:f>
              <c:strCache>
                <c:ptCount val="1"/>
                <c:pt idx="0">
                  <c:v>賣方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'損益計算(W+F)'!$F$2:$F$292</c:f>
              <c:numCache>
                <c:formatCode>0</c:formatCode>
                <c:ptCount val="291"/>
                <c:pt idx="0">
                  <c:v>-24454.319625830005</c:v>
                </c:pt>
                <c:pt idx="1">
                  <c:v>-24280.695245830011</c:v>
                </c:pt>
                <c:pt idx="2">
                  <c:v>-24107.070865830003</c:v>
                </c:pt>
                <c:pt idx="3">
                  <c:v>-23933.446485830005</c:v>
                </c:pt>
                <c:pt idx="4">
                  <c:v>-23759.822105830008</c:v>
                </c:pt>
                <c:pt idx="5">
                  <c:v>-23586.19772583001</c:v>
                </c:pt>
                <c:pt idx="6">
                  <c:v>-23412.573345830006</c:v>
                </c:pt>
                <c:pt idx="7">
                  <c:v>-23238.948965830004</c:v>
                </c:pt>
                <c:pt idx="8">
                  <c:v>-23065.324585830011</c:v>
                </c:pt>
                <c:pt idx="9">
                  <c:v>-22891.700205830013</c:v>
                </c:pt>
                <c:pt idx="10">
                  <c:v>-22718.075825830005</c:v>
                </c:pt>
                <c:pt idx="11">
                  <c:v>-22544.451445830007</c:v>
                </c:pt>
                <c:pt idx="12">
                  <c:v>-22370.827065830006</c:v>
                </c:pt>
                <c:pt idx="13">
                  <c:v>-22197.202685830005</c:v>
                </c:pt>
                <c:pt idx="14">
                  <c:v>-22023.578305830004</c:v>
                </c:pt>
                <c:pt idx="15">
                  <c:v>-21849.95392583001</c:v>
                </c:pt>
                <c:pt idx="16">
                  <c:v>-21676.329545830009</c:v>
                </c:pt>
                <c:pt idx="17">
                  <c:v>-21502.705165830008</c:v>
                </c:pt>
                <c:pt idx="18">
                  <c:v>-21329.08078583001</c:v>
                </c:pt>
                <c:pt idx="19">
                  <c:v>-21155.456405830009</c:v>
                </c:pt>
                <c:pt idx="20">
                  <c:v>-20981.832025830008</c:v>
                </c:pt>
                <c:pt idx="21">
                  <c:v>-20808.207645830011</c:v>
                </c:pt>
                <c:pt idx="22">
                  <c:v>-20634.58326583001</c:v>
                </c:pt>
                <c:pt idx="23">
                  <c:v>-20460.958885830009</c:v>
                </c:pt>
                <c:pt idx="24">
                  <c:v>-20287.334505830011</c:v>
                </c:pt>
                <c:pt idx="25">
                  <c:v>-20113.71012583001</c:v>
                </c:pt>
                <c:pt idx="26">
                  <c:v>-19940.085745830009</c:v>
                </c:pt>
                <c:pt idx="27">
                  <c:v>-19766.461365830008</c:v>
                </c:pt>
                <c:pt idx="28">
                  <c:v>-19592.83698583001</c:v>
                </c:pt>
                <c:pt idx="29">
                  <c:v>-19419.212605830013</c:v>
                </c:pt>
                <c:pt idx="30">
                  <c:v>-19245.588225830012</c:v>
                </c:pt>
                <c:pt idx="31">
                  <c:v>-19071.963845830011</c:v>
                </c:pt>
                <c:pt idx="32">
                  <c:v>-18898.339465830006</c:v>
                </c:pt>
                <c:pt idx="33">
                  <c:v>-18724.715085830008</c:v>
                </c:pt>
                <c:pt idx="34">
                  <c:v>-18551.090705830007</c:v>
                </c:pt>
                <c:pt idx="35">
                  <c:v>-18377.46632583001</c:v>
                </c:pt>
                <c:pt idx="36">
                  <c:v>-18203.841945830005</c:v>
                </c:pt>
                <c:pt idx="37">
                  <c:v>-18030.217565830008</c:v>
                </c:pt>
                <c:pt idx="38">
                  <c:v>-17856.59318583001</c:v>
                </c:pt>
                <c:pt idx="39">
                  <c:v>-17682.968805830009</c:v>
                </c:pt>
                <c:pt idx="40">
                  <c:v>-17509.344425830008</c:v>
                </c:pt>
                <c:pt idx="41">
                  <c:v>-17335.720045830007</c:v>
                </c:pt>
                <c:pt idx="42">
                  <c:v>-17162.095665830006</c:v>
                </c:pt>
                <c:pt idx="43">
                  <c:v>-16988.471285830008</c:v>
                </c:pt>
                <c:pt idx="44">
                  <c:v>-16814.846905830007</c:v>
                </c:pt>
                <c:pt idx="45">
                  <c:v>-16641.222525830002</c:v>
                </c:pt>
                <c:pt idx="46">
                  <c:v>-16467.598145830001</c:v>
                </c:pt>
                <c:pt idx="47">
                  <c:v>-16293.97376583</c:v>
                </c:pt>
                <c:pt idx="48">
                  <c:v>-16120.349385830003</c:v>
                </c:pt>
                <c:pt idx="49">
                  <c:v>-15946.725005830001</c:v>
                </c:pt>
                <c:pt idx="50">
                  <c:v>-15773.100625829999</c:v>
                </c:pt>
                <c:pt idx="51">
                  <c:v>-15599.476245829999</c:v>
                </c:pt>
                <c:pt idx="52">
                  <c:v>-15425.85186583</c:v>
                </c:pt>
                <c:pt idx="53">
                  <c:v>-15252.227485829999</c:v>
                </c:pt>
                <c:pt idx="54">
                  <c:v>-15078.603105829998</c:v>
                </c:pt>
                <c:pt idx="55">
                  <c:v>-14904.97872583</c:v>
                </c:pt>
                <c:pt idx="56">
                  <c:v>-14731.354345829997</c:v>
                </c:pt>
                <c:pt idx="57">
                  <c:v>-14557.729965829998</c:v>
                </c:pt>
                <c:pt idx="58">
                  <c:v>-14384.105585829999</c:v>
                </c:pt>
                <c:pt idx="59">
                  <c:v>-14210.481205829998</c:v>
                </c:pt>
                <c:pt idx="60">
                  <c:v>-14036.856825829998</c:v>
                </c:pt>
                <c:pt idx="61">
                  <c:v>-13863.232445829999</c:v>
                </c:pt>
                <c:pt idx="62">
                  <c:v>-13689.60806583</c:v>
                </c:pt>
                <c:pt idx="63">
                  <c:v>-13515.98368583</c:v>
                </c:pt>
                <c:pt idx="64">
                  <c:v>-13342.359305829999</c:v>
                </c:pt>
                <c:pt idx="65">
                  <c:v>-13168.734925829996</c:v>
                </c:pt>
                <c:pt idx="66">
                  <c:v>-12995.110545830001</c:v>
                </c:pt>
                <c:pt idx="67">
                  <c:v>-12821.48616583</c:v>
                </c:pt>
                <c:pt idx="68">
                  <c:v>-12647.861785829999</c:v>
                </c:pt>
                <c:pt idx="69">
                  <c:v>-12474.237405830001</c:v>
                </c:pt>
                <c:pt idx="70">
                  <c:v>-12300.61302583</c:v>
                </c:pt>
                <c:pt idx="71">
                  <c:v>-12126.988645830002</c:v>
                </c:pt>
                <c:pt idx="72">
                  <c:v>-11953.36426583</c:v>
                </c:pt>
                <c:pt idx="73">
                  <c:v>-11779.73988583</c:v>
                </c:pt>
                <c:pt idx="74">
                  <c:v>-11606.115505829997</c:v>
                </c:pt>
                <c:pt idx="75">
                  <c:v>-11432.491125829996</c:v>
                </c:pt>
                <c:pt idx="76">
                  <c:v>-11258.866745830001</c:v>
                </c:pt>
                <c:pt idx="77">
                  <c:v>-11085.242365830001</c:v>
                </c:pt>
                <c:pt idx="78">
                  <c:v>-10911.617985829998</c:v>
                </c:pt>
                <c:pt idx="79">
                  <c:v>-10737.993605829997</c:v>
                </c:pt>
                <c:pt idx="80">
                  <c:v>-10564.369225829998</c:v>
                </c:pt>
                <c:pt idx="81">
                  <c:v>-10390.744845829999</c:v>
                </c:pt>
                <c:pt idx="82">
                  <c:v>-10217.120465829996</c:v>
                </c:pt>
                <c:pt idx="83">
                  <c:v>-10043.49608583</c:v>
                </c:pt>
                <c:pt idx="84">
                  <c:v>-9869.8717058299972</c:v>
                </c:pt>
                <c:pt idx="85">
                  <c:v>-9696.2473258299979</c:v>
                </c:pt>
                <c:pt idx="86">
                  <c:v>-9522.6229458299968</c:v>
                </c:pt>
                <c:pt idx="87">
                  <c:v>-9348.9985658300011</c:v>
                </c:pt>
                <c:pt idx="88">
                  <c:v>-9175.3741858299963</c:v>
                </c:pt>
                <c:pt idx="89">
                  <c:v>-9001.7498058299971</c:v>
                </c:pt>
                <c:pt idx="90">
                  <c:v>-8828.1254258299978</c:v>
                </c:pt>
                <c:pt idx="91">
                  <c:v>-8654.5010458299985</c:v>
                </c:pt>
                <c:pt idx="92">
                  <c:v>-8480.8766658299955</c:v>
                </c:pt>
                <c:pt idx="93">
                  <c:v>-8316.9328858299996</c:v>
                </c:pt>
                <c:pt idx="94">
                  <c:v>-8152.9891058299991</c:v>
                </c:pt>
                <c:pt idx="95">
                  <c:v>-7989.2952958299993</c:v>
                </c:pt>
                <c:pt idx="96">
                  <c:v>-7825.6014858299995</c:v>
                </c:pt>
                <c:pt idx="97">
                  <c:v>-7661.9577258299987</c:v>
                </c:pt>
                <c:pt idx="98">
                  <c:v>-7498.3139658299988</c:v>
                </c:pt>
                <c:pt idx="99">
                  <c:v>-7334.9202058299998</c:v>
                </c:pt>
                <c:pt idx="100">
                  <c:v>-7171.5264458299989</c:v>
                </c:pt>
                <c:pt idx="101">
                  <c:v>-7008.1326858299981</c:v>
                </c:pt>
                <c:pt idx="102">
                  <c:v>-6844.7389258299982</c:v>
                </c:pt>
                <c:pt idx="103">
                  <c:v>-6681.3951758299982</c:v>
                </c:pt>
                <c:pt idx="104">
                  <c:v>-6518.0514258299991</c:v>
                </c:pt>
                <c:pt idx="105">
                  <c:v>-6354.8076758300003</c:v>
                </c:pt>
                <c:pt idx="106">
                  <c:v>-6191.5639258299998</c:v>
                </c:pt>
                <c:pt idx="107">
                  <c:v>-6028.3201758299992</c:v>
                </c:pt>
                <c:pt idx="108">
                  <c:v>-5865.0764258300014</c:v>
                </c:pt>
                <c:pt idx="109">
                  <c:v>-5701.8326758299991</c:v>
                </c:pt>
                <c:pt idx="110">
                  <c:v>-5538.5889258299994</c:v>
                </c:pt>
                <c:pt idx="111">
                  <c:v>-5375.3451758299989</c:v>
                </c:pt>
                <c:pt idx="112">
                  <c:v>-5212.1014258299992</c:v>
                </c:pt>
                <c:pt idx="113">
                  <c:v>-5048.8576758300005</c:v>
                </c:pt>
                <c:pt idx="114">
                  <c:v>-4885.61392583</c:v>
                </c:pt>
                <c:pt idx="115">
                  <c:v>-4722.3701758299994</c:v>
                </c:pt>
                <c:pt idx="116">
                  <c:v>-4559.1264258299998</c:v>
                </c:pt>
                <c:pt idx="117">
                  <c:v>-4400.532675829998</c:v>
                </c:pt>
                <c:pt idx="118">
                  <c:v>-4241.9389258299998</c:v>
                </c:pt>
                <c:pt idx="119">
                  <c:v>-4083.9953358300013</c:v>
                </c:pt>
                <c:pt idx="120">
                  <c:v>-3926.0517458300005</c:v>
                </c:pt>
                <c:pt idx="121">
                  <c:v>-3768.1081558300007</c:v>
                </c:pt>
                <c:pt idx="122">
                  <c:v>-3610.1645658300008</c:v>
                </c:pt>
                <c:pt idx="123">
                  <c:v>-3452.2209758300014</c:v>
                </c:pt>
                <c:pt idx="124">
                  <c:v>-3294.2773858300015</c:v>
                </c:pt>
                <c:pt idx="125">
                  <c:v>-3136.3337958300012</c:v>
                </c:pt>
                <c:pt idx="126">
                  <c:v>-2978.3902058300014</c:v>
                </c:pt>
                <c:pt idx="127">
                  <c:v>-2827.046615830001</c:v>
                </c:pt>
                <c:pt idx="128">
                  <c:v>-2675.703025830001</c:v>
                </c:pt>
                <c:pt idx="129">
                  <c:v>-2524.3594358300011</c:v>
                </c:pt>
                <c:pt idx="130">
                  <c:v>-2373.0158458300007</c:v>
                </c:pt>
                <c:pt idx="131">
                  <c:v>-2221.6722558300012</c:v>
                </c:pt>
                <c:pt idx="132">
                  <c:v>-2070.6786458300007</c:v>
                </c:pt>
                <c:pt idx="133">
                  <c:v>-1919.8855958300001</c:v>
                </c:pt>
                <c:pt idx="134">
                  <c:v>-1769.0925458300003</c:v>
                </c:pt>
                <c:pt idx="135">
                  <c:v>-1618.5977558299999</c:v>
                </c:pt>
                <c:pt idx="136">
                  <c:v>-1468.1029658300001</c:v>
                </c:pt>
                <c:pt idx="137">
                  <c:v>-1317.7081758299998</c:v>
                </c:pt>
                <c:pt idx="138">
                  <c:v>-1169.16343583</c:v>
                </c:pt>
                <c:pt idx="139">
                  <c:v>-1020.6186958299999</c:v>
                </c:pt>
                <c:pt idx="140">
                  <c:v>-872.07395583000005</c:v>
                </c:pt>
                <c:pt idx="141">
                  <c:v>-723.77923582999995</c:v>
                </c:pt>
                <c:pt idx="142">
                  <c:v>-575.53451582999992</c:v>
                </c:pt>
                <c:pt idx="143">
                  <c:v>-427.28979583000012</c:v>
                </c:pt>
                <c:pt idx="144">
                  <c:v>-279.0450758300002</c:v>
                </c:pt>
                <c:pt idx="145">
                  <c:v>-131.1003558300001</c:v>
                </c:pt>
                <c:pt idx="146">
                  <c:v>5.6694241699999388</c:v>
                </c:pt>
                <c:pt idx="147">
                  <c:v>124.95542416999994</c:v>
                </c:pt>
                <c:pt idx="148">
                  <c:v>225.31316416999991</c:v>
                </c:pt>
                <c:pt idx="149">
                  <c:v>321.2099741699999</c:v>
                </c:pt>
                <c:pt idx="150">
                  <c:v>412.73697416999977</c:v>
                </c:pt>
                <c:pt idx="151">
                  <c:v>493.28841417000007</c:v>
                </c:pt>
                <c:pt idx="152">
                  <c:v>573.83985417000008</c:v>
                </c:pt>
                <c:pt idx="153">
                  <c:v>642.23600417000011</c:v>
                </c:pt>
                <c:pt idx="154">
                  <c:v>699.28760417000024</c:v>
                </c:pt>
                <c:pt idx="155">
                  <c:v>706.83677417000024</c:v>
                </c:pt>
                <c:pt idx="156">
                  <c:v>703.99656417000006</c:v>
                </c:pt>
                <c:pt idx="157">
                  <c:v>659.10928417000025</c:v>
                </c:pt>
                <c:pt idx="158">
                  <c:v>591.52520417000017</c:v>
                </c:pt>
                <c:pt idx="159">
                  <c:v>487.80381417000001</c:v>
                </c:pt>
                <c:pt idx="160">
                  <c:v>359.79742417000006</c:v>
                </c:pt>
                <c:pt idx="161">
                  <c:v>188.92154417000003</c:v>
                </c:pt>
                <c:pt idx="162">
                  <c:v>3.2208941700001246</c:v>
                </c:pt>
                <c:pt idx="163">
                  <c:v>-209.11991582999991</c:v>
                </c:pt>
                <c:pt idx="164">
                  <c:v>-421.46072582999994</c:v>
                </c:pt>
                <c:pt idx="165">
                  <c:v>-649.22053582999979</c:v>
                </c:pt>
                <c:pt idx="166">
                  <c:v>-879.40448582999977</c:v>
                </c:pt>
                <c:pt idx="167">
                  <c:v>-1123.4285158299997</c:v>
                </c:pt>
                <c:pt idx="168">
                  <c:v>-1367.4525458299997</c:v>
                </c:pt>
                <c:pt idx="169">
                  <c:v>-1614.9935358299999</c:v>
                </c:pt>
                <c:pt idx="170">
                  <c:v>-1862.5345258299997</c:v>
                </c:pt>
                <c:pt idx="171">
                  <c:v>-2110.1755158300002</c:v>
                </c:pt>
                <c:pt idx="172">
                  <c:v>-2357.8165058300006</c:v>
                </c:pt>
                <c:pt idx="173">
                  <c:v>-2605.45749583</c:v>
                </c:pt>
                <c:pt idx="174">
                  <c:v>-2853.0984858300003</c:v>
                </c:pt>
                <c:pt idx="175">
                  <c:v>-3100.7394758300002</c:v>
                </c:pt>
                <c:pt idx="176">
                  <c:v>-3348.38046583</c:v>
                </c:pt>
                <c:pt idx="177">
                  <c:v>-3596.0214558300004</c:v>
                </c:pt>
                <c:pt idx="178">
                  <c:v>-3843.6624458300007</c:v>
                </c:pt>
                <c:pt idx="179">
                  <c:v>-4096.9778358300009</c:v>
                </c:pt>
                <c:pt idx="180">
                  <c:v>-4350.2932258300007</c:v>
                </c:pt>
                <c:pt idx="181">
                  <c:v>-4603.7761758300012</c:v>
                </c:pt>
                <c:pt idx="182">
                  <c:v>-4857.2591258299999</c:v>
                </c:pt>
                <c:pt idx="183">
                  <c:v>-5126.4112858299995</c:v>
                </c:pt>
                <c:pt idx="184">
                  <c:v>-5395.5634458299992</c:v>
                </c:pt>
                <c:pt idx="185">
                  <c:v>-5682.515605829999</c:v>
                </c:pt>
                <c:pt idx="186">
                  <c:v>-5969.4677658299988</c:v>
                </c:pt>
                <c:pt idx="187">
                  <c:v>-6269.2199258299988</c:v>
                </c:pt>
                <c:pt idx="188">
                  <c:v>-6568.9720858300007</c:v>
                </c:pt>
                <c:pt idx="189">
                  <c:v>-6868.7242458300007</c:v>
                </c:pt>
                <c:pt idx="190">
                  <c:v>-7168.4764058299988</c:v>
                </c:pt>
                <c:pt idx="191">
                  <c:v>-7468.2285658299988</c:v>
                </c:pt>
                <c:pt idx="192">
                  <c:v>-7767.9807258299998</c:v>
                </c:pt>
                <c:pt idx="193">
                  <c:v>-8067.7328858299988</c:v>
                </c:pt>
                <c:pt idx="194">
                  <c:v>-8367.4850458299989</c:v>
                </c:pt>
                <c:pt idx="195">
                  <c:v>-8667.2872058299963</c:v>
                </c:pt>
                <c:pt idx="196">
                  <c:v>-8967.0893658299992</c:v>
                </c:pt>
                <c:pt idx="197">
                  <c:v>-9266.941525829996</c:v>
                </c:pt>
                <c:pt idx="198">
                  <c:v>-9566.7936858299963</c:v>
                </c:pt>
                <c:pt idx="199">
                  <c:v>-9866.8458458299956</c:v>
                </c:pt>
                <c:pt idx="200">
                  <c:v>-10166.898005829999</c:v>
                </c:pt>
                <c:pt idx="201">
                  <c:v>-10467.400165829997</c:v>
                </c:pt>
                <c:pt idx="202">
                  <c:v>-10767.902325829999</c:v>
                </c:pt>
                <c:pt idx="203">
                  <c:v>-11068.404485829999</c:v>
                </c:pt>
                <c:pt idx="204">
                  <c:v>-11368.906645829999</c:v>
                </c:pt>
                <c:pt idx="205">
                  <c:v>-11669.408805829997</c:v>
                </c:pt>
                <c:pt idx="206">
                  <c:v>-11969.91096583</c:v>
                </c:pt>
                <c:pt idx="207">
                  <c:v>-12270.413125829999</c:v>
                </c:pt>
                <c:pt idx="208">
                  <c:v>-12570.915285829997</c:v>
                </c:pt>
                <c:pt idx="209">
                  <c:v>-12871.417445829999</c:v>
                </c:pt>
                <c:pt idx="210">
                  <c:v>-13171.919605829999</c:v>
                </c:pt>
                <c:pt idx="211">
                  <c:v>-13472.421765829995</c:v>
                </c:pt>
                <c:pt idx="212">
                  <c:v>-13772.923925829997</c:v>
                </c:pt>
                <c:pt idx="213">
                  <c:v>-14073.426085829999</c:v>
                </c:pt>
                <c:pt idx="214">
                  <c:v>-14373.928245829999</c:v>
                </c:pt>
                <c:pt idx="215">
                  <c:v>-14674.430405829999</c:v>
                </c:pt>
                <c:pt idx="216">
                  <c:v>-14974.932565829997</c:v>
                </c:pt>
                <c:pt idx="217">
                  <c:v>-15275.434725829999</c:v>
                </c:pt>
                <c:pt idx="218">
                  <c:v>-15575.936885829997</c:v>
                </c:pt>
                <c:pt idx="219">
                  <c:v>-15876.439045829997</c:v>
                </c:pt>
                <c:pt idx="220">
                  <c:v>-16176.941205829995</c:v>
                </c:pt>
                <c:pt idx="221">
                  <c:v>-16477.443365829997</c:v>
                </c:pt>
                <c:pt idx="222">
                  <c:v>-16777.945525829997</c:v>
                </c:pt>
                <c:pt idx="223">
                  <c:v>-17078.44768583</c:v>
                </c:pt>
                <c:pt idx="224">
                  <c:v>-17378.949845829997</c:v>
                </c:pt>
                <c:pt idx="225">
                  <c:v>-17679.45200583</c:v>
                </c:pt>
                <c:pt idx="226">
                  <c:v>-17979.954165829997</c:v>
                </c:pt>
                <c:pt idx="227">
                  <c:v>-18280.456325829997</c:v>
                </c:pt>
                <c:pt idx="228">
                  <c:v>-18580.958485829997</c:v>
                </c:pt>
                <c:pt idx="229">
                  <c:v>-18881.460645829997</c:v>
                </c:pt>
                <c:pt idx="230">
                  <c:v>-19181.962805830004</c:v>
                </c:pt>
                <c:pt idx="231">
                  <c:v>-19482.464965829997</c:v>
                </c:pt>
                <c:pt idx="232">
                  <c:v>-19782.967125829993</c:v>
                </c:pt>
                <c:pt idx="233">
                  <c:v>-20083.469285830004</c:v>
                </c:pt>
                <c:pt idx="234">
                  <c:v>-20383.97144583</c:v>
                </c:pt>
                <c:pt idx="235">
                  <c:v>-20684.473605829997</c:v>
                </c:pt>
                <c:pt idx="236">
                  <c:v>-20984.975765829997</c:v>
                </c:pt>
                <c:pt idx="237">
                  <c:v>-21285.477925829997</c:v>
                </c:pt>
                <c:pt idx="238">
                  <c:v>-21585.980085830004</c:v>
                </c:pt>
                <c:pt idx="239">
                  <c:v>-21886.482245830008</c:v>
                </c:pt>
                <c:pt idx="240">
                  <c:v>-22186.984405829997</c:v>
                </c:pt>
                <c:pt idx="241">
                  <c:v>-22487.486565829997</c:v>
                </c:pt>
                <c:pt idx="242">
                  <c:v>-22787.988725830004</c:v>
                </c:pt>
                <c:pt idx="243">
                  <c:v>-23088.490885830004</c:v>
                </c:pt>
                <c:pt idx="244">
                  <c:v>-23388.993045829997</c:v>
                </c:pt>
                <c:pt idx="245">
                  <c:v>-23689.495205829997</c:v>
                </c:pt>
                <c:pt idx="246">
                  <c:v>-23989.997365830004</c:v>
                </c:pt>
                <c:pt idx="247">
                  <c:v>-24290.49952583</c:v>
                </c:pt>
                <c:pt idx="248">
                  <c:v>-24591.001685829997</c:v>
                </c:pt>
                <c:pt idx="249">
                  <c:v>-24891.503845829997</c:v>
                </c:pt>
                <c:pt idx="250">
                  <c:v>-25192.006005830001</c:v>
                </c:pt>
                <c:pt idx="251">
                  <c:v>-25492.508165830001</c:v>
                </c:pt>
                <c:pt idx="252">
                  <c:v>-25793.010325829993</c:v>
                </c:pt>
                <c:pt idx="253">
                  <c:v>-26093.512485830001</c:v>
                </c:pt>
                <c:pt idx="254">
                  <c:v>-26394.014645829997</c:v>
                </c:pt>
                <c:pt idx="255">
                  <c:v>-26694.516805830001</c:v>
                </c:pt>
                <c:pt idx="256">
                  <c:v>-26995.018965829997</c:v>
                </c:pt>
                <c:pt idx="257">
                  <c:v>-27295.521125829993</c:v>
                </c:pt>
                <c:pt idx="258">
                  <c:v>-27596.023285830008</c:v>
                </c:pt>
                <c:pt idx="259">
                  <c:v>-27896.525445830004</c:v>
                </c:pt>
                <c:pt idx="260">
                  <c:v>-28197.027605829997</c:v>
                </c:pt>
                <c:pt idx="261">
                  <c:v>-28497.529765829997</c:v>
                </c:pt>
                <c:pt idx="262">
                  <c:v>-28798.031925830001</c:v>
                </c:pt>
                <c:pt idx="263">
                  <c:v>-29098.534085830001</c:v>
                </c:pt>
                <c:pt idx="264">
                  <c:v>-29399.036245829997</c:v>
                </c:pt>
                <c:pt idx="265">
                  <c:v>-29699.538405829997</c:v>
                </c:pt>
                <c:pt idx="266">
                  <c:v>-30000.040565830004</c:v>
                </c:pt>
                <c:pt idx="267">
                  <c:v>-30300.542725830001</c:v>
                </c:pt>
                <c:pt idx="268">
                  <c:v>-30601.044885830004</c:v>
                </c:pt>
                <c:pt idx="269">
                  <c:v>-30901.547045830001</c:v>
                </c:pt>
                <c:pt idx="270">
                  <c:v>-31202.049205829993</c:v>
                </c:pt>
                <c:pt idx="271">
                  <c:v>-31502.551365830001</c:v>
                </c:pt>
                <c:pt idx="272">
                  <c:v>-31803.053525830001</c:v>
                </c:pt>
                <c:pt idx="273">
                  <c:v>-32103.555685829997</c:v>
                </c:pt>
                <c:pt idx="274">
                  <c:v>-32404.057845829993</c:v>
                </c:pt>
                <c:pt idx="275">
                  <c:v>-32704.560005830001</c:v>
                </c:pt>
                <c:pt idx="276">
                  <c:v>-33005.062165830001</c:v>
                </c:pt>
                <c:pt idx="277">
                  <c:v>-33305.564325829997</c:v>
                </c:pt>
                <c:pt idx="278">
                  <c:v>-33606.066485830008</c:v>
                </c:pt>
                <c:pt idx="279">
                  <c:v>-33906.568645830004</c:v>
                </c:pt>
                <c:pt idx="280">
                  <c:v>-34207.070805830008</c:v>
                </c:pt>
                <c:pt idx="281">
                  <c:v>-34507.572965830004</c:v>
                </c:pt>
                <c:pt idx="282">
                  <c:v>-34808.075125830001</c:v>
                </c:pt>
                <c:pt idx="283">
                  <c:v>-35108.577285830012</c:v>
                </c:pt>
                <c:pt idx="284">
                  <c:v>-35409.079445830008</c:v>
                </c:pt>
                <c:pt idx="285">
                  <c:v>-35709.581605830004</c:v>
                </c:pt>
                <c:pt idx="286">
                  <c:v>-36010.083765830001</c:v>
                </c:pt>
                <c:pt idx="287">
                  <c:v>-36310.585925830004</c:v>
                </c:pt>
                <c:pt idx="288">
                  <c:v>-36611.088085830008</c:v>
                </c:pt>
                <c:pt idx="289">
                  <c:v>-36911.590245830004</c:v>
                </c:pt>
                <c:pt idx="290">
                  <c:v>-37212.092405830008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0-4234-92D7-1C645750F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5890069378E-2"/>
              <c:y val="4.73031369266678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"/>
          <c:min val="-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7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/>
              <a:t>結算價損益試算</a:t>
            </a:r>
          </a:p>
        </c:rich>
      </c:tx>
      <c:layout>
        <c:manualLayout>
          <c:xMode val="edge"/>
          <c:yMode val="edge"/>
          <c:x val="0.39077162736873522"/>
          <c:y val="3.370572827551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70" baseline="0">
              <a:solidFill>
                <a:srgbClr val="0000FF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758510000352752E-2"/>
          <c:y val="0.13418649484609219"/>
          <c:w val="0.89230985219937209"/>
          <c:h val="0.83484305942778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商品損益圖!$O$5</c:f>
              <c:strCache>
                <c:ptCount val="1"/>
                <c:pt idx="0">
                  <c:v>價格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00FF"/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商品損益圖!$O$6:$O$38</c:f>
              <c:numCache>
                <c:formatCode>General</c:formatCode>
                <c:ptCount val="33"/>
                <c:pt idx="0">
                  <c:v>21500</c:v>
                </c:pt>
                <c:pt idx="1">
                  <c:v>21600</c:v>
                </c:pt>
                <c:pt idx="2">
                  <c:v>21700</c:v>
                </c:pt>
                <c:pt idx="3">
                  <c:v>21800</c:v>
                </c:pt>
                <c:pt idx="4">
                  <c:v>21900</c:v>
                </c:pt>
                <c:pt idx="5">
                  <c:v>22000</c:v>
                </c:pt>
                <c:pt idx="6">
                  <c:v>22100</c:v>
                </c:pt>
                <c:pt idx="7">
                  <c:v>22200</c:v>
                </c:pt>
                <c:pt idx="8">
                  <c:v>22300</c:v>
                </c:pt>
                <c:pt idx="9">
                  <c:v>22400</c:v>
                </c:pt>
                <c:pt idx="10">
                  <c:v>22500</c:v>
                </c:pt>
                <c:pt idx="11">
                  <c:v>22600</c:v>
                </c:pt>
                <c:pt idx="12">
                  <c:v>22700</c:v>
                </c:pt>
                <c:pt idx="13">
                  <c:v>22800</c:v>
                </c:pt>
                <c:pt idx="14">
                  <c:v>22900</c:v>
                </c:pt>
                <c:pt idx="15">
                  <c:v>23000</c:v>
                </c:pt>
                <c:pt idx="16">
                  <c:v>23100</c:v>
                </c:pt>
                <c:pt idx="17">
                  <c:v>23200</c:v>
                </c:pt>
                <c:pt idx="18">
                  <c:v>23300</c:v>
                </c:pt>
                <c:pt idx="19">
                  <c:v>23400</c:v>
                </c:pt>
                <c:pt idx="20">
                  <c:v>23500</c:v>
                </c:pt>
                <c:pt idx="21">
                  <c:v>23600</c:v>
                </c:pt>
                <c:pt idx="22">
                  <c:v>23700</c:v>
                </c:pt>
                <c:pt idx="23">
                  <c:v>23800</c:v>
                </c:pt>
                <c:pt idx="24">
                  <c:v>23900</c:v>
                </c:pt>
                <c:pt idx="25">
                  <c:v>24000</c:v>
                </c:pt>
                <c:pt idx="26">
                  <c:v>24100</c:v>
                </c:pt>
                <c:pt idx="27">
                  <c:v>24200</c:v>
                </c:pt>
                <c:pt idx="28">
                  <c:v>24300</c:v>
                </c:pt>
                <c:pt idx="29">
                  <c:v>24400</c:v>
                </c:pt>
                <c:pt idx="30">
                  <c:v>24500</c:v>
                </c:pt>
                <c:pt idx="31">
                  <c:v>24600</c:v>
                </c:pt>
                <c:pt idx="32">
                  <c:v>24700</c:v>
                </c:pt>
              </c:numCache>
            </c:numRef>
          </c:xVal>
          <c:yVal>
            <c:numRef>
              <c:f>商品損益圖!$P$6:$P$38</c:f>
              <c:numCache>
                <c:formatCode>General</c:formatCode>
                <c:ptCount val="33"/>
                <c:pt idx="0">
                  <c:v>-76675</c:v>
                </c:pt>
                <c:pt idx="1">
                  <c:v>-71675</c:v>
                </c:pt>
                <c:pt idx="2">
                  <c:v>-66675</c:v>
                </c:pt>
                <c:pt idx="3">
                  <c:v>-61675</c:v>
                </c:pt>
                <c:pt idx="4">
                  <c:v>-51675</c:v>
                </c:pt>
                <c:pt idx="5">
                  <c:v>-41675</c:v>
                </c:pt>
                <c:pt idx="6">
                  <c:v>-31675</c:v>
                </c:pt>
                <c:pt idx="7">
                  <c:v>-21675</c:v>
                </c:pt>
                <c:pt idx="8">
                  <c:v>-11675</c:v>
                </c:pt>
                <c:pt idx="9">
                  <c:v>-1675</c:v>
                </c:pt>
                <c:pt idx="10">
                  <c:v>8325</c:v>
                </c:pt>
                <c:pt idx="11">
                  <c:v>18325</c:v>
                </c:pt>
                <c:pt idx="12">
                  <c:v>13325</c:v>
                </c:pt>
                <c:pt idx="13">
                  <c:v>8325</c:v>
                </c:pt>
                <c:pt idx="14">
                  <c:v>3325</c:v>
                </c:pt>
                <c:pt idx="15">
                  <c:v>3325</c:v>
                </c:pt>
                <c:pt idx="16">
                  <c:v>3325</c:v>
                </c:pt>
                <c:pt idx="17">
                  <c:v>3325</c:v>
                </c:pt>
                <c:pt idx="18">
                  <c:v>3325</c:v>
                </c:pt>
                <c:pt idx="19">
                  <c:v>3325</c:v>
                </c:pt>
                <c:pt idx="20">
                  <c:v>3325</c:v>
                </c:pt>
                <c:pt idx="21">
                  <c:v>3325</c:v>
                </c:pt>
                <c:pt idx="22">
                  <c:v>3325</c:v>
                </c:pt>
                <c:pt idx="23">
                  <c:v>8325</c:v>
                </c:pt>
                <c:pt idx="24">
                  <c:v>13325</c:v>
                </c:pt>
                <c:pt idx="25">
                  <c:v>18325</c:v>
                </c:pt>
                <c:pt idx="26">
                  <c:v>3325</c:v>
                </c:pt>
                <c:pt idx="27">
                  <c:v>-11675</c:v>
                </c:pt>
                <c:pt idx="28">
                  <c:v>-26675</c:v>
                </c:pt>
                <c:pt idx="29">
                  <c:v>-41675</c:v>
                </c:pt>
                <c:pt idx="30">
                  <c:v>-56675</c:v>
                </c:pt>
                <c:pt idx="31">
                  <c:v>-71675</c:v>
                </c:pt>
                <c:pt idx="32">
                  <c:v>-86675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D-414D-902A-82275AA1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6543"/>
        <c:axId val="158996943"/>
      </c:scatterChart>
      <c:valAx>
        <c:axId val="15900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8996943"/>
        <c:crosses val="autoZero"/>
        <c:crossBetween val="midCat"/>
      </c:valAx>
      <c:valAx>
        <c:axId val="1589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9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rgbClr val="6699FF"/>
      </a:solidFill>
      <a:round/>
    </a:ln>
    <a:effectLst/>
  </c:spPr>
  <c:txPr>
    <a:bodyPr/>
    <a:lstStyle/>
    <a:p>
      <a:pPr>
        <a:defRPr b="1">
          <a:solidFill>
            <a:srgbClr val="0000FF"/>
          </a:solidFill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7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/>
              <a:t>結算價損益試算</a:t>
            </a:r>
          </a:p>
        </c:rich>
      </c:tx>
      <c:layout>
        <c:manualLayout>
          <c:xMode val="edge"/>
          <c:yMode val="edge"/>
          <c:x val="0.39077162736873522"/>
          <c:y val="3.370572827551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70" baseline="0">
              <a:solidFill>
                <a:srgbClr val="0000FF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758510000352752E-2"/>
          <c:y val="0.13418649484609219"/>
          <c:w val="0.89230985219937209"/>
          <c:h val="0.83484305942778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結算價確認!$P$5</c:f>
              <c:strCache>
                <c:ptCount val="1"/>
                <c:pt idx="0">
                  <c:v>損益
金額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結算價確認!$O$6:$O$106</c:f>
              <c:numCache>
                <c:formatCode>General</c:formatCode>
                <c:ptCount val="101"/>
                <c:pt idx="0">
                  <c:v>20000</c:v>
                </c:pt>
                <c:pt idx="1">
                  <c:v>20050</c:v>
                </c:pt>
                <c:pt idx="2">
                  <c:v>20100</c:v>
                </c:pt>
                <c:pt idx="3">
                  <c:v>20150</c:v>
                </c:pt>
                <c:pt idx="4">
                  <c:v>20200</c:v>
                </c:pt>
                <c:pt idx="5">
                  <c:v>20250</c:v>
                </c:pt>
                <c:pt idx="6">
                  <c:v>20300</c:v>
                </c:pt>
                <c:pt idx="7">
                  <c:v>20350</c:v>
                </c:pt>
                <c:pt idx="8">
                  <c:v>20400</c:v>
                </c:pt>
                <c:pt idx="9">
                  <c:v>20450</c:v>
                </c:pt>
                <c:pt idx="10">
                  <c:v>20500</c:v>
                </c:pt>
                <c:pt idx="11">
                  <c:v>20550</c:v>
                </c:pt>
                <c:pt idx="12">
                  <c:v>20600</c:v>
                </c:pt>
                <c:pt idx="13">
                  <c:v>20650</c:v>
                </c:pt>
                <c:pt idx="14">
                  <c:v>20700</c:v>
                </c:pt>
                <c:pt idx="15">
                  <c:v>20750</c:v>
                </c:pt>
                <c:pt idx="16">
                  <c:v>20800</c:v>
                </c:pt>
                <c:pt idx="17">
                  <c:v>20850</c:v>
                </c:pt>
                <c:pt idx="18">
                  <c:v>20900</c:v>
                </c:pt>
                <c:pt idx="19">
                  <c:v>20950</c:v>
                </c:pt>
                <c:pt idx="20">
                  <c:v>21000</c:v>
                </c:pt>
                <c:pt idx="21">
                  <c:v>21050</c:v>
                </c:pt>
                <c:pt idx="22">
                  <c:v>21100</c:v>
                </c:pt>
                <c:pt idx="23">
                  <c:v>21150</c:v>
                </c:pt>
                <c:pt idx="24">
                  <c:v>21200</c:v>
                </c:pt>
                <c:pt idx="25">
                  <c:v>21250</c:v>
                </c:pt>
                <c:pt idx="26">
                  <c:v>21300</c:v>
                </c:pt>
                <c:pt idx="27">
                  <c:v>21350</c:v>
                </c:pt>
                <c:pt idx="28">
                  <c:v>21400</c:v>
                </c:pt>
                <c:pt idx="29">
                  <c:v>21450</c:v>
                </c:pt>
                <c:pt idx="30">
                  <c:v>21500</c:v>
                </c:pt>
                <c:pt idx="31">
                  <c:v>21550</c:v>
                </c:pt>
                <c:pt idx="32">
                  <c:v>21600</c:v>
                </c:pt>
                <c:pt idx="33">
                  <c:v>21650</c:v>
                </c:pt>
                <c:pt idx="34">
                  <c:v>21700</c:v>
                </c:pt>
                <c:pt idx="35">
                  <c:v>21750</c:v>
                </c:pt>
                <c:pt idx="36">
                  <c:v>21800</c:v>
                </c:pt>
                <c:pt idx="37">
                  <c:v>21850</c:v>
                </c:pt>
                <c:pt idx="38">
                  <c:v>21900</c:v>
                </c:pt>
                <c:pt idx="39">
                  <c:v>21950</c:v>
                </c:pt>
                <c:pt idx="40">
                  <c:v>22000</c:v>
                </c:pt>
                <c:pt idx="41">
                  <c:v>22050</c:v>
                </c:pt>
                <c:pt idx="42">
                  <c:v>22100</c:v>
                </c:pt>
                <c:pt idx="43">
                  <c:v>22150</c:v>
                </c:pt>
                <c:pt idx="44">
                  <c:v>22200</c:v>
                </c:pt>
                <c:pt idx="45">
                  <c:v>22250</c:v>
                </c:pt>
                <c:pt idx="46">
                  <c:v>22300</c:v>
                </c:pt>
                <c:pt idx="47">
                  <c:v>22350</c:v>
                </c:pt>
                <c:pt idx="48">
                  <c:v>22400</c:v>
                </c:pt>
                <c:pt idx="49">
                  <c:v>22450</c:v>
                </c:pt>
                <c:pt idx="50">
                  <c:v>22500</c:v>
                </c:pt>
                <c:pt idx="51">
                  <c:v>22550</c:v>
                </c:pt>
                <c:pt idx="52">
                  <c:v>22600</c:v>
                </c:pt>
                <c:pt idx="53">
                  <c:v>22650</c:v>
                </c:pt>
                <c:pt idx="54">
                  <c:v>22700</c:v>
                </c:pt>
                <c:pt idx="55">
                  <c:v>22750</c:v>
                </c:pt>
                <c:pt idx="56">
                  <c:v>22800</c:v>
                </c:pt>
                <c:pt idx="57">
                  <c:v>22850</c:v>
                </c:pt>
                <c:pt idx="58">
                  <c:v>22900</c:v>
                </c:pt>
                <c:pt idx="59">
                  <c:v>22950</c:v>
                </c:pt>
                <c:pt idx="60">
                  <c:v>23000</c:v>
                </c:pt>
                <c:pt idx="61">
                  <c:v>23050</c:v>
                </c:pt>
                <c:pt idx="62">
                  <c:v>23100</c:v>
                </c:pt>
                <c:pt idx="63">
                  <c:v>23150</c:v>
                </c:pt>
                <c:pt idx="64">
                  <c:v>23200</c:v>
                </c:pt>
                <c:pt idx="65">
                  <c:v>23250</c:v>
                </c:pt>
                <c:pt idx="66">
                  <c:v>23300</c:v>
                </c:pt>
                <c:pt idx="67">
                  <c:v>23350</c:v>
                </c:pt>
                <c:pt idx="68">
                  <c:v>23400</c:v>
                </c:pt>
                <c:pt idx="69">
                  <c:v>23450</c:v>
                </c:pt>
                <c:pt idx="70">
                  <c:v>23500</c:v>
                </c:pt>
                <c:pt idx="71">
                  <c:v>23550</c:v>
                </c:pt>
                <c:pt idx="72">
                  <c:v>23600</c:v>
                </c:pt>
                <c:pt idx="73">
                  <c:v>23650</c:v>
                </c:pt>
                <c:pt idx="74">
                  <c:v>23700</c:v>
                </c:pt>
                <c:pt idx="75">
                  <c:v>23750</c:v>
                </c:pt>
                <c:pt idx="76">
                  <c:v>23800</c:v>
                </c:pt>
                <c:pt idx="77">
                  <c:v>23850</c:v>
                </c:pt>
                <c:pt idx="78">
                  <c:v>23900</c:v>
                </c:pt>
                <c:pt idx="79">
                  <c:v>23950</c:v>
                </c:pt>
                <c:pt idx="80">
                  <c:v>24000</c:v>
                </c:pt>
                <c:pt idx="81">
                  <c:v>24050</c:v>
                </c:pt>
                <c:pt idx="82">
                  <c:v>24100</c:v>
                </c:pt>
                <c:pt idx="83">
                  <c:v>24150</c:v>
                </c:pt>
                <c:pt idx="84">
                  <c:v>24200</c:v>
                </c:pt>
                <c:pt idx="85">
                  <c:v>24250</c:v>
                </c:pt>
                <c:pt idx="86">
                  <c:v>24300</c:v>
                </c:pt>
                <c:pt idx="87">
                  <c:v>24350</c:v>
                </c:pt>
                <c:pt idx="88">
                  <c:v>24400</c:v>
                </c:pt>
                <c:pt idx="89">
                  <c:v>24450</c:v>
                </c:pt>
                <c:pt idx="90">
                  <c:v>24500</c:v>
                </c:pt>
                <c:pt idx="91">
                  <c:v>24550</c:v>
                </c:pt>
                <c:pt idx="92">
                  <c:v>24600</c:v>
                </c:pt>
                <c:pt idx="93">
                  <c:v>24650</c:v>
                </c:pt>
                <c:pt idx="94">
                  <c:v>24700</c:v>
                </c:pt>
                <c:pt idx="95">
                  <c:v>24750</c:v>
                </c:pt>
                <c:pt idx="96">
                  <c:v>24800</c:v>
                </c:pt>
                <c:pt idx="97">
                  <c:v>24850</c:v>
                </c:pt>
                <c:pt idx="98">
                  <c:v>24900</c:v>
                </c:pt>
                <c:pt idx="99">
                  <c:v>24950</c:v>
                </c:pt>
                <c:pt idx="100">
                  <c:v>25000</c:v>
                </c:pt>
              </c:numCache>
            </c:numRef>
          </c:xVal>
          <c:yVal>
            <c:numRef>
              <c:f>結算價確認!$P$6:$P$106</c:f>
              <c:numCache>
                <c:formatCode>General</c:formatCode>
                <c:ptCount val="101"/>
                <c:pt idx="0">
                  <c:v>-226675</c:v>
                </c:pt>
                <c:pt idx="1">
                  <c:v>-221675</c:v>
                </c:pt>
                <c:pt idx="2">
                  <c:v>-216675</c:v>
                </c:pt>
                <c:pt idx="3">
                  <c:v>-211675</c:v>
                </c:pt>
                <c:pt idx="4">
                  <c:v>-206675</c:v>
                </c:pt>
                <c:pt idx="5">
                  <c:v>-201675</c:v>
                </c:pt>
                <c:pt idx="6">
                  <c:v>-196675</c:v>
                </c:pt>
                <c:pt idx="7">
                  <c:v>-191675</c:v>
                </c:pt>
                <c:pt idx="8">
                  <c:v>-186675</c:v>
                </c:pt>
                <c:pt idx="9">
                  <c:v>-181675</c:v>
                </c:pt>
                <c:pt idx="10">
                  <c:v>-176675</c:v>
                </c:pt>
                <c:pt idx="11">
                  <c:v>-171675</c:v>
                </c:pt>
                <c:pt idx="12">
                  <c:v>-166675</c:v>
                </c:pt>
                <c:pt idx="13">
                  <c:v>-161675</c:v>
                </c:pt>
                <c:pt idx="14">
                  <c:v>-156675</c:v>
                </c:pt>
                <c:pt idx="15">
                  <c:v>-151675</c:v>
                </c:pt>
                <c:pt idx="16">
                  <c:v>-146675</c:v>
                </c:pt>
                <c:pt idx="17">
                  <c:v>-141675</c:v>
                </c:pt>
                <c:pt idx="18">
                  <c:v>-136675</c:v>
                </c:pt>
                <c:pt idx="19">
                  <c:v>-131675</c:v>
                </c:pt>
                <c:pt idx="20">
                  <c:v>-126675</c:v>
                </c:pt>
                <c:pt idx="21">
                  <c:v>-121675</c:v>
                </c:pt>
                <c:pt idx="22">
                  <c:v>-116675</c:v>
                </c:pt>
                <c:pt idx="23">
                  <c:v>-111675</c:v>
                </c:pt>
                <c:pt idx="24">
                  <c:v>-106675</c:v>
                </c:pt>
                <c:pt idx="25">
                  <c:v>-101675</c:v>
                </c:pt>
                <c:pt idx="26">
                  <c:v>-96675</c:v>
                </c:pt>
                <c:pt idx="27">
                  <c:v>-91675</c:v>
                </c:pt>
                <c:pt idx="28">
                  <c:v>-86675</c:v>
                </c:pt>
                <c:pt idx="29">
                  <c:v>-81675</c:v>
                </c:pt>
                <c:pt idx="30">
                  <c:v>-76675</c:v>
                </c:pt>
                <c:pt idx="31">
                  <c:v>-74175</c:v>
                </c:pt>
                <c:pt idx="32">
                  <c:v>-71675</c:v>
                </c:pt>
                <c:pt idx="33">
                  <c:v>-69175</c:v>
                </c:pt>
                <c:pt idx="34">
                  <c:v>-66675</c:v>
                </c:pt>
                <c:pt idx="35">
                  <c:v>-64175</c:v>
                </c:pt>
                <c:pt idx="36">
                  <c:v>-61675</c:v>
                </c:pt>
                <c:pt idx="37">
                  <c:v>-56675</c:v>
                </c:pt>
                <c:pt idx="38">
                  <c:v>-51675</c:v>
                </c:pt>
                <c:pt idx="39">
                  <c:v>-46675</c:v>
                </c:pt>
                <c:pt idx="40">
                  <c:v>-41675</c:v>
                </c:pt>
                <c:pt idx="41">
                  <c:v>-36675</c:v>
                </c:pt>
                <c:pt idx="42">
                  <c:v>-31675</c:v>
                </c:pt>
                <c:pt idx="43">
                  <c:v>-26675</c:v>
                </c:pt>
                <c:pt idx="44">
                  <c:v>-21675</c:v>
                </c:pt>
                <c:pt idx="45">
                  <c:v>-16675</c:v>
                </c:pt>
                <c:pt idx="46">
                  <c:v>-11675</c:v>
                </c:pt>
                <c:pt idx="47">
                  <c:v>-6675</c:v>
                </c:pt>
                <c:pt idx="48">
                  <c:v>-1675</c:v>
                </c:pt>
                <c:pt idx="49">
                  <c:v>3325</c:v>
                </c:pt>
                <c:pt idx="50">
                  <c:v>8325</c:v>
                </c:pt>
                <c:pt idx="51">
                  <c:v>13325</c:v>
                </c:pt>
                <c:pt idx="52">
                  <c:v>18325</c:v>
                </c:pt>
                <c:pt idx="53">
                  <c:v>15825</c:v>
                </c:pt>
                <c:pt idx="54">
                  <c:v>13325</c:v>
                </c:pt>
                <c:pt idx="55">
                  <c:v>10825</c:v>
                </c:pt>
                <c:pt idx="56">
                  <c:v>8325</c:v>
                </c:pt>
                <c:pt idx="57">
                  <c:v>5825</c:v>
                </c:pt>
                <c:pt idx="58">
                  <c:v>3325</c:v>
                </c:pt>
                <c:pt idx="59">
                  <c:v>3325</c:v>
                </c:pt>
                <c:pt idx="60">
                  <c:v>3325</c:v>
                </c:pt>
                <c:pt idx="61">
                  <c:v>3325</c:v>
                </c:pt>
                <c:pt idx="62">
                  <c:v>3325</c:v>
                </c:pt>
                <c:pt idx="63">
                  <c:v>3325</c:v>
                </c:pt>
                <c:pt idx="64">
                  <c:v>3325</c:v>
                </c:pt>
                <c:pt idx="65">
                  <c:v>3325</c:v>
                </c:pt>
                <c:pt idx="66">
                  <c:v>3325</c:v>
                </c:pt>
                <c:pt idx="67">
                  <c:v>3325</c:v>
                </c:pt>
                <c:pt idx="68">
                  <c:v>3325</c:v>
                </c:pt>
                <c:pt idx="69">
                  <c:v>3325</c:v>
                </c:pt>
                <c:pt idx="70">
                  <c:v>3325</c:v>
                </c:pt>
                <c:pt idx="71">
                  <c:v>3325</c:v>
                </c:pt>
                <c:pt idx="72">
                  <c:v>3325</c:v>
                </c:pt>
                <c:pt idx="73">
                  <c:v>3325</c:v>
                </c:pt>
                <c:pt idx="74">
                  <c:v>3325</c:v>
                </c:pt>
                <c:pt idx="75">
                  <c:v>5825</c:v>
                </c:pt>
                <c:pt idx="76">
                  <c:v>8325</c:v>
                </c:pt>
                <c:pt idx="77">
                  <c:v>10825</c:v>
                </c:pt>
                <c:pt idx="78">
                  <c:v>13325</c:v>
                </c:pt>
                <c:pt idx="79">
                  <c:v>15825</c:v>
                </c:pt>
                <c:pt idx="80">
                  <c:v>18325</c:v>
                </c:pt>
                <c:pt idx="81">
                  <c:v>10825</c:v>
                </c:pt>
                <c:pt idx="82">
                  <c:v>3325</c:v>
                </c:pt>
                <c:pt idx="83">
                  <c:v>-4175</c:v>
                </c:pt>
                <c:pt idx="84">
                  <c:v>-11675</c:v>
                </c:pt>
                <c:pt idx="85">
                  <c:v>-19175</c:v>
                </c:pt>
                <c:pt idx="86">
                  <c:v>-26675</c:v>
                </c:pt>
                <c:pt idx="87">
                  <c:v>-34175</c:v>
                </c:pt>
                <c:pt idx="88">
                  <c:v>-41675</c:v>
                </c:pt>
                <c:pt idx="89">
                  <c:v>-49175</c:v>
                </c:pt>
                <c:pt idx="90">
                  <c:v>-56675</c:v>
                </c:pt>
                <c:pt idx="91">
                  <c:v>-64175</c:v>
                </c:pt>
                <c:pt idx="92">
                  <c:v>-71675</c:v>
                </c:pt>
                <c:pt idx="93">
                  <c:v>-79175</c:v>
                </c:pt>
                <c:pt idx="94">
                  <c:v>-86675</c:v>
                </c:pt>
                <c:pt idx="95">
                  <c:v>-94175</c:v>
                </c:pt>
                <c:pt idx="96">
                  <c:v>-101675</c:v>
                </c:pt>
                <c:pt idx="97">
                  <c:v>-109175</c:v>
                </c:pt>
                <c:pt idx="98">
                  <c:v>-116675</c:v>
                </c:pt>
                <c:pt idx="99">
                  <c:v>-124175</c:v>
                </c:pt>
                <c:pt idx="100">
                  <c:v>-131675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C-4C26-B3C6-219AC4DD6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6543"/>
        <c:axId val="158996943"/>
      </c:scatterChart>
      <c:valAx>
        <c:axId val="159006543"/>
        <c:scaling>
          <c:orientation val="minMax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8996943"/>
        <c:crosses val="autoZero"/>
        <c:crossBetween val="midCat"/>
      </c:valAx>
      <c:valAx>
        <c:axId val="1589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9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rgbClr val="6699FF"/>
      </a:solidFill>
      <a:round/>
    </a:ln>
    <a:effectLst/>
  </c:spPr>
  <c:txPr>
    <a:bodyPr/>
    <a:lstStyle/>
    <a:p>
      <a:pPr>
        <a:defRPr b="1">
          <a:solidFill>
            <a:srgbClr val="0000FF"/>
          </a:solidFill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權利金變化!$AD$1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權利金變化!$AA$2:$AA$10002</c:f>
              <c:strCache>
                <c:ptCount val="14"/>
                <c:pt idx="0">
                  <c:v>時間</c:v>
                </c:pt>
                <c:pt idx="1">
                  <c:v>2025/7/21 00:59</c:v>
                </c:pt>
                <c:pt idx="2">
                  <c:v>2025/7/21 01:00</c:v>
                </c:pt>
                <c:pt idx="3">
                  <c:v>2025/7/21 01:01</c:v>
                </c:pt>
                <c:pt idx="4">
                  <c:v>2025/7/21 01:02</c:v>
                </c:pt>
                <c:pt idx="5">
                  <c:v>2025/7/21 01:03</c:v>
                </c:pt>
                <c:pt idx="6">
                  <c:v>2025/7/21 01:04</c:v>
                </c:pt>
                <c:pt idx="7">
                  <c:v>2025/7/21 01:05</c:v>
                </c:pt>
                <c:pt idx="8">
                  <c:v>2025/7/21 01:06</c:v>
                </c:pt>
                <c:pt idx="9">
                  <c:v>2025/7/21 01:07</c:v>
                </c:pt>
                <c:pt idx="10">
                  <c:v>2025/7/21 01:08</c:v>
                </c:pt>
                <c:pt idx="11">
                  <c:v>2025/7/21 01:10</c:v>
                </c:pt>
                <c:pt idx="12">
                  <c:v>2025/7/21 01:11</c:v>
                </c:pt>
                <c:pt idx="13">
                  <c:v>2025/7/21 01:12</c:v>
                </c:pt>
              </c:strCache>
            </c:strRef>
          </c:cat>
          <c:val>
            <c:numRef>
              <c:f>權利金變化!$AD$2:$AD$10002</c:f>
              <c:numCache>
                <c:formatCode>General</c:formatCode>
                <c:ptCount val="10001"/>
                <c:pt idx="0">
                  <c:v>0</c:v>
                </c:pt>
                <c:pt idx="1">
                  <c:v>384.12</c:v>
                </c:pt>
                <c:pt idx="2">
                  <c:v>384.12</c:v>
                </c:pt>
                <c:pt idx="3">
                  <c:v>384.12</c:v>
                </c:pt>
                <c:pt idx="4">
                  <c:v>384.12</c:v>
                </c:pt>
                <c:pt idx="5">
                  <c:v>384.12</c:v>
                </c:pt>
                <c:pt idx="6">
                  <c:v>384.12</c:v>
                </c:pt>
                <c:pt idx="7">
                  <c:v>384.12</c:v>
                </c:pt>
                <c:pt idx="8">
                  <c:v>384.12</c:v>
                </c:pt>
                <c:pt idx="9">
                  <c:v>384.12</c:v>
                </c:pt>
                <c:pt idx="10">
                  <c:v>384.12</c:v>
                </c:pt>
                <c:pt idx="11">
                  <c:v>384.12</c:v>
                </c:pt>
                <c:pt idx="12">
                  <c:v>384.12</c:v>
                </c:pt>
                <c:pt idx="13">
                  <c:v>384.12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5-4668-A2FA-D1FE9B6DD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033408"/>
        <c:axId val="1162029568"/>
      </c:lineChart>
      <c:catAx>
        <c:axId val="11620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62029568"/>
        <c:crosses val="autoZero"/>
        <c:auto val="1"/>
        <c:lblAlgn val="ctr"/>
        <c:lblOffset val="100"/>
        <c:noMultiLvlLbl val="0"/>
      </c:catAx>
      <c:valAx>
        <c:axId val="11620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620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</xdr:colOff>
      <xdr:row>0</xdr:row>
      <xdr:rowOff>115455</xdr:rowOff>
    </xdr:from>
    <xdr:to>
      <xdr:col>20</xdr:col>
      <xdr:colOff>490903</xdr:colOff>
      <xdr:row>14</xdr:row>
      <xdr:rowOff>119083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53A05AB2-690B-4B51-98E8-89EC01E22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39687</xdr:colOff>
      <xdr:row>15</xdr:row>
      <xdr:rowOff>25315</xdr:rowOff>
    </xdr:from>
    <xdr:to>
      <xdr:col>20</xdr:col>
      <xdr:colOff>490903</xdr:colOff>
      <xdr:row>30</xdr:row>
      <xdr:rowOff>32120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C42B963-9D76-4C39-BE0E-1649E5983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39688</xdr:colOff>
      <xdr:row>30</xdr:row>
      <xdr:rowOff>150834</xdr:rowOff>
    </xdr:from>
    <xdr:to>
      <xdr:col>20</xdr:col>
      <xdr:colOff>486631</xdr:colOff>
      <xdr:row>45</xdr:row>
      <xdr:rowOff>157638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BEADBD54-2643-441D-8282-162D0BEF1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1</xdr:row>
          <xdr:rowOff>76200</xdr:rowOff>
        </xdr:from>
        <xdr:to>
          <xdr:col>21</xdr:col>
          <xdr:colOff>1247775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損益圖更新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</xdr:colOff>
      <xdr:row>0</xdr:row>
      <xdr:rowOff>115455</xdr:rowOff>
    </xdr:from>
    <xdr:to>
      <xdr:col>20</xdr:col>
      <xdr:colOff>490903</xdr:colOff>
      <xdr:row>14</xdr:row>
      <xdr:rowOff>119083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828BB8D-6B36-4C84-B127-97E774220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39687</xdr:colOff>
      <xdr:row>15</xdr:row>
      <xdr:rowOff>25315</xdr:rowOff>
    </xdr:from>
    <xdr:to>
      <xdr:col>20</xdr:col>
      <xdr:colOff>490903</xdr:colOff>
      <xdr:row>30</xdr:row>
      <xdr:rowOff>32120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670BEA9E-39DD-4199-BA93-78A301CFE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39688</xdr:colOff>
      <xdr:row>30</xdr:row>
      <xdr:rowOff>150834</xdr:rowOff>
    </xdr:from>
    <xdr:to>
      <xdr:col>20</xdr:col>
      <xdr:colOff>486631</xdr:colOff>
      <xdr:row>45</xdr:row>
      <xdr:rowOff>157638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25CB703-47ED-481E-8F9E-5855AA2F9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1</xdr:row>
          <xdr:rowOff>76200</xdr:rowOff>
        </xdr:from>
        <xdr:to>
          <xdr:col>21</xdr:col>
          <xdr:colOff>1247775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損益圖更新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6498</xdr:colOff>
      <xdr:row>3</xdr:row>
      <xdr:rowOff>0</xdr:rowOff>
    </xdr:from>
    <xdr:to>
      <xdr:col>14</xdr:col>
      <xdr:colOff>6350</xdr:colOff>
      <xdr:row>20</xdr:row>
      <xdr:rowOff>5953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BC4488B7-DBFD-20EF-0EBE-1C7CDAB2E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6498</xdr:colOff>
      <xdr:row>3</xdr:row>
      <xdr:rowOff>0</xdr:rowOff>
    </xdr:from>
    <xdr:to>
      <xdr:col>14</xdr:col>
      <xdr:colOff>6350</xdr:colOff>
      <xdr:row>20</xdr:row>
      <xdr:rowOff>5953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78F1B71-613E-4CEF-97A5-3C996E748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232172</xdr:colOff>
      <xdr:row>8</xdr:row>
      <xdr:rowOff>36311</xdr:rowOff>
    </xdr:from>
    <xdr:to>
      <xdr:col>33</xdr:col>
      <xdr:colOff>410766</xdr:colOff>
      <xdr:row>23</xdr:row>
      <xdr:rowOff>89297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F4678A45-6E7B-7879-6097-E3F6768AE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XQFAP" ddeTopic="Quote">
    <ddeItems>
      <ddeItem name="FITXN*1.TF-ID,Name,price" advise="1">
        <values cols="3">
          <value t="str">
            <val>FITXN*1</val>
          </value>
          <value t="str">
            <val>台股指數近月</val>
          </value>
          <value>
            <val>23191</val>
          </value>
        </values>
      </ddeItem>
      <ddeItem name="FITXN08.TF-ID,Name,price" advise="1">
        <values cols="3">
          <value t="str">
            <val>FITXN08</val>
          </value>
          <value t="str">
            <val>台股指數085</val>
          </value>
          <value>
            <val>23191</val>
          </value>
        </values>
      </ddeItem>
      <ddeItem name="StdDocumentName" ole="1" advise="1"/>
      <ddeItem name="TSE.TW-ID,Name,price" advise="1">
        <values cols="3">
          <value t="str">
            <val>TSE</val>
          </value>
          <value t="str">
            <val>加權指數</val>
          </value>
          <value>
            <val>23383.13</val>
          </value>
        </values>
      </ddeItem>
      <ddeItem name="TSE.TW-price" advise="1">
        <values>
          <value>
            <val>23383.13</val>
          </value>
        </values>
      </ddeItem>
      <ddeItem name="TX4N07C15500.TF-ID,Name,Price,TotalVolume,InOutRatio" advise="1"/>
      <ddeItem name="TX4N07C15550.TF-ID,Name,Price,TotalVolume,InOutRatio" advise="1"/>
      <ddeItem name="TX4N07C15600.TF-ID,Name,Price,TotalVolume,InOutRatio" advise="1"/>
      <ddeItem name="TX4N07C15650.TF-ID,Name,Price,TotalVolume,InOutRatio" advise="1"/>
      <ddeItem name="TX4N07C15700.TF-ID,Name,Price,TotalVolume,InOutRatio" advise="1"/>
      <ddeItem name="TX4N07C15750.TF-ID,Name,Price,TotalVolume,InOutRatio" advise="1"/>
      <ddeItem name="TX4N07C15800.TF-ID,Name,Price,TotalVolume,InOutRatio" advise="1"/>
      <ddeItem name="TX4N07C15850.TF-ID,Name,Price,TotalVolume,InOutRatio" advise="1"/>
      <ddeItem name="TX4N07C15900.TF-ID,Name,Price,TotalVolume,InOutRatio" advise="1"/>
      <ddeItem name="TX4N07C15950.TF-ID,Name,Price,TotalVolume,InOutRatio" advise="1"/>
      <ddeItem name="TX4N07C16000.TF-ID,Name,Price,TotalVolume,InOutRatio" advise="1"/>
      <ddeItem name="TX4N07C16050.TF-ID,Name,Price,TotalVolume,InOutRatio" advise="1"/>
      <ddeItem name="TX4N07C16100.TF-ID,Name,Price,TotalVolume,InOutRatio" advise="1"/>
      <ddeItem name="TX4N07C16150.TF-ID,Name,Price,TotalVolume,InOutRatio" advise="1"/>
      <ddeItem name="TX4N07C16200.TF-ID,Name,Price,TotalVolume,InOutRatio" advise="1"/>
      <ddeItem name="TX4N07C16250.TF-ID,Name,Price,TotalVolume,InOutRatio" advise="1"/>
      <ddeItem name="TX4N07C16300.TF-ID,Name,Price,TotalVolume,InOutRatio" advise="1"/>
      <ddeItem name="TX4N07C16350.TF-ID,Name,Price,TotalVolume,InOutRatio" advise="1"/>
      <ddeItem name="TX4N07C16400.TF-ID,Name,Price,TotalVolume,InOutRatio" advise="1"/>
      <ddeItem name="TX4N07C16450.TF-ID,Name,Price,TotalVolume,InOutRatio" advise="1"/>
      <ddeItem name="TX4N07C16500.TF-ID,Name,Price,TotalVolume,InOutRatio" advise="1"/>
      <ddeItem name="TX4N07C16550.TF-ID,Name,Price,TotalVolume,InOutRatio" advise="1"/>
      <ddeItem name="TX4N07C16600.TF-ID,Name,Price,TotalVolume,InOutRatio" advise="1"/>
      <ddeItem name="TX4N07C16650.TF-ID,Name,Price,TotalVolume,InOutRatio" advise="1"/>
      <ddeItem name="TX4N07C16700.TF-ID,Name,Price,TotalVolume,InOutRatio" advise="1"/>
      <ddeItem name="TX4N07C16750.TF-ID,Name,Price,TotalVolume,InOutRatio" advise="1"/>
      <ddeItem name="TX4N07C16800.TF-ID,Name,Price,TotalVolume,InOutRatio" advise="1"/>
      <ddeItem name="TX4N07C16850.TF-ID,Name,Price,TotalVolume,InOutRatio" advise="1"/>
      <ddeItem name="TX4N07C16900.TF-ID,Name,Price,TotalVolume,InOutRatio" advise="1"/>
      <ddeItem name="TX4N07C16950.TF-ID,Name,Price,TotalVolume,InOutRatio" advise="1"/>
      <ddeItem name="TX4N07C17000.TF-ID,Name,Price,TotalVolume,InOutRatio" advise="1"/>
      <ddeItem name="TX4N07C17050.TF-ID,Name,Price,TotalVolume,InOutRatio" advise="1"/>
      <ddeItem name="TX4N07C17100.TF-ID,Name,Price,TotalVolume,InOutRatio" advise="1"/>
      <ddeItem name="TX4N07C17150.TF-ID,Name,Price,TotalVolume,InOutRatio" advise="1"/>
      <ddeItem name="TX4N07C17200.TF-ID,Name,Price,TotalVolume,InOutRatio" advise="1"/>
      <ddeItem name="TX4N07C17250.TF-ID,Name,Price,TotalVolume,InOutRatio" advise="1"/>
      <ddeItem name="TX4N07C17300.TF-ID,Name,Price,TotalVolume,InOutRatio" advise="1"/>
      <ddeItem name="TX4N07C17350.TF-ID,Name,Price,TotalVolume,InOutRatio" advise="1"/>
      <ddeItem name="TX4N07C17400.TF-ID,Name,Price,TotalVolume,InOutRatio" advise="1"/>
      <ddeItem name="TX4N07C17450.TF-ID,Name,Price,TotalVolume,InOutRatio" advise="1"/>
      <ddeItem name="TX4N07C17500.TF-ID,Name,Price,TotalVolume,InOutRatio" advise="1"/>
      <ddeItem name="TX4N07C17550.TF-ID,Name,Price,TotalVolume,InOutRatio" advise="1"/>
      <ddeItem name="TX4N07C17600.TF-ID,Name,Price,TotalVolume,InOutRatio" advise="1"/>
      <ddeItem name="TX4N07C17650.TF-ID,Name,Price,TotalVolume,InOutRatio" advise="1"/>
      <ddeItem name="TX4N07C17700.TF-ID,Name,Price,TotalVolume,InOutRatio" advise="1"/>
      <ddeItem name="TX4N07C17750.TF-ID,Name,Price,TotalVolume,InOutRatio" advise="1"/>
      <ddeItem name="TX4N07C17800.TF-ID,Name,Price,TotalVolume,InOutRatio" advise="1"/>
      <ddeItem name="TX4N07C17850.TF-ID,Name,Price,TotalVolume,InOutRatio" advise="1"/>
      <ddeItem name="TX4N07C17900.TF-ID,Name,Price,TotalVolume,InOutRatio" advise="1"/>
      <ddeItem name="TX4N07C17950.TF-ID,Name,Price,TotalVolume,InOutRatio" advise="1"/>
      <ddeItem name="TX4N07C18000.TF-ID,Name,Price,TotalVolume,InOutRatio" advise="1"/>
      <ddeItem name="TX4N07C18050.TF-ID,Name,Price,TotalVolume,InOutRatio" advise="1"/>
      <ddeItem name="TX4N07C18100.TF-ID,Name,Price,TotalVolume,InOutRatio" advise="1"/>
      <ddeItem name="TX4N07C18150.TF-ID,Name,Price,TotalVolume,InOutRatio" advise="1"/>
      <ddeItem name="TX4N07C18200.TF-ID,Name,Price,TotalVolume,InOutRatio" advise="1"/>
      <ddeItem name="TX4N07C18250.TF-ID,Name,Price,TotalVolume,InOutRatio" advise="1"/>
      <ddeItem name="TX4N07C18300.TF-ID,Name,Price,TotalVolume,InOutRatio" advise="1"/>
      <ddeItem name="TX4N07C18350.TF-ID,Name,Price,TotalVolume,InOutRatio" advise="1"/>
      <ddeItem name="TX4N07C18400.TF-ID,Name,Price,TotalVolume,InOutRatio" advise="1"/>
      <ddeItem name="TX4N07C18450.TF-ID,Name,Price,TotalVolume,InOutRatio" advise="1"/>
      <ddeItem name="TX4N07C18500.TF-ID,Name,Price,TotalVolume,InOutRatio" advise="1"/>
      <ddeItem name="TX4N07C18550.TF-ID,Name,Price,TotalVolume,InOutRatio" advise="1"/>
      <ddeItem name="TX4N07C18600.TF-ID,Name,Price,TotalVolume,InOutRatio" advise="1"/>
      <ddeItem name="TX4N07C18650.TF-ID,Name,Price,TotalVolume,InOutRatio" advise="1"/>
      <ddeItem name="TX4N07C18700.TF-ID,Name,Price,TotalVolume,InOutRatio" advise="1"/>
      <ddeItem name="TX4N07C18750.TF-ID,Name,Price,TotalVolume,InOutRatio" advise="1"/>
      <ddeItem name="TX4N07C18800.TF-ID,Name,Price,TotalVolume,InOutRatio" advise="1"/>
      <ddeItem name="TX4N07C18850.TF-ID,Name,Price,TotalVolume,InOutRatio" advise="1"/>
      <ddeItem name="TX4N07C18900.TF-ID,Name,Price,TotalVolume,InOutRatio" advise="1"/>
      <ddeItem name="TX4N07C18950.TF-ID,Name,Price,TotalVolume,InOutRatio" advise="1"/>
      <ddeItem name="TX4N07C19000.TF-ID,Name,Price,TotalVolume,InOutRatio" advise="1"/>
      <ddeItem name="TX4N07C19050.TF-ID,Name,Price,TotalVolume,InOutRatio" advise="1"/>
      <ddeItem name="TX4N07C19100.TF-ID,Name,Price,TotalVolume,InOutRatio" advise="1"/>
      <ddeItem name="TX4N07C19150.TF-ID,Name,Price,TotalVolume,InOutRatio" advise="1"/>
      <ddeItem name="TX4N07C19200.TF-ID,Name,Price,TotalVolume,InOutRatio" advise="1"/>
      <ddeItem name="TX4N07C19250.TF-ID,Name,Price,TotalVolume,InOutRatio" advise="1"/>
      <ddeItem name="TX4N07C19300.TF-ID,Name,Price,TotalVolume,InOutRatio" advise="1"/>
      <ddeItem name="TX4N07C19350.TF-ID,Name,Price,TotalVolume,InOutRatio" advise="1"/>
      <ddeItem name="TX4N07C19400.TF-ID,Name,Price,TotalVolume,InOutRatio" advise="1"/>
      <ddeItem name="TX4N07C19450.TF-ID,Name,Price,TotalVolume,InOutRatio" advise="1"/>
      <ddeItem name="TX4N07C19500.TF-ID,Name,Price,TotalVolume,InOutRatio" advise="1"/>
      <ddeItem name="TX4N07C19550.TF-ID,Name,Price,TotalVolume,InOutRatio" advise="1"/>
      <ddeItem name="TX4N07C19600.TF-ID,Name,Price,TotalVolume,InOutRatio" advise="1"/>
      <ddeItem name="TX4N07C19650.TF-ID,Name,Price,TotalVolume,InOutRatio" advise="1"/>
      <ddeItem name="TX4N07C19700.TF-ID,Name,Price,TotalVolume,InOutRatio" advise="1"/>
      <ddeItem name="TX4N07C19750.TF-ID,Name,Price,TotalVolume,InOutRatio" advise="1"/>
      <ddeItem name="TX4N07C19800.TF-ID,Name,Price,TotalVolume,InOutRatio" advise="1"/>
      <ddeItem name="TX4N07C19850.TF-ID,Name,Price,TotalVolume,InOutRatio" advise="1"/>
      <ddeItem name="TX4N07C19900.TF-ID,Name,Price,TotalVolume,InOutRatio" advise="1"/>
      <ddeItem name="TX4N07C19950.TF-ID,Name,Price,TotalVolume,InOutRatio" advise="1"/>
      <ddeItem name="TX4N07C20000.TF-ID,Name,Price,TotalVolume,InOutRatio" advise="1"/>
      <ddeItem name="TX4N07C20050.TF-ID,Name,Price,TotalVolume,InOutRatio" advise="1"/>
      <ddeItem name="TX4N07C20100.TF-ID,Name,Price,TotalVolume,InOutRatio" advise="1">
        <values cols="5">
          <value t="str">
            <val>TX4N07C20100</val>
          </value>
          <value t="str">
            <val>台指選07W4 C 20100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150.TF-ID,Name,Price,TotalVolume,InOutRatio" advise="1"/>
      <ddeItem name="TX4N07C20200.TF-ID,Name,Price,TotalVolume,InOutRatio" advise="1">
        <values cols="5">
          <value t="str">
            <val>TX4N07C20200</val>
          </value>
          <value t="str">
            <val>台指選07W4 C 20200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250.TF-ID,Name,Price,TotalVolume,InOutRatio" advise="1"/>
      <ddeItem name="TX4N07C20300.TF-ID,Name,Price,TotalVolume,InOutRatio" advise="1">
        <values cols="5">
          <value t="str">
            <val>TX4N07C20300</val>
          </value>
          <value t="str">
            <val>台指選07W4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350.TF-ID,Name,Price,TotalVolume,InOutRatio" advise="1"/>
      <ddeItem name="TX4N07C20400.TF-ID,Name,Price,TotalVolume,InOutRatio" advise="1">
        <values cols="5">
          <value t="str">
            <val>TX4N07C20400</val>
          </value>
          <value t="str">
            <val>台指選07W4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450.TF-ID,Name,Price,TotalVolume,InOutRatio" advise="1"/>
      <ddeItem name="TX4N07C20500.TF-ID,Name,Price,TotalVolume,InOutRatio" advise="1">
        <values cols="5">
          <value t="str">
            <val>TX4N07C20500</val>
          </value>
          <value t="str">
            <val>台指選07W4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550.TF-ID,Name,Price,TotalVolume,InOutRatio" advise="1"/>
      <ddeItem name="TX4N07C20600.TF-ID,Name,Price,TotalVolume,InOutRatio" advise="1">
        <values cols="5">
          <value t="str">
            <val>TX4N07C20600</val>
          </value>
          <value t="str">
            <val>台指選07W4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650.TF-ID,Name,Price,TotalVolume,InOutRatio" advise="1"/>
      <ddeItem name="TX4N07C20700.TF-ID,Name,Price,TotalVolume,InOutRatio" advise="1">
        <values cols="5">
          <value t="str">
            <val>TX4N07C20700</val>
          </value>
          <value t="str">
            <val>台指選07W4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750.TF-ID,Name,Price,TotalVolume,InOutRatio" advise="1"/>
      <ddeItem name="TX4N07C20800.TF-ID,Name,Price,TotalVolume,InOutRatio" advise="1">
        <values cols="5">
          <value t="str">
            <val>TX4N07C20800</val>
          </value>
          <value t="str">
            <val>台指選07W4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850.TF-ID,Name,Price,TotalVolume,InOutRatio" advise="1"/>
      <ddeItem name="TX4N07C20900.TF-ID,Name,Price,TotalVolume,InOutRatio" advise="1">
        <values cols="5">
          <value t="str">
            <val>TX4N07C20900</val>
          </value>
          <value t="str">
            <val>台指選07W4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950.TF-ID,Name,Price,TotalVolume,InOutRatio" advise="1"/>
      <ddeItem name="TX4N07C21000.TF-ID,Name,Price,TotalVolume,InOutRatio" advise="1">
        <values cols="5">
          <value t="str">
            <val>TX4N07C21000</val>
          </value>
          <value t="str">
            <val>台指選07W4 C 21000</val>
          </value>
          <value>
            <val>2360</val>
          </value>
          <value>
            <val>1</val>
          </value>
          <value>
            <val>100</val>
          </value>
        </values>
      </ddeItem>
      <ddeItem name="TX4N07C21050.TF-ID,Name,Price,TotalVolume,InOutRatio" advise="1"/>
      <ddeItem name="TX4N07C21100.TF-ID,Name,Price,TotalVolume,InOutRatio" advise="1">
        <values cols="5">
          <value t="str">
            <val>TX4N07C21100</val>
          </value>
          <value t="str">
            <val>台指選07W4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150.TF-ID,Name,Price,TotalVolume,InOutRatio" advise="1"/>
      <ddeItem name="TX4N07C21200.TF-ID,Name,Price,TotalVolume,InOutRatio" advise="1">
        <values cols="5">
          <value t="str">
            <val>TX4N07C21200</val>
          </value>
          <value t="str">
            <val>台指選07W4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250.TF-ID,Name,Price,TotalVolume,InOutRatio" advise="1"/>
      <ddeItem name="TX4N07C21300.TF-ID,Name,Price,TotalVolume,InOutRatio" advise="1">
        <values cols="5">
          <value t="str">
            <val>TX4N07C21300</val>
          </value>
          <value t="str">
            <val>台指選07W4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350.TF-ID,Name,Price,TotalVolume,InOutRatio" advise="1"/>
      <ddeItem name="TX4N07C21400.TF-ID,Name,Price,TotalVolume,InOutRatio" advise="1">
        <values cols="5">
          <value t="str">
            <val>TX4N07C21400</val>
          </value>
          <value t="str">
            <val>台指選07W4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450.TF-ID,Name,Price,TotalVolume,InOutRatio" advise="1"/>
      <ddeItem name="TX4N07C21500.TF-ID,Name,Price,TotalVolume,InOutRatio" advise="1">
        <values cols="5">
          <value t="str">
            <val>TX4N07C21500</val>
          </value>
          <value t="str">
            <val>台指選07W4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550.TF-ID,Name,Price,TotalVolume,InOutRatio" advise="1"/>
      <ddeItem name="TX4N07C21600.TF-ID,Name,Price,TotalVolume,InOutRatio" advise="1">
        <values cols="5">
          <value t="str">
            <val>TX4N07C21600</val>
          </value>
          <value t="str">
            <val>台指選07W4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650.TF-ID,Name,Price,TotalVolume,InOutRatio" advise="1"/>
      <ddeItem name="TX4N07C21700.TF-ID,Name,Price,TotalVolume,InOutRatio" advise="1">
        <values cols="5">
          <value t="str">
            <val>TX4N07C21700</val>
          </value>
          <value t="str">
            <val>台指選07W4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750.TF-ID,Name,Price,TotalVolume,InOutRatio" advise="1">
        <values cols="5">
          <value t="str">
            <val>TX4N07C21750</val>
          </value>
          <value t="str">
            <val>台指選07W4 C 21750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00.TF-ID,Name,Price,TotalVolume,InOutRatio" advise="1">
        <values cols="5">
          <value t="str">
            <val>TX4N07C21800</val>
          </value>
          <value t="str">
            <val>台指選07W4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50.TF-ID,Name,Price,TotalVolume,InOutRatio" advise="1">
        <values cols="5">
          <value t="str">
            <val>TX4N07C21850</val>
          </value>
          <value t="str">
            <val>台指選07W4 C 21850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00.TF-ID,Name,Price,TotalVolume,InOutRatio" advise="1">
        <values cols="5">
          <value t="str">
            <val>TX4N07C21900</val>
          </value>
          <value t="str">
            <val>台指選07W4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50.TF-ID,Name,Price,TotalVolume,InOutRatio" advise="1">
        <values cols="5">
          <value t="str">
            <val>TX4N07C21950</val>
          </value>
          <value t="str">
            <val>台指選07W4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00.TF-ID,Name,Price,TotalVolume,InOutRatio" advise="1">
        <values cols="5">
          <value t="str">
            <val>TX4N07C22000</val>
          </value>
          <value t="str">
            <val>台指選07W4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50.TF-ID,Name,Price,TotalVolume,InOutRatio" advise="1">
        <values cols="5">
          <value t="str">
            <val>TX4N07C22050</val>
          </value>
          <value t="str">
            <val>台指選07W4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00.TF-ID,Name,Price,TotalVolume,InOutRatio" advise="1">
        <values cols="5">
          <value t="str">
            <val>TX4N07C22100</val>
          </value>
          <value t="str">
            <val>台指選07W4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50.TF-ID,Name,Price,TotalVolume,InOutRatio" advise="1">
        <values cols="5">
          <value t="str">
            <val>TX4N07C22150</val>
          </value>
          <value t="str">
            <val>台指選07W4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00.TF-ID,Name,Price,TotalVolume,InOutRatio" advise="1">
        <values cols="5">
          <value t="str">
            <val>TX4N07C22200</val>
          </value>
          <value t="str">
            <val>台指選07W4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50.TF-ID,Name,Price,TotalVolume,InOutRatio" advise="1">
        <values cols="5">
          <value t="str">
            <val>TX4N07C22250</val>
          </value>
          <value t="str">
            <val>台指選07W4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300.TF-ID,Name,Price,TotalVolume,InOutRatio" advise="1">
        <values cols="5">
          <value t="str">
            <val>TX4N07C22300</val>
          </value>
          <value t="str">
            <val>台指選07W4 C 22300</val>
          </value>
          <value>
            <val>1050</val>
          </value>
          <value>
            <val>2</val>
          </value>
          <value>
            <val>0</val>
          </value>
        </values>
      </ddeItem>
      <ddeItem name="TX4N07C22350.TF-ID,Name,Price,TotalVolume,InOutRatio" advise="1">
        <values cols="5">
          <value t="str">
            <val>TX4N07C22350</val>
          </value>
          <value t="str">
            <val>台指選07W4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400.TF-ID,Name,Price,TotalVolume,InOutRatio" advise="1">
        <values cols="5">
          <value t="str">
            <val>TX4N07C22400</val>
          </value>
          <value t="str">
            <val>台指選07W4 C 22400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450.TF-ID,Name,Price,TotalVolume,InOutRatio" advise="1">
        <values cols="5">
          <value t="str">
            <val>TX4N07C22450</val>
          </value>
          <value t="str">
            <val>台指選07W4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500.TF-ID,Name,Price,TotalVolume,InOutRatio" advise="1">
        <values cols="5">
          <value t="str">
            <val>TX4N07C22500</val>
          </value>
          <value t="str">
            <val>台指選07W4 C 22500</val>
          </value>
          <value>
            <val>780</val>
          </value>
          <value>
            <val>9</val>
          </value>
          <value>
            <val>22.22</val>
          </value>
        </values>
      </ddeItem>
      <ddeItem name="TX4N07C22550.TF-ID,Name,Price,TotalVolume,InOutRatio" advise="1">
        <values cols="5">
          <value t="str">
            <val>TX4N07C22550</val>
          </value>
          <value t="str">
            <val>台指選07W4 C 22550</val>
          </value>
          <value>
            <val>720</val>
          </value>
          <value>
            <val>1</val>
          </value>
          <value>
            <val>0</val>
          </value>
        </values>
      </ddeItem>
      <ddeItem name="TX4N07C22600.TF-ID,Name,Price,TotalVolume,InOutRatio" advise="1">
        <values cols="5">
          <value t="str">
            <val>TX4N07C22600</val>
          </value>
          <value t="str">
            <val>台指選07W4 C 22600</val>
          </value>
          <value>
            <val>700</val>
          </value>
          <value>
            <val>10</val>
          </value>
          <value>
            <val>100</val>
          </value>
        </values>
      </ddeItem>
      <ddeItem name="TX4N07C22650.TF-ID,Name,Price,TotalVolume,InOutRatio" advise="1">
        <values cols="5">
          <value t="str">
            <val>TX4N07C22650</val>
          </value>
          <value t="str">
            <val>台指選07W4 C 22650</val>
          </value>
          <value>
            <val>645</val>
          </value>
          <value>
            <val>2</val>
          </value>
          <value>
            <val>100</val>
          </value>
        </values>
      </ddeItem>
      <ddeItem name="TX4N07C22700.TF-ID,Name,Price,TotalVolume,InOutRatio" advise="1">
        <values cols="5">
          <value t="str">
            <val>TX4N07C22700</val>
          </value>
          <value t="str">
            <val>台指選07W4 C 22700</val>
          </value>
          <value>
            <val>580</val>
          </value>
          <value>
            <val>9</val>
          </value>
          <value>
            <val>0</val>
          </value>
        </values>
      </ddeItem>
      <ddeItem name="TX4N07C22750.TF-ID,Name,Price,TotalVolume,InOutRatio" advise="1">
        <values cols="5">
          <value t="str">
            <val>TX4N07C22750</val>
          </value>
          <value t="str">
            <val>台指選07W4 C 22750</val>
          </value>
          <value>
            <val>540</val>
          </value>
          <value>
            <val>1</val>
          </value>
          <value>
            <val>100</val>
          </value>
        </values>
      </ddeItem>
      <ddeItem name="TX4N07C22800.TF-ID,Name,Price,TotalVolume,InOutRatio" advise="1">
        <values cols="5">
          <value t="str">
            <val>TX4N07C22800</val>
          </value>
          <value t="str">
            <val>台指選07W4 C 22800</val>
          </value>
          <value>
            <val>525</val>
          </value>
          <value>
            <val>9</val>
          </value>
          <value>
            <val>55.56</val>
          </value>
        </values>
      </ddeItem>
      <ddeItem name="TX4N07C22850.TF-ID,Name,Price,TotalVolume,InOutRatio" advise="1">
        <values cols="5">
          <value t="str">
            <val>TX4N07C22850</val>
          </value>
          <value t="str">
            <val>台指選07W4 C 22850</val>
          </value>
          <value>
            <val>462</val>
          </value>
          <value>
            <val>4</val>
          </value>
          <value>
            <val>100</val>
          </value>
        </values>
      </ddeItem>
      <ddeItem name="TX4N07C22900.TF-ID,Name,Price,TotalVolume,InOutRatio" advise="1">
        <values cols="5">
          <value t="str">
            <val>TX4N07C22900</val>
          </value>
          <value t="str">
            <val>台指選07W4 C 22900</val>
          </value>
          <value>
            <val>407</val>
          </value>
          <value>
            <val>68</val>
          </value>
          <value>
            <val>34.33</val>
          </value>
        </values>
      </ddeItem>
      <ddeItem name="TX4N07C22950.TF-ID,Name,Price,TotalVolume,InOutRatio" advise="1">
        <values cols="5">
          <value t="str">
            <val>TX4N07C22950</val>
          </value>
          <value t="str">
            <val>台指選07W4 C 22950</val>
          </value>
          <value>
            <val>370</val>
          </value>
          <value>
            <val>19</val>
          </value>
          <value>
            <val>84.21</val>
          </value>
        </values>
      </ddeItem>
      <ddeItem name="TX4N07C23000.TF-ID,Name,Price,TotalVolume,InOutRatio" advise="1">
        <values cols="5">
          <value t="str">
            <val>TX4N07C23000</val>
          </value>
          <value t="str">
            <val>台指選07W4 C 23000</val>
          </value>
          <value>
            <val>321</val>
          </value>
          <value>
            <val>293</val>
          </value>
          <value>
            <val>44.6</val>
          </value>
        </values>
      </ddeItem>
      <ddeItem name="TX4N07C23050.TF-ID,Name,Price,TotalVolume,InOutRatio" advise="1">
        <values cols="5">
          <value t="str">
            <val>TX4N07C23050</val>
          </value>
          <value t="str">
            <val>台指選07W4 C 23050</val>
          </value>
          <value>
            <val>276</val>
          </value>
          <value>
            <val>215</val>
          </value>
          <value>
            <val>64.760000000000005</val>
          </value>
        </values>
      </ddeItem>
      <ddeItem name="TX4N07C23100.TF-ID,Name,Price,TotalVolume,InOutRatio" advise="1">
        <values cols="5">
          <value t="str">
            <val>TX4N07C23100</val>
          </value>
          <value t="str">
            <val>台指選07W4 C 23100</val>
          </value>
          <value>
            <val>240</val>
          </value>
          <value>
            <val>553</val>
          </value>
          <value>
            <val>32.909999999999997</val>
          </value>
        </values>
      </ddeItem>
      <ddeItem name="TX4N07C23150.TF-ID,Name,Price,TotalVolume,InOutRatio" advise="1">
        <values cols="5">
          <value t="str">
            <val>TX4N07C23150</val>
          </value>
          <value t="str">
            <val>台指選07W4 C 23150</val>
          </value>
          <value>
            <val>213</val>
          </value>
          <value>
            <val>398</val>
          </value>
          <value>
            <val>39.04</val>
          </value>
        </values>
      </ddeItem>
      <ddeItem name="TX4N07C23200.TF-ID,Name,Price,TotalVolume,InOutRatio" advise="1">
        <values cols="5">
          <value t="str">
            <val>TX4N07C23200</val>
          </value>
          <value t="str">
            <val>台指選07W4 C 23200</val>
          </value>
          <value>
            <val>172</val>
          </value>
          <value>
            <val>1821</val>
          </value>
          <value>
            <val>42</val>
          </value>
        </values>
      </ddeItem>
      <ddeItem name="TX4N07C23250.TF-ID,Name,Price,TotalVolume,InOutRatio" advise="1">
        <values cols="5">
          <value t="str">
            <val>TX4N07C23250</val>
          </value>
          <value t="str">
            <val>台指選07W4 C 23250</val>
          </value>
          <value>
            <val>140</val>
          </value>
          <value>
            <val>1918</val>
          </value>
          <value>
            <val>46.1</val>
          </value>
        </values>
      </ddeItem>
      <ddeItem name="TX4N07C23300.TF-ID,Name,Price,TotalVolume,InOutRatio" advise="1">
        <values cols="5">
          <value t="str">
            <val>TX4N07C23300</val>
          </value>
          <value t="str">
            <val>台指選07W4 C 23300</val>
          </value>
          <value>
            <val>116</val>
          </value>
          <value>
            <val>4594</val>
          </value>
          <value>
            <val>44.95</val>
          </value>
        </values>
      </ddeItem>
      <ddeItem name="TX4N07C23350.TF-ID,Name,Price,TotalVolume,InOutRatio" advise="1">
        <values cols="5">
          <value t="str">
            <val>TX4N07C23350</val>
          </value>
          <value t="str">
            <val>台指選07W4 C 23350</val>
          </value>
          <value>
            <val>91</val>
          </value>
          <value>
            <val>2874</val>
          </value>
          <value>
            <val>44.68</val>
          </value>
        </values>
      </ddeItem>
      <ddeItem name="TX4N07C23400.TF-ID,Name,Price,TotalVolume,InOutRatio" advise="1">
        <values cols="5">
          <value t="str">
            <val>TX4N07C23400</val>
          </value>
          <value t="str">
            <val>台指選07W4 C 23400</val>
          </value>
          <value>
            <val>72</val>
          </value>
          <value>
            <val>5673</val>
          </value>
          <value>
            <val>45.65</val>
          </value>
        </values>
      </ddeItem>
      <ddeItem name="TX4N07C23450.TF-ID,Name,Price,TotalVolume,InOutRatio" advise="1">
        <values cols="5">
          <value t="str">
            <val>TX4N07C23450</val>
          </value>
          <value t="str">
            <val>台指選07W4 C 23450</val>
          </value>
          <value>
            <val>53</val>
          </value>
          <value>
            <val>4467</val>
          </value>
          <value>
            <val>45</val>
          </value>
        </values>
      </ddeItem>
      <ddeItem name="TX4N07C23500.TF-ID,Name,Price,TotalVolume,InOutRatio" advise="1">
        <values cols="5">
          <value t="str">
            <val>TX4N07C23500</val>
          </value>
          <value t="str">
            <val>台指選07W4 C 23500</val>
          </value>
          <value>
            <val>43</val>
          </value>
          <value>
            <val>7324</val>
          </value>
          <value>
            <val>44.29</val>
          </value>
        </values>
      </ddeItem>
      <ddeItem name="TX4N07C23550.TF-ID,Name,Price,TotalVolume,InOutRatio" advise="1">
        <values cols="5">
          <value t="str">
            <val>TX4N07C23550</val>
          </value>
          <value t="str">
            <val>台指選07W4 C 23550</val>
          </value>
          <value>
            <val>29.5</val>
          </value>
          <value>
            <val>3741</val>
          </value>
          <value>
            <val>45.04</val>
          </value>
        </values>
      </ddeItem>
      <ddeItem name="TX4N07C23600.TF-ID,Name,Price,TotalVolume,InOutRatio" advise="1">
        <values cols="5">
          <value t="str">
            <val>TX4N07C23600</val>
          </value>
          <value t="str">
            <val>台指選07W4 C 23600</val>
          </value>
          <value>
            <val>22.5</val>
          </value>
          <value>
            <val>5937</val>
          </value>
          <value>
            <val>46.28</val>
          </value>
        </values>
      </ddeItem>
      <ddeItem name="TX4N07C23650.TF-ID,Name,Price,TotalVolume,InOutRatio" advise="1">
        <values cols="5">
          <value t="str">
            <val>TX4N07C23650</val>
          </value>
          <value t="str">
            <val>台指選07W4 C 23650</val>
          </value>
          <value>
            <val>18</val>
          </value>
          <value>
            <val>2689</val>
          </value>
          <value>
            <val>52.41</val>
          </value>
        </values>
      </ddeItem>
      <ddeItem name="TX4N07C23700.TF-ID,Name,Price,TotalVolume,InOutRatio" advise="1">
        <values cols="5">
          <value t="str">
            <val>TX4N07C23700</val>
          </value>
          <value t="str">
            <val>台指選07W4 C 23700</val>
          </value>
          <value>
            <val>11.5</val>
          </value>
          <value>
            <val>5258</val>
          </value>
          <value>
            <val>47.6</val>
          </value>
        </values>
      </ddeItem>
      <ddeItem name="TX4N07C23700.TF-price" advise="1">
        <values>
          <value>
            <val>11.5</val>
          </value>
        </values>
      </ddeItem>
      <ddeItem name="TX4N07C23750.TF-ID,Name,Price,TotalVolume,InOutRatio" advise="1">
        <values cols="5">
          <value t="str">
            <val>TX4N07C23750</val>
          </value>
          <value t="str">
            <val>台指選07W4 C 23750</val>
          </value>
          <value>
            <val>9.5</val>
          </value>
          <value>
            <val>3692</val>
          </value>
          <value>
            <val>51.29</val>
          </value>
        </values>
      </ddeItem>
      <ddeItem name="TX4N07C23800.TF-ID,Name,Price,TotalVolume,InOutRatio" advise="1">
        <values cols="5">
          <value t="str">
            <val>TX4N07C23800</val>
          </value>
          <value t="str">
            <val>台指選07W4 C 23800</val>
          </value>
          <value>
            <val>5.7</val>
          </value>
          <value>
            <val>3860</val>
          </value>
          <value>
            <val>51.58</val>
          </value>
        </values>
      </ddeItem>
      <ddeItem name="TX4N07C23850.TF-ID,Name,Price,TotalVolume,InOutRatio" advise="1"/>
      <ddeItem name="TX4N07C23900.TF-ID,Name,Price,TotalVolume,InOutRatio" advise="1">
        <values cols="5">
          <value t="str">
            <val>TX4N07C23900</val>
          </value>
          <value t="str">
            <val>台指選07W4 C 23900</val>
          </value>
          <value>
            <val>3.5</val>
          </value>
          <value>
            <val>1942</val>
          </value>
          <value>
            <val>56.3</val>
          </value>
        </values>
      </ddeItem>
      <ddeItem name="TX4N07C23950.TF-ID,Name,Price,TotalVolume,InOutRatio" advise="1"/>
      <ddeItem name="TX4N07C24000.TF-ID,Name,Price,TotalVolume,InOutRatio" advise="1">
        <values cols="5">
          <value t="str">
            <val>TX4N07C24000</val>
          </value>
          <value t="str">
            <val>台指選07W4 C 24000</val>
          </value>
          <value>
            <val>2.1</val>
          </value>
          <value>
            <val>2296</val>
          </value>
          <value>
            <val>59.36</val>
          </value>
        </values>
      </ddeItem>
      <ddeItem name="TX4N07C24000.TF-price" advise="1">
        <values>
          <value>
            <val>2.1</val>
          </value>
        </values>
      </ddeItem>
      <ddeItem name="TX4N07C24050.TF-ID,Name,Price,TotalVolume,InOutRatio" advise="1"/>
      <ddeItem name="TX4N07C24100.TF-ID,Name,Price,TotalVolume,InOutRatio" advise="1">
        <values cols="5">
          <value t="str">
            <val>TX4N07C24100</val>
          </value>
          <value t="str">
            <val>台指選07W4 C 24100</val>
          </value>
          <value>
            <val>1</val>
          </value>
          <value>
            <val>690</val>
          </value>
          <value>
            <val>63.05</val>
          </value>
        </values>
      </ddeItem>
      <ddeItem name="TX4N07C24150.TF-ID,Name,Price,TotalVolume,InOutRatio" advise="1"/>
      <ddeItem name="TX4N07C24200.TF-ID,Name,Price,TotalVolume,InOutRatio" advise="1">
        <values cols="5">
          <value t="str">
            <val>TX4N07C24200</val>
          </value>
          <value t="str">
            <val>台指選07W4 C 24200</val>
          </value>
          <value>
            <val>0.6</val>
          </value>
          <value>
            <val>689</val>
          </value>
          <value>
            <val>71.430000000000007</val>
          </value>
        </values>
      </ddeItem>
      <ddeItem name="TX4N07C24250.TF-ID,Name,Price,TotalVolume,InOutRatio" advise="1"/>
      <ddeItem name="TX4N07C24300.TF-ID,Name,Price,TotalVolume,InOutRatio" advise="1">
        <values cols="5">
          <value t="str">
            <val>TX4N07C24300</val>
          </value>
          <value t="str">
            <val>台指選07W4 C 24300</val>
          </value>
          <value>
            <val>0.5</val>
          </value>
          <value>
            <val>397</val>
          </value>
          <value>
            <val>64.739999999999995</val>
          </value>
        </values>
      </ddeItem>
      <ddeItem name="TX4N07C24350.TF-ID,Name,Price,TotalVolume,InOutRatio" advise="1"/>
      <ddeItem name="TX4N07C24400.TF-ID,Name,Price,TotalVolume,InOutRatio" advise="1">
        <values cols="5">
          <value t="str">
            <val>TX4N07C24400</val>
          </value>
          <value t="str">
            <val>台指選07W4 C 24400</val>
          </value>
          <value>
            <val>0.5</val>
          </value>
          <value>
            <val>180</val>
          </value>
          <value>
            <val>17.920000000000002</val>
          </value>
        </values>
      </ddeItem>
      <ddeItem name="TX4N07C24450.TF-ID,Name,Price,TotalVolume,InOutRatio" advise="1"/>
      <ddeItem name="TX4N07C24500.TF-ID,Name,Price,TotalVolume,InOutRatio" advise="1">
        <values cols="5">
          <value t="str">
            <val>TX4N07C24500</val>
          </value>
          <value t="str">
            <val>台指選07W4 C 24500</val>
          </value>
          <value>
            <val>0.2</val>
          </value>
          <value>
            <val>294</val>
          </value>
          <value>
            <val>49.26</val>
          </value>
        </values>
      </ddeItem>
      <ddeItem name="TX4N07C24550.TF-ID,Name,Price,TotalVolume,InOutRatio" advise="1"/>
      <ddeItem name="TX4N07C24600.TF-ID,Name,Price,TotalVolume,InOutRatio" advise="1">
        <values cols="5">
          <value t="str">
            <val>TX4N07C24600</val>
          </value>
          <value t="str">
            <val>台指選07W4 C 24600</val>
          </value>
          <value>
            <val>0.3</val>
          </value>
          <value>
            <val>303</val>
          </value>
          <value>
            <val>0</val>
          </value>
        </values>
      </ddeItem>
      <ddeItem name="TX4N07C24650.TF-ID,Name,Price,TotalVolume,InOutRatio" advise="1"/>
      <ddeItem name="TX4N07C24700.TF-ID,Name,Price,TotalVolume,InOutRatio" advise="1">
        <values cols="5">
          <value t="str">
            <val>TX4N07C24700</val>
          </value>
          <value t="str">
            <val>台指選07W4 C 24700</val>
          </value>
          <value>
            <val>0.3</val>
          </value>
          <value>
            <val>380</val>
          </value>
          <value>
            <val>0</val>
          </value>
        </values>
      </ddeItem>
      <ddeItem name="TX4N07C24750.TF-ID,Name,Price,TotalVolume,InOutRatio" advise="1"/>
      <ddeItem name="TX4N07C24800.TF-ID,Name,Price,TotalVolume,InOutRatio" advise="1">
        <values cols="5">
          <value t="str">
            <val>TX4N07C24800</val>
          </value>
          <value t="str">
            <val>台指選07W4 C 24800</val>
          </value>
          <value>
            <val>0.2</val>
          </value>
          <value>
            <val>259</val>
          </value>
          <value>
            <val>0</val>
          </value>
        </values>
      </ddeItem>
      <ddeItem name="TX4N07C24850.TF-ID,Name,Price,TotalVolume,InOutRatio" advise="1"/>
      <ddeItem name="TX4N07C24900.TF-ID,Name,Price,TotalVolume,InOutRatio" advise="1">
        <values cols="5">
          <value t="str">
            <val>TX4N07C24900</val>
          </value>
          <value t="str">
            <val>台指選07W4 C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950.TF-ID,Name,Price,TotalVolume,InOutRatio" advise="1"/>
      <ddeItem name="TX4N07C25000.TF-ID,Name,Price,TotalVolume,InOutRatio" advise="1">
        <values cols="5">
          <value t="str">
            <val>TX4N07C25000</val>
          </value>
          <value t="str">
            <val>台指選07W4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050.TF-ID,Name,Price,TotalVolume,InOutRatio" advise="1"/>
      <ddeItem name="TX4N07C25100.TF-ID,Name,Price,TotalVolume,InOutRatio" advise="1">
        <values cols="5">
          <value t="str">
            <val>TX4N07C25100</val>
          </value>
          <value t="str">
            <val>台指選07W4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150.TF-ID,Name,Price,TotalVolume,InOutRatio" advise="1"/>
      <ddeItem name="TX4N07C25200.TF-ID,Name,Price,TotalVolume,InOutRatio" advise="1">
        <values cols="5">
          <value t="str">
            <val>TX4N07C25200</val>
          </value>
          <value t="str">
            <val>台指選07W4 C 25200</val>
          </value>
          <value>
            <val>0.2</val>
          </value>
          <value>
            <val>1</val>
          </value>
          <value>
            <val>0</val>
          </value>
        </values>
      </ddeItem>
      <ddeItem name="TX4N07C25250.TF-ID,Name,Price,TotalVolume,InOutRatio" advise="1"/>
      <ddeItem name="TX4N07C25300.TF-ID,Name,Price,TotalVolume,InOutRatio" advise="1">
        <values cols="5">
          <value t="str">
            <val>TX4N07C25300</val>
          </value>
          <value t="str">
            <val>台指選07W4 C 25300</val>
          </value>
          <value>
            <val>0.2</val>
          </value>
          <value>
            <val>1</val>
          </value>
          <value>
            <val>0</val>
          </value>
        </values>
      </ddeItem>
      <ddeItem name="TX4N07C25350.TF-ID,Name,Price,TotalVolume,InOutRatio" advise="1"/>
      <ddeItem name="TX4N07C25400.TF-ID,Name,Price,TotalVolume,InOutRatio" advise="1">
        <values cols="5">
          <value t="str">
            <val>TX4N07C25400</val>
          </value>
          <value t="str">
            <val>台指選07W4 C 25400</val>
          </value>
          <value>
            <val>0.3</val>
          </value>
          <value>
            <val>4</val>
          </value>
          <value>
            <val>25</val>
          </value>
        </values>
      </ddeItem>
      <ddeItem name="TX4N07C25450.TF-ID,Name,Price,TotalVolume,InOutRatio" advise="1"/>
      <ddeItem name="TX4N07C25500.TF-ID,Name,Price,TotalVolume,InOutRatio" advise="1">
        <values cols="5">
          <value t="str">
            <val>TX4N07C25500</val>
          </value>
          <value t="str">
            <val>台指選07W4 C 25500</val>
          </value>
          <value>
            <val>0.2</val>
          </value>
          <value>
            <val>3</val>
          </value>
          <value>
            <val>0</val>
          </value>
        </values>
      </ddeItem>
      <ddeItem name="TX4N07C25550.TF-ID,Name,Price,TotalVolume,InOutRatio" advise="1"/>
      <ddeItem name="TX4N07C25600.TF-ID,Name,Price,TotalVolume,InOutRatio" advise="1"/>
      <ddeItem name="TX4N07C25650.TF-ID,Name,Price,TotalVolume,InOutRatio" advise="1"/>
      <ddeItem name="TX4N07C25700.TF-ID,Name,Price,TotalVolume,InOutRatio" advise="1"/>
      <ddeItem name="TX4N07C25750.TF-ID,Name,Price,TotalVolume,InOutRatio" advise="1"/>
      <ddeItem name="TX4N07C25800.TF-ID,Name,Price,TotalVolume,InOutRatio" advise="1"/>
      <ddeItem name="TX4N07C25850.TF-ID,Name,Price,TotalVolume,InOutRatio" advise="1"/>
      <ddeItem name="TX4N07C25900.TF-ID,Name,Price,TotalVolume,InOutRatio" advise="1"/>
      <ddeItem name="TX4N07C25950.TF-ID,Name,Price,TotalVolume,InOutRatio" advise="1"/>
      <ddeItem name="TX4N07C26000.TF-ID,Name,Price,TotalVolume,InOutRatio" advise="1"/>
      <ddeItem name="TX4N07C26050.TF-ID,Name,Price,TotalVolume,InOutRatio" advise="1"/>
      <ddeItem name="TX4N07C26100.TF-ID,Name,Price,TotalVolume,InOutRatio" advise="1"/>
      <ddeItem name="TX4N07C26150.TF-ID,Name,Price,TotalVolume,InOutRatio" advise="1"/>
      <ddeItem name="TX4N07C26200.TF-ID,Name,Price,TotalVolume,InOutRatio" advise="1"/>
      <ddeItem name="TX4N07C26250.TF-ID,Name,Price,TotalVolume,InOutRatio" advise="1"/>
      <ddeItem name="TX4N07C26300.TF-ID,Name,Price,TotalVolume,InOutRatio" advise="1"/>
      <ddeItem name="TX4N07C26350.TF-ID,Name,Price,TotalVolume,InOutRatio" advise="1"/>
      <ddeItem name="TX4N07C26400.TF-ID,Name,Price,TotalVolume,InOutRatio" advise="1"/>
      <ddeItem name="TX4N07C26450.TF-ID,Name,Price,TotalVolume,InOutRatio" advise="1"/>
      <ddeItem name="TX4N07C26500.TF-ID,Name,Price,TotalVolume,InOutRatio" advise="1"/>
      <ddeItem name="TX4N07C26550.TF-ID,Name,Price,TotalVolume,InOutRatio" advise="1"/>
      <ddeItem name="TX4N07C26600.TF-ID,Name,Price,TotalVolume,InOutRatio" advise="1"/>
      <ddeItem name="TX4N07C26650.TF-ID,Name,Price,TotalVolume,InOutRatio" advise="1"/>
      <ddeItem name="TX4N07C26700.TF-ID,Name,Price,TotalVolume,InOutRatio" advise="1"/>
      <ddeItem name="TX4N07C26750.TF-ID,Name,Price,TotalVolume,InOutRatio" advise="1"/>
      <ddeItem name="TX4N07C26800.TF-ID,Name,Price,TotalVolume,InOutRatio" advise="1"/>
      <ddeItem name="TX4N07C26850.TF-ID,Name,Price,TotalVolume,InOutRatio" advise="1"/>
      <ddeItem name="TX4N07C26900.TF-ID,Name,Price,TotalVolume,InOutRatio" advise="1"/>
      <ddeItem name="TX4N07C26950.TF-ID,Name,Price,TotalVolume,InOutRatio" advise="1"/>
      <ddeItem name="TX4N07C27000.TF-ID,Name,Price,TotalVolume,InOutRatio" advise="1"/>
      <ddeItem name="TX4N07C27050.TF-ID,Name,Price,TotalVolume,InOutRatio" advise="1"/>
      <ddeItem name="TX4N07C27100.TF-ID,Name,Price,TotalVolume,InOutRatio" advise="1"/>
      <ddeItem name="TX4N07C27150.TF-ID,Name,Price,TotalVolume,InOutRatio" advise="1"/>
      <ddeItem name="TX4N07C27200.TF-ID,Name,Price,TotalVolume,InOutRatio" advise="1"/>
      <ddeItem name="TX4N07C27250.TF-ID,Name,Price,TotalVolume,InOutRatio" advise="1"/>
      <ddeItem name="TX4N07C27300.TF-ID,Name,Price,TotalVolume,InOutRatio" advise="1"/>
      <ddeItem name="TX4N07C27350.TF-ID,Name,Price,TotalVolume,InOutRatio" advise="1"/>
      <ddeItem name="TX4N07C27400.TF-ID,Name,Price,TotalVolume,InOutRatio" advise="1"/>
      <ddeItem name="TX4N07C27450.TF-ID,Name,Price,TotalVolume,InOutRatio" advise="1"/>
      <ddeItem name="TX4N07C27500.TF-ID,Name,Price,TotalVolume,InOutRatio" advise="1"/>
      <ddeItem name="TX4N07C27550.TF-ID,Name,Price,TotalVolume,InOutRatio" advise="1"/>
      <ddeItem name="TX4N07C27600.TF-ID,Name,Price,TotalVolume,InOutRatio" advise="1"/>
      <ddeItem name="TX4N07C27650.TF-ID,Name,Price,TotalVolume,InOutRatio" advise="1"/>
      <ddeItem name="TX4N07C27700.TF-ID,Name,Price,TotalVolume,InOutRatio" advise="1"/>
      <ddeItem name="TX4N07C27750.TF-ID,Name,Price,TotalVolume,InOutRatio" advise="1"/>
      <ddeItem name="TX4N07C27800.TF-ID,Name,Price,TotalVolume,InOutRatio" advise="1"/>
      <ddeItem name="TX4N07C27850.TF-ID,Name,Price,TotalVolume,InOutRatio" advise="1"/>
      <ddeItem name="TX4N07C27900.TF-ID,Name,Price,TotalVolume,InOutRatio" advise="1"/>
      <ddeItem name="TX4N07C27950.TF-ID,Name,Price,TotalVolume,InOutRatio" advise="1"/>
      <ddeItem name="TX4N07C28000.TF-ID,Name,Price,TotalVolume,InOutRatio" advise="1"/>
      <ddeItem name="TX4N07C28050.TF-ID,Name,Price,TotalVolume,InOutRatio" advise="1"/>
      <ddeItem name="TX4N07C28100.TF-ID,Name,Price,TotalVolume,InOutRatio" advise="1"/>
      <ddeItem name="TX4N07C28150.TF-ID,Name,Price,TotalVolume,InOutRatio" advise="1"/>
      <ddeItem name="TX4N07C28200.TF-ID,Name,Price,TotalVolume,InOutRatio" advise="1"/>
      <ddeItem name="TX4N07C28250.TF-ID,Name,Price,TotalVolume,InOutRatio" advise="1"/>
      <ddeItem name="TX4N07C28300.TF-ID,Name,Price,TotalVolume,InOutRatio" advise="1"/>
      <ddeItem name="TX4N07C28350.TF-ID,Name,Price,TotalVolume,InOutRatio" advise="1"/>
      <ddeItem name="TX4N07C28400.TF-ID,Name,Price,TotalVolume,InOutRatio" advise="1"/>
      <ddeItem name="TX4N07C28450.TF-ID,Name,Price,TotalVolume,InOutRatio" advise="1"/>
      <ddeItem name="TX4N07C28500.TF-ID,Name,Price,TotalVolume,InOutRatio" advise="1"/>
      <ddeItem name="TX4N07C28550.TF-ID,Name,Price,TotalVolume,InOutRatio" advise="1"/>
      <ddeItem name="TX4N07C28600.TF-ID,Name,Price,TotalVolume,InOutRatio" advise="1"/>
      <ddeItem name="TX4N07C28650.TF-ID,Name,Price,TotalVolume,InOutRatio" advise="1"/>
      <ddeItem name="TX4N07C28700.TF-ID,Name,Price,TotalVolume,InOutRatio" advise="1"/>
      <ddeItem name="TX4N07C28750.TF-ID,Name,Price,TotalVolume,InOutRatio" advise="1"/>
      <ddeItem name="TX4N07C28800.TF-ID,Name,Price,TotalVolume,InOutRatio" advise="1"/>
      <ddeItem name="TX4N07C28850.TF-ID,Name,Price,TotalVolume,InOutRatio" advise="1"/>
      <ddeItem name="TX4N07C28900.TF-ID,Name,Price,TotalVolume,InOutRatio" advise="1"/>
      <ddeItem name="TX4N07C28950.TF-ID,Name,Price,TotalVolume,InOutRatio" advise="1"/>
      <ddeItem name="TX4N07C29000.TF-ID,Name,Price,TotalVolume,InOutRatio" advise="1"/>
      <ddeItem name="TX4N07C29050.TF-ID,Name,Price,TotalVolume,InOutRatio" advise="1"/>
      <ddeItem name="TX4N07C29100.TF-ID,Name,Price,TotalVolume,InOutRatio" advise="1"/>
      <ddeItem name="TX4N07C29150.TF-ID,Name,Price,TotalVolume,InOutRatio" advise="1"/>
      <ddeItem name="TX4N07C29200.TF-ID,Name,Price,TotalVolume,InOutRatio" advise="1"/>
      <ddeItem name="TX4N07C29250.TF-ID,Name,Price,TotalVolume,InOutRatio" advise="1"/>
      <ddeItem name="TX4N07C29300.TF-ID,Name,Price,TotalVolume,InOutRatio" advise="1"/>
      <ddeItem name="TX4N07C29350.TF-ID,Name,Price,TotalVolume,InOutRatio" advise="1"/>
      <ddeItem name="TX4N07C29400.TF-ID,Name,Price,TotalVolume,InOutRatio" advise="1"/>
      <ddeItem name="TX4N07C29450.TF-ID,Name,Price,TotalVolume,InOutRatio" advise="1"/>
      <ddeItem name="TX4N07C29500.TF-ID,Name,Price,TotalVolume,InOutRatio" advise="1"/>
      <ddeItem name="TX4N07C29550.TF-ID,Name,Price,TotalVolume,InOutRatio" advise="1"/>
      <ddeItem name="TX4N07C29600.TF-ID,Name,Price,TotalVolume,InOutRatio" advise="1"/>
      <ddeItem name="TX4N07C29650.TF-ID,Name,Price,TotalVolume,InOutRatio" advise="1"/>
      <ddeItem name="TX4N07C29700.TF-ID,Name,Price,TotalVolume,InOutRatio" advise="1"/>
      <ddeItem name="TX4N07C29750.TF-ID,Name,Price,TotalVolume,InOutRatio" advise="1"/>
      <ddeItem name="TX4N07C29800.TF-ID,Name,Price,TotalVolume,InOutRatio" advise="1"/>
      <ddeItem name="TX4N07C29850.TF-ID,Name,Price,TotalVolume,InOutRatio" advise="1"/>
      <ddeItem name="TX4N07C29900.TF-ID,Name,Price,TotalVolume,InOutRatio" advise="1"/>
      <ddeItem name="TX4N07C29950.TF-ID,Name,Price,TotalVolume,InOutRatio" advise="1"/>
      <ddeItem name="TX4N07C30000.TF-ID,Name,Price,TotalVolume,InOutRatio" advise="1"/>
      <ddeItem name="TX4N07P15500.TF-ID,Name,Price,TotalVolume,InOutRatio" advise="1"/>
      <ddeItem name="TX4N07P15550.TF-ID,Name,Price,TotalVolume,InOutRatio" advise="1"/>
      <ddeItem name="TX4N07P15600.TF-ID,Name,Price,TotalVolume,InOutRatio" advise="1"/>
      <ddeItem name="TX4N07P15650.TF-ID,Name,Price,TotalVolume,InOutRatio" advise="1"/>
      <ddeItem name="TX4N07P15700.TF-ID,Name,Price,TotalVolume,InOutRatio" advise="1"/>
      <ddeItem name="TX4N07P15750.TF-ID,Name,Price,TotalVolume,InOutRatio" advise="1"/>
      <ddeItem name="TX4N07P15800.TF-ID,Name,Price,TotalVolume,InOutRatio" advise="1"/>
      <ddeItem name="TX4N07P15850.TF-ID,Name,Price,TotalVolume,InOutRatio" advise="1"/>
      <ddeItem name="TX4N07P15900.TF-ID,Name,Price,TotalVolume,InOutRatio" advise="1"/>
      <ddeItem name="TX4N07P15950.TF-ID,Name,Price,TotalVolume,InOutRatio" advise="1"/>
      <ddeItem name="TX4N07P16000.TF-ID,Name,Price,TotalVolume,InOutRatio" advise="1"/>
      <ddeItem name="TX4N07P16050.TF-ID,Name,Price,TotalVolume,InOutRatio" advise="1"/>
      <ddeItem name="TX4N07P16100.TF-ID,Name,Price,TotalVolume,InOutRatio" advise="1"/>
      <ddeItem name="TX4N07P16150.TF-ID,Name,Price,TotalVolume,InOutRatio" advise="1"/>
      <ddeItem name="TX4N07P16200.TF-ID,Name,Price,TotalVolume,InOutRatio" advise="1"/>
      <ddeItem name="TX4N07P16250.TF-ID,Name,Price,TotalVolume,InOutRatio" advise="1"/>
      <ddeItem name="TX4N07P16300.TF-ID,Name,Price,TotalVolume,InOutRatio" advise="1"/>
      <ddeItem name="TX4N07P16350.TF-ID,Name,Price,TotalVolume,InOutRatio" advise="1"/>
      <ddeItem name="TX4N07P16400.TF-ID,Name,Price,TotalVolume,InOutRatio" advise="1"/>
      <ddeItem name="TX4N07P16450.TF-ID,Name,Price,TotalVolume,InOutRatio" advise="1"/>
      <ddeItem name="TX4N07P16500.TF-ID,Name,Price,TotalVolume,InOutRatio" advise="1"/>
      <ddeItem name="TX4N07P16550.TF-ID,Name,Price,TotalVolume,InOutRatio" advise="1"/>
      <ddeItem name="TX4N07P16600.TF-ID,Name,Price,TotalVolume,InOutRatio" advise="1"/>
      <ddeItem name="TX4N07P16650.TF-ID,Name,Price,TotalVolume,InOutRatio" advise="1"/>
      <ddeItem name="TX4N07P16700.TF-ID,Name,Price,TotalVolume,InOutRatio" advise="1"/>
      <ddeItem name="TX4N07P16750.TF-ID,Name,Price,TotalVolume,InOutRatio" advise="1"/>
      <ddeItem name="TX4N07P16800.TF-ID,Name,Price,TotalVolume,InOutRatio" advise="1"/>
      <ddeItem name="TX4N07P16850.TF-ID,Name,Price,TotalVolume,InOutRatio" advise="1"/>
      <ddeItem name="TX4N07P16900.TF-ID,Name,Price,TotalVolume,InOutRatio" advise="1"/>
      <ddeItem name="TX4N07P16950.TF-ID,Name,Price,TotalVolume,InOutRatio" advise="1"/>
      <ddeItem name="TX4N07P17000.TF-ID,Name,Price,TotalVolume,InOutRatio" advise="1"/>
      <ddeItem name="TX4N07P17050.TF-ID,Name,Price,TotalVolume,InOutRatio" advise="1"/>
      <ddeItem name="TX4N07P17100.TF-ID,Name,Price,TotalVolume,InOutRatio" advise="1"/>
      <ddeItem name="TX4N07P17150.TF-ID,Name,Price,TotalVolume,InOutRatio" advise="1"/>
      <ddeItem name="TX4N07P17200.TF-ID,Name,Price,TotalVolume,InOutRatio" advise="1"/>
      <ddeItem name="TX4N07P17250.TF-ID,Name,Price,TotalVolume,InOutRatio" advise="1"/>
      <ddeItem name="TX4N07P17300.TF-ID,Name,Price,TotalVolume,InOutRatio" advise="1"/>
      <ddeItem name="TX4N07P17350.TF-ID,Name,Price,TotalVolume,InOutRatio" advise="1"/>
      <ddeItem name="TX4N07P17400.TF-ID,Name,Price,TotalVolume,InOutRatio" advise="1"/>
      <ddeItem name="TX4N07P17450.TF-ID,Name,Price,TotalVolume,InOutRatio" advise="1"/>
      <ddeItem name="TX4N07P17500.TF-ID,Name,Price,TotalVolume,InOutRatio" advise="1"/>
      <ddeItem name="TX4N07P17550.TF-ID,Name,Price,TotalVolume,InOutRatio" advise="1"/>
      <ddeItem name="TX4N07P17600.TF-ID,Name,Price,TotalVolume,InOutRatio" advise="1"/>
      <ddeItem name="TX4N07P17650.TF-ID,Name,Price,TotalVolume,InOutRatio" advise="1"/>
      <ddeItem name="TX4N07P17700.TF-ID,Name,Price,TotalVolume,InOutRatio" advise="1"/>
      <ddeItem name="TX4N07P17750.TF-ID,Name,Price,TotalVolume,InOutRatio" advise="1"/>
      <ddeItem name="TX4N07P17800.TF-ID,Name,Price,TotalVolume,InOutRatio" advise="1"/>
      <ddeItem name="TX4N07P17850.TF-ID,Name,Price,TotalVolume,InOutRatio" advise="1"/>
      <ddeItem name="TX4N07P17900.TF-ID,Name,Price,TotalVolume,InOutRatio" advise="1"/>
      <ddeItem name="TX4N07P17950.TF-ID,Name,Price,TotalVolume,InOutRatio" advise="1"/>
      <ddeItem name="TX4N07P18000.TF-ID,Name,Price,TotalVolume,InOutRatio" advise="1"/>
      <ddeItem name="TX4N07P18050.TF-ID,Name,Price,TotalVolume,InOutRatio" advise="1"/>
      <ddeItem name="TX4N07P18100.TF-ID,Name,Price,TotalVolume,InOutRatio" advise="1"/>
      <ddeItem name="TX4N07P18150.TF-ID,Name,Price,TotalVolume,InOutRatio" advise="1"/>
      <ddeItem name="TX4N07P18200.TF-ID,Name,Price,TotalVolume,InOutRatio" advise="1"/>
      <ddeItem name="TX4N07P18250.TF-ID,Name,Price,TotalVolume,InOutRatio" advise="1"/>
      <ddeItem name="TX4N07P18300.TF-ID,Name,Price,TotalVolume,InOutRatio" advise="1"/>
      <ddeItem name="TX4N07P18350.TF-ID,Name,Price,TotalVolume,InOutRatio" advise="1"/>
      <ddeItem name="TX4N07P18400.TF-ID,Name,Price,TotalVolume,InOutRatio" advise="1"/>
      <ddeItem name="TX4N07P18450.TF-ID,Name,Price,TotalVolume,InOutRatio" advise="1"/>
      <ddeItem name="TX4N07P18500.TF-ID,Name,Price,TotalVolume,InOutRatio" advise="1"/>
      <ddeItem name="TX4N07P18550.TF-ID,Name,Price,TotalVolume,InOutRatio" advise="1"/>
      <ddeItem name="TX4N07P18600.TF-ID,Name,Price,TotalVolume,InOutRatio" advise="1"/>
      <ddeItem name="TX4N07P18650.TF-ID,Name,Price,TotalVolume,InOutRatio" advise="1"/>
      <ddeItem name="TX4N07P18700.TF-ID,Name,Price,TotalVolume,InOutRatio" advise="1"/>
      <ddeItem name="TX4N07P18750.TF-ID,Name,Price,TotalVolume,InOutRatio" advise="1"/>
      <ddeItem name="TX4N07P18800.TF-ID,Name,Price,TotalVolume,InOutRatio" advise="1"/>
      <ddeItem name="TX4N07P18850.TF-ID,Name,Price,TotalVolume,InOutRatio" advise="1"/>
      <ddeItem name="TX4N07P18900.TF-ID,Name,Price,TotalVolume,InOutRatio" advise="1"/>
      <ddeItem name="TX4N07P18950.TF-ID,Name,Price,TotalVolume,InOutRatio" advise="1"/>
      <ddeItem name="TX4N07P19000.TF-ID,Name,Price,TotalVolume,InOutRatio" advise="1"/>
      <ddeItem name="TX4N07P19050.TF-ID,Name,Price,TotalVolume,InOutRatio" advise="1"/>
      <ddeItem name="TX4N07P19100.TF-ID,Name,Price,TotalVolume,InOutRatio" advise="1"/>
      <ddeItem name="TX4N07P19150.TF-ID,Name,Price,TotalVolume,InOutRatio" advise="1"/>
      <ddeItem name="TX4N07P19200.TF-ID,Name,Price,TotalVolume,InOutRatio" advise="1"/>
      <ddeItem name="TX4N07P19250.TF-ID,Name,Price,TotalVolume,InOutRatio" advise="1"/>
      <ddeItem name="TX4N07P19300.TF-ID,Name,Price,TotalVolume,InOutRatio" advise="1"/>
      <ddeItem name="TX4N07P19350.TF-ID,Name,Price,TotalVolume,InOutRatio" advise="1"/>
      <ddeItem name="TX4N07P19400.TF-ID,Name,Price,TotalVolume,InOutRatio" advise="1"/>
      <ddeItem name="TX4N07P19450.TF-ID,Name,Price,TotalVolume,InOutRatio" advise="1"/>
      <ddeItem name="TX4N07P19500.TF-ID,Name,Price,TotalVolume,InOutRatio" advise="1"/>
      <ddeItem name="TX4N07P19550.TF-ID,Name,Price,TotalVolume,InOutRatio" advise="1"/>
      <ddeItem name="TX4N07P19600.TF-ID,Name,Price,TotalVolume,InOutRatio" advise="1"/>
      <ddeItem name="TX4N07P19650.TF-ID,Name,Price,TotalVolume,InOutRatio" advise="1"/>
      <ddeItem name="TX4N07P19700.TF-ID,Name,Price,TotalVolume,InOutRatio" advise="1"/>
      <ddeItem name="TX4N07P19750.TF-ID,Name,Price,TotalVolume,InOutRatio" advise="1"/>
      <ddeItem name="TX4N07P19800.TF-ID,Name,Price,TotalVolume,InOutRatio" advise="1"/>
      <ddeItem name="TX4N07P19850.TF-ID,Name,Price,TotalVolume,InOutRatio" advise="1"/>
      <ddeItem name="TX4N07P19900.TF-ID,Name,Price,TotalVolume,InOutRatio" advise="1"/>
      <ddeItem name="TX4N07P19950.TF-ID,Name,Price,TotalVolume,InOutRatio" advise="1"/>
      <ddeItem name="TX4N07P20000.TF-ID,Name,Price,TotalVolume,InOutRatio" advise="1"/>
      <ddeItem name="TX4N07P20050.TF-ID,Name,Price,TotalVolume,InOutRatio" advise="1"/>
      <ddeItem name="TX4N07P20100.TF-ID,Name,Price,TotalVolume,InOutRatio" advise="1">
        <values cols="5">
          <value t="str">
            <val>TX4N07P20100</val>
          </value>
          <value t="str">
            <val>台指選07W4 P 20100</val>
          </value>
          <value>
            <val>1</val>
          </value>
          <value>
            <val>499</val>
          </value>
          <value>
            <val>30.6</val>
          </value>
        </values>
      </ddeItem>
      <ddeItem name="TX4N07P20150.TF-ID,Name,Price,TotalVolume,InOutRatio" advise="1"/>
      <ddeItem name="TX4N07P20200.TF-ID,Name,Price,TotalVolume,InOutRatio" advise="1">
        <values cols="5">
          <value t="str">
            <val>TX4N07P20200</val>
          </value>
          <value t="str">
            <val>台指選07W4 P 20200</val>
          </value>
          <value>
            <val>1</val>
          </value>
          <value>
            <val>7</val>
          </value>
          <value>
            <val>14.29</val>
          </value>
        </values>
      </ddeItem>
      <ddeItem name="TX4N07P20250.TF-ID,Name,Price,TotalVolume,InOutRatio" advise="1"/>
      <ddeItem name="TX4N07P20300.TF-ID,Name,Price,TotalVolume,InOutRatio" advise="1">
        <values cols="5">
          <value t="str">
            <val>TX4N07P20300</val>
          </value>
          <value t="str">
            <val>台指選07W4 P 20300</val>
          </value>
          <value>
            <val>1.3</val>
          </value>
          <value>
            <val>6</val>
          </value>
          <value>
            <val>50</val>
          </value>
        </values>
      </ddeItem>
      <ddeItem name="TX4N07P20350.TF-ID,Name,Price,TotalVolume,InOutRatio" advise="1"/>
      <ddeItem name="TX4N07P20400.TF-ID,Name,Price,TotalVolume,InOutRatio" advise="1">
        <values cols="5">
          <value t="str">
            <val>TX4N07P20400</val>
          </value>
          <value t="str">
            <val>台指選07W4 P 20400</val>
          </value>
          <value>
            <val>1.1000000000000001</val>
          </value>
          <value>
            <val>5</val>
          </value>
          <value>
            <val>0</val>
          </value>
        </values>
      </ddeItem>
      <ddeItem name="TX4N07P20450.TF-ID,Name,Price,TotalVolume,InOutRatio" advise="1"/>
      <ddeItem name="TX4N07P20500.TF-ID,Name,Price,TotalVolume,InOutRatio" advise="1">
        <values cols="5">
          <value t="str">
            <val>TX4N07P20500</val>
          </value>
          <value t="str">
            <val>台指選07W4 P 20500</val>
          </value>
          <value>
            <val>1.3</val>
          </value>
          <value>
            <val>5</val>
          </value>
          <value>
            <val>80</val>
          </value>
        </values>
      </ddeItem>
      <ddeItem name="TX4N07P20550.TF-ID,Name,Price,TotalVolume,InOutRatio" advise="1"/>
      <ddeItem name="TX4N07P20600.TF-ID,Name,Price,TotalVolume,InOutRatio" advise="1">
        <values cols="5">
          <value t="str">
            <val>TX4N07P20600</val>
          </value>
          <value t="str">
            <val>台指選07W4 P 20600</val>
          </value>
          <value>
            <val>1.1000000000000001</val>
          </value>
          <value>
            <val>3</val>
          </value>
          <value>
            <val>33.33</val>
          </value>
        </values>
      </ddeItem>
      <ddeItem name="TX4N07P20650.TF-ID,Name,Price,TotalVolume,InOutRatio" advise="1"/>
      <ddeItem name="TX4N07P20700.TF-ID,Name,Price,TotalVolume,InOutRatio" advise="1">
        <values cols="5">
          <value t="str">
            <val>TX4N07P20700</val>
          </value>
          <value t="str">
            <val>台指選07W4 P 20700</val>
          </value>
          <value>
            <val>1.4</val>
          </value>
          <value>
            <val>2</val>
          </value>
          <value>
            <val>0</val>
          </value>
        </values>
      </ddeItem>
      <ddeItem name="TX4N07P20750.TF-ID,Name,Price,TotalVolume,InOutRatio" advise="1"/>
      <ddeItem name="TX4N07P20800.TF-ID,Name,Price,TotalVolume,InOutRatio" advise="1">
        <values cols="5">
          <value t="str">
            <val>TX4N07P20800</val>
          </value>
          <value t="str">
            <val>台指選07W4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850.TF-ID,Name,Price,TotalVolume,InOutRatio" advise="1"/>
      <ddeItem name="TX4N07P20900.TF-ID,Name,Price,TotalVolume,InOutRatio" advise="1">
        <values cols="5">
          <value t="str">
            <val>TX4N07P20900</val>
          </value>
          <value t="str">
            <val>台指選07W4 P 20900</val>
          </value>
          <value>
            <val>1.4</val>
          </value>
          <value>
            <val>21</val>
          </value>
          <value>
            <val>100</val>
          </value>
        </values>
      </ddeItem>
      <ddeItem name="TX4N07P20950.TF-ID,Name,Price,TotalVolume,InOutRatio" advise="1"/>
      <ddeItem name="TX4N07P21000.TF-ID,Name,Price,TotalVolume,InOutRatio" advise="1">
        <values cols="5">
          <value t="str">
            <val>TX4N07P21000</val>
          </value>
          <value t="str">
            <val>台指選07W4 P 21000</val>
          </value>
          <value>
            <val>1.3</val>
          </value>
          <value>
            <val>101</val>
          </value>
          <value>
            <val>63.37</val>
          </value>
        </values>
      </ddeItem>
      <ddeItem name="TX4N07P21050.TF-ID,Name,Price,TotalVolume,InOutRatio" advise="1"/>
      <ddeItem name="TX4N07P21100.TF-ID,Name,Price,TotalVolume,InOutRatio" advise="1">
        <values cols="5">
          <value t="str">
            <val>TX4N07P21100</val>
          </value>
          <value t="str">
            <val>台指選07W4 P 21100</val>
          </value>
          <value>
            <val>1.2</val>
          </value>
          <value>
            <val>1</val>
          </value>
          <value>
            <val>0</val>
          </value>
        </values>
      </ddeItem>
      <ddeItem name="TX4N07P21150.TF-ID,Name,Price,TotalVolume,InOutRatio" advise="1"/>
      <ddeItem name="TX4N07P21200.TF-ID,Name,Price,TotalVolume,InOutRatio" advise="1">
        <values cols="5">
          <value t="str">
            <val>TX4N07P21200</val>
          </value>
          <value t="str">
            <val>台指選07W4 P 21200</val>
          </value>
          <value>
            <val>2</val>
          </value>
          <value>
            <val>4</val>
          </value>
          <value>
            <val>33.33</val>
          </value>
        </values>
      </ddeItem>
      <ddeItem name="TX4N07P21250.TF-ID,Name,Price,TotalVolume,InOutRatio" advise="1"/>
      <ddeItem name="TX4N07P21300.TF-ID,Name,Price,TotalVolume,InOutRatio" advise="1">
        <values cols="5">
          <value t="str">
            <val>TX4N07P21300</val>
          </value>
          <value t="str">
            <val>台指選07W4 P 21300</val>
          </value>
          <value>
            <val>1.7</val>
          </value>
          <value>
            <val>92</val>
          </value>
          <value>
            <val>0</val>
          </value>
        </values>
      </ddeItem>
      <ddeItem name="TX4N07P21350.TF-ID,Name,Price,TotalVolume,InOutRatio" advise="1"/>
      <ddeItem name="TX4N07P21400.TF-ID,Name,Price,TotalVolume,InOutRatio" advise="1">
        <values cols="5">
          <value t="str">
            <val>TX4N07P21400</val>
          </value>
          <value t="str">
            <val>台指選07W4 P 21400</val>
          </value>
          <value>
            <val>2</val>
          </value>
          <value>
            <val>63</val>
          </value>
          <value>
            <val>39.68</val>
          </value>
        </values>
      </ddeItem>
      <ddeItem name="TX4N07P21450.TF-ID,Name,Price,TotalVolume,InOutRatio" advise="1"/>
      <ddeItem name="TX4N07P21500.TF-ID,Name,Price,TotalVolume,InOutRatio" advise="1">
        <values cols="5">
          <value t="str">
            <val>TX4N07P21500</val>
          </value>
          <value t="str">
            <val>台指選07W4 P 21500</val>
          </value>
          <value>
            <val>2.5</val>
          </value>
          <value>
            <val>74</val>
          </value>
          <value>
            <val>52.7</val>
          </value>
        </values>
      </ddeItem>
      <ddeItem name="TX4N07P21500.TF-price" advise="1">
        <values>
          <value>
            <val>2.5</val>
          </value>
        </values>
      </ddeItem>
      <ddeItem name="TX4N07P21550.TF-ID,Name,Price,TotalVolume,InOutRatio" advise="1"/>
      <ddeItem name="TX4N07P21600.TF-ID,Name,Price,TotalVolume,InOutRatio" advise="1">
        <values cols="5">
          <value t="str">
            <val>TX4N07P21600</val>
          </value>
          <value t="str">
            <val>台指選07W4 P 21600</val>
          </value>
          <value>
            <val>2.6</val>
          </value>
          <value>
            <val>54</val>
          </value>
          <value>
            <val>74.069999999999993</val>
          </value>
        </values>
      </ddeItem>
      <ddeItem name="TX4N07P21650.TF-ID,Name,Price,TotalVolume,InOutRatio" advise="1"/>
      <ddeItem name="TX4N07P21700.TF-ID,Name,Price,TotalVolume,InOutRatio" advise="1">
        <values cols="5">
          <value t="str">
            <val>TX4N07P21700</val>
          </value>
          <value t="str">
            <val>台指選07W4 P 21700</val>
          </value>
          <value>
            <val>3</val>
          </value>
          <value>
            <val>7</val>
          </value>
          <value>
            <val>71.430000000000007</val>
          </value>
        </values>
      </ddeItem>
      <ddeItem name="TX4N07P21750.TF-ID,Name,Price,TotalVolume,InOutRatio" advise="1">
        <values cols="5">
          <value t="str">
            <val>TX4N07P21750</val>
          </value>
          <value t="str">
            <val>台指選07W4 P 21750</val>
          </value>
          <value>
            <val>1.9</val>
          </value>
          <value>
            <val>12</val>
          </value>
          <value>
            <val>50</val>
          </value>
        </values>
      </ddeItem>
      <ddeItem name="TX4N07P21800.TF-ID,Name,Price,TotalVolume,InOutRatio" advise="1">
        <values cols="5">
          <value t="str">
            <val>TX4N07P21800</val>
          </value>
          <value t="str">
            <val>台指選07W4 P 21800</val>
          </value>
          <value>
            <val>3.7</val>
          </value>
          <value>
            <val>25</val>
          </value>
          <value>
            <val>52</val>
          </value>
        </values>
      </ddeItem>
      <ddeItem name="TX4N07P21800.TF-price" advise="1">
        <values>
          <value>
            <val>3.7</val>
          </value>
        </values>
      </ddeItem>
      <ddeItem name="TX4N07P21850.TF-ID,Name,Price,TotalVolume,InOutRatio" advise="1">
        <values cols="5">
          <value t="str">
            <val>TX4N07P21850</val>
          </value>
          <value t="str">
            <val>台指選07W4 P 21850</val>
          </value>
          <value>
            <val>3.3</val>
          </value>
          <value>
            <val>31</val>
          </value>
          <value>
            <val>70.97</val>
          </value>
        </values>
      </ddeItem>
      <ddeItem name="TX4N07P21900.TF-ID,Name,Price,TotalVolume,InOutRatio" advise="1">
        <values cols="5">
          <value t="str">
            <val>TX4N07P21900</val>
          </value>
          <value t="str">
            <val>台指選07W4 P 21900</val>
          </value>
          <value>
            <val>2.7</val>
          </value>
          <value>
            <val>186</val>
          </value>
          <value>
            <val>67.61</val>
          </value>
        </values>
      </ddeItem>
      <ddeItem name="TX4N07P21950.TF-ID,Name,Price,TotalVolume,InOutRatio" advise="1">
        <values cols="5">
          <value t="str">
            <val>TX4N07P21950</val>
          </value>
          <value t="str">
            <val>台指選07W4 P 21950</val>
          </value>
          <value>
            <val>3.5</val>
          </value>
          <value>
            <val>45</val>
          </value>
          <value>
            <val>65.709999999999994</val>
          </value>
        </values>
      </ddeItem>
      <ddeItem name="TX4N07P22000.TF-ID,Name,Price,TotalVolume,InOutRatio" advise="1">
        <values cols="5">
          <value t="str">
            <val>TX4N07P22000</val>
          </value>
          <value t="str">
            <val>台指選07W4 P 22000</val>
          </value>
          <value>
            <val>3.6</val>
          </value>
          <value>
            <val>393</val>
          </value>
          <value>
            <val>69.97</val>
          </value>
        </values>
      </ddeItem>
      <ddeItem name="TX4N07P22050.TF-ID,Name,Price,TotalVolume,InOutRatio" advise="1">
        <values cols="5">
          <value t="str">
            <val>TX4N07P22050</val>
          </value>
          <value t="str">
            <val>台指選07W4 P 22050</val>
          </value>
          <value>
            <val>2.5</val>
          </value>
          <value>
            <val>19</val>
          </value>
          <value>
            <val>31.58</val>
          </value>
        </values>
      </ddeItem>
      <ddeItem name="TX4N07P22100.TF-ID,Name,Price,TotalVolume,InOutRatio" advise="1">
        <values cols="5">
          <value t="str">
            <val>TX4N07P22100</val>
          </value>
          <value t="str">
            <val>台指選07W4 P 22100</val>
          </value>
          <value>
            <val>4.5999999999999996</val>
          </value>
          <value>
            <val>89</val>
          </value>
          <value>
            <val>48.31</val>
          </value>
        </values>
      </ddeItem>
      <ddeItem name="TX4N07P22150.TF-ID,Name,Price,TotalVolume,InOutRatio" advise="1">
        <values cols="5">
          <value t="str">
            <val>TX4N07P22150</val>
          </value>
          <value t="str">
            <val>台指選07W4 P 22150</val>
          </value>
          <value>
            <val>4</val>
          </value>
          <value>
            <val>54</val>
          </value>
          <value>
            <val>44.44</val>
          </value>
        </values>
      </ddeItem>
      <ddeItem name="TX4N07P22200.TF-ID,Name,Price,TotalVolume,InOutRatio" advise="1">
        <values cols="5">
          <value t="str">
            <val>TX4N07P22200</val>
          </value>
          <value t="str">
            <val>台指選07W4 P 22200</val>
          </value>
          <value>
            <val>6</val>
          </value>
          <value>
            <val>247</val>
          </value>
          <value>
            <val>52.84</val>
          </value>
        </values>
      </ddeItem>
      <ddeItem name="TX4N07P22250.TF-ID,Name,Price,TotalVolume,InOutRatio" advise="1">
        <values cols="5">
          <value t="str">
            <val>TX4N07P22250</val>
          </value>
          <value t="str">
            <val>台指選07W4 P 22250</val>
          </value>
          <value>
            <val>12</val>
          </value>
          <value>
            <val>104</val>
          </value>
          <value>
            <val>73.08</val>
          </value>
        </values>
      </ddeItem>
      <ddeItem name="TX4N07P22300.TF-ID,Name,Price,TotalVolume,InOutRatio" advise="1">
        <values cols="5">
          <value t="str">
            <val>TX4N07P22300</val>
          </value>
          <value t="str">
            <val>台指選07W4 P 22300</val>
          </value>
          <value>
            <val>6</val>
          </value>
          <value>
            <val>337</val>
          </value>
          <value>
            <val>79.22</val>
          </value>
        </values>
      </ddeItem>
      <ddeItem name="TX4N07P22350.TF-ID,Name,Price,TotalVolume,InOutRatio" advise="1">
        <values cols="5">
          <value t="str">
            <val>TX4N07P22350</val>
          </value>
          <value t="str">
            <val>台指選07W4 P 22350</val>
          </value>
          <value>
            <val>7</val>
          </value>
          <value>
            <val>110</val>
          </value>
          <value>
            <val>60</val>
          </value>
        </values>
      </ddeItem>
      <ddeItem name="TX4N07P22400.TF-ID,Name,Price,TotalVolume,InOutRatio" advise="1">
        <values cols="5">
          <value t="str">
            <val>TX4N07P22400</val>
          </value>
          <value t="str">
            <val>台指選07W4 P 22400</val>
          </value>
          <value>
            <val>7.1</val>
          </value>
          <value>
            <val>302</val>
          </value>
          <value>
            <val>55.78</val>
          </value>
        </values>
      </ddeItem>
      <ddeItem name="TX4N07P22450.TF-ID,Name,Price,TotalVolume,InOutRatio" advise="1">
        <values cols="5">
          <value t="str">
            <val>TX4N07P22450</val>
          </value>
          <value t="str">
            <val>台指選07W4 P 22450</val>
          </value>
          <value>
            <val>7.8</val>
          </value>
          <value>
            <val>329</val>
          </value>
          <value>
            <val>62.08</val>
          </value>
        </values>
      </ddeItem>
      <ddeItem name="TX4N07P22500.TF-ID,Name,Price,TotalVolume,InOutRatio" advise="1">
        <values cols="5">
          <value t="str">
            <val>TX4N07P22500</val>
          </value>
          <value t="str">
            <val>台指選07W4 P 22500</val>
          </value>
          <value>
            <val>10</val>
          </value>
          <value>
            <val>1414</val>
          </value>
          <value>
            <val>64.25</val>
          </value>
        </values>
      </ddeItem>
      <ddeItem name="TX4N07P22550.TF-ID,Name,Price,TotalVolume,InOutRatio" advise="1">
        <values cols="5">
          <value t="str">
            <val>TX4N07P22550</val>
          </value>
          <value t="str">
            <val>台指選07W4 P 22550</val>
          </value>
          <value>
            <val>10</val>
          </value>
          <value>
            <val>490</val>
          </value>
          <value>
            <val>72.959999999999994</val>
          </value>
        </values>
      </ddeItem>
      <ddeItem name="TX4N07P22600.TF-ID,Name,Price,TotalVolume,InOutRatio" advise="1">
        <values cols="5">
          <value t="str">
            <val>TX4N07P22600</val>
          </value>
          <value t="str">
            <val>台指選07W4 P 22600</val>
          </value>
          <value>
            <val>12.5</val>
          </value>
          <value>
            <val>781</val>
          </value>
          <value>
            <val>58.13</val>
          </value>
        </values>
      </ddeItem>
      <ddeItem name="TX4N07P22600.TF-price" advise="1">
        <values>
          <value>
            <val>12.5</val>
          </value>
        </values>
      </ddeItem>
      <ddeItem name="TX4N07P22650.TF-ID,Name,Price,TotalVolume,InOutRatio" advise="1">
        <values cols="5">
          <value t="str">
            <val>TX4N07P22650</val>
          </value>
          <value t="str">
            <val>台指選07W4 P 22650</val>
          </value>
          <value>
            <val>13</val>
          </value>
          <value>
            <val>738</val>
          </value>
          <value>
            <val>56.52</val>
          </value>
        </values>
      </ddeItem>
      <ddeItem name="TX4N07P22700.TF-ID,Name,Price,TotalVolume,InOutRatio" advise="1">
        <values cols="5">
          <value t="str">
            <val>TX4N07P22700</val>
          </value>
          <value t="str">
            <val>台指選07W4 P 22700</val>
          </value>
          <value>
            <val>18</val>
          </value>
          <value>
            <val>988</val>
          </value>
          <value>
            <val>60.37</val>
          </value>
        </values>
      </ddeItem>
      <ddeItem name="TX4N07P22750.TF-ID,Name,Price,TotalVolume,InOutRatio" advise="1">
        <values cols="5">
          <value t="str">
            <val>TX4N07P22750</val>
          </value>
          <value t="str">
            <val>台指選07W4 P 22750</val>
          </value>
          <value>
            <val>22</val>
          </value>
          <value>
            <val>882</val>
          </value>
          <value>
            <val>37.33</val>
          </value>
        </values>
      </ddeItem>
      <ddeItem name="TX4N07P22800.TF-ID,Name,Price,TotalVolume,InOutRatio" advise="1">
        <values cols="5">
          <value t="str">
            <val>TX4N07P22800</val>
          </value>
          <value t="str">
            <val>台指選07W4 P 22800</val>
          </value>
          <value>
            <val>24.5</val>
          </value>
          <value>
            <val>2270</val>
          </value>
          <value>
            <val>42.43</val>
          </value>
        </values>
      </ddeItem>
      <ddeItem name="TX4N07P22850.TF-ID,Name,Price,TotalVolume,InOutRatio" advise="1">
        <values cols="5">
          <value t="str">
            <val>TX4N07P22850</val>
          </value>
          <value t="str">
            <val>台指選07W4 P 22850</val>
          </value>
          <value>
            <val>35</val>
          </value>
          <value>
            <val>1342</val>
          </value>
          <value>
            <val>35.97</val>
          </value>
        </values>
      </ddeItem>
      <ddeItem name="TX4N07P22900.TF-ID,Name,Price,TotalVolume,InOutRatio" advise="1">
        <values cols="5">
          <value t="str">
            <val>TX4N07P22900</val>
          </value>
          <value t="str">
            <val>台指選07W4 P 22900</val>
          </value>
          <value>
            <val>36.5</val>
          </value>
          <value>
            <val>2511</val>
          </value>
          <value>
            <val>48.85</val>
          </value>
        </values>
      </ddeItem>
      <ddeItem name="TX4N07P22950.TF-ID,Name,Price,TotalVolume,InOutRatio" advise="1">
        <values cols="5">
          <value t="str">
            <val>TX4N07P22950</val>
          </value>
          <value t="str">
            <val>台指選07W4 P 22950</val>
          </value>
          <value>
            <val>44.5</val>
          </value>
          <value>
            <val>1756</val>
          </value>
          <value>
            <val>47.54</val>
          </value>
        </values>
      </ddeItem>
      <ddeItem name="TX4N07P23000.TF-ID,Name,Price,TotalVolume,InOutRatio" advise="1">
        <values cols="5">
          <value t="str">
            <val>TX4N07P23000</val>
          </value>
          <value t="str">
            <val>台指選07W4 P 23000</val>
          </value>
          <value>
            <val>53</val>
          </value>
          <value>
            <val>4940</val>
          </value>
          <value>
            <val>48.22</val>
          </value>
        </values>
      </ddeItem>
      <ddeItem name="TX4N07P23050.TF-ID,Name,Price,TotalVolume,InOutRatio" advise="1">
        <values cols="5">
          <value t="str">
            <val>TX4N07P23050</val>
          </value>
          <value t="str">
            <val>台指選07W4 P 23050</val>
          </value>
          <value>
            <val>65</val>
          </value>
          <value>
            <val>3144</val>
          </value>
          <value>
            <val>58.07</val>
          </value>
        </values>
      </ddeItem>
      <ddeItem name="TX4N07P23100.TF-ID,Name,Price,TotalVolume,InOutRatio" advise="1">
        <values cols="5">
          <value t="str">
            <val>TX4N07P23100</val>
          </value>
          <value t="str">
            <val>台指選07W4 P 23100</val>
          </value>
          <value>
            <val>75</val>
          </value>
          <value>
            <val>3980</val>
          </value>
          <value>
            <val>48.24</val>
          </value>
        </values>
      </ddeItem>
      <ddeItem name="TX4N07P23150.TF-ID,Name,Price,TotalVolume,InOutRatio" advise="1">
        <values cols="5">
          <value t="str">
            <val>TX4N07P23150</val>
          </value>
          <value t="str">
            <val>台指選07W4 P 23150</val>
          </value>
          <value>
            <val>92</val>
          </value>
          <value>
            <val>2576</val>
          </value>
          <value>
            <val>47.27</val>
          </value>
        </values>
      </ddeItem>
      <ddeItem name="TX4N07P23200.TF-ID,Name,Price,TotalVolume,InOutRatio" advise="1">
        <values cols="5">
          <value t="str">
            <val>TX4N07P23200</val>
          </value>
          <value t="str">
            <val>台指選07W4 P 23200</val>
          </value>
          <value>
            <val>109</val>
          </value>
          <value>
            <val>5271</val>
          </value>
          <value>
            <val>43.23</val>
          </value>
        </values>
      </ddeItem>
      <ddeItem name="TX4N07P23250.TF-ID,Name,Price,TotalVolume,InOutRatio" advise="1">
        <values cols="5">
          <value t="str">
            <val>TX4N07P23250</val>
          </value>
          <value t="str">
            <val>台指選07W4 P 23250</val>
          </value>
          <value>
            <val>123</val>
          </value>
          <value>
            <val>3101</val>
          </value>
          <value>
            <val>48.24</val>
          </value>
        </values>
      </ddeItem>
      <ddeItem name="TX4N07P23300.TF-ID,Name,Price,TotalVolume,InOutRatio" advise="1">
        <values cols="5">
          <value t="str">
            <val>TX4N07P23300</val>
          </value>
          <value t="str">
            <val>台指選07W4 P 23300</val>
          </value>
          <value>
            <val>150</val>
          </value>
          <value>
            <val>4248</val>
          </value>
          <value>
            <val>46.14</val>
          </value>
        </values>
      </ddeItem>
      <ddeItem name="TX4N07P23350.TF-ID,Name,Price,TotalVolume,InOutRatio" advise="1">
        <values cols="5">
          <value t="str">
            <val>TX4N07P23350</val>
          </value>
          <value t="str">
            <val>台指選07W4 P 23350</val>
          </value>
          <value>
            <val>181</val>
          </value>
          <value>
            <val>2223</val>
          </value>
          <value>
            <val>47.95</val>
          </value>
        </values>
      </ddeItem>
      <ddeItem name="TX4N07P23400.TF-ID,Name,Price,TotalVolume,InOutRatio" advise="1">
        <values cols="5">
          <value t="str">
            <val>TX4N07P23400</val>
          </value>
          <value t="str">
            <val>台指選07W4 P 23400</val>
          </value>
          <value>
            <val>211</val>
          </value>
          <value>
            <val>3198</val>
          </value>
          <value>
            <val>47.73</val>
          </value>
        </values>
      </ddeItem>
      <ddeItem name="TX4N07P23450.TF-ID,Name,Price,TotalVolume,InOutRatio" advise="1">
        <values cols="5">
          <value t="str">
            <val>TX4N07P23450</val>
          </value>
          <value t="str">
            <val>台指選07W4 P 23450</val>
          </value>
          <value>
            <val>252</val>
          </value>
          <value>
            <val>709</val>
          </value>
          <value>
            <val>54.09</val>
          </value>
        </values>
      </ddeItem>
      <ddeItem name="TX4N07P23500.TF-ID,Name,Price,TotalVolume,InOutRatio" advise="1">
        <values cols="5">
          <value t="str">
            <val>TX4N07P23500</val>
          </value>
          <value t="str">
            <val>台指選07W4 P 23500</val>
          </value>
          <value>
            <val>273</val>
          </value>
          <value>
            <val>1088</val>
          </value>
          <value>
            <val>54.49</val>
          </value>
        </values>
      </ddeItem>
      <ddeItem name="TX4N07P23550.TF-ID,Name,Price,TotalVolume,InOutRatio" advise="1">
        <values cols="5">
          <value t="str">
            <val>TX4N07P23550</val>
          </value>
          <value t="str">
            <val>台指選07W4 P 23550</val>
          </value>
          <value>
            <val>311</val>
          </value>
          <value>
            <val>272</val>
          </value>
          <value>
            <val>51.12</val>
          </value>
        </values>
      </ddeItem>
      <ddeItem name="TX4N07P23600.TF-ID,Name,Price,TotalVolume,InOutRatio" advise="1">
        <values cols="5">
          <value t="str">
            <val>TX4N07P23600</val>
          </value>
          <value t="str">
            <val>台指選07W4 P 23600</val>
          </value>
          <value>
            <val>358</val>
          </value>
          <value>
            <val>184</val>
          </value>
          <value>
            <val>45.9</val>
          </value>
        </values>
      </ddeItem>
      <ddeItem name="TX4N07P23650.TF-ID,Name,Price,TotalVolume,InOutRatio" advise="1">
        <values cols="5">
          <value t="str">
            <val>TX4N07P23650</val>
          </value>
          <value t="str">
            <val>台指選07W4 P 23650</val>
          </value>
          <value>
            <val>392</val>
          </value>
          <value>
            <val>85</val>
          </value>
          <value>
            <val>55.29</val>
          </value>
        </values>
      </ddeItem>
      <ddeItem name="TX4N07P23700.TF-ID,Name,Price,TotalVolume,InOutRatio" advise="1">
        <values cols="5">
          <value t="str">
            <val>TX4N07P23700</val>
          </value>
          <value t="str">
            <val>台指選07W4 P 23700</val>
          </value>
          <value>
            <val>425</val>
          </value>
          <value>
            <val>28</val>
          </value>
          <value>
            <val>25</val>
          </value>
        </values>
      </ddeItem>
      <ddeItem name="TX4N07P23750.TF-ID,Name,Price,TotalVolume,InOutRatio" advise="1">
        <values cols="5">
          <value t="str">
            <val>TX4N07P23750</val>
          </value>
          <value t="str">
            <val>台指選07W4 P 23750</val>
          </value>
          <value>
            <val>438</val>
          </value>
          <value>
            <val>20</val>
          </value>
          <value>
            <val>0</val>
          </value>
        </values>
      </ddeItem>
      <ddeItem name="TX4N07P23800.TF-ID,Name,Price,TotalVolume,InOutRatio" advise="1">
        <values cols="5">
          <value t="str">
            <val>TX4N07P23800</val>
          </value>
          <value t="str">
            <val>台指選07W4 P 23800</val>
          </value>
          <value>
            <val>520</val>
          </value>
          <value>
            <val>11</val>
          </value>
          <value>
            <val>36.36</val>
          </value>
        </values>
      </ddeItem>
      <ddeItem name="TX4N07P23850.TF-ID,Name,Price,TotalVolume,InOutRatio" advise="1"/>
      <ddeItem name="TX4N07P23900.TF-ID,Name,Price,TotalVolume,InOutRatio" advise="1">
        <values cols="5">
          <value t="str">
            <val>TX4N07P23900</val>
          </value>
          <value t="str">
            <val>台指選07W4 P 23900</val>
          </value>
          <value>
            <val>620</val>
          </value>
          <value>
            <val>3</val>
          </value>
          <value>
            <val>0</val>
          </value>
        </values>
      </ddeItem>
      <ddeItem name="TX4N07P23950.TF-ID,Name,Price,TotalVolume,InOutRatio" advise="1"/>
      <ddeItem name="TX4N07P24000.TF-ID,Name,Price,TotalVolume,InOutRatio" advise="1">
        <values cols="5">
          <value t="str">
            <val>TX4N07P24000</val>
          </value>
          <value t="str">
            <val>台指選07W4 P 24000</val>
          </value>
          <value>
            <val>650</val>
          </value>
          <value>
            <val>2</val>
          </value>
          <value>
            <val>0</val>
          </value>
        </values>
      </ddeItem>
      <ddeItem name="TX4N07P24050.TF-ID,Name,Price,TotalVolume,InOutRatio" advise="1"/>
      <ddeItem name="TX4N07P24100.TF-ID,Name,Price,TotalVolume,InOutRatio" advise="1">
        <values cols="5">
          <value t="str">
            <val>TX4N07P24100</val>
          </value>
          <value t="str">
            <val>台指選07W4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150.TF-ID,Name,Price,TotalVolume,InOutRatio" advise="1"/>
      <ddeItem name="TX4N07P24200.TF-ID,Name,Price,TotalVolume,InOutRatio" advise="1">
        <values cols="5">
          <value t="str">
            <val>TX4N07P24200</val>
          </value>
          <value t="str">
            <val>台指選07W4 P 24200</val>
          </value>
          <value>
            <val>910</val>
          </value>
          <value>
            <val>25</val>
          </value>
          <value>
            <val>50</val>
          </value>
        </values>
      </ddeItem>
      <ddeItem name="TX4N07P24250.TF-ID,Name,Price,TotalVolume,InOutRatio" advise="1"/>
      <ddeItem name="TX4N07P24300.TF-ID,Name,Price,TotalVolume,InOutRatio" advise="1">
        <values cols="5">
          <value t="str">
            <val>TX4N07P24300</val>
          </value>
          <value t="str">
            <val>台指選07W4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350.TF-ID,Name,Price,TotalVolume,InOutRatio" advise="1"/>
      <ddeItem name="TX4N07P24400.TF-ID,Name,Price,TotalVolume,InOutRatio" advise="1">
        <values cols="5">
          <value t="str">
            <val>TX4N07P24400</val>
          </value>
          <value t="str">
            <val>台指選07W4 P 24400</val>
          </value>
          <value>
            <val>1080</val>
          </value>
          <value>
            <val>1</val>
          </value>
          <value>
            <val>100</val>
          </value>
        </values>
      </ddeItem>
      <ddeItem name="TX4N07P24450.TF-ID,Name,Price,TotalVolume,InOutRatio" advise="1"/>
      <ddeItem name="TX4N07P24500.TF-ID,Name,Price,TotalVolume,InOutRatio" advise="1">
        <values cols="5">
          <value t="str">
            <val>TX4N07P24500</val>
          </value>
          <value t="str">
            <val>台指選07W4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550.TF-ID,Name,Price,TotalVolume,InOutRatio" advise="1"/>
      <ddeItem name="TX4N07P24600.TF-ID,Name,Price,TotalVolume,InOutRatio" advise="1">
        <values cols="5">
          <value t="str">
            <val>TX4N07P24600</val>
          </value>
          <value t="str">
            <val>台指選07W4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650.TF-ID,Name,Price,TotalVolume,InOutRatio" advise="1"/>
      <ddeItem name="TX4N07P24700.TF-ID,Name,Price,TotalVolume,InOutRatio" advise="1">
        <values cols="5">
          <value t="str">
            <val>TX4N07P24700</val>
          </value>
          <value t="str">
            <val>台指選07W4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750.TF-ID,Name,Price,TotalVolume,InOutRatio" advise="1"/>
      <ddeItem name="TX4N07P24800.TF-ID,Name,Price,TotalVolume,InOutRatio" advise="1">
        <values cols="5">
          <value t="str">
            <val>TX4N07P24800</val>
          </value>
          <value t="str">
            <val>台指選07W4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850.TF-ID,Name,Price,TotalVolume,InOutRatio" advise="1"/>
      <ddeItem name="TX4N07P24900.TF-ID,Name,Price,TotalVolume,InOutRatio" advise="1">
        <values cols="5">
          <value t="str">
            <val>TX4N07P24900</val>
          </value>
          <value t="str">
            <val>台指選07W4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950.TF-ID,Name,Price,TotalVolume,InOutRatio" advise="1"/>
      <ddeItem name="TX4N07P25000.TF-ID,Name,Price,TotalVolume,InOutRatio" advise="1">
        <values cols="5">
          <value t="str">
            <val>TX4N07P25000</val>
          </value>
          <value t="str">
            <val>台指選07W4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050.TF-ID,Name,Price,TotalVolume,InOutRatio" advise="1"/>
      <ddeItem name="TX4N07P25100.TF-ID,Name,Price,TotalVolume,InOutRatio" advise="1">
        <values cols="5">
          <value t="str">
            <val>TX4N07P25100</val>
          </value>
          <value t="str">
            <val>台指選07W4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150.TF-ID,Name,Price,TotalVolume,InOutRatio" advise="1"/>
      <ddeItem name="TX4N07P25200.TF-ID,Name,Price,TotalVolume,InOutRatio" advise="1">
        <values cols="5">
          <value t="str">
            <val>TX4N07P25200</val>
          </value>
          <value t="str">
            <val>台指選07W4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250.TF-ID,Name,Price,TotalVolume,InOutRatio" advise="1"/>
      <ddeItem name="TX4N07P25300.TF-ID,Name,Price,TotalVolume,InOutRatio" advise="1">
        <values cols="5">
          <value t="str">
            <val>TX4N07P25300</val>
          </value>
          <value t="str">
            <val>台指選07W4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350.TF-ID,Name,Price,TotalVolume,InOutRatio" advise="1"/>
      <ddeItem name="TX4N07P25400.TF-ID,Name,Price,TotalVolume,InOutRatio" advise="1">
        <values cols="5">
          <value t="str">
            <val>TX4N07P25400</val>
          </value>
          <value t="str">
            <val>台指選07W4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450.TF-ID,Name,Price,TotalVolume,InOutRatio" advise="1"/>
      <ddeItem name="TX4N07P25500.TF-ID,Name,Price,TotalVolume,InOutRatio" advise="1">
        <values cols="5">
          <value t="str">
            <val>TX4N07P25500</val>
          </value>
          <value t="str">
            <val>台指選07W4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550.TF-ID,Name,Price,TotalVolume,InOutRatio" advise="1"/>
      <ddeItem name="TX4N07P25600.TF-ID,Name,Price,TotalVolume,InOutRatio" advise="1"/>
      <ddeItem name="TX4N07P25650.TF-ID,Name,Price,TotalVolume,InOutRatio" advise="1"/>
      <ddeItem name="TX4N07P25700.TF-ID,Name,Price,TotalVolume,InOutRatio" advise="1"/>
      <ddeItem name="TX4N07P25750.TF-ID,Name,Price,TotalVolume,InOutRatio" advise="1"/>
      <ddeItem name="TX4N07P25800.TF-ID,Name,Price,TotalVolume,InOutRatio" advise="1"/>
      <ddeItem name="TX4N07P25850.TF-ID,Name,Price,TotalVolume,InOutRatio" advise="1"/>
      <ddeItem name="TX4N07P25900.TF-ID,Name,Price,TotalVolume,InOutRatio" advise="1"/>
      <ddeItem name="TX4N07P25950.TF-ID,Name,Price,TotalVolume,InOutRatio" advise="1"/>
      <ddeItem name="TX4N07P26000.TF-ID,Name,Price,TotalVolume,InOutRatio" advise="1"/>
      <ddeItem name="TX4N07P26050.TF-ID,Name,Price,TotalVolume,InOutRatio" advise="1"/>
      <ddeItem name="TX4N07P26100.TF-ID,Name,Price,TotalVolume,InOutRatio" advise="1"/>
      <ddeItem name="TX4N07P26150.TF-ID,Name,Price,TotalVolume,InOutRatio" advise="1"/>
      <ddeItem name="TX4N07P26200.TF-ID,Name,Price,TotalVolume,InOutRatio" advise="1"/>
      <ddeItem name="TX4N07P26250.TF-ID,Name,Price,TotalVolume,InOutRatio" advise="1"/>
      <ddeItem name="TX4N07P26300.TF-ID,Name,Price,TotalVolume,InOutRatio" advise="1"/>
      <ddeItem name="TX4N07P26350.TF-ID,Name,Price,TotalVolume,InOutRatio" advise="1"/>
      <ddeItem name="TX4N07P26400.TF-ID,Name,Price,TotalVolume,InOutRatio" advise="1"/>
      <ddeItem name="TX4N07P26450.TF-ID,Name,Price,TotalVolume,InOutRatio" advise="1"/>
      <ddeItem name="TX4N07P26500.TF-ID,Name,Price,TotalVolume,InOutRatio" advise="1"/>
      <ddeItem name="TX4N07P26550.TF-ID,Name,Price,TotalVolume,InOutRatio" advise="1"/>
      <ddeItem name="TX4N07P26600.TF-ID,Name,Price,TotalVolume,InOutRatio" advise="1"/>
      <ddeItem name="TX4N07P26650.TF-ID,Name,Price,TotalVolume,InOutRatio" advise="1"/>
      <ddeItem name="TX4N07P26700.TF-ID,Name,Price,TotalVolume,InOutRatio" advise="1"/>
      <ddeItem name="TX4N07P26750.TF-ID,Name,Price,TotalVolume,InOutRatio" advise="1"/>
      <ddeItem name="TX4N07P26800.TF-ID,Name,Price,TotalVolume,InOutRatio" advise="1"/>
      <ddeItem name="TX4N07P26850.TF-ID,Name,Price,TotalVolume,InOutRatio" advise="1"/>
      <ddeItem name="TX4N07P26900.TF-ID,Name,Price,TotalVolume,InOutRatio" advise="1"/>
      <ddeItem name="TX4N07P26950.TF-ID,Name,Price,TotalVolume,InOutRatio" advise="1"/>
      <ddeItem name="TX4N07P27000.TF-ID,Name,Price,TotalVolume,InOutRatio" advise="1"/>
      <ddeItem name="TX4N07P27050.TF-ID,Name,Price,TotalVolume,InOutRatio" advise="1"/>
      <ddeItem name="TX4N07P27100.TF-ID,Name,Price,TotalVolume,InOutRatio" advise="1"/>
      <ddeItem name="TX4N07P27150.TF-ID,Name,Price,TotalVolume,InOutRatio" advise="1"/>
      <ddeItem name="TX4N07P27200.TF-ID,Name,Price,TotalVolume,InOutRatio" advise="1"/>
      <ddeItem name="TX4N07P27250.TF-ID,Name,Price,TotalVolume,InOutRatio" advise="1"/>
      <ddeItem name="TX4N07P27300.TF-ID,Name,Price,TotalVolume,InOutRatio" advise="1"/>
      <ddeItem name="TX4N07P27350.TF-ID,Name,Price,TotalVolume,InOutRatio" advise="1"/>
      <ddeItem name="TX4N07P27400.TF-ID,Name,Price,TotalVolume,InOutRatio" advise="1"/>
      <ddeItem name="TX4N07P27450.TF-ID,Name,Price,TotalVolume,InOutRatio" advise="1"/>
      <ddeItem name="TX4N07P27500.TF-ID,Name,Price,TotalVolume,InOutRatio" advise="1"/>
      <ddeItem name="TX4N07P27550.TF-ID,Name,Price,TotalVolume,InOutRatio" advise="1"/>
      <ddeItem name="TX4N07P27600.TF-ID,Name,Price,TotalVolume,InOutRatio" advise="1"/>
      <ddeItem name="TX4N07P27650.TF-ID,Name,Price,TotalVolume,InOutRatio" advise="1"/>
      <ddeItem name="TX4N07P27700.TF-ID,Name,Price,TotalVolume,InOutRatio" advise="1"/>
      <ddeItem name="TX4N07P27750.TF-ID,Name,Price,TotalVolume,InOutRatio" advise="1"/>
      <ddeItem name="TX4N07P27800.TF-ID,Name,Price,TotalVolume,InOutRatio" advise="1"/>
      <ddeItem name="TX4N07P27850.TF-ID,Name,Price,TotalVolume,InOutRatio" advise="1"/>
      <ddeItem name="TX4N07P27900.TF-ID,Name,Price,TotalVolume,InOutRatio" advise="1"/>
      <ddeItem name="TX4N07P27950.TF-ID,Name,Price,TotalVolume,InOutRatio" advise="1"/>
      <ddeItem name="TX4N07P28000.TF-ID,Name,Price,TotalVolume,InOutRatio" advise="1"/>
      <ddeItem name="TX4N07P28050.TF-ID,Name,Price,TotalVolume,InOutRatio" advise="1"/>
      <ddeItem name="TX4N07P28100.TF-ID,Name,Price,TotalVolume,InOutRatio" advise="1"/>
      <ddeItem name="TX4N07P28150.TF-ID,Name,Price,TotalVolume,InOutRatio" advise="1"/>
      <ddeItem name="TX4N07P28200.TF-ID,Name,Price,TotalVolume,InOutRatio" advise="1"/>
      <ddeItem name="TX4N07P28250.TF-ID,Name,Price,TotalVolume,InOutRatio" advise="1"/>
      <ddeItem name="TX4N07P28300.TF-ID,Name,Price,TotalVolume,InOutRatio" advise="1"/>
      <ddeItem name="TX4N07P28350.TF-ID,Name,Price,TotalVolume,InOutRatio" advise="1"/>
      <ddeItem name="TX4N07P28400.TF-ID,Name,Price,TotalVolume,InOutRatio" advise="1"/>
      <ddeItem name="TX4N07P28450.TF-ID,Name,Price,TotalVolume,InOutRatio" advise="1"/>
      <ddeItem name="TX4N07P28500.TF-ID,Name,Price,TotalVolume,InOutRatio" advise="1"/>
      <ddeItem name="TX4N07P28550.TF-ID,Name,Price,TotalVolume,InOutRatio" advise="1"/>
      <ddeItem name="TX4N07P28600.TF-ID,Name,Price,TotalVolume,InOutRatio" advise="1"/>
      <ddeItem name="TX4N07P28650.TF-ID,Name,Price,TotalVolume,InOutRatio" advise="1"/>
      <ddeItem name="TX4N07P28700.TF-ID,Name,Price,TotalVolume,InOutRatio" advise="1"/>
      <ddeItem name="TX4N07P28750.TF-ID,Name,Price,TotalVolume,InOutRatio" advise="1"/>
      <ddeItem name="TX4N07P28800.TF-ID,Name,Price,TotalVolume,InOutRatio" advise="1"/>
      <ddeItem name="TX4N07P28850.TF-ID,Name,Price,TotalVolume,InOutRatio" advise="1"/>
      <ddeItem name="TX4N07P28900.TF-ID,Name,Price,TotalVolume,InOutRatio" advise="1"/>
      <ddeItem name="TX4N07P28950.TF-ID,Name,Price,TotalVolume,InOutRatio" advise="1"/>
      <ddeItem name="TX4N07P29000.TF-ID,Name,Price,TotalVolume,InOutRatio" advise="1"/>
      <ddeItem name="TX4N07P29050.TF-ID,Name,Price,TotalVolume,InOutRatio" advise="1"/>
      <ddeItem name="TX4N07P29100.TF-ID,Name,Price,TotalVolume,InOutRatio" advise="1"/>
      <ddeItem name="TX4N07P29150.TF-ID,Name,Price,TotalVolume,InOutRatio" advise="1"/>
      <ddeItem name="TX4N07P29200.TF-ID,Name,Price,TotalVolume,InOutRatio" advise="1"/>
      <ddeItem name="TX4N07P29250.TF-ID,Name,Price,TotalVolume,InOutRatio" advise="1"/>
      <ddeItem name="TX4N07P29300.TF-ID,Name,Price,TotalVolume,InOutRatio" advise="1"/>
      <ddeItem name="TX4N07P29350.TF-ID,Name,Price,TotalVolume,InOutRatio" advise="1"/>
      <ddeItem name="TX4N07P29400.TF-ID,Name,Price,TotalVolume,InOutRatio" advise="1"/>
      <ddeItem name="TX4N07P29450.TF-ID,Name,Price,TotalVolume,InOutRatio" advise="1"/>
      <ddeItem name="TX4N07P29500.TF-ID,Name,Price,TotalVolume,InOutRatio" advise="1"/>
      <ddeItem name="TX4N07P29550.TF-ID,Name,Price,TotalVolume,InOutRatio" advise="1"/>
      <ddeItem name="TX4N07P29600.TF-ID,Name,Price,TotalVolume,InOutRatio" advise="1"/>
      <ddeItem name="TX4N07P29650.TF-ID,Name,Price,TotalVolume,InOutRatio" advise="1"/>
      <ddeItem name="TX4N07P29700.TF-ID,Name,Price,TotalVolume,InOutRatio" advise="1"/>
      <ddeItem name="TX4N07P29750.TF-ID,Name,Price,TotalVolume,InOutRatio" advise="1"/>
      <ddeItem name="TX4N07P29800.TF-ID,Name,Price,TotalVolume,InOutRatio" advise="1"/>
      <ddeItem name="TX4N07P29850.TF-ID,Name,Price,TotalVolume,InOutRatio" advise="1"/>
      <ddeItem name="TX4N07P29900.TF-ID,Name,Price,TotalVolume,InOutRatio" advise="1"/>
      <ddeItem name="TX4N07P29950.TF-ID,Name,Price,TotalVolume,InOutRatio" advise="1"/>
      <ddeItem name="TX4N07P30000.TF-ID,Name,Price,TotalVolume,InOutRatio" advise="1"/>
      <ddeItem name="TXYN07C15500.TF-ID,Name,Price,TotalVolume,InOutRatio" advise="1"/>
      <ddeItem name="TXYN07C15550.TF-ID,Name,Price,TotalVolume,InOutRatio" advise="1"/>
      <ddeItem name="TXYN07C15600.TF-ID,Name,Price,TotalVolume,InOutRatio" advise="1"/>
      <ddeItem name="TXYN07C15650.TF-ID,Name,Price,TotalVolume,InOutRatio" advise="1"/>
      <ddeItem name="TXYN07C15700.TF-ID,Name,Price,TotalVolume,InOutRatio" advise="1"/>
      <ddeItem name="TXYN07C15750.TF-ID,Name,Price,TotalVolume,InOutRatio" advise="1"/>
      <ddeItem name="TXYN07C15800.TF-ID,Name,Price,TotalVolume,InOutRatio" advise="1"/>
      <ddeItem name="TXYN07C15850.TF-ID,Name,Price,TotalVolume,InOutRatio" advise="1"/>
      <ddeItem name="TXYN07C15900.TF-ID,Name,Price,TotalVolume,InOutRatio" advise="1"/>
      <ddeItem name="TXYN07C15950.TF-ID,Name,Price,TotalVolume,InOutRatio" advise="1"/>
      <ddeItem name="TXYN07C16000.TF-ID,Name,Price,TotalVolume,InOutRatio" advise="1"/>
      <ddeItem name="TXYN07C16050.TF-ID,Name,Price,TotalVolume,InOutRatio" advise="1"/>
      <ddeItem name="TXYN07C16100.TF-ID,Name,Price,TotalVolume,InOutRatio" advise="1"/>
      <ddeItem name="TXYN07C16150.TF-ID,Name,Price,TotalVolume,InOutRatio" advise="1"/>
      <ddeItem name="TXYN07C16200.TF-ID,Name,Price,TotalVolume,InOutRatio" advise="1"/>
      <ddeItem name="TXYN07C16250.TF-ID,Name,Price,TotalVolume,InOutRatio" advise="1"/>
      <ddeItem name="TXYN07C16300.TF-ID,Name,Price,TotalVolume,InOutRatio" advise="1"/>
      <ddeItem name="TXYN07C16350.TF-ID,Name,Price,TotalVolume,InOutRatio" advise="1"/>
      <ddeItem name="TXYN07C16400.TF-ID,Name,Price,TotalVolume,InOutRatio" advise="1"/>
      <ddeItem name="TXYN07C16450.TF-ID,Name,Price,TotalVolume,InOutRatio" advise="1"/>
      <ddeItem name="TXYN07C16500.TF-ID,Name,Price,TotalVolume,InOutRatio" advise="1"/>
      <ddeItem name="TXYN07C16550.TF-ID,Name,Price,TotalVolume,InOutRatio" advise="1"/>
      <ddeItem name="TXYN07C16600.TF-ID,Name,Price,TotalVolume,InOutRatio" advise="1"/>
      <ddeItem name="TXYN07C16650.TF-ID,Name,Price,TotalVolume,InOutRatio" advise="1"/>
      <ddeItem name="TXYN07C16700.TF-ID,Name,Price,TotalVolume,InOutRatio" advise="1"/>
      <ddeItem name="TXYN07C16750.TF-ID,Name,Price,TotalVolume,InOutRatio" advise="1"/>
      <ddeItem name="TXYN07C16800.TF-ID,Name,Price,TotalVolume,InOutRatio" advise="1"/>
      <ddeItem name="TXYN07C16850.TF-ID,Name,Price,TotalVolume,InOutRatio" advise="1"/>
      <ddeItem name="TXYN07C16900.TF-ID,Name,Price,TotalVolume,InOutRatio" advise="1"/>
      <ddeItem name="TXYN07C16950.TF-ID,Name,Price,TotalVolume,InOutRatio" advise="1"/>
      <ddeItem name="TXYN07C17000.TF-ID,Name,Price,TotalVolume,InOutRatio" advise="1"/>
      <ddeItem name="TXYN07C17050.TF-ID,Name,Price,TotalVolume,InOutRatio" advise="1"/>
      <ddeItem name="TXYN07C17100.TF-ID,Name,Price,TotalVolume,InOutRatio" advise="1"/>
      <ddeItem name="TXYN07C17150.TF-ID,Name,Price,TotalVolume,InOutRatio" advise="1"/>
      <ddeItem name="TXYN07C17200.TF-ID,Name,Price,TotalVolume,InOutRatio" advise="1"/>
      <ddeItem name="TXYN07C17250.TF-ID,Name,Price,TotalVolume,InOutRatio" advise="1"/>
      <ddeItem name="TXYN07C17300.TF-ID,Name,Price,TotalVolume,InOutRatio" advise="1"/>
      <ddeItem name="TXYN07C17350.TF-ID,Name,Price,TotalVolume,InOutRatio" advise="1"/>
      <ddeItem name="TXYN07C17400.TF-ID,Name,Price,TotalVolume,InOutRatio" advise="1"/>
      <ddeItem name="TXYN07C17450.TF-ID,Name,Price,TotalVolume,InOutRatio" advise="1"/>
      <ddeItem name="TXYN07C17500.TF-ID,Name,Price,TotalVolume,InOutRatio" advise="1"/>
      <ddeItem name="TXYN07C17550.TF-ID,Name,Price,TotalVolume,InOutRatio" advise="1"/>
      <ddeItem name="TXYN07C17600.TF-ID,Name,Price,TotalVolume,InOutRatio" advise="1"/>
      <ddeItem name="TXYN07C17650.TF-ID,Name,Price,TotalVolume,InOutRatio" advise="1"/>
      <ddeItem name="TXYN07C17700.TF-ID,Name,Price,TotalVolume,InOutRatio" advise="1"/>
      <ddeItem name="TXYN07C17750.TF-ID,Name,Price,TotalVolume,InOutRatio" advise="1"/>
      <ddeItem name="TXYN07C17800.TF-ID,Name,Price,TotalVolume,InOutRatio" advise="1"/>
      <ddeItem name="TXYN07C17850.TF-ID,Name,Price,TotalVolume,InOutRatio" advise="1"/>
      <ddeItem name="TXYN07C17900.TF-ID,Name,Price,TotalVolume,InOutRatio" advise="1"/>
      <ddeItem name="TXYN07C17950.TF-ID,Name,Price,TotalVolume,InOutRatio" advise="1"/>
      <ddeItem name="TXYN07C18000.TF-ID,Name,Price,TotalVolume,InOutRatio" advise="1"/>
      <ddeItem name="TXYN07C18050.TF-ID,Name,Price,TotalVolume,InOutRatio" advise="1"/>
      <ddeItem name="TXYN07C18100.TF-ID,Name,Price,TotalVolume,InOutRatio" advise="1"/>
      <ddeItem name="TXYN07C18150.TF-ID,Name,Price,TotalVolume,InOutRatio" advise="1"/>
      <ddeItem name="TXYN07C18200.TF-ID,Name,Price,TotalVolume,InOutRatio" advise="1"/>
      <ddeItem name="TXYN07C18250.TF-ID,Name,Price,TotalVolume,InOutRatio" advise="1"/>
      <ddeItem name="TXYN07C18300.TF-ID,Name,Price,TotalVolume,InOutRatio" advise="1"/>
      <ddeItem name="TXYN07C18350.TF-ID,Name,Price,TotalVolume,InOutRatio" advise="1"/>
      <ddeItem name="TXYN07C18400.TF-ID,Name,Price,TotalVolume,InOutRatio" advise="1"/>
      <ddeItem name="TXYN07C18450.TF-ID,Name,Price,TotalVolume,InOutRatio" advise="1"/>
      <ddeItem name="TXYN07C18500.TF-ID,Name,Price,TotalVolume,InOutRatio" advise="1"/>
      <ddeItem name="TXYN07C18550.TF-ID,Name,Price,TotalVolume,InOutRatio" advise="1"/>
      <ddeItem name="TXYN07C18600.TF-ID,Name,Price,TotalVolume,InOutRatio" advise="1"/>
      <ddeItem name="TXYN07C18650.TF-ID,Name,Price,TotalVolume,InOutRatio" advise="1"/>
      <ddeItem name="TXYN07C18700.TF-ID,Name,Price,TotalVolume,InOutRatio" advise="1"/>
      <ddeItem name="TXYN07C18750.TF-ID,Name,Price,TotalVolume,InOutRatio" advise="1"/>
      <ddeItem name="TXYN07C18800.TF-ID,Name,Price,TotalVolume,InOutRatio" advise="1"/>
      <ddeItem name="TXYN07C18850.TF-ID,Name,Price,TotalVolume,InOutRatio" advise="1"/>
      <ddeItem name="TXYN07C18900.TF-ID,Name,Price,TotalVolume,InOutRatio" advise="1"/>
      <ddeItem name="TXYN07C18950.TF-ID,Name,Price,TotalVolume,InOutRatio" advise="1"/>
      <ddeItem name="TXYN07C19000.TF-ID,Name,Price,TotalVolume,InOutRatio" advise="1"/>
      <ddeItem name="TXYN07C19050.TF-ID,Name,Price,TotalVolume,InOutRatio" advise="1"/>
      <ddeItem name="TXYN07C19100.TF-ID,Name,Price,TotalVolume,InOutRatio" advise="1"/>
      <ddeItem name="TXYN07C19150.TF-ID,Name,Price,TotalVolume,InOutRatio" advise="1"/>
      <ddeItem name="TXYN07C19200.TF-ID,Name,Price,TotalVolume,InOutRatio" advise="1"/>
      <ddeItem name="TXYN07C19250.TF-ID,Name,Price,TotalVolume,InOutRatio" advise="1"/>
      <ddeItem name="TXYN07C19300.TF-ID,Name,Price,TotalVolume,InOutRatio" advise="1"/>
      <ddeItem name="TXYN07C19350.TF-ID,Name,Price,TotalVolume,InOutRatio" advise="1"/>
      <ddeItem name="TXYN07C19400.TF-ID,Name,Price,TotalVolume,InOutRatio" advise="1"/>
      <ddeItem name="TXYN07C19450.TF-ID,Name,Price,TotalVolume,InOutRatio" advise="1"/>
      <ddeItem name="TXYN07C19500.TF-ID,Name,Price,TotalVolume,InOutRatio" advise="1"/>
      <ddeItem name="TXYN07C19550.TF-ID,Name,Price,TotalVolume,InOutRatio" advise="1"/>
      <ddeItem name="TXYN07C19600.TF-ID,Name,Price,TotalVolume,InOutRatio" advise="1"/>
      <ddeItem name="TXYN07C19650.TF-ID,Name,Price,TotalVolume,InOutRatio" advise="1"/>
      <ddeItem name="TXYN07C19700.TF-ID,Name,Price,TotalVolume,InOutRatio" advise="1"/>
      <ddeItem name="TXYN07C19750.TF-ID,Name,Price,TotalVolume,InOutRatio" advise="1"/>
      <ddeItem name="TXYN07C19800.TF-ID,Name,Price,TotalVolume,InOutRatio" advise="1"/>
      <ddeItem name="TXYN07C19850.TF-ID,Name,Price,TotalVolume,InOutRatio" advise="1"/>
      <ddeItem name="TXYN07C19900.TF-ID,Name,Price,TotalVolume,InOutRatio" advise="1"/>
      <ddeItem name="TXYN07C19950.TF-ID,Name,Price,TotalVolume,InOutRatio" advise="1"/>
      <ddeItem name="TXYN07C20000.TF-ID,Name,Price,TotalVolume,InOutRatio" advise="1"/>
      <ddeItem name="TXYN07C20050.TF-ID,Name,Price,TotalVolume,InOutRatio" advise="1"/>
      <ddeItem name="TXYN07C20100.TF-ID,Name,Price,TotalVolume,InOutRatio" advise="1"/>
      <ddeItem name="TXYN07C20150.TF-ID,Name,Price,TotalVolume,InOutRatio" advise="1"/>
      <ddeItem name="TXYN07C20200.TF-ID,Name,Price,TotalVolume,InOutRatio" advise="1"/>
      <ddeItem name="TXYN07C20250.TF-ID,Name,Price,TotalVolume,InOutRatio" advise="1"/>
      <ddeItem name="TXYN07C20300.TF-ID,Name,Price,TotalVolume,InOutRatio" advise="1">
        <values cols="5">
          <value t="str">
            <val>TXYN07C20300</val>
          </value>
          <value t="str">
            <val>台指選07F4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350.TF-ID,Name,Price,TotalVolume,InOutRatio" advise="1"/>
      <ddeItem name="TXYN07C20400.TF-ID,Name,Price,TotalVolume,InOutRatio" advise="1">
        <values cols="5">
          <value t="str">
            <val>TXYN07C20400</val>
          </value>
          <value t="str">
            <val>台指選07F4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450.TF-ID,Name,Price,TotalVolume,InOutRatio" advise="1"/>
      <ddeItem name="TXYN07C20500.TF-ID,Name,Price,TotalVolume,InOutRatio" advise="1">
        <values cols="5">
          <value t="str">
            <val>TXYN07C20500</val>
          </value>
          <value t="str">
            <val>台指選07F4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550.TF-ID,Name,Price,TotalVolume,InOutRatio" advise="1"/>
      <ddeItem name="TXYN07C20600.TF-ID,Name,Price,TotalVolume,InOutRatio" advise="1">
        <values cols="5">
          <value t="str">
            <val>TXYN07C20600</val>
          </value>
          <value t="str">
            <val>台指選07F4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650.TF-ID,Name,Price,TotalVolume,InOutRatio" advise="1"/>
      <ddeItem name="TXYN07C20700.TF-ID,Name,Price,TotalVolume,InOutRatio" advise="1">
        <values cols="5">
          <value t="str">
            <val>TXYN07C20700</val>
          </value>
          <value t="str">
            <val>台指選07F4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750.TF-ID,Name,Price,TotalVolume,InOutRatio" advise="1"/>
      <ddeItem name="TXYN07C20800.TF-ID,Name,Price,TotalVolume,InOutRatio" advise="1">
        <values cols="5">
          <value t="str">
            <val>TXYN07C20800</val>
          </value>
          <value t="str">
            <val>台指選07F4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850.TF-ID,Name,Price,TotalVolume,InOutRatio" advise="1"/>
      <ddeItem name="TXYN07C20900.TF-ID,Name,Price,TotalVolume,InOutRatio" advise="1">
        <values cols="5">
          <value t="str">
            <val>TXYN07C20900</val>
          </value>
          <value t="str">
            <val>台指選07F4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950.TF-ID,Name,Price,TotalVolume,InOutRatio" advise="1"/>
      <ddeItem name="TXYN07C21000.TF-ID,Name,Price,TotalVolume,InOutRatio" advise="1">
        <values cols="5">
          <value t="str">
            <val>TXYN07C21000</val>
          </value>
          <value t="str">
            <val>台指選07F4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050.TF-ID,Name,Price,TotalVolume,InOutRatio" advise="1"/>
      <ddeItem name="TXYN07C21100.TF-ID,Name,Price,TotalVolume,InOutRatio" advise="1">
        <values cols="5">
          <value t="str">
            <val>TXYN07C21100</val>
          </value>
          <value t="str">
            <val>台指選07F4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150.TF-ID,Name,Price,TotalVolume,InOutRatio" advise="1"/>
      <ddeItem name="TXYN07C21200.TF-ID,Name,Price,TotalVolume,InOutRatio" advise="1">
        <values cols="5">
          <value t="str">
            <val>TXYN07C21200</val>
          </value>
          <value t="str">
            <val>台指選07F4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250.TF-ID,Name,Price,TotalVolume,InOutRatio" advise="1"/>
      <ddeItem name="TXYN07C21300.TF-ID,Name,Price,TotalVolume,InOutRatio" advise="1">
        <values cols="5">
          <value t="str">
            <val>TXYN07C21300</val>
          </value>
          <value t="str">
            <val>台指選07F4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350.TF-ID,Name,Price,TotalVolume,InOutRatio" advise="1"/>
      <ddeItem name="TXYN07C21400.TF-ID,Name,Price,TotalVolume,InOutRatio" advise="1">
        <values cols="5">
          <value t="str">
            <val>TXYN07C21400</val>
          </value>
          <value t="str">
            <val>台指選07F4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450.TF-ID,Name,Price,TotalVolume,InOutRatio" advise="1"/>
      <ddeItem name="TXYN07C21500.TF-ID,Name,Price,TotalVolume,InOutRatio" advise="1">
        <values cols="5">
          <value t="str">
            <val>TXYN07C21500</val>
          </value>
          <value t="str">
            <val>台指選07F4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550.TF-ID,Name,Price,TotalVolume,InOutRatio" advise="1"/>
      <ddeItem name="TXYN07C21600.TF-ID,Name,Price,TotalVolume,InOutRatio" advise="1">
        <values cols="5">
          <value t="str">
            <val>TXYN07C21600</val>
          </value>
          <value t="str">
            <val>台指選07F4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650.TF-ID,Name,Price,TotalVolume,InOutRatio" advise="1"/>
      <ddeItem name="TXYN07C21700.TF-ID,Name,Price,TotalVolume,InOutRatio" advise="1">
        <values cols="5">
          <value t="str">
            <val>TXYN07C21700</val>
          </value>
          <value t="str">
            <val>台指選07F4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750.TF-ID,Name,Price,TotalVolume,InOutRatio" advise="1"/>
      <ddeItem name="TXYN07C21800.TF-ID,Name,Price,TotalVolume,InOutRatio" advise="1">
        <values cols="5">
          <value t="str">
            <val>TXYN07C21800</val>
          </value>
          <value t="str">
            <val>台指選07F4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850.TF-ID,Name,Price,TotalVolume,InOutRatio" advise="1"/>
      <ddeItem name="TXYN07C21900.TF-ID,Name,Price,TotalVolume,InOutRatio" advise="1">
        <values cols="5">
          <value t="str">
            <val>TXYN07C21900</val>
          </value>
          <value t="str">
            <val>台指選07F4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950.TF-ID,Name,Price,TotalVolume,InOutRatio" advise="1">
        <values cols="5">
          <value t="str">
            <val>TXYN07C21950</val>
          </value>
          <value t="str">
            <val>台指選07F4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00.TF-ID,Name,Price,TotalVolume,InOutRatio" advise="1">
        <values cols="5">
          <value t="str">
            <val>TXYN07C22000</val>
          </value>
          <value t="str">
            <val>台指選07F4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50.TF-ID,Name,Price,TotalVolume,InOutRatio" advise="1">
        <values cols="5">
          <value t="str">
            <val>TXYN07C22050</val>
          </value>
          <value t="str">
            <val>台指選07F4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00.TF-ID,Name,Price,TotalVolume,InOutRatio" advise="1">
        <values cols="5">
          <value t="str">
            <val>TXYN07C22100</val>
          </value>
          <value t="str">
            <val>台指選07F4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50.TF-ID,Name,Price,TotalVolume,InOutRatio" advise="1">
        <values cols="5">
          <value t="str">
            <val>TXYN07C22150</val>
          </value>
          <value t="str">
            <val>台指選07F4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00.TF-ID,Name,Price,TotalVolume,InOutRatio" advise="1">
        <values cols="5">
          <value t="str">
            <val>TXYN07C22200</val>
          </value>
          <value t="str">
            <val>台指選07F4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50.TF-ID,Name,Price,TotalVolume,InOutRatio" advise="1">
        <values cols="5">
          <value t="str">
            <val>TXYN07C22250</val>
          </value>
          <value t="str">
            <val>台指選07F4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00.TF-ID,Name,Price,TotalVolume,InOutRatio" advise="1">
        <values cols="5">
          <value t="str">
            <val>TXYN07C22300</val>
          </value>
          <value t="str">
            <val>台指選07F4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50.TF-ID,Name,Price,TotalVolume,InOutRatio" advise="1">
        <values cols="5">
          <value t="str">
            <val>TXYN07C22350</val>
          </value>
          <value t="str">
            <val>台指選07F4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00.TF-ID,Name,Price,TotalVolume,InOutRatio" advise="1">
        <values cols="5">
          <value t="str">
            <val>TXYN07C22400</val>
          </value>
          <value t="str">
            <val>台指選07F4 C 22400</val>
          </value>
          <value>
            <val>975</val>
          </value>
          <value>
            <val>1</val>
          </value>
          <value>
            <val>100</val>
          </value>
        </values>
      </ddeItem>
      <ddeItem name="TXYN07C22450.TF-ID,Name,Price,TotalVolume,InOutRatio" advise="1">
        <values cols="5">
          <value t="str">
            <val>TXYN07C22450</val>
          </value>
          <value t="str">
            <val>台指選07F4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00.TF-ID,Name,Price,TotalVolume,InOutRatio" advise="1">
        <values cols="5">
          <value t="str">
            <val>TXYN07C22500</val>
          </value>
          <value t="str">
            <val>台指選07F4 C 22500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50.TF-ID,Name,Price,TotalVolume,InOutRatio" advise="1">
        <values cols="5">
          <value t="str">
            <val>TXYN07C22550</val>
          </value>
          <value t="str">
            <val>台指選07F4 C 22550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00.TF-ID,Name,Price,TotalVolume,InOutRatio" advise="1">
        <values cols="5">
          <value t="str">
            <val>TXYN07C22600</val>
          </value>
          <value t="str">
            <val>台指選07F4 C 22600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650.TF-ID,Name,Price,TotalVolume,InOutRatio" advise="1">
        <values cols="5">
          <value t="str">
            <val>TXYN07C22650</val>
          </value>
          <value t="str">
            <val>台指選07F4 C 22650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700.TF-ID,Name,Price,TotalVolume,InOutRatio" advise="1">
        <values cols="5">
          <value t="str">
            <val>TXYN07C22700</val>
          </value>
          <value t="str">
            <val>台指選07F4 C 22700</val>
          </value>
          <value>
            <val>655</val>
          </value>
          <value>
            <val>3</val>
          </value>
          <value>
            <val>100</val>
          </value>
        </values>
      </ddeItem>
      <ddeItem name="TXYN07C22750.TF-ID,Name,Price,TotalVolume,InOutRatio" advise="1">
        <values cols="5">
          <value t="str">
            <val>TXYN07C22750</val>
          </value>
          <value t="str">
            <val>台指選07F4 C 22750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800.TF-ID,Name,Price,TotalVolume,InOutRatio" advise="1">
        <values cols="5">
          <value t="str">
            <val>TXYN07C22800</val>
          </value>
          <value t="str">
            <val>台指選07F4 C 22800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850.TF-ID,Name,Price,TotalVolume,InOutRatio" advise="1">
        <values cols="5">
          <value t="str">
            <val>TXYN07C22850</val>
          </value>
          <value t="str">
            <val>台指選07F4 C 22850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900.TF-ID,Name,Price,TotalVolume,InOutRatio" advise="1">
        <values cols="5">
          <value t="str">
            <val>TXYN07C22900</val>
          </value>
          <value t="str">
            <val>台指選07F4 C 22900</val>
          </value>
          <value>
            <val>515</val>
          </value>
          <value>
            <val>5</val>
          </value>
          <value>
            <val>0</val>
          </value>
        </values>
      </ddeItem>
      <ddeItem name="TXYN07C22950.TF-ID,Name,Price,TotalVolume,InOutRatio" advise="1">
        <values cols="5">
          <value t="str">
            <val>TXYN07C22950</val>
          </value>
          <value t="str">
            <val>台指選07F4 C 22950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3000.TF-ID,Name,Price,TotalVolume,InOutRatio" advise="1">
        <values cols="5">
          <value t="str">
            <val>TXYN07C23000</val>
          </value>
          <value t="str">
            <val>台指選07F4 C 23000</val>
          </value>
          <value>
            <val>393</val>
          </value>
          <value>
            <val>4</val>
          </value>
          <value>
            <val>25</val>
          </value>
        </values>
      </ddeItem>
      <ddeItem name="TXYN07C23050.TF-ID,Name,Price,TotalVolume,InOutRatio" advise="1">
        <values cols="5">
          <value t="str">
            <val>TXYN07C23050</val>
          </value>
          <value t="str">
            <val>台指選07F4 C 23050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3100.TF-ID,Name,Price,TotalVolume,InOutRatio" advise="1">
        <values cols="5">
          <value t="str">
            <val>TXYN07C23100</val>
          </value>
          <value t="str">
            <val>台指選07F4 C 23100</val>
          </value>
          <value>
            <val>307</val>
          </value>
          <value>
            <val>4</val>
          </value>
          <value>
            <val>100</val>
          </value>
        </values>
      </ddeItem>
      <ddeItem name="TXYN07C23150.TF-ID,Name,Price,TotalVolume,InOutRatio" advise="1">
        <values cols="5">
          <value t="str">
            <val>TXYN07C23150</val>
          </value>
          <value t="str">
            <val>台指選07F4 C 23150</val>
          </value>
          <value>
            <val>280</val>
          </value>
          <value>
            <val>3</val>
          </value>
          <value>
            <val>66.67</val>
          </value>
        </values>
      </ddeItem>
      <ddeItem name="TXYN07C23200.TF-ID,Name,Price,TotalVolume,InOutRatio" advise="1">
        <values cols="5">
          <value t="str">
            <val>TXYN07C23200</val>
          </value>
          <value t="str">
            <val>台指選07F4 C 23200</val>
          </value>
          <value>
            <val>250</val>
          </value>
          <value>
            <val>6</val>
          </value>
          <value>
            <val>33.33</val>
          </value>
        </values>
      </ddeItem>
      <ddeItem name="TXYN07C23250.TF-ID,Name,Price,TotalVolume,InOutRatio" advise="1">
        <values cols="5">
          <value t="str">
            <val>TXYN07C23250</val>
          </value>
          <value t="str">
            <val>台指選07F4 C 23250</val>
          </value>
          <value>
            <val>222</val>
          </value>
          <value>
            <val>31</val>
          </value>
          <value>
            <val>41.94</val>
          </value>
        </values>
      </ddeItem>
      <ddeItem name="TXYN07C23300.TF-ID,Name,Price,TotalVolume,InOutRatio" advise="1">
        <values cols="5">
          <value t="str">
            <val>TXYN07C23300</val>
          </value>
          <value t="str">
            <val>台指選07F4 C 23300</val>
          </value>
          <value>
            <val>192</val>
          </value>
          <value>
            <val>50</val>
          </value>
          <value>
            <val>36</val>
          </value>
        </values>
      </ddeItem>
      <ddeItem name="TXYN07C23350.TF-ID,Name,Price,TotalVolume,InOutRatio" advise="1">
        <values cols="5">
          <value t="str">
            <val>TXYN07C23350</val>
          </value>
          <value t="str">
            <val>台指選07F4 C 23350</val>
          </value>
          <value>
            <val>173</val>
          </value>
          <value>
            <val>48</val>
          </value>
          <value>
            <val>43.75</val>
          </value>
        </values>
      </ddeItem>
      <ddeItem name="TXYN07C23400.TF-ID,Name,Price,TotalVolume,InOutRatio" advise="1">
        <values cols="5">
          <value t="str">
            <val>TXYN07C23400</val>
          </value>
          <value t="str">
            <val>台指選07F4 C 23400</val>
          </value>
          <value>
            <val>134</val>
          </value>
          <value>
            <val>78</val>
          </value>
          <value>
            <val>14.1</val>
          </value>
        </values>
      </ddeItem>
      <ddeItem name="TXYN07C23450.TF-ID,Name,Price,TotalVolume,InOutRatio" advise="1">
        <values cols="5">
          <value t="str">
            <val>TXYN07C23450</val>
          </value>
          <value t="str">
            <val>台指選07F4 C 23450</val>
          </value>
          <value>
            <val>122</val>
          </value>
          <value>
            <val>65</val>
          </value>
          <value>
            <val>20</val>
          </value>
        </values>
      </ddeItem>
      <ddeItem name="TXYN07C23500.TF-ID,Name,Price,TotalVolume,InOutRatio" advise="1">
        <values cols="5">
          <value t="str">
            <val>TXYN07C23500</val>
          </value>
          <value t="str">
            <val>台指選07F4 C 23500</val>
          </value>
          <value>
            <val>96</val>
          </value>
          <value>
            <val>139</val>
          </value>
          <value>
            <val>42.45</val>
          </value>
        </values>
      </ddeItem>
      <ddeItem name="TXYN07C23550.TF-ID,Name,Price,TotalVolume,InOutRatio" advise="1">
        <values cols="5">
          <value t="str">
            <val>TXYN07C23550</val>
          </value>
          <value t="str">
            <val>台指選07F4 C 23550</val>
          </value>
          <value>
            <val>79</val>
          </value>
          <value>
            <val>123</val>
          </value>
          <value>
            <val>80.33</val>
          </value>
        </values>
      </ddeItem>
      <ddeItem name="TXYN07C23600.TF-ID,Name,Price,TotalVolume,InOutRatio" advise="1">
        <values cols="5">
          <value t="str">
            <val>TXYN07C23600</val>
          </value>
          <value t="str">
            <val>台指選07F4 C 23600</val>
          </value>
          <value>
            <val>63</val>
          </value>
          <value>
            <val>101</val>
          </value>
          <value>
            <val>11.88</val>
          </value>
        </values>
      </ddeItem>
      <ddeItem name="TXYN07C23650.TF-ID,Name,Price,TotalVolume,InOutRatio" advise="1">
        <values cols="5">
          <value t="str">
            <val>TXYN07C23650</val>
          </value>
          <value t="str">
            <val>台指選07F4 C 23650</val>
          </value>
          <value>
            <val>48.5</val>
          </value>
          <value>
            <val>115</val>
          </value>
          <value>
            <val>34.78</val>
          </value>
        </values>
      </ddeItem>
      <ddeItem name="TXYN07C23700.TF-ID,Name,Price,TotalVolume,InOutRatio" advise="1">
        <values cols="5">
          <value t="str">
            <val>TXYN07C23700</val>
          </value>
          <value t="str">
            <val>台指選07F4 C 23700</val>
          </value>
          <value>
            <val>45</val>
          </value>
          <value>
            <val>90</val>
          </value>
          <value>
            <val>27.78</val>
          </value>
        </values>
      </ddeItem>
      <ddeItem name="TXYN07C23750.TF-ID,Name,Price,TotalVolume,InOutRatio" advise="1">
        <values cols="5">
          <value t="str">
            <val>TXYN07C23750</val>
          </value>
          <value t="str">
            <val>台指選07F4 C 23750</val>
          </value>
          <value>
            <val>34.5</val>
          </value>
          <value>
            <val>166</val>
          </value>
          <value>
            <val>12.73</val>
          </value>
        </values>
      </ddeItem>
      <ddeItem name="TXYN07C23800.TF-ID,Name,Price,TotalVolume,InOutRatio" advise="1">
        <values cols="5">
          <value t="str">
            <val>TXYN07C23800</val>
          </value>
          <value t="str">
            <val>台指選07F4 C 23800</val>
          </value>
          <value>
            <val>28</val>
          </value>
          <value>
            <val>502</val>
          </value>
          <value>
            <val>10.58</val>
          </value>
        </values>
      </ddeItem>
      <ddeItem name="TXYN07C23850.TF-ID,Name,Price,TotalVolume,InOutRatio" advise="1"/>
      <ddeItem name="TXYN07C23900.TF-ID,Name,Price,TotalVolume,InOutRatio" advise="1">
        <values cols="5">
          <value t="str">
            <val>TXYN07C23900</val>
          </value>
          <value t="str">
            <val>台指選07F4 C 23900</val>
          </value>
          <value>
            <val>18.5</val>
          </value>
          <value>
            <val>438</val>
          </value>
          <value>
            <val>14.38</val>
          </value>
        </values>
      </ddeItem>
      <ddeItem name="TXYN07C23950.TF-ID,Name,Price,TotalVolume,InOutRatio" advise="1"/>
      <ddeItem name="TXYN07C24000.TF-ID,Name,Price,TotalVolume,InOutRatio" advise="1">
        <values cols="5">
          <value t="str">
            <val>TXYN07C24000</val>
          </value>
          <value t="str">
            <val>台指選07F4 C 24000</val>
          </value>
          <value>
            <val>15</val>
          </value>
          <value>
            <val>234</val>
          </value>
          <value>
            <val>68.8</val>
          </value>
        </values>
      </ddeItem>
      <ddeItem name="TXYN07C24050.TF-ID,Name,Price,TotalVolume,InOutRatio" advise="1"/>
      <ddeItem name="TXYN07C24100.TF-ID,Name,Price,TotalVolume,InOutRatio" advise="1">
        <values cols="5">
          <value t="str">
            <val>TXYN07C24100</val>
          </value>
          <value t="str">
            <val>台指選07F4 C 24100</val>
          </value>
          <value>
            <val>8</val>
          </value>
          <value>
            <val>87</val>
          </value>
          <value>
            <val>36.78</val>
          </value>
        </values>
      </ddeItem>
      <ddeItem name="TXYN07C24150.TF-ID,Name,Price,TotalVolume,InOutRatio" advise="1"/>
      <ddeItem name="TXYN07C24200.TF-ID,Name,Price,TotalVolume,InOutRatio" advise="1">
        <values cols="5">
          <value t="str">
            <val>TXYN07C24200</val>
          </value>
          <value t="str">
            <val>台指選07F4 C 24200</val>
          </value>
          <value>
            <val>4.5</val>
          </value>
          <value>
            <val>117</val>
          </value>
          <value>
            <val>34.86</val>
          </value>
        </values>
      </ddeItem>
      <ddeItem name="TXYN07C24250.TF-ID,Name,Price,TotalVolume,InOutRatio" advise="1"/>
      <ddeItem name="TXYN07C24300.TF-ID,Name,Price,TotalVolume,InOutRatio" advise="1">
        <values cols="5">
          <value t="str">
            <val>TXYN07C24300</val>
          </value>
          <value t="str">
            <val>台指選07F4 C 24300</val>
          </value>
          <value>
            <val>4.5</val>
          </value>
          <value>
            <val>22</val>
          </value>
          <value>
            <val>63.64</val>
          </value>
        </values>
      </ddeItem>
      <ddeItem name="TXYN07C24350.TF-ID,Name,Price,TotalVolume,InOutRatio" advise="1"/>
      <ddeItem name="TXYN07C24400.TF-ID,Name,Price,TotalVolume,InOutRatio" advise="1">
        <values cols="5">
          <value t="str">
            <val>TXYN07C24400</val>
          </value>
          <value t="str">
            <val>台指選07F4 C 24400</val>
          </value>
          <value>
            <val>3</val>
          </value>
          <value>
            <val>8</val>
          </value>
          <value>
            <val>62.5</val>
          </value>
        </values>
      </ddeItem>
      <ddeItem name="TXYN07C24450.TF-ID,Name,Price,TotalVolume,InOutRatio" advise="1"/>
      <ddeItem name="TXYN07C24500.TF-ID,Name,Price,TotalVolume,InOutRatio" advise="1">
        <values cols="5">
          <value t="str">
            <val>TXYN07C24500</val>
          </value>
          <value t="str">
            <val>台指選07F4 C 24500</val>
          </value>
          <value>
            <val>5.8</val>
          </value>
          <value>
            <val>1</val>
          </value>
          <value>
            <val>100</val>
          </value>
        </values>
      </ddeItem>
      <ddeItem name="TXYN07C24550.TF-ID,Name,Price,TotalVolume,InOutRatio" advise="1"/>
      <ddeItem name="TXYN07C24600.TF-ID,Name,Price,TotalVolume,InOutRatio" advise="1">
        <values cols="5">
          <value t="str">
            <val>TXYN07C24600</val>
          </value>
          <value t="str">
            <val>台指選07F4 C 24600</val>
          </value>
          <value>
            <val>3</val>
          </value>
          <value>
            <val>27</val>
          </value>
          <value>
            <val>30.77</val>
          </value>
        </values>
      </ddeItem>
      <ddeItem name="TXYN07C24650.TF-ID,Name,Price,TotalVolume,InOutRatio" advise="1"/>
      <ddeItem name="TXYN07C24700.TF-ID,Name,Price,TotalVolume,InOutRatio" advise="1">
        <values cols="5">
          <value t="str">
            <val>TXYN07C24700</val>
          </value>
          <value t="str">
            <val>台指選07F4 C 24700</val>
          </value>
          <value>
            <val>1.3</val>
          </value>
          <value>
            <val>24</val>
          </value>
          <value>
            <val>100</val>
          </value>
        </values>
      </ddeItem>
      <ddeItem name="TXYN07C24750.TF-ID,Name,Price,TotalVolume,InOutRatio" advise="1"/>
      <ddeItem name="TXYN07C24800.TF-ID,Name,Price,TotalVolume,InOutRatio" advise="1">
        <values cols="5">
          <value t="str">
            <val>TXYN07C24800</val>
          </value>
          <value t="str">
            <val>台指選07F4 C 24800</val>
          </value>
          <value>
            <val>1.1000000000000001</val>
          </value>
          <value>
            <val>3</val>
          </value>
          <value>
            <val>100</val>
          </value>
        </values>
      </ddeItem>
      <ddeItem name="TXYN07C24850.TF-ID,Name,Price,TotalVolume,InOutRatio" advise="1"/>
      <ddeItem name="TXYN07C24900.TF-ID,Name,Price,TotalVolume,InOutRatio" advise="1">
        <values cols="5">
          <value t="str">
            <val>TXYN07C24900</val>
          </value>
          <value t="str">
            <val>台指選07F4 C 24900</val>
          </value>
          <value>
            <val>1</val>
          </value>
          <value>
            <val>5</val>
          </value>
          <value>
            <val>80</val>
          </value>
        </values>
      </ddeItem>
      <ddeItem name="TXYN07C24950.TF-ID,Name,Price,TotalVolume,InOutRatio" advise="1"/>
      <ddeItem name="TXYN07C25000.TF-ID,Name,Price,TotalVolume,InOutRatio" advise="1">
        <values cols="5">
          <value t="str">
            <val>TXYN07C25000</val>
          </value>
          <value t="str">
            <val>台指選07F4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050.TF-ID,Name,Price,TotalVolume,InOutRatio" advise="1"/>
      <ddeItem name="TXYN07C25100.TF-ID,Name,Price,TotalVolume,InOutRatio" advise="1">
        <values cols="5">
          <value t="str">
            <val>TXYN07C25100</val>
          </value>
          <value t="str">
            <val>台指選07F4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150.TF-ID,Name,Price,TotalVolume,InOutRatio" advise="1"/>
      <ddeItem name="TXYN07C25200.TF-ID,Name,Price,TotalVolume,InOutRatio" advise="1">
        <values cols="5">
          <value t="str">
            <val>TXYN07C25200</val>
          </value>
          <value t="str">
            <val>台指選07F4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250.TF-ID,Name,Price,TotalVolume,InOutRatio" advise="1"/>
      <ddeItem name="TXYN07C25300.TF-ID,Name,Price,TotalVolume,InOutRatio" advise="1">
        <values cols="5">
          <value t="str">
            <val>TXYN07C25300</val>
          </value>
          <value t="str">
            <val>台指選07F4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350.TF-ID,Name,Price,TotalVolume,InOutRatio" advise="1"/>
      <ddeItem name="TXYN07C25400.TF-ID,Name,Price,TotalVolume,InOutRatio" advise="1">
        <values cols="5">
          <value t="str">
            <val>TXYN07C25400</val>
          </value>
          <value t="str">
            <val>台指選07F4 C 25400</val>
          </value>
          <value>
            <val>0.1</val>
          </value>
          <value>
            <val>2</val>
          </value>
          <value>
            <val>0</val>
          </value>
        </values>
      </ddeItem>
      <ddeItem name="TXYN07C25450.TF-ID,Name,Price,TotalVolume,InOutRatio" advise="1"/>
      <ddeItem name="TXYN07C25500.TF-ID,Name,Price,TotalVolume,InOutRatio" advise="1">
        <values cols="5">
          <value t="str">
            <val>TXYN07C25500</val>
          </value>
          <value t="str">
            <val>台指選07F4 C 25500</val>
          </value>
          <value>
            <val>0.2</val>
          </value>
          <value>
            <val>6</val>
          </value>
          <value>
            <val>0</val>
          </value>
        </values>
      </ddeItem>
      <ddeItem name="TXYN07C25550.TF-ID,Name,Price,TotalVolume,InOutRatio" advise="1"/>
      <ddeItem name="TXYN07C25600.TF-ID,Name,Price,TotalVolume,InOutRatio" advise="1"/>
      <ddeItem name="TXYN07C25650.TF-ID,Name,Price,TotalVolume,InOutRatio" advise="1"/>
      <ddeItem name="TXYN07C25700.TF-ID,Name,Price,TotalVolume,InOutRatio" advise="1"/>
      <ddeItem name="TXYN07C25750.TF-ID,Name,Price,TotalVolume,InOutRatio" advise="1"/>
      <ddeItem name="TXYN07C25800.TF-ID,Name,Price,TotalVolume,InOutRatio" advise="1"/>
      <ddeItem name="TXYN07C25850.TF-ID,Name,Price,TotalVolume,InOutRatio" advise="1"/>
      <ddeItem name="TXYN07C25900.TF-ID,Name,Price,TotalVolume,InOutRatio" advise="1"/>
      <ddeItem name="TXYN07C25950.TF-ID,Name,Price,TotalVolume,InOutRatio" advise="1"/>
      <ddeItem name="TXYN07C26000.TF-ID,Name,Price,TotalVolume,InOutRatio" advise="1"/>
      <ddeItem name="TXYN07C26050.TF-ID,Name,Price,TotalVolume,InOutRatio" advise="1"/>
      <ddeItem name="TXYN07C26100.TF-ID,Name,Price,TotalVolume,InOutRatio" advise="1"/>
      <ddeItem name="TXYN07C26150.TF-ID,Name,Price,TotalVolume,InOutRatio" advise="1"/>
      <ddeItem name="TXYN07C26200.TF-ID,Name,Price,TotalVolume,InOutRatio" advise="1"/>
      <ddeItem name="TXYN07C26250.TF-ID,Name,Price,TotalVolume,InOutRatio" advise="1"/>
      <ddeItem name="TXYN07C26300.TF-ID,Name,Price,TotalVolume,InOutRatio" advise="1"/>
      <ddeItem name="TXYN07C26350.TF-ID,Name,Price,TotalVolume,InOutRatio" advise="1"/>
      <ddeItem name="TXYN07C26400.TF-ID,Name,Price,TotalVolume,InOutRatio" advise="1"/>
      <ddeItem name="TXYN07C26450.TF-ID,Name,Price,TotalVolume,InOutRatio" advise="1"/>
      <ddeItem name="TXYN07C26500.TF-ID,Name,Price,TotalVolume,InOutRatio" advise="1"/>
      <ddeItem name="TXYN07C26550.TF-ID,Name,Price,TotalVolume,InOutRatio" advise="1"/>
      <ddeItem name="TXYN07C26600.TF-ID,Name,Price,TotalVolume,InOutRatio" advise="1"/>
      <ddeItem name="TXYN07C26650.TF-ID,Name,Price,TotalVolume,InOutRatio" advise="1"/>
      <ddeItem name="TXYN07C26700.TF-ID,Name,Price,TotalVolume,InOutRatio" advise="1"/>
      <ddeItem name="TXYN07C26750.TF-ID,Name,Price,TotalVolume,InOutRatio" advise="1"/>
      <ddeItem name="TXYN07C26800.TF-ID,Name,Price,TotalVolume,InOutRatio" advise="1"/>
      <ddeItem name="TXYN07C26850.TF-ID,Name,Price,TotalVolume,InOutRatio" advise="1"/>
      <ddeItem name="TXYN07C26900.TF-ID,Name,Price,TotalVolume,InOutRatio" advise="1"/>
      <ddeItem name="TXYN07C26950.TF-ID,Name,Price,TotalVolume,InOutRatio" advise="1"/>
      <ddeItem name="TXYN07C27000.TF-ID,Name,Price,TotalVolume,InOutRatio" advise="1"/>
      <ddeItem name="TXYN07C27050.TF-ID,Name,Price,TotalVolume,InOutRatio" advise="1"/>
      <ddeItem name="TXYN07C27100.TF-ID,Name,Price,TotalVolume,InOutRatio" advise="1"/>
      <ddeItem name="TXYN07C27150.TF-ID,Name,Price,TotalVolume,InOutRatio" advise="1"/>
      <ddeItem name="TXYN07C27200.TF-ID,Name,Price,TotalVolume,InOutRatio" advise="1"/>
      <ddeItem name="TXYN07C27250.TF-ID,Name,Price,TotalVolume,InOutRatio" advise="1"/>
      <ddeItem name="TXYN07C27300.TF-ID,Name,Price,TotalVolume,InOutRatio" advise="1"/>
      <ddeItem name="TXYN07C27350.TF-ID,Name,Price,TotalVolume,InOutRatio" advise="1"/>
      <ddeItem name="TXYN07C27400.TF-ID,Name,Price,TotalVolume,InOutRatio" advise="1"/>
      <ddeItem name="TXYN07C27450.TF-ID,Name,Price,TotalVolume,InOutRatio" advise="1"/>
      <ddeItem name="TXYN07C27500.TF-ID,Name,Price,TotalVolume,InOutRatio" advise="1"/>
      <ddeItem name="TXYN07C27550.TF-ID,Name,Price,TotalVolume,InOutRatio" advise="1"/>
      <ddeItem name="TXYN07C27600.TF-ID,Name,Price,TotalVolume,InOutRatio" advise="1"/>
      <ddeItem name="TXYN07C27650.TF-ID,Name,Price,TotalVolume,InOutRatio" advise="1"/>
      <ddeItem name="TXYN07C27700.TF-ID,Name,Price,TotalVolume,InOutRatio" advise="1"/>
      <ddeItem name="TXYN07C27750.TF-ID,Name,Price,TotalVolume,InOutRatio" advise="1"/>
      <ddeItem name="TXYN07C27800.TF-ID,Name,Price,TotalVolume,InOutRatio" advise="1"/>
      <ddeItem name="TXYN07C27850.TF-ID,Name,Price,TotalVolume,InOutRatio" advise="1"/>
      <ddeItem name="TXYN07C27900.TF-ID,Name,Price,TotalVolume,InOutRatio" advise="1"/>
      <ddeItem name="TXYN07C27950.TF-ID,Name,Price,TotalVolume,InOutRatio" advise="1"/>
      <ddeItem name="TXYN07C28000.TF-ID,Name,Price,TotalVolume,InOutRatio" advise="1"/>
      <ddeItem name="TXYN07C28050.TF-ID,Name,Price,TotalVolume,InOutRatio" advise="1"/>
      <ddeItem name="TXYN07C28100.TF-ID,Name,Price,TotalVolume,InOutRatio" advise="1"/>
      <ddeItem name="TXYN07C28150.TF-ID,Name,Price,TotalVolume,InOutRatio" advise="1"/>
      <ddeItem name="TXYN07C28200.TF-ID,Name,Price,TotalVolume,InOutRatio" advise="1"/>
      <ddeItem name="TXYN07C28250.TF-ID,Name,Price,TotalVolume,InOutRatio" advise="1"/>
      <ddeItem name="TXYN07C28300.TF-ID,Name,Price,TotalVolume,InOutRatio" advise="1"/>
      <ddeItem name="TXYN07C28350.TF-ID,Name,Price,TotalVolume,InOutRatio" advise="1"/>
      <ddeItem name="TXYN07C28400.TF-ID,Name,Price,TotalVolume,InOutRatio" advise="1"/>
      <ddeItem name="TXYN07C28450.TF-ID,Name,Price,TotalVolume,InOutRatio" advise="1"/>
      <ddeItem name="TXYN07C28500.TF-ID,Name,Price,TotalVolume,InOutRatio" advise="1"/>
      <ddeItem name="TXYN07C28550.TF-ID,Name,Price,TotalVolume,InOutRatio" advise="1"/>
      <ddeItem name="TXYN07C28600.TF-ID,Name,Price,TotalVolume,InOutRatio" advise="1"/>
      <ddeItem name="TXYN07C28650.TF-ID,Name,Price,TotalVolume,InOutRatio" advise="1"/>
      <ddeItem name="TXYN07C28700.TF-ID,Name,Price,TotalVolume,InOutRatio" advise="1"/>
      <ddeItem name="TXYN07C28750.TF-ID,Name,Price,TotalVolume,InOutRatio" advise="1"/>
      <ddeItem name="TXYN07C28800.TF-ID,Name,Price,TotalVolume,InOutRatio" advise="1"/>
      <ddeItem name="TXYN07C28850.TF-ID,Name,Price,TotalVolume,InOutRatio" advise="1"/>
      <ddeItem name="TXYN07C28900.TF-ID,Name,Price,TotalVolume,InOutRatio" advise="1"/>
      <ddeItem name="TXYN07C28950.TF-ID,Name,Price,TotalVolume,InOutRatio" advise="1"/>
      <ddeItem name="TXYN07C29000.TF-ID,Name,Price,TotalVolume,InOutRatio" advise="1"/>
      <ddeItem name="TXYN07C29050.TF-ID,Name,Price,TotalVolume,InOutRatio" advise="1"/>
      <ddeItem name="TXYN07C29100.TF-ID,Name,Price,TotalVolume,InOutRatio" advise="1"/>
      <ddeItem name="TXYN07C29150.TF-ID,Name,Price,TotalVolume,InOutRatio" advise="1"/>
      <ddeItem name="TXYN07C29200.TF-ID,Name,Price,TotalVolume,InOutRatio" advise="1"/>
      <ddeItem name="TXYN07C29250.TF-ID,Name,Price,TotalVolume,InOutRatio" advise="1"/>
      <ddeItem name="TXYN07C29300.TF-ID,Name,Price,TotalVolume,InOutRatio" advise="1"/>
      <ddeItem name="TXYN07C29350.TF-ID,Name,Price,TotalVolume,InOutRatio" advise="1"/>
      <ddeItem name="TXYN07C29400.TF-ID,Name,Price,TotalVolume,InOutRatio" advise="1"/>
      <ddeItem name="TXYN07C29450.TF-ID,Name,Price,TotalVolume,InOutRatio" advise="1"/>
      <ddeItem name="TXYN07C29500.TF-ID,Name,Price,TotalVolume,InOutRatio" advise="1"/>
      <ddeItem name="TXYN07C29550.TF-ID,Name,Price,TotalVolume,InOutRatio" advise="1"/>
      <ddeItem name="TXYN07C29600.TF-ID,Name,Price,TotalVolume,InOutRatio" advise="1"/>
      <ddeItem name="TXYN07C29650.TF-ID,Name,Price,TotalVolume,InOutRatio" advise="1"/>
      <ddeItem name="TXYN07C29700.TF-ID,Name,Price,TotalVolume,InOutRatio" advise="1"/>
      <ddeItem name="TXYN07C29750.TF-ID,Name,Price,TotalVolume,InOutRatio" advise="1"/>
      <ddeItem name="TXYN07C29800.TF-ID,Name,Price,TotalVolume,InOutRatio" advise="1"/>
      <ddeItem name="TXYN07C29850.TF-ID,Name,Price,TotalVolume,InOutRatio" advise="1"/>
      <ddeItem name="TXYN07C29900.TF-ID,Name,Price,TotalVolume,InOutRatio" advise="1"/>
      <ddeItem name="TXYN07C29950.TF-ID,Name,Price,TotalVolume,InOutRatio" advise="1"/>
      <ddeItem name="TXYN07C30000.TF-ID,Name,Price,TotalVolume,InOutRatio" advise="1"/>
      <ddeItem name="TXYN07P15500.TF-ID,Name,Price,TotalVolume,InOutRatio" advise="1"/>
      <ddeItem name="TXYN07P15550.TF-ID,Name,Price,TotalVolume,InOutRatio" advise="1"/>
      <ddeItem name="TXYN07P15600.TF-ID,Name,Price,TotalVolume,InOutRatio" advise="1"/>
      <ddeItem name="TXYN07P15650.TF-ID,Name,Price,TotalVolume,InOutRatio" advise="1"/>
      <ddeItem name="TXYN07P15700.TF-ID,Name,Price,TotalVolume,InOutRatio" advise="1"/>
      <ddeItem name="TXYN07P15750.TF-ID,Name,Price,TotalVolume,InOutRatio" advise="1"/>
      <ddeItem name="TXYN07P15800.TF-ID,Name,Price,TotalVolume,InOutRatio" advise="1"/>
      <ddeItem name="TXYN07P15850.TF-ID,Name,Price,TotalVolume,InOutRatio" advise="1"/>
      <ddeItem name="TXYN07P15900.TF-ID,Name,Price,TotalVolume,InOutRatio" advise="1"/>
      <ddeItem name="TXYN07P15950.TF-ID,Name,Price,TotalVolume,InOutRatio" advise="1"/>
      <ddeItem name="TXYN07P16000.TF-ID,Name,Price,TotalVolume,InOutRatio" advise="1"/>
      <ddeItem name="TXYN07P16050.TF-ID,Name,Price,TotalVolume,InOutRatio" advise="1"/>
      <ddeItem name="TXYN07P16100.TF-ID,Name,Price,TotalVolume,InOutRatio" advise="1"/>
      <ddeItem name="TXYN07P16150.TF-ID,Name,Price,TotalVolume,InOutRatio" advise="1"/>
      <ddeItem name="TXYN07P16200.TF-ID,Name,Price,TotalVolume,InOutRatio" advise="1"/>
      <ddeItem name="TXYN07P16250.TF-ID,Name,Price,TotalVolume,InOutRatio" advise="1"/>
      <ddeItem name="TXYN07P16300.TF-ID,Name,Price,TotalVolume,InOutRatio" advise="1"/>
      <ddeItem name="TXYN07P16350.TF-ID,Name,Price,TotalVolume,InOutRatio" advise="1"/>
      <ddeItem name="TXYN07P16400.TF-ID,Name,Price,TotalVolume,InOutRatio" advise="1"/>
      <ddeItem name="TXYN07P16450.TF-ID,Name,Price,TotalVolume,InOutRatio" advise="1"/>
      <ddeItem name="TXYN07P16500.TF-ID,Name,Price,TotalVolume,InOutRatio" advise="1"/>
      <ddeItem name="TXYN07P16550.TF-ID,Name,Price,TotalVolume,InOutRatio" advise="1"/>
      <ddeItem name="TXYN07P16600.TF-ID,Name,Price,TotalVolume,InOutRatio" advise="1"/>
      <ddeItem name="TXYN07P16650.TF-ID,Name,Price,TotalVolume,InOutRatio" advise="1"/>
      <ddeItem name="TXYN07P16700.TF-ID,Name,Price,TotalVolume,InOutRatio" advise="1"/>
      <ddeItem name="TXYN07P16750.TF-ID,Name,Price,TotalVolume,InOutRatio" advise="1"/>
      <ddeItem name="TXYN07P16800.TF-ID,Name,Price,TotalVolume,InOutRatio" advise="1"/>
      <ddeItem name="TXYN07P16850.TF-ID,Name,Price,TotalVolume,InOutRatio" advise="1"/>
      <ddeItem name="TXYN07P16900.TF-ID,Name,Price,TotalVolume,InOutRatio" advise="1"/>
      <ddeItem name="TXYN07P16950.TF-ID,Name,Price,TotalVolume,InOutRatio" advise="1"/>
      <ddeItem name="TXYN07P17000.TF-ID,Name,Price,TotalVolume,InOutRatio" advise="1"/>
      <ddeItem name="TXYN07P17050.TF-ID,Name,Price,TotalVolume,InOutRatio" advise="1"/>
      <ddeItem name="TXYN07P17100.TF-ID,Name,Price,TotalVolume,InOutRatio" advise="1"/>
      <ddeItem name="TXYN07P17150.TF-ID,Name,Price,TotalVolume,InOutRatio" advise="1"/>
      <ddeItem name="TXYN07P17200.TF-ID,Name,Price,TotalVolume,InOutRatio" advise="1"/>
      <ddeItem name="TXYN07P17250.TF-ID,Name,Price,TotalVolume,InOutRatio" advise="1"/>
      <ddeItem name="TXYN07P17300.TF-ID,Name,Price,TotalVolume,InOutRatio" advise="1"/>
      <ddeItem name="TXYN07P17350.TF-ID,Name,Price,TotalVolume,InOutRatio" advise="1"/>
      <ddeItem name="TXYN07P17400.TF-ID,Name,Price,TotalVolume,InOutRatio" advise="1"/>
      <ddeItem name="TXYN07P17450.TF-ID,Name,Price,TotalVolume,InOutRatio" advise="1"/>
      <ddeItem name="TXYN07P17500.TF-ID,Name,Price,TotalVolume,InOutRatio" advise="1"/>
      <ddeItem name="TXYN07P17550.TF-ID,Name,Price,TotalVolume,InOutRatio" advise="1"/>
      <ddeItem name="TXYN07P17600.TF-ID,Name,Price,TotalVolume,InOutRatio" advise="1"/>
      <ddeItem name="TXYN07P17650.TF-ID,Name,Price,TotalVolume,InOutRatio" advise="1"/>
      <ddeItem name="TXYN07P17700.TF-ID,Name,Price,TotalVolume,InOutRatio" advise="1"/>
      <ddeItem name="TXYN07P17750.TF-ID,Name,Price,TotalVolume,InOutRatio" advise="1"/>
      <ddeItem name="TXYN07P17800.TF-ID,Name,Price,TotalVolume,InOutRatio" advise="1"/>
      <ddeItem name="TXYN07P17850.TF-ID,Name,Price,TotalVolume,InOutRatio" advise="1"/>
      <ddeItem name="TXYN07P17900.TF-ID,Name,Price,TotalVolume,InOutRatio" advise="1"/>
      <ddeItem name="TXYN07P17950.TF-ID,Name,Price,TotalVolume,InOutRatio" advise="1"/>
      <ddeItem name="TXYN07P18000.TF-ID,Name,Price,TotalVolume,InOutRatio" advise="1"/>
      <ddeItem name="TXYN07P18050.TF-ID,Name,Price,TotalVolume,InOutRatio" advise="1"/>
      <ddeItem name="TXYN07P18100.TF-ID,Name,Price,TotalVolume,InOutRatio" advise="1"/>
      <ddeItem name="TXYN07P18150.TF-ID,Name,Price,TotalVolume,InOutRatio" advise="1"/>
      <ddeItem name="TXYN07P18200.TF-ID,Name,Price,TotalVolume,InOutRatio" advise="1"/>
      <ddeItem name="TXYN07P18250.TF-ID,Name,Price,TotalVolume,InOutRatio" advise="1"/>
      <ddeItem name="TXYN07P18300.TF-ID,Name,Price,TotalVolume,InOutRatio" advise="1"/>
      <ddeItem name="TXYN07P18350.TF-ID,Name,Price,TotalVolume,InOutRatio" advise="1"/>
      <ddeItem name="TXYN07P18400.TF-ID,Name,Price,TotalVolume,InOutRatio" advise="1"/>
      <ddeItem name="TXYN07P18450.TF-ID,Name,Price,TotalVolume,InOutRatio" advise="1"/>
      <ddeItem name="TXYN07P18500.TF-ID,Name,Price,TotalVolume,InOutRatio" advise="1"/>
      <ddeItem name="TXYN07P18550.TF-ID,Name,Price,TotalVolume,InOutRatio" advise="1"/>
      <ddeItem name="TXYN07P18600.TF-ID,Name,Price,TotalVolume,InOutRatio" advise="1"/>
      <ddeItem name="TXYN07P18650.TF-ID,Name,Price,TotalVolume,InOutRatio" advise="1"/>
      <ddeItem name="TXYN07P18700.TF-ID,Name,Price,TotalVolume,InOutRatio" advise="1"/>
      <ddeItem name="TXYN07P18750.TF-ID,Name,Price,TotalVolume,InOutRatio" advise="1"/>
      <ddeItem name="TXYN07P18800.TF-ID,Name,Price,TotalVolume,InOutRatio" advise="1"/>
      <ddeItem name="TXYN07P18850.TF-ID,Name,Price,TotalVolume,InOutRatio" advise="1"/>
      <ddeItem name="TXYN07P18900.TF-ID,Name,Price,TotalVolume,InOutRatio" advise="1"/>
      <ddeItem name="TXYN07P18950.TF-ID,Name,Price,TotalVolume,InOutRatio" advise="1"/>
      <ddeItem name="TXYN07P19000.TF-ID,Name,Price,TotalVolume,InOutRatio" advise="1"/>
      <ddeItem name="TXYN07P19050.TF-ID,Name,Price,TotalVolume,InOutRatio" advise="1"/>
      <ddeItem name="TXYN07P19100.TF-ID,Name,Price,TotalVolume,InOutRatio" advise="1"/>
      <ddeItem name="TXYN07P19150.TF-ID,Name,Price,TotalVolume,InOutRatio" advise="1"/>
      <ddeItem name="TXYN07P19200.TF-ID,Name,Price,TotalVolume,InOutRatio" advise="1"/>
      <ddeItem name="TXYN07P19250.TF-ID,Name,Price,TotalVolume,InOutRatio" advise="1"/>
      <ddeItem name="TXYN07P19300.TF-ID,Name,Price,TotalVolume,InOutRatio" advise="1"/>
      <ddeItem name="TXYN07P19350.TF-ID,Name,Price,TotalVolume,InOutRatio" advise="1"/>
      <ddeItem name="TXYN07P19400.TF-ID,Name,Price,TotalVolume,InOutRatio" advise="1"/>
      <ddeItem name="TXYN07P19450.TF-ID,Name,Price,TotalVolume,InOutRatio" advise="1"/>
      <ddeItem name="TXYN07P19500.TF-ID,Name,Price,TotalVolume,InOutRatio" advise="1"/>
      <ddeItem name="TXYN07P19550.TF-ID,Name,Price,TotalVolume,InOutRatio" advise="1"/>
      <ddeItem name="TXYN07P19600.TF-ID,Name,Price,TotalVolume,InOutRatio" advise="1"/>
      <ddeItem name="TXYN07P19650.TF-ID,Name,Price,TotalVolume,InOutRatio" advise="1"/>
      <ddeItem name="TXYN07P19700.TF-ID,Name,Price,TotalVolume,InOutRatio" advise="1"/>
      <ddeItem name="TXYN07P19750.TF-ID,Name,Price,TotalVolume,InOutRatio" advise="1"/>
      <ddeItem name="TXYN07P19800.TF-ID,Name,Price,TotalVolume,InOutRatio" advise="1"/>
      <ddeItem name="TXYN07P19850.TF-ID,Name,Price,TotalVolume,InOutRatio" advise="1"/>
      <ddeItem name="TXYN07P19900.TF-ID,Name,Price,TotalVolume,InOutRatio" advise="1"/>
      <ddeItem name="TXYN07P19950.TF-ID,Name,Price,TotalVolume,InOutRatio" advise="1"/>
      <ddeItem name="TXYN07P20000.TF-ID,Name,Price,TotalVolume,InOutRatio" advise="1"/>
      <ddeItem name="TXYN07P20050.TF-ID,Name,Price,TotalVolume,InOutRatio" advise="1"/>
      <ddeItem name="TXYN07P20100.TF-ID,Name,Price,TotalVolume,InOutRatio" advise="1"/>
      <ddeItem name="TXYN07P20150.TF-ID,Name,Price,TotalVolume,InOutRatio" advise="1"/>
      <ddeItem name="TXYN07P20200.TF-ID,Name,Price,TotalVolume,InOutRatio" advise="1"/>
      <ddeItem name="TXYN07P20250.TF-ID,Name,Price,TotalVolume,InOutRatio" advise="1"/>
      <ddeItem name="TXYN07P20300.TF-ID,Name,Price,TotalVolume,InOutRatio" advise="1">
        <values cols="5">
          <value t="str">
            <val>TXYN07P20300</val>
          </value>
          <value t="str">
            <val>台指選07F4 P 20300</val>
          </value>
          <value>
            <val>3</val>
          </value>
          <value>
            <val>11</val>
          </value>
          <value>
            <val>45.45</val>
          </value>
        </values>
      </ddeItem>
      <ddeItem name="TXYN07P20350.TF-ID,Name,Price,TotalVolume,InOutRatio" advise="1"/>
      <ddeItem name="TXYN07P20400.TF-ID,Name,Price,TotalVolume,InOutRatio" advise="1">
        <values cols="5">
          <value t="str">
            <val>TXYN07P20400</val>
          </value>
          <value t="str">
            <val>台指選07F4 P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450.TF-ID,Name,Price,TotalVolume,InOutRatio" advise="1"/>
      <ddeItem name="TXYN07P20500.TF-ID,Name,Price,TotalVolume,InOutRatio" advise="1">
        <values cols="5">
          <value t="str">
            <val>TXYN07P20500</val>
          </value>
          <value t="str">
            <val>台指選07F4 P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550.TF-ID,Name,Price,TotalVolume,InOutRatio" advise="1"/>
      <ddeItem name="TXYN07P20600.TF-ID,Name,Price,TotalVolume,InOutRatio" advise="1">
        <values cols="5">
          <value t="str">
            <val>TXYN07P20600</val>
          </value>
          <value t="str">
            <val>台指選07F4 P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650.TF-ID,Name,Price,TotalVolume,InOutRatio" advise="1"/>
      <ddeItem name="TXYN07P20700.TF-ID,Name,Price,TotalVolume,InOutRatio" advise="1">
        <values cols="5">
          <value t="str">
            <val>TXYN07P20700</val>
          </value>
          <value t="str">
            <val>台指選07F4 P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750.TF-ID,Name,Price,TotalVolume,InOutRatio" advise="1"/>
      <ddeItem name="TXYN07P20800.TF-ID,Name,Price,TotalVolume,InOutRatio" advise="1">
        <values cols="5">
          <value t="str">
            <val>TXYN07P20800</val>
          </value>
          <value t="str">
            <val>台指選07F4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850.TF-ID,Name,Price,TotalVolume,InOutRatio" advise="1"/>
      <ddeItem name="TXYN07P20900.TF-ID,Name,Price,TotalVolume,InOutRatio" advise="1">
        <values cols="5">
          <value t="str">
            <val>TXYN07P20900</val>
          </value>
          <value t="str">
            <val>台指選07F4 P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950.TF-ID,Name,Price,TotalVolume,InOutRatio" advise="1"/>
      <ddeItem name="TXYN07P21000.TF-ID,Name,Price,TotalVolume,InOutRatio" advise="1">
        <values cols="5">
          <value t="str">
            <val>TXYN07P21000</val>
          </value>
          <value t="str">
            <val>台指選07F4 P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050.TF-ID,Name,Price,TotalVolume,InOutRatio" advise="1"/>
      <ddeItem name="TXYN07P21100.TF-ID,Name,Price,TotalVolume,InOutRatio" advise="1">
        <values cols="5">
          <value t="str">
            <val>TXYN07P21100</val>
          </value>
          <value t="str">
            <val>台指選07F4 P 21100</val>
          </value>
          <value>
            <val>7.6</val>
          </value>
          <value>
            <val>1</val>
          </value>
          <value>
            <val>100</val>
          </value>
        </values>
      </ddeItem>
      <ddeItem name="TXYN07P21150.TF-ID,Name,Price,TotalVolume,InOutRatio" advise="1"/>
      <ddeItem name="TXYN07P21200.TF-ID,Name,Price,TotalVolume,InOutRatio" advise="1">
        <values cols="5">
          <value t="str">
            <val>TXYN07P21200</val>
          </value>
          <value t="str">
            <val>台指選07F4 P 21200</val>
          </value>
          <value>
            <val>6.2</val>
          </value>
          <value>
            <val>3</val>
          </value>
          <value>
            <val>100</val>
          </value>
        </values>
      </ddeItem>
      <ddeItem name="TXYN07P21250.TF-ID,Name,Price,TotalVolume,InOutRatio" advise="1"/>
      <ddeItem name="TXYN07P21300.TF-ID,Name,Price,TotalVolume,InOutRatio" advise="1">
        <values cols="5">
          <value t="str">
            <val>TXYN07P21300</val>
          </value>
          <value t="str">
            <val>台指選07F4 P 21300</val>
          </value>
          <value>
            <val>7</val>
          </value>
          <value>
            <val>1</val>
          </value>
          <value>
            <val>0</val>
          </value>
        </values>
      </ddeItem>
      <ddeItem name="TXYN07P21350.TF-ID,Name,Price,TotalVolume,InOutRatio" advise="1"/>
      <ddeItem name="TXYN07P21400.TF-ID,Name,Price,TotalVolume,InOutRatio" advise="1">
        <values cols="5">
          <value t="str">
            <val>TXYN07P21400</val>
          </value>
          <value t="str">
            <val>台指選07F4 P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450.TF-ID,Name,Price,TotalVolume,InOutRatio" advise="1"/>
      <ddeItem name="TXYN07P21500.TF-ID,Name,Price,TotalVolume,InOutRatio" advise="1">
        <values cols="5">
          <value t="str">
            <val>TXYN07P21500</val>
          </value>
          <value t="str">
            <val>台指選07F4 P 21500</val>
          </value>
          <value>
            <val>9.1</val>
          </value>
          <value>
            <val>3</val>
          </value>
          <value>
            <val>100</val>
          </value>
        </values>
      </ddeItem>
      <ddeItem name="TXYN07P21550.TF-ID,Name,Price,TotalVolume,InOutRatio" advise="1"/>
      <ddeItem name="TXYN07P21600.TF-ID,Name,Price,TotalVolume,InOutRatio" advise="1">
        <values cols="5">
          <value t="str">
            <val>TXYN07P21600</val>
          </value>
          <value t="str">
            <val>台指選07F4 P 21600</val>
          </value>
          <value>
            <val>7.5</val>
          </value>
          <value>
            <val>59</val>
          </value>
          <value>
            <val>59.32</val>
          </value>
        </values>
      </ddeItem>
      <ddeItem name="TXYN07P21650.TF-ID,Name,Price,TotalVolume,InOutRatio" advise="1"/>
      <ddeItem name="TXYN07P21700.TF-ID,Name,Price,TotalVolume,InOutRatio" advise="1">
        <values cols="5">
          <value t="str">
            <val>TXYN07P21700</val>
          </value>
          <value t="str">
            <val>台指選07F4 P 21700</val>
          </value>
          <value>
            <val>10</val>
          </value>
          <value>
            <val>8</val>
          </value>
          <value>
            <val>75</val>
          </value>
        </values>
      </ddeItem>
      <ddeItem name="TXYN07P21750.TF-ID,Name,Price,TotalVolume,InOutRatio" advise="1"/>
      <ddeItem name="TXYN07P21800.TF-ID,Name,Price,TotalVolume,InOutRatio" advise="1">
        <values cols="5">
          <value t="str">
            <val>TXYN07P21800</val>
          </value>
          <value t="str">
            <val>台指選07F4 P 21800</val>
          </value>
          <value>
            <val>13</val>
          </value>
          <value>
            <val>133</val>
          </value>
          <value>
            <val>0</val>
          </value>
        </values>
      </ddeItem>
      <ddeItem name="TXYN07P21850.TF-ID,Name,Price,TotalVolume,InOutRatio" advise="1"/>
      <ddeItem name="TXYN07P21900.TF-ID,Name,Price,TotalVolume,InOutRatio" advise="1">
        <values cols="5">
          <value t="str">
            <val>TXYN07P21900</val>
          </value>
          <value t="str">
            <val>台指選07F4 P 21900</val>
          </value>
          <value>
            <val>16</val>
          </value>
          <value>
            <val>57</val>
          </value>
          <value>
            <val>71.430000000000007</val>
          </value>
        </values>
      </ddeItem>
      <ddeItem name="TXYN07P21950.TF-ID,Name,Price,TotalVolume,InOutRatio" advise="1">
        <values cols="5">
          <value t="str">
            <val>TXYN07P21950</val>
          </value>
          <value t="str">
            <val>台指選07F4 P 21950</val>
          </value>
          <value>
            <val>16.5</val>
          </value>
          <value>
            <val>2</val>
          </value>
          <value>
            <val>50</val>
          </value>
        </values>
      </ddeItem>
      <ddeItem name="TXYN07P22000.TF-ID,Name,Price,TotalVolume,InOutRatio" advise="1">
        <values cols="5">
          <value t="str">
            <val>TXYN07P22000</val>
          </value>
          <value t="str">
            <val>台指選07F4 P 22000</val>
          </value>
          <value>
            <val>18</val>
          </value>
          <value>
            <val>143</val>
          </value>
          <value>
            <val>90.91</val>
          </value>
        </values>
      </ddeItem>
      <ddeItem name="TXYN07P22050.TF-ID,Name,Price,TotalVolume,InOutRatio" advise="1">
        <values cols="5">
          <value t="str">
            <val>TXYN07P22050</val>
          </value>
          <value t="str">
            <val>台指選07F4 P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2100.TF-ID,Name,Price,TotalVolume,InOutRatio" advise="1">
        <values cols="5">
          <value t="str">
            <val>TXYN07P22100</val>
          </value>
          <value t="str">
            <val>台指選07F4 P 22100</val>
          </value>
          <value>
            <val>19.5</val>
          </value>
          <value>
            <val>85</val>
          </value>
          <value>
            <val>49.41</val>
          </value>
        </values>
      </ddeItem>
      <ddeItem name="TXYN07P22150.TF-ID,Name,Price,TotalVolume,InOutRatio" advise="1">
        <values cols="5">
          <value t="str">
            <val>TXYN07P22150</val>
          </value>
          <value t="str">
            <val>台指選07F4 P 22150</val>
          </value>
          <value>
            <val>21.5</val>
          </value>
          <value>
            <val>65</val>
          </value>
          <value>
            <val>95.38</val>
          </value>
        </values>
      </ddeItem>
      <ddeItem name="TXYN07P22200.TF-ID,Name,Price,TotalVolume,InOutRatio" advise="1">
        <values cols="5">
          <value t="str">
            <val>TXYN07P22200</val>
          </value>
          <value t="str">
            <val>台指選07F4 P 22200</val>
          </value>
          <value>
            <val>21</val>
          </value>
          <value>
            <val>74</val>
          </value>
          <value>
            <val>36.49</val>
          </value>
        </values>
      </ddeItem>
      <ddeItem name="TXYN07P22250.TF-ID,Name,Price,TotalVolume,InOutRatio" advise="1">
        <values cols="5">
          <value t="str">
            <val>TXYN07P22250</val>
          </value>
          <value t="str">
            <val>台指選07F4 P 22250</val>
          </value>
          <value>
            <val>26</val>
          </value>
          <value>
            <val>17</val>
          </value>
          <value>
            <val>17.649999999999999</val>
          </value>
        </values>
      </ddeItem>
      <ddeItem name="TXYN07P22300.TF-ID,Name,Price,TotalVolume,InOutRatio" advise="1">
        <values cols="5">
          <value t="str">
            <val>TXYN07P22300</val>
          </value>
          <value t="str">
            <val>台指選07F4 P 22300</val>
          </value>
          <value>
            <val>26.5</val>
          </value>
          <value>
            <val>58</val>
          </value>
          <value>
            <val>1.72</val>
          </value>
        </values>
      </ddeItem>
      <ddeItem name="TXYN07P22350.TF-ID,Name,Price,TotalVolume,InOutRatio" advise="1">
        <values cols="5">
          <value t="str">
            <val>TXYN07P22350</val>
          </value>
          <value t="str">
            <val>台指選07F4 P 22350</val>
          </value>
          <value>
            <val>25</val>
          </value>
          <value>
            <val>71</val>
          </value>
          <value>
            <val>8.4499999999999993</val>
          </value>
        </values>
      </ddeItem>
      <ddeItem name="TXYN07P22400.TF-ID,Name,Price,TotalVolume,InOutRatio" advise="1">
        <values cols="5">
          <value t="str">
            <val>TXYN07P22400</val>
          </value>
          <value t="str">
            <val>台指選07F4 P 22400</val>
          </value>
          <value>
            <val>27</val>
          </value>
          <value>
            <val>55</val>
          </value>
          <value>
            <val>23.64</val>
          </value>
        </values>
      </ddeItem>
      <ddeItem name="TXYN07P22450.TF-ID,Name,Price,TotalVolume,InOutRatio" advise="1">
        <values cols="5">
          <value t="str">
            <val>TXYN07P22450</val>
          </value>
          <value t="str">
            <val>台指選07F4 P 22450</val>
          </value>
          <value>
            <val>34.5</val>
          </value>
          <value>
            <val>12</val>
          </value>
          <value>
            <val>41.67</val>
          </value>
        </values>
      </ddeItem>
      <ddeItem name="TXYN07P22500.TF-ID,Name,Price,TotalVolume,InOutRatio" advise="1">
        <values cols="5">
          <value t="str">
            <val>TXYN07P22500</val>
          </value>
          <value t="str">
            <val>台指選07F4 P 22500</val>
          </value>
          <value>
            <val>38</val>
          </value>
          <value>
            <val>51</val>
          </value>
          <value>
            <val>70.59</val>
          </value>
        </values>
      </ddeItem>
      <ddeItem name="TXYN07P22550.TF-ID,Name,Price,TotalVolume,InOutRatio" advise="1">
        <values cols="5">
          <value t="str">
            <val>TXYN07P22550</val>
          </value>
          <value t="str">
            <val>台指選07F4 P 22550</val>
          </value>
          <value>
            <val>40</val>
          </value>
          <value>
            <val>36</val>
          </value>
          <value>
            <val>91.67</val>
          </value>
        </values>
      </ddeItem>
      <ddeItem name="TXYN07P22600.TF-ID,Name,Price,TotalVolume,InOutRatio" advise="1">
        <values cols="5">
          <value t="str">
            <val>TXYN07P22600</val>
          </value>
          <value t="str">
            <val>台指選07F4 P 22600</val>
          </value>
          <value>
            <val>41.5</val>
          </value>
          <value>
            <val>55</val>
          </value>
          <value>
            <val>79.25</val>
          </value>
        </values>
      </ddeItem>
      <ddeItem name="TXYN07P22650.TF-ID,Name,Price,TotalVolume,InOutRatio" advise="1">
        <values cols="5">
          <value t="str">
            <val>TXYN07P22650</val>
          </value>
          <value t="str">
            <val>台指選07F4 P 22650</val>
          </value>
          <value>
            <val>46</val>
          </value>
          <value>
            <val>17</val>
          </value>
          <value>
            <val>17.649999999999999</val>
          </value>
        </values>
      </ddeItem>
      <ddeItem name="TXYN07P22700.TF-ID,Name,Price,TotalVolume,InOutRatio" advise="1">
        <values cols="5">
          <value t="str">
            <val>TXYN07P22700</val>
          </value>
          <value t="str">
            <val>台指選07F4 P 22700</val>
          </value>
          <value>
            <val>47.5</val>
          </value>
          <value>
            <val>194</val>
          </value>
          <value>
            <val>22.75</val>
          </value>
        </values>
      </ddeItem>
      <ddeItem name="TXYN07P22750.TF-ID,Name,Price,TotalVolume,InOutRatio" advise="1">
        <values cols="5">
          <value t="str">
            <val>TXYN07P22750</val>
          </value>
          <value t="str">
            <val>台指選07F4 P 22750</val>
          </value>
          <value>
            <val>55</val>
          </value>
          <value>
            <val>15</val>
          </value>
          <value>
            <val>50</val>
          </value>
        </values>
      </ddeItem>
      <ddeItem name="TXYN07P22800.TF-ID,Name,Price,TotalVolume,InOutRatio" advise="1">
        <values cols="5">
          <value t="str">
            <val>TXYN07P22800</val>
          </value>
          <value t="str">
            <val>台指選07F4 P 22800</val>
          </value>
          <value>
            <val>69</val>
          </value>
          <value>
            <val>28</val>
          </value>
          <value>
            <val>39.29</val>
          </value>
        </values>
      </ddeItem>
      <ddeItem name="TXYN07P22850.TF-ID,Name,Price,TotalVolume,InOutRatio" advise="1">
        <values cols="5">
          <value t="str">
            <val>TXYN07P22850</val>
          </value>
          <value t="str">
            <val>台指選07F4 P 22850</val>
          </value>
          <value>
            <val>81</val>
          </value>
          <value>
            <val>16</val>
          </value>
          <value>
            <val>43.75</val>
          </value>
        </values>
      </ddeItem>
      <ddeItem name="TXYN07P22900.TF-ID,Name,Price,TotalVolume,InOutRatio" advise="1">
        <values cols="5">
          <value t="str">
            <val>TXYN07P22900</val>
          </value>
          <value t="str">
            <val>台指選07F4 P 22900</val>
          </value>
          <value>
            <val>82</val>
          </value>
          <value>
            <val>34</val>
          </value>
          <value>
            <val>42.42</val>
          </value>
        </values>
      </ddeItem>
      <ddeItem name="TXYN07P22950.TF-ID,Name,Price,TotalVolume,InOutRatio" advise="1">
        <values cols="5">
          <value t="str">
            <val>TXYN07P22950</val>
          </value>
          <value t="str">
            <val>台指選07F4 P 22950</val>
          </value>
          <value>
            <val>103</val>
          </value>
          <value>
            <val>11</val>
          </value>
          <value>
            <val>45.45</val>
          </value>
        </values>
      </ddeItem>
      <ddeItem name="TXYN07P23000.TF-ID,Name,Price,TotalVolume,InOutRatio" advise="1">
        <values cols="5">
          <value t="str">
            <val>TXYN07P23000</val>
          </value>
          <value t="str">
            <val>台指選07F4 P 23000</val>
          </value>
          <value>
            <val>109</val>
          </value>
          <value>
            <val>48</val>
          </value>
          <value>
            <val>39.58</val>
          </value>
        </values>
      </ddeItem>
      <ddeItem name="TXYN07P23050.TF-ID,Name,Price,TotalVolume,InOutRatio" advise="1">
        <values cols="5">
          <value t="str">
            <val>TXYN07P23050</val>
          </value>
          <value t="str">
            <val>台指選07F4 P 23050</val>
          </value>
          <value>
            <val>128</val>
          </value>
          <value>
            <val>12</val>
          </value>
          <value>
            <val>75</val>
          </value>
        </values>
      </ddeItem>
      <ddeItem name="TXYN07P23100.TF-ID,Name,Price,TotalVolume,InOutRatio" advise="1">
        <values cols="5">
          <value t="str">
            <val>TXYN07P23100</val>
          </value>
          <value t="str">
            <val>台指選07F4 P 23100</val>
          </value>
          <value>
            <val>127</val>
          </value>
          <value>
            <val>94</val>
          </value>
          <value>
            <val>93.62</val>
          </value>
        </values>
      </ddeItem>
      <ddeItem name="TXYN07P23150.TF-ID,Name,Price,TotalVolume,InOutRatio" advise="1">
        <values cols="5">
          <value t="str">
            <val>TXYN07P23150</val>
          </value>
          <value t="str">
            <val>台指選07F4 P 23150</val>
          </value>
          <value>
            <val>150</val>
          </value>
          <value>
            <val>6</val>
          </value>
          <value>
            <val>50</val>
          </value>
        </values>
      </ddeItem>
      <ddeItem name="TXYN07P23200.TF-ID,Name,Price,TotalVolume,InOutRatio" advise="1">
        <values cols="5">
          <value t="str">
            <val>TXYN07P23200</val>
          </value>
          <value t="str">
            <val>台指選07F4 P 23200</val>
          </value>
          <value>
            <val>178</val>
          </value>
          <value>
            <val>111</val>
          </value>
          <value>
            <val>57.66</val>
          </value>
        </values>
      </ddeItem>
      <ddeItem name="TXYN07P23250.TF-ID,Name,Price,TotalVolume,InOutRatio" advise="1">
        <values cols="5">
          <value t="str">
            <val>TXYN07P23250</val>
          </value>
          <value t="str">
            <val>台指選07F4 P 23250</val>
          </value>
          <value>
            <val>186</val>
          </value>
          <value>
            <val>172</val>
          </value>
          <value>
            <val>66.27</val>
          </value>
        </values>
      </ddeItem>
      <ddeItem name="TXYN07P23300.TF-ID,Name,Price,TotalVolume,InOutRatio" advise="1">
        <values cols="5">
          <value t="str">
            <val>TXYN07P23300</val>
          </value>
          <value t="str">
            <val>台指選07F4 P 23300</val>
          </value>
          <value>
            <val>208</val>
          </value>
          <value>
            <val>61</val>
          </value>
          <value>
            <val>21.31</val>
          </value>
        </values>
      </ddeItem>
      <ddeItem name="TXYN07P23350.TF-ID,Name,Price,TotalVolume,InOutRatio" advise="1">
        <values cols="5">
          <value t="str">
            <val>TXYN07P23350</val>
          </value>
          <value t="str">
            <val>台指選07F4 P 23350</val>
          </value>
          <value>
            <val>248</val>
          </value>
          <value>
            <val>87</val>
          </value>
          <value>
            <val>20.69</val>
          </value>
        </values>
      </ddeItem>
      <ddeItem name="TXYN07P23400.TF-ID,Name,Price,TotalVolume,InOutRatio" advise="1">
        <values cols="5">
          <value t="str">
            <val>TXYN07P23400</val>
          </value>
          <value t="str">
            <val>台指選07F4 P 23400</val>
          </value>
          <value>
            <val>264</val>
          </value>
          <value>
            <val>30</val>
          </value>
          <value>
            <val>3.33</val>
          </value>
        </values>
      </ddeItem>
      <ddeItem name="TXYN07P23450.TF-ID,Name,Price,TotalVolume,InOutRatio" advise="1">
        <values cols="5">
          <value t="str">
            <val>TXYN07P23450</val>
          </value>
          <value t="str">
            <val>台指選07F4 P 23450</val>
          </value>
          <value>
            <val>276</val>
          </value>
          <value>
            <val>30</val>
          </value>
          <value>
            <val>100</val>
          </value>
        </values>
      </ddeItem>
      <ddeItem name="TXYN07P23500.TF-ID,Name,Price,TotalVolume,InOutRatio" advise="1">
        <values cols="5">
          <value t="str">
            <val>TXYN07P23500</val>
          </value>
          <value t="str">
            <val>台指選07F4 P 23500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550.TF-ID,Name,Price,TotalVolume,InOutRatio" advise="1">
        <values cols="5">
          <value t="str">
            <val>TXYN07P23550</val>
          </value>
          <value t="str">
            <val>台指選07F4 P 23550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600.TF-ID,Name,Price,TotalVolume,InOutRatio" advise="1">
        <values cols="5">
          <value t="str">
            <val>TXYN07P23600</val>
          </value>
          <value t="str">
            <val>台指選07F4 P 23600</val>
          </value>
          <value>
            <val>355</val>
          </value>
          <value>
            <val>1</val>
          </value>
          <value>
            <val>100</val>
          </value>
        </values>
      </ddeItem>
      <ddeItem name="TXYN07P23650.TF-ID,Name,Price,TotalVolume,InOutRatio" advise="1">
        <values cols="5">
          <value t="str">
            <val>TXYN07P23650</val>
          </value>
          <value t="str">
            <val>台指選07F4 P 23650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700.TF-ID,Name,Price,TotalVolume,InOutRatio" advise="1">
        <values cols="5">
          <value t="str">
            <val>TXYN07P23700</val>
          </value>
          <value t="str">
            <val>台指選07F4 P 23700</val>
          </value>
          <value>
            <val>430</val>
          </value>
          <value>
            <val>2</val>
          </value>
          <value>
            <val>0</val>
          </value>
        </values>
      </ddeItem>
      <ddeItem name="TXYN07P23750.TF-ID,Name,Price,TotalVolume,InOutRatio" advise="1">
        <values cols="5">
          <value t="str">
            <val>TXYN07P23750</val>
          </value>
          <value t="str">
            <val>台指選07F4 P 23750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00.TF-ID,Name,Price,TotalVolume,InOutRatio" advise="1">
        <values cols="5">
          <value t="str">
            <val>TXYN07P23800</val>
          </value>
          <value t="str">
            <val>台指選07F4 P 23800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50.TF-ID,Name,Price,TotalVolume,InOutRatio" advise="1"/>
      <ddeItem name="TXYN07P23900.TF-ID,Name,Price,TotalVolume,InOutRatio" advise="1">
        <values cols="5">
          <value t="str">
            <val>TXYN07P23900</val>
          </value>
          <value t="str">
            <val>台指選07F4 P 23900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50.TF-ID,Name,Price,TotalVolume,InOutRatio" advise="1"/>
      <ddeItem name="TXYN07P24000.TF-ID,Name,Price,TotalVolume,InOutRatio" advise="1">
        <values cols="5">
          <value t="str">
            <val>TXYN07P24000</val>
          </value>
          <value t="str">
            <val>台指選07F4 P 24000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50.TF-ID,Name,Price,TotalVolume,InOutRatio" advise="1"/>
      <ddeItem name="TXYN07P24100.TF-ID,Name,Price,TotalVolume,InOutRatio" advise="1">
        <values cols="5">
          <value t="str">
            <val>TXYN07P24100</val>
          </value>
          <value t="str">
            <val>台指選07F4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50.TF-ID,Name,Price,TotalVolume,InOutRatio" advise="1"/>
      <ddeItem name="TXYN07P24200.TF-ID,Name,Price,TotalVolume,InOutRatio" advise="1">
        <values cols="5">
          <value t="str">
            <val>TXYN07P24200</val>
          </value>
          <value t="str">
            <val>台指選07F4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250.TF-ID,Name,Price,TotalVolume,InOutRatio" advise="1"/>
      <ddeItem name="TXYN07P24300.TF-ID,Name,Price,TotalVolume,InOutRatio" advise="1">
        <values cols="5">
          <value t="str">
            <val>TXYN07P24300</val>
          </value>
          <value t="str">
            <val>台指選07F4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350.TF-ID,Name,Price,TotalVolume,InOutRatio" advise="1"/>
      <ddeItem name="TXYN07P24400.TF-ID,Name,Price,TotalVolume,InOutRatio" advise="1">
        <values cols="5">
          <value t="str">
            <val>TXYN07P24400</val>
          </value>
          <value t="str">
            <val>台指選07F4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450.TF-ID,Name,Price,TotalVolume,InOutRatio" advise="1"/>
      <ddeItem name="TXYN07P24500.TF-ID,Name,Price,TotalVolume,InOutRatio" advise="1">
        <values cols="5">
          <value t="str">
            <val>TXYN07P24500</val>
          </value>
          <value t="str">
            <val>台指選07F4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550.TF-ID,Name,Price,TotalVolume,InOutRatio" advise="1"/>
      <ddeItem name="TXYN07P24600.TF-ID,Name,Price,TotalVolume,InOutRatio" advise="1">
        <values cols="5">
          <value t="str">
            <val>TXYN07P24600</val>
          </value>
          <value t="str">
            <val>台指選07F4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650.TF-ID,Name,Price,TotalVolume,InOutRatio" advise="1"/>
      <ddeItem name="TXYN07P24700.TF-ID,Name,Price,TotalVolume,InOutRatio" advise="1">
        <values cols="5">
          <value t="str">
            <val>TXYN07P24700</val>
          </value>
          <value t="str">
            <val>台指選07F4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750.TF-ID,Name,Price,TotalVolume,InOutRatio" advise="1"/>
      <ddeItem name="TXYN07P24800.TF-ID,Name,Price,TotalVolume,InOutRatio" advise="1">
        <values cols="5">
          <value t="str">
            <val>TXYN07P24800</val>
          </value>
          <value t="str">
            <val>台指選07F4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850.TF-ID,Name,Price,TotalVolume,InOutRatio" advise="1"/>
      <ddeItem name="TXYN07P24900.TF-ID,Name,Price,TotalVolume,InOutRatio" advise="1">
        <values cols="5">
          <value t="str">
            <val>TXYN07P24900</val>
          </value>
          <value t="str">
            <val>台指選07F4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950.TF-ID,Name,Price,TotalVolume,InOutRatio" advise="1"/>
      <ddeItem name="TXYN07P25000.TF-ID,Name,Price,TotalVolume,InOutRatio" advise="1">
        <values cols="5">
          <value t="str">
            <val>TXYN07P25000</val>
          </value>
          <value t="str">
            <val>台指選07F4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050.TF-ID,Name,Price,TotalVolume,InOutRatio" advise="1"/>
      <ddeItem name="TXYN07P25100.TF-ID,Name,Price,TotalVolume,InOutRatio" advise="1">
        <values cols="5">
          <value t="str">
            <val>TXYN07P25100</val>
          </value>
          <value t="str">
            <val>台指選07F4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150.TF-ID,Name,Price,TotalVolume,InOutRatio" advise="1"/>
      <ddeItem name="TXYN07P25200.TF-ID,Name,Price,TotalVolume,InOutRatio" advise="1">
        <values cols="5">
          <value t="str">
            <val>TXYN07P25200</val>
          </value>
          <value t="str">
            <val>台指選07F4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250.TF-ID,Name,Price,TotalVolume,InOutRatio" advise="1"/>
      <ddeItem name="TXYN07P25300.TF-ID,Name,Price,TotalVolume,InOutRatio" advise="1">
        <values cols="5">
          <value t="str">
            <val>TXYN07P25300</val>
          </value>
          <value t="str">
            <val>台指選07F4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350.TF-ID,Name,Price,TotalVolume,InOutRatio" advise="1"/>
      <ddeItem name="TXYN07P25400.TF-ID,Name,Price,TotalVolume,InOutRatio" advise="1">
        <values cols="5">
          <value t="str">
            <val>TXYN07P25400</val>
          </value>
          <value t="str">
            <val>台指選07F4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450.TF-ID,Name,Price,TotalVolume,InOutRatio" advise="1"/>
      <ddeItem name="TXYN07P25500.TF-ID,Name,Price,TotalVolume,InOutRatio" advise="1">
        <values cols="5">
          <value t="str">
            <val>TXYN07P25500</val>
          </value>
          <value t="str">
            <val>台指選07F4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550.TF-ID,Name,Price,TotalVolume,InOutRatio" advise="1"/>
      <ddeItem name="TXYN07P25600.TF-ID,Name,Price,TotalVolume,InOutRatio" advise="1"/>
      <ddeItem name="TXYN07P25650.TF-ID,Name,Price,TotalVolume,InOutRatio" advise="1"/>
      <ddeItem name="TXYN07P25700.TF-ID,Name,Price,TotalVolume,InOutRatio" advise="1"/>
      <ddeItem name="TXYN07P25750.TF-ID,Name,Price,TotalVolume,InOutRatio" advise="1"/>
      <ddeItem name="TXYN07P25800.TF-ID,Name,Price,TotalVolume,InOutRatio" advise="1"/>
      <ddeItem name="TXYN07P25850.TF-ID,Name,Price,TotalVolume,InOutRatio" advise="1"/>
      <ddeItem name="TXYN07P25900.TF-ID,Name,Price,TotalVolume,InOutRatio" advise="1"/>
      <ddeItem name="TXYN07P25950.TF-ID,Name,Price,TotalVolume,InOutRatio" advise="1"/>
      <ddeItem name="TXYN07P26000.TF-ID,Name,Price,TotalVolume,InOutRatio" advise="1"/>
      <ddeItem name="TXYN07P26050.TF-ID,Name,Price,TotalVolume,InOutRatio" advise="1"/>
      <ddeItem name="TXYN07P26100.TF-ID,Name,Price,TotalVolume,InOutRatio" advise="1"/>
      <ddeItem name="TXYN07P26150.TF-ID,Name,Price,TotalVolume,InOutRatio" advise="1"/>
      <ddeItem name="TXYN07P26200.TF-ID,Name,Price,TotalVolume,InOutRatio" advise="1"/>
      <ddeItem name="TXYN07P26250.TF-ID,Name,Price,TotalVolume,InOutRatio" advise="1"/>
      <ddeItem name="TXYN07P26300.TF-ID,Name,Price,TotalVolume,InOutRatio" advise="1"/>
      <ddeItem name="TXYN07P26350.TF-ID,Name,Price,TotalVolume,InOutRatio" advise="1"/>
      <ddeItem name="TXYN07P26400.TF-ID,Name,Price,TotalVolume,InOutRatio" advise="1"/>
      <ddeItem name="TXYN07P26450.TF-ID,Name,Price,TotalVolume,InOutRatio" advise="1"/>
      <ddeItem name="TXYN07P26500.TF-ID,Name,Price,TotalVolume,InOutRatio" advise="1"/>
      <ddeItem name="TXYN07P26550.TF-ID,Name,Price,TotalVolume,InOutRatio" advise="1"/>
      <ddeItem name="TXYN07P26600.TF-ID,Name,Price,TotalVolume,InOutRatio" advise="1"/>
      <ddeItem name="TXYN07P26650.TF-ID,Name,Price,TotalVolume,InOutRatio" advise="1"/>
      <ddeItem name="TXYN07P26700.TF-ID,Name,Price,TotalVolume,InOutRatio" advise="1"/>
      <ddeItem name="TXYN07P26750.TF-ID,Name,Price,TotalVolume,InOutRatio" advise="1"/>
      <ddeItem name="TXYN07P26800.TF-ID,Name,Price,TotalVolume,InOutRatio" advise="1"/>
      <ddeItem name="TXYN07P26850.TF-ID,Name,Price,TotalVolume,InOutRatio" advise="1"/>
      <ddeItem name="TXYN07P26900.TF-ID,Name,Price,TotalVolume,InOutRatio" advise="1"/>
      <ddeItem name="TXYN07P26950.TF-ID,Name,Price,TotalVolume,InOutRatio" advise="1"/>
      <ddeItem name="TXYN07P27000.TF-ID,Name,Price,TotalVolume,InOutRatio" advise="1"/>
      <ddeItem name="TXYN07P27050.TF-ID,Name,Price,TotalVolume,InOutRatio" advise="1"/>
      <ddeItem name="TXYN07P27100.TF-ID,Name,Price,TotalVolume,InOutRatio" advise="1"/>
      <ddeItem name="TXYN07P27150.TF-ID,Name,Price,TotalVolume,InOutRatio" advise="1"/>
      <ddeItem name="TXYN07P27200.TF-ID,Name,Price,TotalVolume,InOutRatio" advise="1"/>
      <ddeItem name="TXYN07P27250.TF-ID,Name,Price,TotalVolume,InOutRatio" advise="1"/>
      <ddeItem name="TXYN07P27300.TF-ID,Name,Price,TotalVolume,InOutRatio" advise="1"/>
      <ddeItem name="TXYN07P27350.TF-ID,Name,Price,TotalVolume,InOutRatio" advise="1"/>
      <ddeItem name="TXYN07P27400.TF-ID,Name,Price,TotalVolume,InOutRatio" advise="1"/>
      <ddeItem name="TXYN07P27450.TF-ID,Name,Price,TotalVolume,InOutRatio" advise="1"/>
      <ddeItem name="TXYN07P27500.TF-ID,Name,Price,TotalVolume,InOutRatio" advise="1"/>
      <ddeItem name="TXYN07P27550.TF-ID,Name,Price,TotalVolume,InOutRatio" advise="1"/>
      <ddeItem name="TXYN07P27600.TF-ID,Name,Price,TotalVolume,InOutRatio" advise="1"/>
      <ddeItem name="TXYN07P27650.TF-ID,Name,Price,TotalVolume,InOutRatio" advise="1"/>
      <ddeItem name="TXYN07P27700.TF-ID,Name,Price,TotalVolume,InOutRatio" advise="1"/>
      <ddeItem name="TXYN07P27750.TF-ID,Name,Price,TotalVolume,InOutRatio" advise="1"/>
      <ddeItem name="TXYN07P27800.TF-ID,Name,Price,TotalVolume,InOutRatio" advise="1"/>
      <ddeItem name="TXYN07P27850.TF-ID,Name,Price,TotalVolume,InOutRatio" advise="1"/>
      <ddeItem name="TXYN07P27900.TF-ID,Name,Price,TotalVolume,InOutRatio" advise="1"/>
      <ddeItem name="TXYN07P27950.TF-ID,Name,Price,TotalVolume,InOutRatio" advise="1"/>
      <ddeItem name="TXYN07P28000.TF-ID,Name,Price,TotalVolume,InOutRatio" advise="1"/>
      <ddeItem name="TXYN07P28050.TF-ID,Name,Price,TotalVolume,InOutRatio" advise="1"/>
      <ddeItem name="TXYN07P28100.TF-ID,Name,Price,TotalVolume,InOutRatio" advise="1"/>
      <ddeItem name="TXYN07P28150.TF-ID,Name,Price,TotalVolume,InOutRatio" advise="1"/>
      <ddeItem name="TXYN07P28200.TF-ID,Name,Price,TotalVolume,InOutRatio" advise="1"/>
      <ddeItem name="TXYN07P28250.TF-ID,Name,Price,TotalVolume,InOutRatio" advise="1"/>
      <ddeItem name="TXYN07P28300.TF-ID,Name,Price,TotalVolume,InOutRatio" advise="1"/>
      <ddeItem name="TXYN07P28350.TF-ID,Name,Price,TotalVolume,InOutRatio" advise="1"/>
      <ddeItem name="TXYN07P28400.TF-ID,Name,Price,TotalVolume,InOutRatio" advise="1"/>
      <ddeItem name="TXYN07P28450.TF-ID,Name,Price,TotalVolume,InOutRatio" advise="1"/>
      <ddeItem name="TXYN07P28500.TF-ID,Name,Price,TotalVolume,InOutRatio" advise="1"/>
      <ddeItem name="TXYN07P28550.TF-ID,Name,Price,TotalVolume,InOutRatio" advise="1"/>
      <ddeItem name="TXYN07P28600.TF-ID,Name,Price,TotalVolume,InOutRatio" advise="1"/>
      <ddeItem name="TXYN07P28650.TF-ID,Name,Price,TotalVolume,InOutRatio" advise="1"/>
      <ddeItem name="TXYN07P28700.TF-ID,Name,Price,TotalVolume,InOutRatio" advise="1"/>
      <ddeItem name="TXYN07P28750.TF-ID,Name,Price,TotalVolume,InOutRatio" advise="1"/>
      <ddeItem name="TXYN07P28800.TF-ID,Name,Price,TotalVolume,InOutRatio" advise="1"/>
      <ddeItem name="TXYN07P28850.TF-ID,Name,Price,TotalVolume,InOutRatio" advise="1"/>
      <ddeItem name="TXYN07P28900.TF-ID,Name,Price,TotalVolume,InOutRatio" advise="1"/>
      <ddeItem name="TXYN07P28950.TF-ID,Name,Price,TotalVolume,InOutRatio" advise="1"/>
      <ddeItem name="TXYN07P29000.TF-ID,Name,Price,TotalVolume,InOutRatio" advise="1"/>
      <ddeItem name="TXYN07P29050.TF-ID,Name,Price,TotalVolume,InOutRatio" advise="1"/>
      <ddeItem name="TXYN07P29100.TF-ID,Name,Price,TotalVolume,InOutRatio" advise="1"/>
      <ddeItem name="TXYN07P29150.TF-ID,Name,Price,TotalVolume,InOutRatio" advise="1"/>
      <ddeItem name="TXYN07P29200.TF-ID,Name,Price,TotalVolume,InOutRatio" advise="1"/>
      <ddeItem name="TXYN07P29250.TF-ID,Name,Price,TotalVolume,InOutRatio" advise="1"/>
      <ddeItem name="TXYN07P29300.TF-ID,Name,Price,TotalVolume,InOutRatio" advise="1"/>
      <ddeItem name="TXYN07P29350.TF-ID,Name,Price,TotalVolume,InOutRatio" advise="1"/>
      <ddeItem name="TXYN07P29400.TF-ID,Name,Price,TotalVolume,InOutRatio" advise="1"/>
      <ddeItem name="TXYN07P29450.TF-ID,Name,Price,TotalVolume,InOutRatio" advise="1"/>
      <ddeItem name="TXYN07P29500.TF-ID,Name,Price,TotalVolume,InOutRatio" advise="1"/>
      <ddeItem name="TXYN07P29550.TF-ID,Name,Price,TotalVolume,InOutRatio" advise="1"/>
      <ddeItem name="TXYN07P29600.TF-ID,Name,Price,TotalVolume,InOutRatio" advise="1"/>
      <ddeItem name="TXYN07P29650.TF-ID,Name,Price,TotalVolume,InOutRatio" advise="1"/>
      <ddeItem name="TXYN07P29700.TF-ID,Name,Price,TotalVolume,InOutRatio" advise="1"/>
      <ddeItem name="TXYN07P29750.TF-ID,Name,Price,TotalVolume,InOutRatio" advise="1"/>
      <ddeItem name="TXYN07P29800.TF-ID,Name,Price,TotalVolume,InOutRatio" advise="1"/>
      <ddeItem name="TXYN07P29850.TF-ID,Name,Price,TotalVolume,InOutRatio" advise="1"/>
      <ddeItem name="TXYN07P29900.TF-ID,Name,Price,TotalVolume,InOutRatio" advise="1"/>
      <ddeItem name="TXYN07P29950.TF-ID,Name,Price,TotalVolume,InOutRatio" advise="1"/>
      <ddeItem name="TXYN07P30000.TF-ID,Name,Price,TotalVolume,InOutRatio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uantafutures.com.tw/margin_01" TargetMode="External"/><Relationship Id="rId3" Type="http://schemas.openxmlformats.org/officeDocument/2006/relationships/hyperlink" Target="https://www.yuantafutures.com.tw/margin_01" TargetMode="External"/><Relationship Id="rId7" Type="http://schemas.openxmlformats.org/officeDocument/2006/relationships/hyperlink" Target="https://www.yuantafutures.com.tw/margin_01" TargetMode="External"/><Relationship Id="rId12" Type="http://schemas.openxmlformats.org/officeDocument/2006/relationships/hyperlink" Target="https://www.yuantafutures.com.tw/margin_01" TargetMode="External"/><Relationship Id="rId2" Type="http://schemas.openxmlformats.org/officeDocument/2006/relationships/hyperlink" Target="https://www.yuantafutures.com.tw/margin_01" TargetMode="External"/><Relationship Id="rId1" Type="http://schemas.openxmlformats.org/officeDocument/2006/relationships/hyperlink" Target="https://www.yuantafutures.com.tw/margin_01" TargetMode="External"/><Relationship Id="rId6" Type="http://schemas.openxmlformats.org/officeDocument/2006/relationships/hyperlink" Target="https://www.yuantafutures.com.tw/margin_01" TargetMode="External"/><Relationship Id="rId11" Type="http://schemas.openxmlformats.org/officeDocument/2006/relationships/hyperlink" Target="https://www.yuantafutures.com.tw/margin_01" TargetMode="External"/><Relationship Id="rId5" Type="http://schemas.openxmlformats.org/officeDocument/2006/relationships/hyperlink" Target="https://www.yuantafutures.com.tw/margin_01" TargetMode="External"/><Relationship Id="rId10" Type="http://schemas.openxmlformats.org/officeDocument/2006/relationships/hyperlink" Target="https://www.yuantafutures.com.tw/margin_01" TargetMode="External"/><Relationship Id="rId4" Type="http://schemas.openxmlformats.org/officeDocument/2006/relationships/hyperlink" Target="https://www.yuantafutures.com.tw/margin_01" TargetMode="External"/><Relationship Id="rId9" Type="http://schemas.openxmlformats.org/officeDocument/2006/relationships/hyperlink" Target="https://www.yuantafutures.com.tw/margin_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4D14-17ED-429D-B869-6A7A956E1913}">
  <sheetPr codeName="工作表1"/>
  <dimension ref="A1:AG72"/>
  <sheetViews>
    <sheetView zoomScaleNormal="100" workbookViewId="0">
      <pane ySplit="17" topLeftCell="A18" activePane="bottomLeft" state="frozen"/>
      <selection activeCell="D1" sqref="A1:D1"/>
      <selection pane="bottomLeft" activeCell="D1" sqref="A1:D1"/>
    </sheetView>
  </sheetViews>
  <sheetFormatPr defaultColWidth="15.375" defaultRowHeight="13.5" customHeight="1" x14ac:dyDescent="0.25"/>
  <cols>
    <col min="1" max="1" width="12.5" style="6" customWidth="1"/>
    <col min="2" max="2" width="17.5" style="6" customWidth="1"/>
    <col min="3" max="3" width="8.375" style="3" customWidth="1"/>
    <col min="4" max="5" width="8.375" style="1" customWidth="1"/>
    <col min="6" max="6" width="8.125" style="1" customWidth="1"/>
    <col min="7" max="7" width="7.375" style="1" customWidth="1"/>
    <col min="8" max="8" width="8.75" style="1" customWidth="1"/>
    <col min="9" max="9" width="13.625" style="2" customWidth="1"/>
    <col min="10" max="10" width="18.875" style="2" customWidth="1"/>
    <col min="11" max="11" width="8.375" style="3" customWidth="1"/>
    <col min="12" max="12" width="8.375" style="1" customWidth="1"/>
    <col min="13" max="13" width="8.5" style="1" customWidth="1"/>
    <col min="14" max="14" width="1.75" style="1" customWidth="1"/>
    <col min="15" max="15" width="10.875" style="4" customWidth="1"/>
    <col min="16" max="16" width="8.5" style="4" customWidth="1"/>
    <col min="17" max="17" width="2.5" style="4" customWidth="1"/>
    <col min="18" max="18" width="8.75" style="4" customWidth="1"/>
    <col min="19" max="19" width="9.125" style="4" customWidth="1"/>
    <col min="20" max="20" width="2" style="4" customWidth="1"/>
    <col min="21" max="24" width="10.5" style="21" customWidth="1"/>
    <col min="25" max="28" width="10.375" style="4" hidden="1" customWidth="1"/>
    <col min="29" max="29" width="5.5" style="1" customWidth="1"/>
    <col min="30" max="33" width="12" style="1" customWidth="1"/>
    <col min="34" max="34" width="15.375" style="1" customWidth="1"/>
    <col min="35" max="16384" width="15.375" style="1"/>
  </cols>
  <sheetData>
    <row r="1" spans="1:28" ht="15" x14ac:dyDescent="0.25">
      <c r="A1" s="2" t="s">
        <v>0</v>
      </c>
      <c r="B1" s="2" t="s">
        <v>1</v>
      </c>
      <c r="C1" s="7" t="s">
        <v>2</v>
      </c>
      <c r="D1" s="2" t="s">
        <v>3</v>
      </c>
      <c r="E1" s="2" t="s">
        <v>127</v>
      </c>
      <c r="F1" s="2"/>
      <c r="G1" s="2"/>
      <c r="H1" s="2"/>
      <c r="I1" s="2" t="s">
        <v>5</v>
      </c>
      <c r="J1" s="2" t="s">
        <v>1</v>
      </c>
      <c r="K1" s="7" t="s">
        <v>2</v>
      </c>
      <c r="L1" s="2" t="s">
        <v>3</v>
      </c>
      <c r="M1" s="2" t="s">
        <v>4</v>
      </c>
      <c r="O1" s="5"/>
      <c r="P1" s="5"/>
      <c r="R1" s="20" t="s">
        <v>11</v>
      </c>
      <c r="S1" s="20" t="s">
        <v>12</v>
      </c>
      <c r="T1" s="20"/>
      <c r="Y1" s="5"/>
      <c r="Z1" s="5"/>
      <c r="AA1" s="5"/>
      <c r="AB1" s="5"/>
    </row>
    <row r="2" spans="1:28" ht="15" x14ac:dyDescent="0.25">
      <c r="A2" s="2" t="e">
        <f t="array" ref="A2:E2">[1]!'TX4N07C19900.TF-ID,Name,Price,TotalVolume,InOutRatio'</f>
        <v>#N/A</v>
      </c>
      <c r="B2" s="2" t="e">
        <v>#N/A</v>
      </c>
      <c r="C2" s="7" t="e">
        <v>#N/A</v>
      </c>
      <c r="D2" s="2" t="e">
        <v>#N/A</v>
      </c>
      <c r="E2" s="2" t="e">
        <v>#N/A</v>
      </c>
      <c r="F2" s="2"/>
      <c r="G2" s="2"/>
      <c r="H2" s="2"/>
      <c r="I2" s="2" t="e">
        <f t="array" ref="I2:M2">[1]!'TX4N07P19900.TF-ID,Name,Price,TotalVolume,InOutRatio'</f>
        <v>#N/A</v>
      </c>
      <c r="J2" s="2" t="e">
        <v>#N/A</v>
      </c>
      <c r="K2" s="7" t="e">
        <v>#N/A</v>
      </c>
      <c r="L2" s="2" t="e">
        <v>#N/A</v>
      </c>
      <c r="M2" s="2" t="e">
        <v>#N/A</v>
      </c>
      <c r="O2" s="5"/>
      <c r="P2" s="5"/>
      <c r="Y2" s="5"/>
      <c r="Z2" s="5"/>
      <c r="AA2" s="5"/>
      <c r="AB2" s="5"/>
    </row>
    <row r="3" spans="1:28" ht="15" x14ac:dyDescent="0.25">
      <c r="A3" s="2" t="e">
        <f t="array" ref="A3:E3">[1]!'TX4N07C20000.TF-ID,Name,Price,TotalVolume,InOutRatio'</f>
        <v>#N/A</v>
      </c>
      <c r="B3" s="2" t="e">
        <v>#N/A</v>
      </c>
      <c r="C3" s="7" t="e">
        <v>#N/A</v>
      </c>
      <c r="D3" s="2" t="e">
        <v>#N/A</v>
      </c>
      <c r="E3" s="2" t="e">
        <v>#N/A</v>
      </c>
      <c r="F3" s="2"/>
      <c r="G3" s="2"/>
      <c r="H3" s="2"/>
      <c r="I3" s="2" t="e">
        <f t="array" ref="I3:M3">[1]!'TX4N07P20000.TF-ID,Name,Price,TotalVolume,InOutRatio'</f>
        <v>#N/A</v>
      </c>
      <c r="J3" s="2" t="e">
        <v>#N/A</v>
      </c>
      <c r="K3" s="7" t="e">
        <v>#N/A</v>
      </c>
      <c r="L3" s="2" t="e">
        <v>#N/A</v>
      </c>
      <c r="M3" s="2" t="e">
        <v>#N/A</v>
      </c>
      <c r="O3" s="5"/>
      <c r="P3" s="5"/>
      <c r="Y3" s="5"/>
      <c r="Z3" s="5"/>
      <c r="AA3" s="5"/>
      <c r="AB3" s="5"/>
    </row>
    <row r="4" spans="1:28" ht="15" x14ac:dyDescent="0.25">
      <c r="A4" s="2" t="str">
        <f t="array" ref="A4:E4">[1]!'TX4N07C20100.TF-ID,Name,Price,TotalVolume,InOutRatio'</f>
        <v>TX4N07C20100</v>
      </c>
      <c r="B4" s="2" t="str">
        <v>台指選07W4 C 20100</v>
      </c>
      <c r="C4" s="7" t="str">
        <v>--</v>
      </c>
      <c r="D4" s="2">
        <v>0</v>
      </c>
      <c r="E4" s="2" t="str">
        <v>--</v>
      </c>
      <c r="F4" s="2"/>
      <c r="G4" s="2"/>
      <c r="H4" s="2"/>
      <c r="I4" s="2" t="str">
        <f t="array" ref="I4:M4">[1]!'TX4N07P20100.TF-ID,Name,Price,TotalVolume,InOutRatio'</f>
        <v>TX4N07P20100</v>
      </c>
      <c r="J4" s="2" t="str">
        <v>台指選07W4 P 20100</v>
      </c>
      <c r="K4" s="7">
        <v>1</v>
      </c>
      <c r="L4" s="2">
        <v>499</v>
      </c>
      <c r="M4" s="2">
        <v>30.6</v>
      </c>
      <c r="O4" s="5"/>
      <c r="P4" s="5"/>
      <c r="Y4" s="5"/>
      <c r="Z4" s="5"/>
      <c r="AA4" s="5"/>
      <c r="AB4" s="5"/>
    </row>
    <row r="5" spans="1:28" ht="15" x14ac:dyDescent="0.25">
      <c r="A5" s="2" t="str">
        <f t="array" ref="A5:E5">[1]!'TX4N07C20200.TF-ID,Name,Price,TotalVolume,InOutRatio'</f>
        <v>TX4N07C20200</v>
      </c>
      <c r="B5" s="2" t="str">
        <v>台指選07W4 C 20200</v>
      </c>
      <c r="C5" s="7" t="str">
        <v>--</v>
      </c>
      <c r="D5" s="2">
        <v>0</v>
      </c>
      <c r="E5" s="2" t="str">
        <v>--</v>
      </c>
      <c r="F5" s="2"/>
      <c r="G5" s="2"/>
      <c r="H5" s="2"/>
      <c r="I5" s="2" t="str">
        <f t="array" ref="I5:M5">[1]!'TX4N07P20200.TF-ID,Name,Price,TotalVolume,InOutRatio'</f>
        <v>TX4N07P20200</v>
      </c>
      <c r="J5" s="2" t="str">
        <v>台指選07W4 P 20200</v>
      </c>
      <c r="K5" s="7">
        <v>1</v>
      </c>
      <c r="L5" s="2">
        <v>7</v>
      </c>
      <c r="M5" s="2">
        <v>14.29</v>
      </c>
      <c r="O5" s="5"/>
      <c r="P5" s="5"/>
      <c r="Y5" s="5"/>
      <c r="Z5" s="5"/>
      <c r="AA5" s="5"/>
      <c r="AB5" s="5"/>
    </row>
    <row r="6" spans="1:28" ht="15" x14ac:dyDescent="0.25">
      <c r="A6" s="2" t="str">
        <f t="array" ref="A6:E6">[1]!'TX4N07C20300.TF-ID,Name,Price,TotalVolume,InOutRatio'</f>
        <v>TX4N07C20300</v>
      </c>
      <c r="B6" s="2" t="str">
        <v>台指選07W4 C 20300</v>
      </c>
      <c r="C6" s="7" t="str">
        <v>--</v>
      </c>
      <c r="D6" s="2">
        <v>0</v>
      </c>
      <c r="E6" s="2" t="str">
        <v>--</v>
      </c>
      <c r="F6" s="2"/>
      <c r="G6" s="2"/>
      <c r="H6" s="2"/>
      <c r="I6" s="2" t="str">
        <f t="array" ref="I6:M6">[1]!'TX4N07P20300.TF-ID,Name,Price,TotalVolume,InOutRatio'</f>
        <v>TX4N07P20300</v>
      </c>
      <c r="J6" s="2" t="str">
        <v>台指選07W4 P 20300</v>
      </c>
      <c r="K6" s="7">
        <v>1.3</v>
      </c>
      <c r="L6" s="2">
        <v>6</v>
      </c>
      <c r="M6" s="2">
        <v>50</v>
      </c>
      <c r="O6" s="5"/>
      <c r="P6" s="5"/>
      <c r="Y6" s="5"/>
      <c r="Z6" s="5"/>
      <c r="AA6" s="5"/>
      <c r="AB6" s="5"/>
    </row>
    <row r="7" spans="1:28" ht="15" x14ac:dyDescent="0.25">
      <c r="A7" s="2" t="str">
        <f t="array" ref="A7:E7">[1]!'TX4N07C20400.TF-ID,Name,Price,TotalVolume,InOutRatio'</f>
        <v>TX4N07C20400</v>
      </c>
      <c r="B7" s="2" t="str">
        <v>台指選07W4 C 20400</v>
      </c>
      <c r="C7" s="7" t="str">
        <v>--</v>
      </c>
      <c r="D7" s="2">
        <v>0</v>
      </c>
      <c r="E7" s="2" t="str">
        <v>--</v>
      </c>
      <c r="F7" s="2"/>
      <c r="G7" s="2"/>
      <c r="H7" s="2"/>
      <c r="I7" s="2" t="str">
        <f t="array" ref="I7:M7">[1]!'TX4N07P20400.TF-ID,Name,Price,TotalVolume,InOutRatio'</f>
        <v>TX4N07P20400</v>
      </c>
      <c r="J7" s="2" t="str">
        <v>台指選07W4 P 20400</v>
      </c>
      <c r="K7" s="7">
        <v>1.1000000000000001</v>
      </c>
      <c r="L7" s="2">
        <v>5</v>
      </c>
      <c r="M7" s="2">
        <v>0</v>
      </c>
      <c r="O7" s="5"/>
      <c r="P7" s="5"/>
      <c r="Y7" s="5"/>
      <c r="Z7" s="5"/>
      <c r="AA7" s="5"/>
      <c r="AB7" s="5"/>
    </row>
    <row r="8" spans="1:28" ht="15" x14ac:dyDescent="0.25">
      <c r="A8" s="2" t="str">
        <f t="array" ref="A8:E8">[1]!'TX4N07C20500.TF-ID,Name,Price,TotalVolume,InOutRatio'</f>
        <v>TX4N07C20500</v>
      </c>
      <c r="B8" s="2" t="str">
        <v>台指選07W4 C 20500</v>
      </c>
      <c r="C8" s="7" t="str">
        <v>--</v>
      </c>
      <c r="D8" s="2">
        <v>0</v>
      </c>
      <c r="E8" s="2" t="str">
        <v>--</v>
      </c>
      <c r="F8" s="2"/>
      <c r="G8" s="2"/>
      <c r="H8" s="2"/>
      <c r="I8" s="2" t="str">
        <f t="array" ref="I8:M8">[1]!'TX4N07P20500.TF-ID,Name,Price,TotalVolume,InOutRatio'</f>
        <v>TX4N07P20500</v>
      </c>
      <c r="J8" s="2" t="str">
        <v>台指選07W4 P 20500</v>
      </c>
      <c r="K8" s="7">
        <v>1.3</v>
      </c>
      <c r="L8" s="2">
        <v>5</v>
      </c>
      <c r="M8" s="2">
        <v>80</v>
      </c>
      <c r="O8" s="5"/>
      <c r="P8" s="5">
        <v>23500</v>
      </c>
      <c r="Y8" s="5"/>
      <c r="Z8" s="5"/>
      <c r="AA8" s="5"/>
      <c r="AB8" s="5"/>
    </row>
    <row r="9" spans="1:28" ht="15" x14ac:dyDescent="0.25">
      <c r="A9" s="2" t="str">
        <f t="array" ref="A9:E9">[1]!'TX4N07C20600.TF-ID,Name,Price,TotalVolume,InOutRatio'</f>
        <v>TX4N07C20600</v>
      </c>
      <c r="B9" s="2" t="str">
        <v>台指選07W4 C 20600</v>
      </c>
      <c r="C9" s="7" t="str">
        <v>--</v>
      </c>
      <c r="D9" s="2">
        <v>0</v>
      </c>
      <c r="E9" s="2" t="str">
        <v>--</v>
      </c>
      <c r="F9" s="27"/>
      <c r="G9" s="2"/>
      <c r="H9" s="2"/>
      <c r="I9" s="2" t="str">
        <f t="array" ref="I9:M9">[1]!'TX4N07P20600.TF-ID,Name,Price,TotalVolume,InOutRatio'</f>
        <v>TX4N07P20600</v>
      </c>
      <c r="J9" s="2" t="str">
        <v>台指選07W4 P 20600</v>
      </c>
      <c r="K9" s="7">
        <v>1.1000000000000001</v>
      </c>
      <c r="L9" s="2">
        <v>3</v>
      </c>
      <c r="M9" s="2">
        <v>33.33</v>
      </c>
      <c r="O9" s="5"/>
      <c r="P9" s="5"/>
      <c r="W9" s="21">
        <v>45855.037662037037</v>
      </c>
      <c r="Y9" s="5"/>
      <c r="Z9" s="5"/>
      <c r="AA9" s="5"/>
      <c r="AB9" s="5"/>
    </row>
    <row r="10" spans="1:28" ht="15" x14ac:dyDescent="0.25">
      <c r="A10" s="2" t="str">
        <f t="array" ref="A10:E10">[1]!'TX4N07C20700.TF-ID,Name,Price,TotalVolume,InOutRatio'</f>
        <v>TX4N07C20700</v>
      </c>
      <c r="B10" s="2" t="str">
        <v>台指選07W4 C 20700</v>
      </c>
      <c r="C10" s="7" t="str">
        <v>--</v>
      </c>
      <c r="D10" s="2">
        <v>0</v>
      </c>
      <c r="E10" s="2" t="str">
        <v>--</v>
      </c>
      <c r="F10" s="2"/>
      <c r="G10" s="2"/>
      <c r="H10" s="2"/>
      <c r="I10" s="2" t="str">
        <f t="array" ref="I10:M10">[1]!'TX4N07P20700.TF-ID,Name,Price,TotalVolume,InOutRatio'</f>
        <v>TX4N07P20700</v>
      </c>
      <c r="J10" s="2" t="str">
        <v>台指選07W4 P 20700</v>
      </c>
      <c r="K10" s="7">
        <v>1.4</v>
      </c>
      <c r="L10" s="2">
        <v>2</v>
      </c>
      <c r="M10" s="2">
        <v>0</v>
      </c>
      <c r="O10" s="5"/>
      <c r="P10" s="5"/>
      <c r="Y10" s="5"/>
      <c r="Z10" s="5"/>
      <c r="AA10" s="5"/>
      <c r="AB10" s="5"/>
    </row>
    <row r="11" spans="1:28" ht="15" x14ac:dyDescent="0.25">
      <c r="A11" s="2" t="str">
        <f t="array" ref="A11:E11">[1]!'TX4N07C20800.TF-ID,Name,Price,TotalVolume,InOutRatio'</f>
        <v>TX4N07C20800</v>
      </c>
      <c r="B11" s="2" t="str">
        <v>台指選07W4 C 20800</v>
      </c>
      <c r="C11" s="7" t="str">
        <v>--</v>
      </c>
      <c r="D11" s="2">
        <v>0</v>
      </c>
      <c r="E11" s="2" t="str">
        <v>--</v>
      </c>
      <c r="F11" s="2"/>
      <c r="G11" s="2"/>
      <c r="H11" s="2"/>
      <c r="I11" s="2" t="str">
        <f t="array" ref="I11:M11">[1]!'TX4N07P20800.TF-ID,Name,Price,TotalVolume,InOutRatio'</f>
        <v>TX4N07P20800</v>
      </c>
      <c r="J11" s="2" t="str">
        <v>台指選07W4 P 20800</v>
      </c>
      <c r="K11" s="7" t="str">
        <v>--</v>
      </c>
      <c r="L11" s="2">
        <v>0</v>
      </c>
      <c r="M11" s="2" t="str">
        <v>--</v>
      </c>
      <c r="O11" s="5"/>
      <c r="P11" s="5"/>
      <c r="Y11" s="5"/>
      <c r="Z11" s="5"/>
      <c r="AA11" s="5"/>
      <c r="AB11" s="5"/>
    </row>
    <row r="12" spans="1:28" ht="15" x14ac:dyDescent="0.25">
      <c r="A12" s="2" t="str">
        <f t="array" ref="A12:E12">[1]!'TX4N07C20900.TF-ID,Name,Price,TotalVolume,InOutRatio'</f>
        <v>TX4N07C20900</v>
      </c>
      <c r="B12" s="2" t="str">
        <v>台指選07W4 C 20900</v>
      </c>
      <c r="C12" s="7" t="str">
        <v>--</v>
      </c>
      <c r="D12" s="2">
        <v>0</v>
      </c>
      <c r="E12" s="2" t="str">
        <v>--</v>
      </c>
      <c r="F12" s="2"/>
      <c r="G12" s="2"/>
      <c r="H12" s="2"/>
      <c r="I12" s="2" t="str">
        <f t="array" ref="I12:M12">[1]!'TX4N07P20900.TF-ID,Name,Price,TotalVolume,InOutRatio'</f>
        <v>TX4N07P20900</v>
      </c>
      <c r="J12" s="2" t="str">
        <v>台指選07W4 P 20900</v>
      </c>
      <c r="K12" s="7">
        <v>1.4</v>
      </c>
      <c r="L12" s="2">
        <v>21</v>
      </c>
      <c r="M12" s="2">
        <v>100</v>
      </c>
      <c r="O12" s="5"/>
      <c r="P12" s="5"/>
      <c r="Y12" s="5"/>
      <c r="Z12" s="5"/>
      <c r="AA12" s="5"/>
      <c r="AB12" s="5"/>
    </row>
    <row r="13" spans="1:28" ht="45" x14ac:dyDescent="0.25">
      <c r="A13" s="2" t="str">
        <f t="array" ref="A13:E13">[1]!'TX4N07C21000.TF-ID,Name,Price,TotalVolume,InOutRatio'</f>
        <v>TX4N07C21000</v>
      </c>
      <c r="B13" s="2" t="str">
        <v>台指選07W4 C 21000</v>
      </c>
      <c r="C13" s="7">
        <v>2360</v>
      </c>
      <c r="D13" s="2">
        <v>1</v>
      </c>
      <c r="E13" s="2">
        <v>100</v>
      </c>
      <c r="F13" s="2"/>
      <c r="G13" s="2"/>
      <c r="H13" s="2"/>
      <c r="I13" s="2" t="str">
        <f t="array" ref="I13:M13">[1]!'TX4N07P21000.TF-ID,Name,Price,TotalVolume,InOutRatio'</f>
        <v>TX4N07P21000</v>
      </c>
      <c r="J13" s="2" t="str">
        <v>台指選07W4 P 21000</v>
      </c>
      <c r="K13" s="7">
        <v>1.3</v>
      </c>
      <c r="L13" s="2">
        <v>101</v>
      </c>
      <c r="M13" s="2">
        <v>63.37</v>
      </c>
      <c r="O13" s="2" t="str" cm="1">
        <f t="array" ref="O13:S13">[1]!'TX4N07C21000.TF-ID,Name,Price,TotalVolume,InOutRatio'</f>
        <v>TX4N07C21000</v>
      </c>
      <c r="P13" s="5" t="str">
        <v>台指選07W4 C 21000</v>
      </c>
      <c r="Q13" s="4">
        <v>2360</v>
      </c>
      <c r="R13" s="4">
        <v>1</v>
      </c>
      <c r="S13" s="4">
        <v>100</v>
      </c>
      <c r="Y13" s="5"/>
      <c r="Z13" s="5"/>
      <c r="AA13" s="5"/>
      <c r="AB13" s="5"/>
    </row>
    <row r="14" spans="1:28" ht="15" x14ac:dyDescent="0.25">
      <c r="A14" s="2" t="str">
        <f t="array" ref="A14:E14">[1]!'TX4N07C21100.TF-ID,Name,Price,TotalVolume,InOutRatio'</f>
        <v>TX4N07C21100</v>
      </c>
      <c r="B14" s="2" t="str">
        <v>台指選07W4 C 21100</v>
      </c>
      <c r="C14" s="7" t="str">
        <v>--</v>
      </c>
      <c r="D14" s="2">
        <v>0</v>
      </c>
      <c r="E14" s="2" t="str">
        <v>--</v>
      </c>
      <c r="F14" s="2"/>
      <c r="G14" s="2"/>
      <c r="H14" s="2"/>
      <c r="I14" s="2" t="str">
        <f t="array" ref="I14:M14">[1]!'TX4N07P21100.TF-ID,Name,Price,TotalVolume,InOutRatio'</f>
        <v>TX4N07P21100</v>
      </c>
      <c r="J14" s="2" t="str">
        <v>台指選07W4 P 21100</v>
      </c>
      <c r="K14" s="7">
        <v>1.2</v>
      </c>
      <c r="L14" s="2">
        <v>1</v>
      </c>
      <c r="M14" s="2">
        <v>0</v>
      </c>
      <c r="O14" s="5"/>
      <c r="P14" s="5"/>
      <c r="Y14" s="5"/>
      <c r="Z14" s="5"/>
      <c r="AA14" s="5"/>
      <c r="AB14" s="5"/>
    </row>
    <row r="15" spans="1:28" ht="15" x14ac:dyDescent="0.25">
      <c r="A15" s="2" t="str">
        <f t="array" ref="A15:E15">[1]!'TX4N07C21200.TF-ID,Name,Price,TotalVolume,InOutRatio'</f>
        <v>TX4N07C21200</v>
      </c>
      <c r="B15" s="2" t="str">
        <v>台指選07W4 C 21200</v>
      </c>
      <c r="C15" s="7" t="str">
        <v>--</v>
      </c>
      <c r="D15" s="2">
        <v>0</v>
      </c>
      <c r="E15" s="2" t="str">
        <v>--</v>
      </c>
      <c r="F15" s="2"/>
      <c r="G15" s="2"/>
      <c r="H15" s="2"/>
      <c r="I15" s="2" t="str">
        <f t="array" ref="I15:M15">[1]!'TX4N07P21200.TF-ID,Name,Price,TotalVolume,InOutRatio'</f>
        <v>TX4N07P21200</v>
      </c>
      <c r="J15" s="2" t="str">
        <v>台指選07W4 P 21200</v>
      </c>
      <c r="K15" s="7">
        <v>2</v>
      </c>
      <c r="L15" s="2">
        <v>4</v>
      </c>
      <c r="M15" s="2">
        <v>33.33</v>
      </c>
      <c r="O15" s="5"/>
      <c r="P15" s="5"/>
      <c r="Y15" s="5"/>
      <c r="Z15" s="5"/>
      <c r="AA15" s="5"/>
      <c r="AB15" s="5"/>
    </row>
    <row r="16" spans="1:28" ht="15" x14ac:dyDescent="0.25">
      <c r="A16" s="2" t="str">
        <f t="array" ref="A16:E16">[1]!'TX4N07C21300.TF-ID,Name,Price,TotalVolume,InOutRatio'</f>
        <v>TX4N07C21300</v>
      </c>
      <c r="B16" s="2" t="str">
        <v>台指選07W4 C 21300</v>
      </c>
      <c r="C16" s="7" t="str">
        <v>--</v>
      </c>
      <c r="D16" s="2">
        <v>0</v>
      </c>
      <c r="E16" s="2" t="str">
        <v>--</v>
      </c>
      <c r="F16" s="2"/>
      <c r="G16" s="2"/>
      <c r="H16" s="2"/>
      <c r="I16" s="2" t="str">
        <f t="array" ref="I16:M16">[1]!'TX4N07P21300.TF-ID,Name,Price,TotalVolume,InOutRatio'</f>
        <v>TX4N07P21300</v>
      </c>
      <c r="J16" s="2" t="str">
        <v>台指選07W4 P 21300</v>
      </c>
      <c r="K16" s="7">
        <v>1.7</v>
      </c>
      <c r="L16" s="2">
        <v>92</v>
      </c>
      <c r="M16" s="2">
        <v>0</v>
      </c>
      <c r="O16" s="5"/>
      <c r="P16" s="5"/>
      <c r="Y16" s="5"/>
      <c r="Z16" s="5"/>
      <c r="AA16" s="5"/>
      <c r="AB16" s="5"/>
    </row>
    <row r="17" spans="1:33" ht="51" customHeight="1" x14ac:dyDescent="0.25">
      <c r="A17" s="2" t="str" cm="1">
        <f t="array" ref="A17:E17">[1]!'TX4N07C21500.TF-ID,Name,Price,TotalVolume,InOutRatio'</f>
        <v>TX4N07C21500</v>
      </c>
      <c r="B17" s="2" t="str">
        <v>台指選07W4 C 21500</v>
      </c>
      <c r="C17" s="7" t="str">
        <v>--</v>
      </c>
      <c r="D17" s="2">
        <v>0</v>
      </c>
      <c r="E17" s="2" t="str">
        <v>--</v>
      </c>
      <c r="F17" s="10" t="s">
        <v>11</v>
      </c>
      <c r="G17" s="10" t="s">
        <v>6</v>
      </c>
      <c r="H17" s="10" t="s">
        <v>12</v>
      </c>
      <c r="I17" s="9" t="str">
        <f t="array" ref="I17:M17">[1]!'TX4N07P21400.TF-ID,Name,Price,TotalVolume,InOutRatio'</f>
        <v>TX4N07P21400</v>
      </c>
      <c r="J17" s="9" t="str">
        <v>台指選07W4 P 21400</v>
      </c>
      <c r="K17" s="7">
        <v>2</v>
      </c>
      <c r="L17" s="2">
        <v>63</v>
      </c>
      <c r="M17" s="2">
        <v>39.68</v>
      </c>
      <c r="O17" s="11" t="s">
        <v>15</v>
      </c>
      <c r="P17" s="11" t="s">
        <v>14</v>
      </c>
      <c r="R17" s="4" t="s">
        <v>24</v>
      </c>
      <c r="S17" s="4" t="s">
        <v>24</v>
      </c>
      <c r="U17" s="22" t="s">
        <v>8</v>
      </c>
      <c r="V17" s="22" t="s">
        <v>9</v>
      </c>
      <c r="W17" s="22" t="s">
        <v>7</v>
      </c>
      <c r="X17" s="22" t="s">
        <v>10</v>
      </c>
      <c r="Y17" s="11" t="s">
        <v>8</v>
      </c>
      <c r="Z17" s="11" t="s">
        <v>9</v>
      </c>
      <c r="AA17" s="11" t="s">
        <v>7</v>
      </c>
      <c r="AB17" s="11" t="s">
        <v>10</v>
      </c>
      <c r="AD17" s="22" t="s">
        <v>8</v>
      </c>
      <c r="AE17" s="11" t="s">
        <v>9</v>
      </c>
      <c r="AF17" s="11" t="s">
        <v>7</v>
      </c>
      <c r="AG17" s="11" t="s">
        <v>10</v>
      </c>
    </row>
    <row r="18" spans="1:33" ht="13.5" customHeight="1" x14ac:dyDescent="0.25">
      <c r="A18" s="2" t="str">
        <f t="array" ref="A18:E18">[1]!'TX4N07C21500.TF-ID,Name,Price,TotalVolume,InOutRatio'</f>
        <v>TX4N07C21500</v>
      </c>
      <c r="B18" s="2" t="str">
        <v>台指選07W4 C 21500</v>
      </c>
      <c r="C18" s="7" t="str">
        <v>--</v>
      </c>
      <c r="D18" s="2">
        <v>0</v>
      </c>
      <c r="E18" s="2" t="str">
        <v>--</v>
      </c>
      <c r="F18" s="8">
        <f>+IFERROR((E18-50)/50*D18,0)</f>
        <v>0</v>
      </c>
      <c r="G18" s="8">
        <v>21500</v>
      </c>
      <c r="H18" s="8">
        <f>+IFERROR((M18-50)/50*L18,0)</f>
        <v>3.996000000000004</v>
      </c>
      <c r="I18" s="2" t="str">
        <f t="array" ref="I18:M18">[1]!'TX4N07P21500.TF-ID,Name,Price,TotalVolume,InOutRatio'</f>
        <v>TX4N07P21500</v>
      </c>
      <c r="J18" s="2" t="str">
        <v>台指選07W4 P 21500</v>
      </c>
      <c r="K18" s="7">
        <v>2.5</v>
      </c>
      <c r="L18" s="2">
        <v>74</v>
      </c>
      <c r="M18" s="2">
        <v>52.7</v>
      </c>
      <c r="O18" s="12">
        <f>SUM(U18:X57)</f>
        <v>-1473523.1821699999</v>
      </c>
      <c r="P18" s="54">
        <v>21500</v>
      </c>
      <c r="R18" s="4">
        <f>IFERROR(C18+'CallPut(週五)'!C18,0)/2</f>
        <v>0</v>
      </c>
      <c r="S18" s="4">
        <f>IFERROR(K18+'CallPut(週五)'!K18,0)/2</f>
        <v>5.8</v>
      </c>
      <c r="U18" s="23">
        <f>MAX($P$18-G18,0)*MAX('籌碼表_CallPut(3+5)'!D3,0)-MAX('籌碼表_CallPut(3+5)'!D3,0)*R18</f>
        <v>0</v>
      </c>
      <c r="V18" s="23">
        <f>MAX(G18-$P$18,0)*MAX('籌碼表_CallPut(3+5)'!F3,0)-MAX('籌碼表_CallPut(3+5)'!F3,0)*S18</f>
        <v>-40.57680000000002</v>
      </c>
      <c r="W18" s="23">
        <f>-MIN('籌碼表_CallPut(3+5)'!D3,0)*R18  - MAX($P$18-G18,0) * (-MIN('籌碼表_CallPut(3+5)'!D3,0))</f>
        <v>0</v>
      </c>
      <c r="X18" s="23">
        <f>-MIN('籌碼表_CallPut(3+5)'!F3,0) * S18 -  MAX(G18-$P$18,0) * (-MIN('籌碼表_CallPut(3+5)'!F3,0))</f>
        <v>0</v>
      </c>
      <c r="Y18" s="23">
        <f>-MIN('籌碼表_CallPut(3+5)'!I3,0) * T18 -  MAX(H18-$P$18,0) * (-MIN('籌碼表_CallPut(3+5)'!I3,0))</f>
        <v>0</v>
      </c>
      <c r="Z18" s="23" t="e">
        <f>-MIN('籌碼表_CallPut(3+5)'!J3,0) * U18 -  MAX(I18-$P$18,0) * (-MIN('籌碼表_CallPut(3+5)'!J3,0))</f>
        <v>#VALUE!</v>
      </c>
      <c r="AA18" s="23" t="e">
        <f>-MIN('籌碼表_CallPut(3+5)'!K3,0) * V18 -  MAX(J18-$P$18,0) * (-MIN('籌碼表_CallPut(3+5)'!K3,0))</f>
        <v>#VALUE!</v>
      </c>
      <c r="AB18" s="23">
        <f>-MIN('籌碼表_CallPut(3+5)'!L3,0) * W18 -  MAX(K18-$P$18,0) * (-MIN('籌碼表_CallPut(3+5)'!L3,0))</f>
        <v>0</v>
      </c>
      <c r="AD18" s="24" t="s">
        <v>22</v>
      </c>
      <c r="AE18" s="24" t="s">
        <v>23</v>
      </c>
      <c r="AF18" s="24" t="s">
        <v>19</v>
      </c>
      <c r="AG18" s="24" t="s">
        <v>21</v>
      </c>
    </row>
    <row r="19" spans="1:33" ht="13.5" customHeight="1" x14ac:dyDescent="0.25">
      <c r="A19" s="2" t="e">
        <f t="array" ref="A19:E19">[1]!'TX4N07C21550.TF-ID,Name,Price,TotalVolume,InOutRatio'</f>
        <v>#N/A</v>
      </c>
      <c r="B19" s="2" t="e">
        <v>#N/A</v>
      </c>
      <c r="C19" s="7" t="e">
        <v>#N/A</v>
      </c>
      <c r="D19" s="2" t="e">
        <v>#N/A</v>
      </c>
      <c r="E19" s="2" t="e">
        <v>#N/A</v>
      </c>
      <c r="F19" s="8">
        <f t="shared" ref="F19:F57" si="0">+IFERROR((E19-50)/50*D19,0)</f>
        <v>0</v>
      </c>
      <c r="G19" s="8">
        <v>21550</v>
      </c>
      <c r="H19" s="8">
        <f t="shared" ref="H19:H57" si="1">+IFERROR((M19-50)/50*L19,0)</f>
        <v>0</v>
      </c>
      <c r="I19" s="2" t="e">
        <f t="array" ref="I19:M19">[1]!'TX4N07P21550.TF-ID,Name,Price,TotalVolume,InOutRatio'</f>
        <v>#N/A</v>
      </c>
      <c r="J19" s="2" t="e">
        <v>#N/A</v>
      </c>
      <c r="K19" s="7" t="e">
        <v>#N/A</v>
      </c>
      <c r="L19" s="2" t="e">
        <v>#N/A</v>
      </c>
      <c r="M19" s="2" t="e">
        <v>#N/A</v>
      </c>
      <c r="O19" s="12">
        <v>0</v>
      </c>
      <c r="P19" s="12">
        <v>21550</v>
      </c>
      <c r="R19" s="4">
        <f>IFERROR(C19+'CallPut(週五)'!C19,0)/2</f>
        <v>0</v>
      </c>
      <c r="S19" s="4">
        <f>IFERROR(K19+'CallPut(週五)'!K19,0)/2</f>
        <v>0</v>
      </c>
      <c r="U19" s="23">
        <f>MAX($P$18-G19,0)*MAX('籌碼表_CallPut(3+5)'!D4,0)-MAX('籌碼表_CallPut(3+5)'!D4,0)*R19</f>
        <v>0</v>
      </c>
      <c r="V19" s="23">
        <f>MAX(G19-$P$18,0)*MAX('籌碼表_CallPut(3+5)'!F4,0)-MAX('籌碼表_CallPut(3+5)'!F4,0)*S19</f>
        <v>0</v>
      </c>
      <c r="W19" s="23">
        <f>-MIN('籌碼表_CallPut(3+5)'!D4,0)*R19  - MAX($P$18-G19,0) * (-MIN('籌碼表_CallPut(3+5)'!D4,0))</f>
        <v>0</v>
      </c>
      <c r="X19" s="23">
        <f>-MIN('籌碼表_CallPut(3+5)'!F4,0) * S19 -  MAX(G19-$P$18,0) * (-MIN('籌碼表_CallPut(3+5)'!F4,0))</f>
        <v>0</v>
      </c>
    </row>
    <row r="20" spans="1:33" ht="13.5" customHeight="1" x14ac:dyDescent="0.25">
      <c r="A20" s="2" t="str">
        <f t="array" ref="A20:E20">[1]!'TX4N07C21600.TF-ID,Name,Price,TotalVolume,InOutRatio'</f>
        <v>TX4N07C21600</v>
      </c>
      <c r="B20" s="2" t="str">
        <v>台指選07W4 C 21600</v>
      </c>
      <c r="C20" s="7" t="str">
        <v>--</v>
      </c>
      <c r="D20" s="2">
        <v>0</v>
      </c>
      <c r="E20" s="2" t="str">
        <v>--</v>
      </c>
      <c r="F20" s="8">
        <f t="shared" si="0"/>
        <v>0</v>
      </c>
      <c r="G20" s="8">
        <v>21600</v>
      </c>
      <c r="H20" s="8">
        <f t="shared" si="1"/>
        <v>25.995599999999992</v>
      </c>
      <c r="I20" s="2" t="str">
        <f t="array" ref="I20:M20">[1]!'TX4N07P21600.TF-ID,Name,Price,TotalVolume,InOutRatio'</f>
        <v>TX4N07P21600</v>
      </c>
      <c r="J20" s="2" t="str">
        <v>台指選07W4 P 21600</v>
      </c>
      <c r="K20" s="7">
        <v>2.6</v>
      </c>
      <c r="L20" s="2">
        <v>54</v>
      </c>
      <c r="M20" s="2">
        <v>74.069999999999993</v>
      </c>
      <c r="O20" s="12">
        <v>0</v>
      </c>
      <c r="P20" s="12">
        <v>21600</v>
      </c>
      <c r="R20" s="4">
        <f>IFERROR(C20+'CallPut(週五)'!C20,0)/2</f>
        <v>0</v>
      </c>
      <c r="S20" s="4">
        <f>IFERROR(K20+'CallPut(週五)'!K20,0)/2</f>
        <v>5.05</v>
      </c>
      <c r="U20" s="23">
        <f>MAX($P$18-G20,0)*MAX('籌碼表_CallPut(3+5)'!D5,0)-MAX('籌碼表_CallPut(3+5)'!D5,0)*R20</f>
        <v>0</v>
      </c>
      <c r="V20" s="23">
        <f>MAX(G20-$P$18,0)*MAX('籌碼表_CallPut(3+5)'!F5,0)-MAX('籌碼表_CallPut(3+5)'!F5,0)*S20</f>
        <v>3512.5043399999995</v>
      </c>
      <c r="W20" s="23">
        <f>-MIN('籌碼表_CallPut(3+5)'!D5,0)*R20  - MAX($P$18-G20,0) * (-MIN('籌碼表_CallPut(3+5)'!D5,0))</f>
        <v>0</v>
      </c>
      <c r="X20" s="23">
        <f>-MIN('籌碼表_CallPut(3+5)'!F5,0) * S20 -  MAX(G20-$P$18,0) * (-MIN('籌碼表_CallPut(3+5)'!F5,0))</f>
        <v>0</v>
      </c>
      <c r="AD20" s="27" t="s">
        <v>28</v>
      </c>
      <c r="AE20" s="27" t="s">
        <v>30</v>
      </c>
    </row>
    <row r="21" spans="1:33" ht="13.5" customHeight="1" x14ac:dyDescent="0.25">
      <c r="A21" s="2" t="e">
        <f t="array" ref="A21:E21">[1]!'TX4N07C21650.TF-ID,Name,Price,TotalVolume,InOutRatio'</f>
        <v>#N/A</v>
      </c>
      <c r="B21" s="2" t="e">
        <v>#N/A</v>
      </c>
      <c r="C21" s="7" t="e">
        <v>#N/A</v>
      </c>
      <c r="D21" s="2" t="e">
        <v>#N/A</v>
      </c>
      <c r="E21" s="2" t="e">
        <v>#N/A</v>
      </c>
      <c r="F21" s="8">
        <f t="shared" si="0"/>
        <v>0</v>
      </c>
      <c r="G21" s="8">
        <v>21650</v>
      </c>
      <c r="H21" s="8">
        <f t="shared" si="1"/>
        <v>0</v>
      </c>
      <c r="I21" s="2" t="e">
        <f t="array" ref="I21:M21">[1]!'TX4N07P21650.TF-ID,Name,Price,TotalVolume,InOutRatio'</f>
        <v>#N/A</v>
      </c>
      <c r="J21" s="2" t="e">
        <v>#N/A</v>
      </c>
      <c r="K21" s="7" t="e">
        <v>#N/A</v>
      </c>
      <c r="L21" s="2" t="e">
        <v>#N/A</v>
      </c>
      <c r="M21" s="2" t="e">
        <v>#N/A</v>
      </c>
      <c r="O21" s="12">
        <v>0</v>
      </c>
      <c r="P21" s="12">
        <v>21650</v>
      </c>
      <c r="R21" s="4">
        <f>IFERROR(C21+'CallPut(週五)'!C21,0)/2</f>
        <v>0</v>
      </c>
      <c r="S21" s="4">
        <f>IFERROR(K21+'CallPut(週五)'!K21,0)/2</f>
        <v>0</v>
      </c>
      <c r="U21" s="23">
        <f>MAX($P$18-G21,0)*MAX('籌碼表_CallPut(3+5)'!D6,0)-MAX('籌碼表_CallPut(3+5)'!D6,0)*R21</f>
        <v>0</v>
      </c>
      <c r="V21" s="23">
        <f>MAX(G21-$P$18,0)*MAX('籌碼表_CallPut(3+5)'!F6,0)-MAX('籌碼表_CallPut(3+5)'!F6,0)*S21</f>
        <v>0</v>
      </c>
      <c r="W21" s="23">
        <f>-MIN('籌碼表_CallPut(3+5)'!D6,0)*R21  - MAX($P$18-G21,0) * (-MIN('籌碼表_CallPut(3+5)'!D6,0))</f>
        <v>0</v>
      </c>
      <c r="X21" s="23">
        <f>-MIN('籌碼表_CallPut(3+5)'!F6,0) * S21 -  MAX(G21-$P$18,0) * (-MIN('籌碼表_CallPut(3+5)'!F6,0))</f>
        <v>0</v>
      </c>
      <c r="AD21" s="26" t="str">
        <f ca="1">MID(_xlfn.FORMULATEXT(A17),15,6)</f>
        <v>TX4N07</v>
      </c>
      <c r="AE21" s="26" t="s">
        <v>29</v>
      </c>
    </row>
    <row r="22" spans="1:33" ht="13.5" customHeight="1" x14ac:dyDescent="0.25">
      <c r="A22" s="2" t="str">
        <f t="array" ref="A22:E22">[1]!'TX4N07C21700.TF-ID,Name,Price,TotalVolume,InOutRatio'</f>
        <v>TX4N07C21700</v>
      </c>
      <c r="B22" s="2" t="str">
        <v>台指選07W4 C 21700</v>
      </c>
      <c r="C22" s="7" t="str">
        <v>--</v>
      </c>
      <c r="D22" s="2">
        <v>0</v>
      </c>
      <c r="E22" s="2" t="str">
        <v>--</v>
      </c>
      <c r="F22" s="8">
        <f t="shared" si="0"/>
        <v>0</v>
      </c>
      <c r="G22" s="8">
        <v>21700</v>
      </c>
      <c r="H22" s="8">
        <f t="shared" si="1"/>
        <v>3.0002000000000009</v>
      </c>
      <c r="I22" s="2" t="str">
        <f t="array" ref="I22:M22">[1]!'TX4N07P21700.TF-ID,Name,Price,TotalVolume,InOutRatio'</f>
        <v>TX4N07P21700</v>
      </c>
      <c r="J22" s="2" t="str">
        <v>台指選07W4 P 21700</v>
      </c>
      <c r="K22" s="7">
        <v>3</v>
      </c>
      <c r="L22" s="2">
        <v>7</v>
      </c>
      <c r="M22" s="2">
        <v>71.430000000000007</v>
      </c>
      <c r="O22" s="12">
        <v>0</v>
      </c>
      <c r="P22" s="12">
        <v>21700</v>
      </c>
      <c r="R22" s="4">
        <f>IFERROR(C22+'CallPut(週五)'!C22,0)/2</f>
        <v>0</v>
      </c>
      <c r="S22" s="4">
        <f>IFERROR(K22+'CallPut(週五)'!K22,0)/2</f>
        <v>6.5</v>
      </c>
      <c r="U22" s="23">
        <f>MAX($P$18-G22,0)*MAX('籌碼表_CallPut(3+5)'!D7,0)-MAX('籌碼表_CallPut(3+5)'!D7,0)*R22</f>
        <v>0</v>
      </c>
      <c r="V22" s="23">
        <f>MAX(G22-$P$18,0)*MAX('籌碼表_CallPut(3+5)'!F7,0)-MAX('籌碼表_CallPut(3+5)'!F7,0)*S22</f>
        <v>1354.5387000000003</v>
      </c>
      <c r="W22" s="23">
        <f>-MIN('籌碼表_CallPut(3+5)'!D7,0)*R22  - MAX($P$18-G22,0) * (-MIN('籌碼表_CallPut(3+5)'!D7,0))</f>
        <v>0</v>
      </c>
      <c r="X22" s="23">
        <f>-MIN('籌碼表_CallPut(3+5)'!F7,0) * S22 -  MAX(G22-$P$18,0) * (-MIN('籌碼表_CallPut(3+5)'!F7,0))</f>
        <v>0</v>
      </c>
      <c r="AE22" s="1" t="s">
        <v>31</v>
      </c>
    </row>
    <row r="23" spans="1:33" ht="13.5" customHeight="1" x14ac:dyDescent="0.25">
      <c r="A23" s="2" t="str">
        <f t="array" ref="A23:E23">[1]!'TX4N07C21750.TF-ID,Name,Price,TotalVolume,InOutRatio'</f>
        <v>TX4N07C21750</v>
      </c>
      <c r="B23" s="2" t="str">
        <v>台指選07W4 C 21750</v>
      </c>
      <c r="C23" s="7" t="str">
        <v>--</v>
      </c>
      <c r="D23" s="2">
        <v>0</v>
      </c>
      <c r="E23" s="2" t="str">
        <v>--</v>
      </c>
      <c r="F23" s="8">
        <f t="shared" si="0"/>
        <v>0</v>
      </c>
      <c r="G23" s="8">
        <v>21750</v>
      </c>
      <c r="H23" s="8">
        <f t="shared" si="1"/>
        <v>0</v>
      </c>
      <c r="I23" s="2" t="str">
        <f t="array" ref="I23:M23">[1]!'TX4N07P21750.TF-ID,Name,Price,TotalVolume,InOutRatio'</f>
        <v>TX4N07P21750</v>
      </c>
      <c r="J23" s="2" t="str">
        <v>台指選07W4 P 21750</v>
      </c>
      <c r="K23" s="7">
        <v>1.9</v>
      </c>
      <c r="L23" s="2">
        <v>12</v>
      </c>
      <c r="M23" s="2">
        <v>50</v>
      </c>
      <c r="O23" s="12">
        <v>0</v>
      </c>
      <c r="P23" s="12">
        <v>21750</v>
      </c>
      <c r="R23" s="4">
        <f>IFERROR(C23+'CallPut(週五)'!C23,0)/2</f>
        <v>0</v>
      </c>
      <c r="S23" s="4">
        <f>IFERROR(K23+'CallPut(週五)'!K23,0)/2</f>
        <v>0</v>
      </c>
      <c r="U23" s="23">
        <f>MAX($P$18-G23,0)*MAX('籌碼表_CallPut(3+5)'!D8,0)-MAX('籌碼表_CallPut(3+5)'!D8,0)*R23</f>
        <v>0</v>
      </c>
      <c r="V23" s="23">
        <f>MAX(G23-$P$18,0)*MAX('籌碼表_CallPut(3+5)'!F8,0)-MAX('籌碼表_CallPut(3+5)'!F8,0)*S23</f>
        <v>0</v>
      </c>
      <c r="W23" s="23">
        <f>-MIN('籌碼表_CallPut(3+5)'!D8,0)*R23  - MAX($P$18-G23,0) * (-MIN('籌碼表_CallPut(3+5)'!D8,0))</f>
        <v>0</v>
      </c>
      <c r="X23" s="23">
        <f>-MIN('籌碼表_CallPut(3+5)'!F8,0) * S23 -  MAX(G23-$P$18,0) * (-MIN('籌碼表_CallPut(3+5)'!F8,0))</f>
        <v>0</v>
      </c>
    </row>
    <row r="24" spans="1:33" ht="13.5" customHeight="1" x14ac:dyDescent="0.25">
      <c r="A24" s="2" t="str">
        <f t="array" ref="A24:E24">[1]!'TX4N07C21800.TF-ID,Name,Price,TotalVolume,InOutRatio'</f>
        <v>TX4N07C21800</v>
      </c>
      <c r="B24" s="2" t="str">
        <v>台指選07W4 C 21800</v>
      </c>
      <c r="C24" s="7" t="str">
        <v>--</v>
      </c>
      <c r="D24" s="2">
        <v>0</v>
      </c>
      <c r="E24" s="2" t="str">
        <v>--</v>
      </c>
      <c r="F24" s="8">
        <f t="shared" si="0"/>
        <v>0</v>
      </c>
      <c r="G24" s="8">
        <v>21800</v>
      </c>
      <c r="H24" s="8">
        <f t="shared" si="1"/>
        <v>1</v>
      </c>
      <c r="I24" s="2" t="str">
        <f t="array" ref="I24:M24">[1]!'TX4N07P21800.TF-ID,Name,Price,TotalVolume,InOutRatio'</f>
        <v>TX4N07P21800</v>
      </c>
      <c r="J24" s="2" t="str">
        <v>台指選07W4 P 21800</v>
      </c>
      <c r="K24" s="7">
        <v>3.7</v>
      </c>
      <c r="L24" s="2">
        <v>25</v>
      </c>
      <c r="M24" s="2">
        <v>52</v>
      </c>
      <c r="O24" s="12">
        <v>0</v>
      </c>
      <c r="P24" s="12">
        <v>21800</v>
      </c>
      <c r="R24" s="4">
        <f>IFERROR(C24+'CallPut(週五)'!C24,0)/2</f>
        <v>0</v>
      </c>
      <c r="S24" s="4">
        <f>IFERROR(K24+'CallPut(週五)'!K24,0)/2</f>
        <v>8.35</v>
      </c>
      <c r="U24" s="23">
        <f>MAX($P$18-G24,0)*MAX('籌碼表_CallPut(3+5)'!D9,0)-MAX('籌碼表_CallPut(3+5)'!D9,0)*R24</f>
        <v>0</v>
      </c>
      <c r="V24" s="23">
        <f>MAX(G24-$P$18,0)*MAX('籌碼表_CallPut(3+5)'!F9,0)-MAX('籌碼表_CallPut(3+5)'!F9,0)*S24</f>
        <v>0</v>
      </c>
      <c r="W24" s="23">
        <f>-MIN('籌碼表_CallPut(3+5)'!D9,0)*R24  - MAX($P$18-G24,0) * (-MIN('籌碼表_CallPut(3+5)'!D9,0))</f>
        <v>0</v>
      </c>
      <c r="X24" s="23">
        <f>-MIN('籌碼表_CallPut(3+5)'!F9,0) * S24 -  MAX(G24-$P$18,0) * (-MIN('籌碼表_CallPut(3+5)'!F9,0))</f>
        <v>-38497.800000000003</v>
      </c>
    </row>
    <row r="25" spans="1:33" ht="13.5" customHeight="1" x14ac:dyDescent="0.25">
      <c r="A25" s="2" t="str">
        <f t="array" ref="A25:E25">[1]!'TX4N07C21850.TF-ID,Name,Price,TotalVolume,InOutRatio'</f>
        <v>TX4N07C21850</v>
      </c>
      <c r="B25" s="2" t="str">
        <v>台指選07W4 C 21850</v>
      </c>
      <c r="C25" s="7" t="str">
        <v>--</v>
      </c>
      <c r="D25" s="2">
        <v>0</v>
      </c>
      <c r="E25" s="2" t="str">
        <v>--</v>
      </c>
      <c r="F25" s="8">
        <f t="shared" si="0"/>
        <v>0</v>
      </c>
      <c r="G25" s="8">
        <v>21850</v>
      </c>
      <c r="H25" s="8">
        <f t="shared" si="1"/>
        <v>13.0014</v>
      </c>
      <c r="I25" s="2" t="str">
        <f t="array" ref="I25:M25">[1]!'TX4N07P21850.TF-ID,Name,Price,TotalVolume,InOutRatio'</f>
        <v>TX4N07P21850</v>
      </c>
      <c r="J25" s="2" t="str">
        <v>台指選07W4 P 21850</v>
      </c>
      <c r="K25" s="7">
        <v>3.3</v>
      </c>
      <c r="L25" s="2">
        <v>31</v>
      </c>
      <c r="M25" s="2">
        <v>70.97</v>
      </c>
      <c r="O25" s="12">
        <v>0</v>
      </c>
      <c r="P25" s="12">
        <v>21850</v>
      </c>
      <c r="R25" s="4">
        <f>IFERROR(C25+'CallPut(週五)'!C25,0)/2</f>
        <v>0</v>
      </c>
      <c r="S25" s="4">
        <f>IFERROR(K25+'CallPut(週五)'!K25,0)/2</f>
        <v>0</v>
      </c>
      <c r="U25" s="23">
        <f>MAX($P$18-G25,0)*MAX('籌碼表_CallPut(3+5)'!D10,0)-MAX('籌碼表_CallPut(3+5)'!D10,0)*R25</f>
        <v>0</v>
      </c>
      <c r="V25" s="23">
        <f>MAX(G25-$P$18,0)*MAX('籌碼表_CallPut(3+5)'!F10,0)-MAX('籌碼表_CallPut(3+5)'!F10,0)*S25</f>
        <v>4550.49</v>
      </c>
      <c r="W25" s="23">
        <f>-MIN('籌碼表_CallPut(3+5)'!D10,0)*R25  - MAX($P$18-G25,0) * (-MIN('籌碼表_CallPut(3+5)'!D10,0))</f>
        <v>0</v>
      </c>
      <c r="X25" s="23">
        <f>-MIN('籌碼表_CallPut(3+5)'!F10,0) * S25 -  MAX(G25-$P$18,0) * (-MIN('籌碼表_CallPut(3+5)'!F10,0))</f>
        <v>0</v>
      </c>
    </row>
    <row r="26" spans="1:33" ht="13.5" customHeight="1" x14ac:dyDescent="0.25">
      <c r="A26" s="2" t="str">
        <f t="array" ref="A26:E26">[1]!'TX4N07C21900.TF-ID,Name,Price,TotalVolume,InOutRatio'</f>
        <v>TX4N07C21900</v>
      </c>
      <c r="B26" s="2" t="str">
        <v>台指選07W4 C 21900</v>
      </c>
      <c r="C26" s="7" t="str">
        <v>--</v>
      </c>
      <c r="D26" s="2">
        <v>0</v>
      </c>
      <c r="E26" s="2" t="str">
        <v>--</v>
      </c>
      <c r="F26" s="8">
        <f t="shared" si="0"/>
        <v>0</v>
      </c>
      <c r="G26" s="8">
        <v>21900</v>
      </c>
      <c r="H26" s="8">
        <f t="shared" si="1"/>
        <v>65.509200000000007</v>
      </c>
      <c r="I26" s="2" t="str">
        <f t="array" ref="I26:M26">[1]!'TX4N07P21900.TF-ID,Name,Price,TotalVolume,InOutRatio'</f>
        <v>TX4N07P21900</v>
      </c>
      <c r="J26" s="2" t="str">
        <v>台指選07W4 P 21900</v>
      </c>
      <c r="K26" s="7">
        <v>2.7</v>
      </c>
      <c r="L26" s="2">
        <v>186</v>
      </c>
      <c r="M26" s="2">
        <v>67.61</v>
      </c>
      <c r="O26" s="12">
        <v>0</v>
      </c>
      <c r="P26" s="12">
        <v>21900</v>
      </c>
      <c r="R26" s="4">
        <f>IFERROR(C26+'CallPut(週五)'!C26,0)/2</f>
        <v>0</v>
      </c>
      <c r="S26" s="4">
        <f>IFERROR(K26+'CallPut(週五)'!K26,0)/2</f>
        <v>9.35</v>
      </c>
      <c r="U26" s="23">
        <f>MAX($P$18-G26,0)*MAX('籌碼表_CallPut(3+5)'!D11,0)-MAX('籌碼表_CallPut(3+5)'!D11,0)*R26</f>
        <v>0</v>
      </c>
      <c r="V26" s="23">
        <f>MAX(G26-$P$18,0)*MAX('籌碼表_CallPut(3+5)'!F11,0)-MAX('籌碼表_CallPut(3+5)'!F11,0)*S26</f>
        <v>35134.826610000011</v>
      </c>
      <c r="W26" s="23">
        <f>-MIN('籌碼表_CallPut(3+5)'!D11,0)*R26  - MAX($P$18-G26,0) * (-MIN('籌碼表_CallPut(3+5)'!D11,0))</f>
        <v>0</v>
      </c>
      <c r="X26" s="23">
        <f>-MIN('籌碼表_CallPut(3+5)'!F11,0) * S26 -  MAX(G26-$P$18,0) * (-MIN('籌碼表_CallPut(3+5)'!F11,0))</f>
        <v>0</v>
      </c>
    </row>
    <row r="27" spans="1:33" ht="13.5" customHeight="1" x14ac:dyDescent="0.25">
      <c r="A27" s="2" t="str">
        <f t="array" ref="A27:E27">[1]!'TX4N07C21950.TF-ID,Name,Price,TotalVolume,InOutRatio'</f>
        <v>TX4N07C21950</v>
      </c>
      <c r="B27" s="2" t="str">
        <v>台指選07W4 C 21950</v>
      </c>
      <c r="C27" s="7" t="str">
        <v>--</v>
      </c>
      <c r="D27" s="2">
        <v>0</v>
      </c>
      <c r="E27" s="2" t="str">
        <v>--</v>
      </c>
      <c r="F27" s="8">
        <f t="shared" si="0"/>
        <v>0</v>
      </c>
      <c r="G27" s="8">
        <v>21950</v>
      </c>
      <c r="H27" s="8">
        <f t="shared" si="1"/>
        <v>14.138999999999994</v>
      </c>
      <c r="I27" s="2" t="str">
        <f t="array" ref="I27:M27">[1]!'TX4N07P21950.TF-ID,Name,Price,TotalVolume,InOutRatio'</f>
        <v>TX4N07P21950</v>
      </c>
      <c r="J27" s="2" t="str">
        <v>台指選07W4 P 21950</v>
      </c>
      <c r="K27" s="7">
        <v>3.5</v>
      </c>
      <c r="L27" s="2">
        <v>45</v>
      </c>
      <c r="M27" s="2">
        <v>65.709999999999994</v>
      </c>
      <c r="O27" s="12">
        <v>0</v>
      </c>
      <c r="P27" s="12">
        <v>21950</v>
      </c>
      <c r="R27" s="4">
        <f>IFERROR(C27+'CallPut(週五)'!C27,0)/2</f>
        <v>0</v>
      </c>
      <c r="S27" s="4">
        <f>IFERROR(K27+'CallPut(週五)'!K27,0)/2</f>
        <v>10</v>
      </c>
      <c r="U27" s="23">
        <f>MAX($P$18-G27,0)*MAX('籌碼表_CallPut(3+5)'!D12,0)-MAX('籌碼表_CallPut(3+5)'!D12,0)*R27</f>
        <v>0</v>
      </c>
      <c r="V27" s="23">
        <f>MAX(G27-$P$18,0)*MAX('籌碼表_CallPut(3+5)'!F12,0)-MAX('籌碼表_CallPut(3+5)'!F12,0)*S27</f>
        <v>6221.1599999999971</v>
      </c>
      <c r="W27" s="23">
        <f>-MIN('籌碼表_CallPut(3+5)'!D12,0)*R27  - MAX($P$18-G27,0) * (-MIN('籌碼表_CallPut(3+5)'!D12,0))</f>
        <v>0</v>
      </c>
      <c r="X27" s="23">
        <f>-MIN('籌碼表_CallPut(3+5)'!F12,0) * S27 -  MAX(G27-$P$18,0) * (-MIN('籌碼表_CallPut(3+5)'!F12,0))</f>
        <v>0</v>
      </c>
    </row>
    <row r="28" spans="1:33" ht="13.5" customHeight="1" x14ac:dyDescent="0.25">
      <c r="A28" s="2" t="str">
        <f t="array" ref="A28:E28">[1]!'TX4N07C22000.TF-ID,Name,Price,TotalVolume,InOutRatio'</f>
        <v>TX4N07C22000</v>
      </c>
      <c r="B28" s="2" t="str">
        <v>台指選07W4 C 22000</v>
      </c>
      <c r="C28" s="7" t="str">
        <v>--</v>
      </c>
      <c r="D28" s="2">
        <v>0</v>
      </c>
      <c r="E28" s="2" t="str">
        <v>--</v>
      </c>
      <c r="F28" s="8">
        <f t="shared" si="0"/>
        <v>0</v>
      </c>
      <c r="G28" s="8">
        <v>22000</v>
      </c>
      <c r="H28" s="8">
        <f t="shared" si="1"/>
        <v>156.96420000000001</v>
      </c>
      <c r="I28" s="2" t="str">
        <f t="array" ref="I28:M28">[1]!'TX4N07P22000.TF-ID,Name,Price,TotalVolume,InOutRatio'</f>
        <v>TX4N07P22000</v>
      </c>
      <c r="J28" s="2" t="str">
        <v>台指選07W4 P 22000</v>
      </c>
      <c r="K28" s="7">
        <v>3.6</v>
      </c>
      <c r="L28" s="2">
        <v>393</v>
      </c>
      <c r="M28" s="2">
        <v>69.97</v>
      </c>
      <c r="O28" s="12">
        <v>-1236.5119999999999</v>
      </c>
      <c r="P28" s="12">
        <v>22000</v>
      </c>
      <c r="R28" s="4">
        <f>IFERROR(C28+'CallPut(週五)'!C28,0)/2</f>
        <v>0</v>
      </c>
      <c r="S28" s="4">
        <f>IFERROR(K28+'CallPut(週五)'!K28,0)/2</f>
        <v>10.8</v>
      </c>
      <c r="U28" s="23">
        <f>MAX($P$18-G28,0)*MAX('籌碼表_CallPut(3+5)'!D13,0)-MAX('籌碼表_CallPut(3+5)'!D13,0)*R28</f>
        <v>0</v>
      </c>
      <c r="V28" s="23">
        <f>MAX(G28-$P$18,0)*MAX('籌碼表_CallPut(3+5)'!F13,0)-MAX('籌碼表_CallPut(3+5)'!F13,0)*S28</f>
        <v>134024.55856</v>
      </c>
      <c r="W28" s="23">
        <f>-MIN('籌碼表_CallPut(3+5)'!D13,0)*R28  - MAX($P$18-G28,0) * (-MIN('籌碼表_CallPut(3+5)'!D13,0))</f>
        <v>0</v>
      </c>
      <c r="X28" s="23">
        <f>-MIN('籌碼表_CallPut(3+5)'!F13,0) * S28 -  MAX(G28-$P$18,0) * (-MIN('籌碼表_CallPut(3+5)'!F13,0))</f>
        <v>0</v>
      </c>
    </row>
    <row r="29" spans="1:33" ht="13.5" customHeight="1" x14ac:dyDescent="0.25">
      <c r="A29" s="2" t="str">
        <f t="array" ref="A29:E29">[1]!'TX4N07C22050.TF-ID,Name,Price,TotalVolume,InOutRatio'</f>
        <v>TX4N07C22050</v>
      </c>
      <c r="B29" s="2" t="str">
        <v>台指選07W4 C 22050</v>
      </c>
      <c r="C29" s="7" t="str">
        <v>--</v>
      </c>
      <c r="D29" s="2">
        <v>0</v>
      </c>
      <c r="E29" s="2" t="str">
        <v>--</v>
      </c>
      <c r="F29" s="8">
        <f t="shared" si="0"/>
        <v>0</v>
      </c>
      <c r="G29" s="8">
        <v>22050</v>
      </c>
      <c r="H29" s="8">
        <f t="shared" si="1"/>
        <v>-6.9996000000000009</v>
      </c>
      <c r="I29" s="2" t="str">
        <f t="array" ref="I29:M29">[1]!'TX4N07P22050.TF-ID,Name,Price,TotalVolume,InOutRatio'</f>
        <v>TX4N07P22050</v>
      </c>
      <c r="J29" s="2" t="str">
        <v>台指選07W4 P 22050</v>
      </c>
      <c r="K29" s="7">
        <v>2.5</v>
      </c>
      <c r="L29" s="2">
        <v>19</v>
      </c>
      <c r="M29" s="2">
        <v>31.58</v>
      </c>
      <c r="O29" s="12">
        <v>0</v>
      </c>
      <c r="P29" s="12">
        <v>22050</v>
      </c>
      <c r="R29" s="4">
        <f>IFERROR(C29+'CallPut(週五)'!C29,0)/2</f>
        <v>0</v>
      </c>
      <c r="S29" s="4">
        <f>IFERROR(K29+'CallPut(週五)'!K29,0)/2</f>
        <v>0</v>
      </c>
      <c r="U29" s="23">
        <f>MAX($P$18-G29,0)*MAX('籌碼表_CallPut(3+5)'!D14,0)-MAX('籌碼表_CallPut(3+5)'!D14,0)*R29</f>
        <v>0</v>
      </c>
      <c r="V29" s="23">
        <f>MAX(G29-$P$18,0)*MAX('籌碼表_CallPut(3+5)'!F14,0)-MAX('籌碼表_CallPut(3+5)'!F14,0)*S29</f>
        <v>0</v>
      </c>
      <c r="W29" s="23">
        <f>-MIN('籌碼表_CallPut(3+5)'!D14,0)*R29  - MAX($P$18-G29,0) * (-MIN('籌碼表_CallPut(3+5)'!D14,0))</f>
        <v>0</v>
      </c>
      <c r="X29" s="23">
        <f>-MIN('籌碼表_CallPut(3+5)'!F14,0) * S29 -  MAX(G29-$P$18,0) * (-MIN('籌碼表_CallPut(3+5)'!F14,0))</f>
        <v>-3849.7800000000007</v>
      </c>
    </row>
    <row r="30" spans="1:33" ht="13.5" customHeight="1" x14ac:dyDescent="0.25">
      <c r="A30" s="2" t="str">
        <f t="array" ref="A30:E30">[1]!'TX4N07C22100.TF-ID,Name,Price,TotalVolume,InOutRatio'</f>
        <v>TX4N07C22100</v>
      </c>
      <c r="B30" s="2" t="str">
        <v>台指選07W4 C 22100</v>
      </c>
      <c r="C30" s="7" t="str">
        <v>--</v>
      </c>
      <c r="D30" s="2">
        <v>0</v>
      </c>
      <c r="E30" s="2" t="str">
        <v>--</v>
      </c>
      <c r="F30" s="8">
        <f t="shared" si="0"/>
        <v>0</v>
      </c>
      <c r="G30" s="8">
        <v>22100</v>
      </c>
      <c r="H30" s="8">
        <f t="shared" si="1"/>
        <v>-3.008199999999996</v>
      </c>
      <c r="I30" s="2" t="str">
        <f t="array" ref="I30:M30">[1]!'TX4N07P22100.TF-ID,Name,Price,TotalVolume,InOutRatio'</f>
        <v>TX4N07P22100</v>
      </c>
      <c r="J30" s="2" t="str">
        <v>台指選07W4 P 22100</v>
      </c>
      <c r="K30" s="7">
        <v>4.5999999999999996</v>
      </c>
      <c r="L30" s="2">
        <v>89</v>
      </c>
      <c r="M30" s="2">
        <v>48.31</v>
      </c>
      <c r="O30" s="12">
        <v>1380.2208000000001</v>
      </c>
      <c r="P30" s="12">
        <v>22100</v>
      </c>
      <c r="R30" s="4">
        <f>IFERROR(C30+'CallPut(週五)'!C30,0)/2</f>
        <v>0</v>
      </c>
      <c r="S30" s="4">
        <f>IFERROR(K30+'CallPut(週五)'!K30,0)/2</f>
        <v>12.05</v>
      </c>
      <c r="U30" s="23">
        <f>MAX($P$18-G30,0)*MAX('籌碼表_CallPut(3+5)'!D15,0)-MAX('籌碼表_CallPut(3+5)'!D15,0)*R30</f>
        <v>0</v>
      </c>
      <c r="V30" s="23">
        <f>MAX(G30-$P$18,0)*MAX('籌碼表_CallPut(3+5)'!F15,0)-MAX('籌碼表_CallPut(3+5)'!F15,0)*S30</f>
        <v>0</v>
      </c>
      <c r="W30" s="23">
        <f>-MIN('籌碼表_CallPut(3+5)'!D15,0)*R30  - MAX($P$18-G30,0) * (-MIN('籌碼表_CallPut(3+5)'!D15,0))</f>
        <v>0</v>
      </c>
      <c r="X30" s="23">
        <f>-MIN('籌碼表_CallPut(3+5)'!F15,0) * S30 -  MAX(G30-$P$18,0) * (-MIN('籌碼表_CallPut(3+5)'!F15,0))</f>
        <v>-2358.3850400000006</v>
      </c>
    </row>
    <row r="31" spans="1:33" ht="13.5" customHeight="1" x14ac:dyDescent="0.25">
      <c r="A31" s="2" t="str">
        <f t="array" ref="A31:E31">[1]!'TX4N07C22150.TF-ID,Name,Price,TotalVolume,InOutRatio'</f>
        <v>TX4N07C22150</v>
      </c>
      <c r="B31" s="2" t="str">
        <v>台指選07W4 C 22150</v>
      </c>
      <c r="C31" s="7" t="str">
        <v>--</v>
      </c>
      <c r="D31" s="2">
        <v>0</v>
      </c>
      <c r="E31" s="2" t="str">
        <v>--</v>
      </c>
      <c r="F31" s="8">
        <f t="shared" si="0"/>
        <v>0</v>
      </c>
      <c r="G31" s="8">
        <v>22150</v>
      </c>
      <c r="H31" s="8">
        <f t="shared" si="1"/>
        <v>-6.004800000000003</v>
      </c>
      <c r="I31" s="2" t="str">
        <f t="array" ref="I31:M31">[1]!'TX4N07P22150.TF-ID,Name,Price,TotalVolume,InOutRatio'</f>
        <v>TX4N07P22150</v>
      </c>
      <c r="J31" s="2" t="str">
        <v>台指選07W4 P 22150</v>
      </c>
      <c r="K31" s="7">
        <v>4</v>
      </c>
      <c r="L31" s="2">
        <v>54</v>
      </c>
      <c r="M31" s="2">
        <v>44.44</v>
      </c>
      <c r="O31" s="12">
        <v>0</v>
      </c>
      <c r="P31" s="12">
        <v>22150</v>
      </c>
      <c r="R31" s="4">
        <f>IFERROR(C31+'CallPut(週五)'!C31,0)/2</f>
        <v>0</v>
      </c>
      <c r="S31" s="4">
        <f>IFERROR(K31+'CallPut(週五)'!K31,0)/2</f>
        <v>12.75</v>
      </c>
      <c r="U31" s="23">
        <f>MAX($P$18-G31,0)*MAX('籌碼表_CallPut(3+5)'!D16,0)-MAX('籌碼表_CallPut(3+5)'!D16,0)*R31</f>
        <v>0</v>
      </c>
      <c r="V31" s="23">
        <f>MAX(G31-$P$18,0)*MAX('籌碼表_CallPut(3+5)'!F16,0)-MAX('籌碼表_CallPut(3+5)'!F16,0)*S31</f>
        <v>33767.367699999995</v>
      </c>
      <c r="W31" s="23">
        <f>-MIN('籌碼表_CallPut(3+5)'!D16,0)*R31  - MAX($P$18-G31,0) * (-MIN('籌碼表_CallPut(3+5)'!D16,0))</f>
        <v>0</v>
      </c>
      <c r="X31" s="23">
        <f>-MIN('籌碼表_CallPut(3+5)'!F16,0) * S31 -  MAX(G31-$P$18,0) * (-MIN('籌碼表_CallPut(3+5)'!F16,0))</f>
        <v>0</v>
      </c>
    </row>
    <row r="32" spans="1:33" ht="13.5" customHeight="1" x14ac:dyDescent="0.25">
      <c r="A32" s="2" t="str">
        <f t="array" ref="A32:E32">[1]!'TX4N07C22200.TF-ID,Name,Price,TotalVolume,InOutRatio'</f>
        <v>TX4N07C22200</v>
      </c>
      <c r="B32" s="2" t="str">
        <v>台指選07W4 C 22200</v>
      </c>
      <c r="C32" s="7" t="str">
        <v>--</v>
      </c>
      <c r="D32" s="2">
        <v>0</v>
      </c>
      <c r="E32" s="2" t="str">
        <v>--</v>
      </c>
      <c r="F32" s="8">
        <f t="shared" si="0"/>
        <v>0</v>
      </c>
      <c r="G32" s="8">
        <v>22200</v>
      </c>
      <c r="H32" s="8">
        <f t="shared" si="1"/>
        <v>14.029600000000016</v>
      </c>
      <c r="I32" s="2" t="str">
        <f t="array" ref="I32:M32">[1]!'TX4N07P22200.TF-ID,Name,Price,TotalVolume,InOutRatio'</f>
        <v>TX4N07P22200</v>
      </c>
      <c r="J32" s="2" t="str">
        <v>台指選07W4 P 22200</v>
      </c>
      <c r="K32" s="7">
        <v>6</v>
      </c>
      <c r="L32" s="2">
        <v>247</v>
      </c>
      <c r="M32" s="2">
        <v>52.84</v>
      </c>
      <c r="O32" s="12">
        <v>2797.0095999999985</v>
      </c>
      <c r="P32" s="12">
        <v>22200</v>
      </c>
      <c r="R32" s="4">
        <f>IFERROR(C32+'CallPut(週五)'!C32,0)/2</f>
        <v>0</v>
      </c>
      <c r="S32" s="4">
        <f>IFERROR(K32+'CallPut(週五)'!K32,0)/2</f>
        <v>13.5</v>
      </c>
      <c r="U32" s="23">
        <f>MAX($P$18-G32,0)*MAX('籌碼表_CallPut(3+5)'!D17,0)-MAX('籌碼表_CallPut(3+5)'!D17,0)*R32</f>
        <v>0</v>
      </c>
      <c r="V32" s="23">
        <f>MAX(G32-$P$18,0)*MAX('籌碼表_CallPut(3+5)'!F17,0)-MAX('籌碼表_CallPut(3+5)'!F17,0)*S32</f>
        <v>0</v>
      </c>
      <c r="W32" s="23">
        <f>-MIN('籌碼表_CallPut(3+5)'!D17,0)*R32  - MAX($P$18-G32,0) * (-MIN('籌碼表_CallPut(3+5)'!D17,0))</f>
        <v>0</v>
      </c>
      <c r="X32" s="23">
        <f>-MIN('籌碼表_CallPut(3+5)'!F17,0) * S32 -  MAX(G32-$P$18,0) * (-MIN('籌碼表_CallPut(3+5)'!F17,0))</f>
        <v>-4095.1097999999852</v>
      </c>
    </row>
    <row r="33" spans="1:28" ht="13.5" customHeight="1" x14ac:dyDescent="0.25">
      <c r="A33" s="2" t="str">
        <f t="array" ref="A33:E33">[1]!'TX4N07C22250.TF-ID,Name,Price,TotalVolume,InOutRatio'</f>
        <v>TX4N07C22250</v>
      </c>
      <c r="B33" s="2" t="str">
        <v>台指選07W4 C 22250</v>
      </c>
      <c r="C33" s="7" t="str">
        <v>--</v>
      </c>
      <c r="D33" s="2">
        <v>0</v>
      </c>
      <c r="E33" s="2" t="str">
        <v>--</v>
      </c>
      <c r="F33" s="8">
        <f t="shared" si="0"/>
        <v>0</v>
      </c>
      <c r="G33" s="8">
        <v>22250</v>
      </c>
      <c r="H33" s="8">
        <f t="shared" si="1"/>
        <v>48.006399999999992</v>
      </c>
      <c r="I33" s="2" t="str">
        <f t="array" ref="I33:M33">[1]!'TX4N07P22250.TF-ID,Name,Price,TotalVolume,InOutRatio'</f>
        <v>TX4N07P22250</v>
      </c>
      <c r="J33" s="2" t="str">
        <v>台指選07W4 P 22250</v>
      </c>
      <c r="K33" s="7">
        <v>12</v>
      </c>
      <c r="L33" s="2">
        <v>104</v>
      </c>
      <c r="M33" s="2">
        <v>73.08</v>
      </c>
      <c r="O33" s="12">
        <v>0</v>
      </c>
      <c r="P33" s="12">
        <v>22250</v>
      </c>
      <c r="R33" s="4">
        <f>IFERROR(C33+'CallPut(週五)'!C33,0)/2</f>
        <v>0</v>
      </c>
      <c r="S33" s="4">
        <f>IFERROR(K33+'CallPut(週五)'!K33,0)/2</f>
        <v>19</v>
      </c>
      <c r="U33" s="23">
        <f>MAX($P$18-G33,0)*MAX('籌碼表_CallPut(3+5)'!D18,0)-MAX('籌碼表_CallPut(3+5)'!D18,0)*R33</f>
        <v>0</v>
      </c>
      <c r="V33" s="23">
        <f>MAX(G33-$P$18,0)*MAX('籌碼表_CallPut(3+5)'!F18,0)-MAX('籌碼表_CallPut(3+5)'!F18,0)*S33</f>
        <v>27052.409399999993</v>
      </c>
      <c r="W33" s="23">
        <f>-MIN('籌碼表_CallPut(3+5)'!D18,0)*R33  - MAX($P$18-G33,0) * (-MIN('籌碼表_CallPut(3+5)'!D18,0))</f>
        <v>0</v>
      </c>
      <c r="X33" s="23">
        <f>-MIN('籌碼表_CallPut(3+5)'!F18,0) * S33 -  MAX(G33-$P$18,0) * (-MIN('籌碼表_CallPut(3+5)'!F18,0))</f>
        <v>0</v>
      </c>
    </row>
    <row r="34" spans="1:28" s="58" customFormat="1" ht="13.5" customHeight="1" x14ac:dyDescent="0.25">
      <c r="A34" s="55" t="str">
        <f t="array" ref="A34:E34">[1]!'TX4N07C22300.TF-ID,Name,Price,TotalVolume,InOutRatio'</f>
        <v>TX4N07C22300</v>
      </c>
      <c r="B34" s="55" t="str">
        <v>台指選07W4 C 22300</v>
      </c>
      <c r="C34" s="56">
        <v>1050</v>
      </c>
      <c r="D34" s="55">
        <v>2</v>
      </c>
      <c r="E34" s="55">
        <v>0</v>
      </c>
      <c r="F34" s="57">
        <f t="shared" si="0"/>
        <v>-2</v>
      </c>
      <c r="G34" s="57">
        <v>22300</v>
      </c>
      <c r="H34" s="57">
        <f t="shared" si="1"/>
        <v>196.94280000000001</v>
      </c>
      <c r="I34" s="55" t="str">
        <f t="array" ref="I34:M34">[1]!'TX4N07P22300.TF-ID,Name,Price,TotalVolume,InOutRatio'</f>
        <v>TX4N07P22300</v>
      </c>
      <c r="J34" s="55" t="str">
        <v>台指選07W4 P 22300</v>
      </c>
      <c r="K34" s="56">
        <v>6</v>
      </c>
      <c r="L34" s="55">
        <v>337</v>
      </c>
      <c r="M34" s="55">
        <v>79.22</v>
      </c>
      <c r="O34" s="59">
        <v>15501.12000000001</v>
      </c>
      <c r="P34" s="59">
        <v>22300</v>
      </c>
      <c r="Q34" s="60"/>
      <c r="R34" s="60">
        <f>IFERROR(C34+'CallPut(週五)'!C34,0)/2</f>
        <v>0</v>
      </c>
      <c r="S34" s="4">
        <f>IFERROR(K34+'CallPut(週五)'!K34,0)/2</f>
        <v>16.25</v>
      </c>
      <c r="T34" s="60"/>
      <c r="U34" s="61">
        <f>MAX($P$18-G34,0)*MAX('籌碼表_CallPut(3+5)'!D19,0)-MAX('籌碼表_CallPut(3+5)'!D19,0)*R34</f>
        <v>0</v>
      </c>
      <c r="V34" s="61">
        <f>MAX(G34-$P$18,0)*MAX('籌碼表_CallPut(3+5)'!F19,0)-MAX('籌碼表_CallPut(3+5)'!F19,0)*S34</f>
        <v>110460.1575</v>
      </c>
      <c r="W34" s="61">
        <f>-MIN('籌碼表_CallPut(3+5)'!D19,0)*R34  - MAX($P$18-G34,0) * (-MIN('籌碼表_CallPut(3+5)'!D19,0))</f>
        <v>0</v>
      </c>
      <c r="X34" s="61">
        <f>-MIN('籌碼表_CallPut(3+5)'!F19,0) * S34 -  MAX(G34-$P$18,0) * (-MIN('籌碼表_CallPut(3+5)'!F19,0))</f>
        <v>0</v>
      </c>
      <c r="Y34" s="60"/>
      <c r="Z34" s="60"/>
      <c r="AA34" s="60"/>
      <c r="AB34" s="60"/>
    </row>
    <row r="35" spans="1:28" ht="13.5" customHeight="1" x14ac:dyDescent="0.25">
      <c r="A35" s="2" t="str">
        <f t="array" ref="A35:E35">[1]!'TX4N07C22350.TF-ID,Name,Price,TotalVolume,InOutRatio'</f>
        <v>TX4N07C22350</v>
      </c>
      <c r="B35" s="2" t="str">
        <v>台指選07W4 C 22350</v>
      </c>
      <c r="C35" s="7" t="str">
        <v>--</v>
      </c>
      <c r="D35" s="2">
        <v>0</v>
      </c>
      <c r="E35" s="2" t="str">
        <v>--</v>
      </c>
      <c r="F35" s="8">
        <f t="shared" si="0"/>
        <v>0</v>
      </c>
      <c r="G35" s="8">
        <v>22350</v>
      </c>
      <c r="H35" s="8">
        <f t="shared" si="1"/>
        <v>22</v>
      </c>
      <c r="I35" s="2" t="str">
        <f t="array" ref="I35:M35">[1]!'TX4N07P22350.TF-ID,Name,Price,TotalVolume,InOutRatio'</f>
        <v>TX4N07P22350</v>
      </c>
      <c r="J35" s="2" t="str">
        <v>台指選07W4 P 22350</v>
      </c>
      <c r="K35" s="7">
        <v>7</v>
      </c>
      <c r="L35" s="2">
        <v>110</v>
      </c>
      <c r="M35" s="2">
        <v>60</v>
      </c>
      <c r="O35" s="12">
        <v>40803.840000000011</v>
      </c>
      <c r="P35" s="12">
        <v>22350</v>
      </c>
      <c r="R35" s="4">
        <f>IFERROR(C35+'CallPut(週五)'!C35,0)/2</f>
        <v>0</v>
      </c>
      <c r="S35" s="4">
        <f>IFERROR(K35+'CallPut(週五)'!K35,0)/2</f>
        <v>16</v>
      </c>
      <c r="U35" s="23">
        <f>MAX($P$18-G35,0)*MAX('籌碼表_CallPut(3+5)'!D20,0)-MAX('籌碼表_CallPut(3+5)'!D20,0)*R35</f>
        <v>0</v>
      </c>
      <c r="V35" s="23">
        <f>MAX(G35-$P$18,0)*MAX('籌碼表_CallPut(3+5)'!F20,0)-MAX('籌碼表_CallPut(3+5)'!F20,0)*S35</f>
        <v>0</v>
      </c>
      <c r="W35" s="23">
        <f>-MIN('籌碼表_CallPut(3+5)'!D20,0)*R35  - MAX($P$18-G35,0) * (-MIN('籌碼表_CallPut(3+5)'!D20,0))</f>
        <v>0</v>
      </c>
      <c r="X35" s="23">
        <f>-MIN('籌碼表_CallPut(3+5)'!F20,0) * S35 -  MAX(G35-$P$18,0) * (-MIN('籌碼表_CallPut(3+5)'!F20,0))</f>
        <v>-30858.833999999999</v>
      </c>
    </row>
    <row r="36" spans="1:28" ht="13.5" customHeight="1" x14ac:dyDescent="0.25">
      <c r="A36" s="2" t="str">
        <f t="array" ref="A36:E36">[1]!'TX4N07C22400.TF-ID,Name,Price,TotalVolume,InOutRatio'</f>
        <v>TX4N07C22400</v>
      </c>
      <c r="B36" s="2" t="str">
        <v>台指選07W4 C 22400</v>
      </c>
      <c r="C36" s="7" t="str">
        <v>--</v>
      </c>
      <c r="D36" s="2">
        <v>0</v>
      </c>
      <c r="E36" s="2" t="str">
        <v>--</v>
      </c>
      <c r="F36" s="8">
        <f t="shared" si="0"/>
        <v>0</v>
      </c>
      <c r="G36" s="8">
        <v>22400</v>
      </c>
      <c r="H36" s="8">
        <f t="shared" si="1"/>
        <v>34.911200000000008</v>
      </c>
      <c r="I36" s="2" t="str">
        <f t="array" ref="I36:M36">[1]!'TX4N07P22400.TF-ID,Name,Price,TotalVolume,InOutRatio'</f>
        <v>TX4N07P22400</v>
      </c>
      <c r="J36" s="2" t="str">
        <v>台指選07W4 P 22400</v>
      </c>
      <c r="K36" s="7">
        <v>7.1</v>
      </c>
      <c r="L36" s="2">
        <v>302</v>
      </c>
      <c r="M36" s="2">
        <v>55.78</v>
      </c>
      <c r="O36" s="12">
        <v>0</v>
      </c>
      <c r="P36" s="12">
        <v>22400</v>
      </c>
      <c r="R36" s="4">
        <f>IFERROR(C36+'CallPut(週五)'!C36,0)/2</f>
        <v>0</v>
      </c>
      <c r="S36" s="4">
        <f>IFERROR(K36+'CallPut(週五)'!K36,0)/2</f>
        <v>17.05</v>
      </c>
      <c r="U36" s="23">
        <f>MAX($P$18-G36,0)*MAX('籌碼表_CallPut(3+5)'!D21,0)-MAX('籌碼表_CallPut(3+5)'!D21,0)*R36</f>
        <v>0</v>
      </c>
      <c r="V36" s="23">
        <f>MAX(G36-$P$18,0)*MAX('籌碼表_CallPut(3+5)'!F21,0)-MAX('籌碼表_CallPut(3+5)'!F21,0)*S36</f>
        <v>5222.8258400000086</v>
      </c>
      <c r="W36" s="23">
        <f>-MIN('籌碼表_CallPut(3+5)'!D21,0)*R36  - MAX($P$18-G36,0) * (-MIN('籌碼表_CallPut(3+5)'!D21,0))</f>
        <v>0</v>
      </c>
      <c r="X36" s="23">
        <f>-MIN('籌碼表_CallPut(3+5)'!F21,0) * S36 -  MAX(G36-$P$18,0) * (-MIN('籌碼表_CallPut(3+5)'!F21,0))</f>
        <v>0</v>
      </c>
    </row>
    <row r="37" spans="1:28" ht="13.5" customHeight="1" x14ac:dyDescent="0.25">
      <c r="A37" s="2" t="str">
        <f t="array" ref="A37:E37">[1]!'TX4N07C22450.TF-ID,Name,Price,TotalVolume,InOutRatio'</f>
        <v>TX4N07C22450</v>
      </c>
      <c r="B37" s="2" t="str">
        <v>台指選07W4 C 22450</v>
      </c>
      <c r="C37" s="7" t="str">
        <v>--</v>
      </c>
      <c r="D37" s="2">
        <v>0</v>
      </c>
      <c r="E37" s="2" t="str">
        <v>--</v>
      </c>
      <c r="F37" s="8">
        <f t="shared" si="0"/>
        <v>0</v>
      </c>
      <c r="G37" s="8">
        <v>22450</v>
      </c>
      <c r="H37" s="8">
        <f t="shared" si="1"/>
        <v>79.486399999999989</v>
      </c>
      <c r="I37" s="2" t="str">
        <f t="array" ref="I37:M37">[1]!'TX4N07P22450.TF-ID,Name,Price,TotalVolume,InOutRatio'</f>
        <v>TX4N07P22450</v>
      </c>
      <c r="J37" s="2" t="str">
        <v>台指選07W4 P 22450</v>
      </c>
      <c r="K37" s="7">
        <v>7.8</v>
      </c>
      <c r="L37" s="2">
        <v>329</v>
      </c>
      <c r="M37" s="2">
        <v>62.08</v>
      </c>
      <c r="O37" s="12">
        <v>0</v>
      </c>
      <c r="P37" s="12">
        <v>22450</v>
      </c>
      <c r="R37" s="4">
        <f>IFERROR(C37+'CallPut(週五)'!C37,0)/2</f>
        <v>0</v>
      </c>
      <c r="S37" s="4">
        <f>IFERROR(K37+'CallPut(週五)'!K37,0)/2</f>
        <v>21.15</v>
      </c>
      <c r="U37" s="23">
        <f>MAX($P$18-G37,0)*MAX('籌碼表_CallPut(3+5)'!D22,0)-MAX('籌碼表_CallPut(3+5)'!D22,0)*R37</f>
        <v>0</v>
      </c>
      <c r="V37" s="23">
        <f>MAX(G37-$P$18,0)*MAX('籌碼表_CallPut(3+5)'!F22,0)-MAX('籌碼表_CallPut(3+5)'!F22,0)*S37</f>
        <v>71973.985719999982</v>
      </c>
      <c r="W37" s="23">
        <f>-MIN('籌碼表_CallPut(3+5)'!D22,0)*R37  - MAX($P$18-G37,0) * (-MIN('籌碼表_CallPut(3+5)'!D22,0))</f>
        <v>0</v>
      </c>
      <c r="X37" s="23">
        <f>-MIN('籌碼表_CallPut(3+5)'!F22,0) * S37 -  MAX(G37-$P$18,0) * (-MIN('籌碼表_CallPut(3+5)'!F22,0))</f>
        <v>0</v>
      </c>
    </row>
    <row r="38" spans="1:28" ht="13.5" customHeight="1" x14ac:dyDescent="0.25">
      <c r="A38" s="2" t="str">
        <f t="array" ref="A38:E38">[1]!'TX4N07C22500.TF-ID,Name,Price,TotalVolume,InOutRatio'</f>
        <v>TX4N07C22500</v>
      </c>
      <c r="B38" s="2" t="str">
        <v>台指選07W4 C 22500</v>
      </c>
      <c r="C38" s="7">
        <v>780</v>
      </c>
      <c r="D38" s="2">
        <v>9</v>
      </c>
      <c r="E38" s="2">
        <v>22.22</v>
      </c>
      <c r="F38" s="8">
        <f t="shared" si="0"/>
        <v>-5.0004</v>
      </c>
      <c r="G38" s="8">
        <v>22500</v>
      </c>
      <c r="H38" s="8">
        <f t="shared" si="1"/>
        <v>402.98999999999995</v>
      </c>
      <c r="I38" s="2" t="str">
        <f t="array" ref="I38:M38">[1]!'TX4N07P22500.TF-ID,Name,Price,TotalVolume,InOutRatio'</f>
        <v>TX4N07P22500</v>
      </c>
      <c r="J38" s="2" t="str">
        <v>台指選07W4 P 22500</v>
      </c>
      <c r="K38" s="7">
        <v>10</v>
      </c>
      <c r="L38" s="2">
        <v>1414</v>
      </c>
      <c r="M38" s="2">
        <v>64.25</v>
      </c>
      <c r="O38" s="12">
        <v>42353.551800000176</v>
      </c>
      <c r="P38" s="12">
        <v>22500</v>
      </c>
      <c r="R38" s="4">
        <f>IFERROR(C38+'CallPut(週五)'!C38,0)/2</f>
        <v>0</v>
      </c>
      <c r="S38" s="4">
        <f>IFERROR(K38+'CallPut(週五)'!K38,0)/2</f>
        <v>24</v>
      </c>
      <c r="U38" s="23">
        <f>MAX($P$18-G38,0)*MAX('籌碼表_CallPut(3+5)'!D23,0)-MAX('籌碼表_CallPut(3+5)'!D23,0)*R38</f>
        <v>0</v>
      </c>
      <c r="V38" s="23">
        <f>MAX(G38-$P$18,0)*MAX('籌碼表_CallPut(3+5)'!F23,0)-MAX('籌碼表_CallPut(3+5)'!F23,0)*S38</f>
        <v>413815.99679999991</v>
      </c>
      <c r="W38" s="23">
        <f>-MIN('籌碼表_CallPut(3+5)'!D23,0)*R38  - MAX($P$18-G38,0) * (-MIN('籌碼表_CallPut(3+5)'!D23,0))</f>
        <v>0</v>
      </c>
      <c r="X38" s="23">
        <f>-MIN('籌碼表_CallPut(3+5)'!F23,0) * S38 -  MAX(G38-$P$18,0) * (-MIN('籌碼表_CallPut(3+5)'!F23,0))</f>
        <v>0</v>
      </c>
    </row>
    <row r="39" spans="1:28" ht="13.5" customHeight="1" x14ac:dyDescent="0.25">
      <c r="A39" s="2" t="str">
        <f t="array" ref="A39:E39">[1]!'TX4N07C22550.TF-ID,Name,Price,TotalVolume,InOutRatio'</f>
        <v>TX4N07C22550</v>
      </c>
      <c r="B39" s="2" t="str">
        <v>台指選07W4 C 22550</v>
      </c>
      <c r="C39" s="7">
        <v>720</v>
      </c>
      <c r="D39" s="2">
        <v>1</v>
      </c>
      <c r="E39" s="2">
        <v>0</v>
      </c>
      <c r="F39" s="8">
        <f t="shared" si="0"/>
        <v>-1</v>
      </c>
      <c r="G39" s="8">
        <v>22550</v>
      </c>
      <c r="H39" s="8">
        <f t="shared" si="1"/>
        <v>225.00799999999995</v>
      </c>
      <c r="I39" s="2" t="str">
        <f t="array" ref="I39:M39">[1]!'TX4N07P22550.TF-ID,Name,Price,TotalVolume,InOutRatio'</f>
        <v>TX4N07P22550</v>
      </c>
      <c r="J39" s="2" t="str">
        <v>台指選07W4 P 22550</v>
      </c>
      <c r="K39" s="7">
        <v>10</v>
      </c>
      <c r="L39" s="2">
        <v>490</v>
      </c>
      <c r="M39" s="2">
        <v>72.959999999999994</v>
      </c>
      <c r="O39" s="12">
        <v>0</v>
      </c>
      <c r="P39" s="12">
        <v>22550</v>
      </c>
      <c r="R39" s="4">
        <f>IFERROR(C39+'CallPut(週五)'!C39,0)/2</f>
        <v>0</v>
      </c>
      <c r="S39" s="4">
        <f>IFERROR(K39+'CallPut(週五)'!K39,0)/2</f>
        <v>25</v>
      </c>
      <c r="U39" s="23">
        <f>MAX($P$18-G39,0)*MAX('籌碼表_CallPut(3+5)'!D24,0)-MAX('籌碼表_CallPut(3+5)'!D24,0)*R39</f>
        <v>0</v>
      </c>
      <c r="V39" s="23">
        <f>MAX(G39-$P$18,0)*MAX('籌碼表_CallPut(3+5)'!F24,0)-MAX('籌碼表_CallPut(3+5)'!F24,0)*S39</f>
        <v>261385.65999999992</v>
      </c>
      <c r="W39" s="23">
        <f>-MIN('籌碼表_CallPut(3+5)'!D24,0)*R39  - MAX($P$18-G39,0) * (-MIN('籌碼表_CallPut(3+5)'!D24,0))</f>
        <v>0</v>
      </c>
      <c r="X39" s="23">
        <f>-MIN('籌碼表_CallPut(3+5)'!F24,0) * S39 -  MAX(G39-$P$18,0) * (-MIN('籌碼表_CallPut(3+5)'!F24,0))</f>
        <v>0</v>
      </c>
    </row>
    <row r="40" spans="1:28" ht="13.5" customHeight="1" x14ac:dyDescent="0.25">
      <c r="A40" s="2" t="str">
        <f t="array" ref="A40:E40">[1]!'TX4N07C22600.TF-ID,Name,Price,TotalVolume,InOutRatio'</f>
        <v>TX4N07C22600</v>
      </c>
      <c r="B40" s="2" t="str">
        <v>台指選07W4 C 22600</v>
      </c>
      <c r="C40" s="7">
        <v>700</v>
      </c>
      <c r="D40" s="2">
        <v>10</v>
      </c>
      <c r="E40" s="2">
        <v>100</v>
      </c>
      <c r="F40" s="8">
        <f t="shared" si="0"/>
        <v>10</v>
      </c>
      <c r="G40" s="8">
        <v>22600</v>
      </c>
      <c r="H40" s="8">
        <f t="shared" si="1"/>
        <v>126.99060000000004</v>
      </c>
      <c r="I40" s="2" t="str">
        <f t="array" ref="I40:M40">[1]!'TX4N07P22600.TF-ID,Name,Price,TotalVolume,InOutRatio'</f>
        <v>TX4N07P22600</v>
      </c>
      <c r="J40" s="2" t="str">
        <v>台指選07W4 P 22600</v>
      </c>
      <c r="K40" s="7">
        <v>12.5</v>
      </c>
      <c r="L40" s="2">
        <v>781</v>
      </c>
      <c r="M40" s="2">
        <v>58.13</v>
      </c>
      <c r="O40" s="12">
        <v>0</v>
      </c>
      <c r="P40" s="12">
        <v>22600</v>
      </c>
      <c r="R40" s="4">
        <f>IFERROR(C40+'CallPut(週五)'!C40,0)/2</f>
        <v>0</v>
      </c>
      <c r="S40" s="4">
        <f>IFERROR(K40+'CallPut(週五)'!K40,0)/2</f>
        <v>27</v>
      </c>
      <c r="U40" s="23">
        <f>MAX($P$18-G40,0)*MAX('籌碼表_CallPut(3+5)'!D25,0)-MAX('籌碼表_CallPut(3+5)'!D25,0)*R40</f>
        <v>0</v>
      </c>
      <c r="V40" s="23">
        <f>MAX(G40-$P$18,0)*MAX('籌碼表_CallPut(3+5)'!F25,0)-MAX('籌碼表_CallPut(3+5)'!F25,0)*S40</f>
        <v>170784.68880000003</v>
      </c>
      <c r="W40" s="23">
        <f>-MIN('籌碼表_CallPut(3+5)'!D25,0)*R40  - MAX($P$18-G40,0) * (-MIN('籌碼表_CallPut(3+5)'!D25,0))</f>
        <v>0</v>
      </c>
      <c r="X40" s="23">
        <f>-MIN('籌碼表_CallPut(3+5)'!F25,0) * S40 -  MAX(G40-$P$18,0) * (-MIN('籌碼表_CallPut(3+5)'!F25,0))</f>
        <v>0</v>
      </c>
    </row>
    <row r="41" spans="1:28" ht="13.5" customHeight="1" x14ac:dyDescent="0.25">
      <c r="A41" s="2" t="str">
        <f t="array" ref="A41:E41">[1]!'TX4N07C22650.TF-ID,Name,Price,TotalVolume,InOutRatio'</f>
        <v>TX4N07C22650</v>
      </c>
      <c r="B41" s="2" t="str">
        <v>台指選07W4 C 22650</v>
      </c>
      <c r="C41" s="7">
        <v>645</v>
      </c>
      <c r="D41" s="2">
        <v>2</v>
      </c>
      <c r="E41" s="2">
        <v>100</v>
      </c>
      <c r="F41" s="8">
        <f t="shared" si="0"/>
        <v>2</v>
      </c>
      <c r="G41" s="8">
        <v>22650</v>
      </c>
      <c r="H41" s="8">
        <f t="shared" si="1"/>
        <v>96.235200000000049</v>
      </c>
      <c r="I41" s="2" t="str">
        <f t="array" ref="I41:M41">[1]!'TX4N07P22650.TF-ID,Name,Price,TotalVolume,InOutRatio'</f>
        <v>TX4N07P22650</v>
      </c>
      <c r="J41" s="2" t="str">
        <v>台指選07W4 P 22650</v>
      </c>
      <c r="K41" s="7">
        <v>13</v>
      </c>
      <c r="L41" s="2">
        <v>738</v>
      </c>
      <c r="M41" s="2">
        <v>56.52</v>
      </c>
      <c r="O41" s="12">
        <v>0</v>
      </c>
      <c r="P41" s="12">
        <v>22650</v>
      </c>
      <c r="R41" s="4">
        <f>IFERROR(C41+'CallPut(週五)'!C41,0)/2</f>
        <v>0</v>
      </c>
      <c r="S41" s="4">
        <f>IFERROR(K41+'CallPut(週五)'!K41,0)/2</f>
        <v>29.5</v>
      </c>
      <c r="U41" s="23">
        <f>MAX($P$18-G41,0)*MAX('籌碼表_CallPut(3+5)'!D26,0)-MAX('籌碼表_CallPut(3+5)'!D26,0)*R41</f>
        <v>0</v>
      </c>
      <c r="V41" s="23">
        <f>MAX(G41-$P$18,0)*MAX('籌碼表_CallPut(3+5)'!F26,0)-MAX('籌碼表_CallPut(3+5)'!F26,0)*S41</f>
        <v>95507.16210000006</v>
      </c>
      <c r="W41" s="23">
        <f>-MIN('籌碼表_CallPut(3+5)'!D26,0)*R41  - MAX($P$18-G41,0) * (-MIN('籌碼表_CallPut(3+5)'!D26,0))</f>
        <v>0</v>
      </c>
      <c r="X41" s="23">
        <f>-MIN('籌碼表_CallPut(3+5)'!F26,0) * S41 -  MAX(G41-$P$18,0) * (-MIN('籌碼表_CallPut(3+5)'!F26,0))</f>
        <v>0</v>
      </c>
    </row>
    <row r="42" spans="1:28" ht="13.5" customHeight="1" x14ac:dyDescent="0.25">
      <c r="A42" s="2" t="str">
        <f t="array" ref="A42:E42">[1]!'TX4N07C22700.TF-ID,Name,Price,TotalVolume,InOutRatio'</f>
        <v>TX4N07C22700</v>
      </c>
      <c r="B42" s="2" t="str">
        <v>台指選07W4 C 22700</v>
      </c>
      <c r="C42" s="7">
        <v>580</v>
      </c>
      <c r="D42" s="2">
        <v>9</v>
      </c>
      <c r="E42" s="2">
        <v>0</v>
      </c>
      <c r="F42" s="8">
        <f t="shared" si="0"/>
        <v>-9</v>
      </c>
      <c r="G42" s="8">
        <v>22700</v>
      </c>
      <c r="H42" s="8">
        <f t="shared" si="1"/>
        <v>204.91119999999995</v>
      </c>
      <c r="I42" s="2" t="str">
        <f t="array" ref="I42:M42">[1]!'TX4N07P22700.TF-ID,Name,Price,TotalVolume,InOutRatio'</f>
        <v>TX4N07P22700</v>
      </c>
      <c r="J42" s="2" t="str">
        <v>台指選07W4 P 22700</v>
      </c>
      <c r="K42" s="7">
        <v>18</v>
      </c>
      <c r="L42" s="2">
        <v>988</v>
      </c>
      <c r="M42" s="2">
        <v>60.37</v>
      </c>
      <c r="O42" s="12">
        <v>0</v>
      </c>
      <c r="P42" s="12">
        <v>22700</v>
      </c>
      <c r="R42" s="4">
        <f>IFERROR(C42+'CallPut(週五)'!C42,0)/2</f>
        <v>617.5</v>
      </c>
      <c r="S42" s="4">
        <f>IFERROR(K42+'CallPut(週五)'!K42,0)/2</f>
        <v>32.75</v>
      </c>
      <c r="U42" s="23">
        <f>MAX($P$18-G42,0)*MAX('籌碼表_CallPut(3+5)'!D27,0)-MAX('籌碼表_CallPut(3+5)'!D27,0)*R42</f>
        <v>0</v>
      </c>
      <c r="V42" s="23">
        <f>MAX(G42-$P$18,0)*MAX('籌碼表_CallPut(3+5)'!F27,0)-MAX('籌碼表_CallPut(3+5)'!F27,0)*S42</f>
        <v>115769.25569999994</v>
      </c>
      <c r="W42" s="23">
        <f>-MIN('籌碼表_CallPut(3+5)'!D27,0)*R42  - MAX($P$18-G42,0) * (-MIN('籌碼表_CallPut(3+5)'!D27,0))</f>
        <v>3705</v>
      </c>
      <c r="X42" s="23">
        <f>-MIN('籌碼表_CallPut(3+5)'!F27,0) * S42 -  MAX(G42-$P$18,0) * (-MIN('籌碼表_CallPut(3+5)'!F27,0))</f>
        <v>0</v>
      </c>
    </row>
    <row r="43" spans="1:28" ht="13.5" customHeight="1" x14ac:dyDescent="0.25">
      <c r="A43" s="2" t="str">
        <f t="array" ref="A43:E43">[1]!'TX4N07C22750.TF-ID,Name,Price,TotalVolume,InOutRatio'</f>
        <v>TX4N07C22750</v>
      </c>
      <c r="B43" s="2" t="str">
        <v>台指選07W4 C 22750</v>
      </c>
      <c r="C43" s="7">
        <v>540</v>
      </c>
      <c r="D43" s="2">
        <v>1</v>
      </c>
      <c r="E43" s="2">
        <v>100</v>
      </c>
      <c r="F43" s="8">
        <f t="shared" si="0"/>
        <v>1</v>
      </c>
      <c r="G43" s="8">
        <v>22750</v>
      </c>
      <c r="H43" s="8">
        <f t="shared" si="1"/>
        <v>-223.49880000000002</v>
      </c>
      <c r="I43" s="2" t="str">
        <f t="array" ref="I43:M43">[1]!'TX4N07P22750.TF-ID,Name,Price,TotalVolume,InOutRatio'</f>
        <v>TX4N07P22750</v>
      </c>
      <c r="J43" s="2" t="str">
        <v>台指選07W4 P 22750</v>
      </c>
      <c r="K43" s="7">
        <v>22</v>
      </c>
      <c r="L43" s="2">
        <v>882</v>
      </c>
      <c r="M43" s="2">
        <v>37.33</v>
      </c>
      <c r="O43" s="12">
        <v>0</v>
      </c>
      <c r="P43" s="12">
        <v>22750</v>
      </c>
      <c r="R43" s="4">
        <f>IFERROR(C43+'CallPut(週五)'!C43,0)/2</f>
        <v>0</v>
      </c>
      <c r="S43" s="4">
        <f>IFERROR(K43+'CallPut(週五)'!K43,0)/2</f>
        <v>38.5</v>
      </c>
      <c r="U43" s="23">
        <f>MAX($P$18-G43,0)*MAX('籌碼表_CallPut(3+5)'!D28,0)-MAX('籌碼表_CallPut(3+5)'!D28,0)*R43</f>
        <v>0</v>
      </c>
      <c r="V43" s="23">
        <f>MAX(G43-$P$18,0)*MAX('籌碼表_CallPut(3+5)'!F28,0)-MAX('籌碼表_CallPut(3+5)'!F28,0)*S43</f>
        <v>0</v>
      </c>
      <c r="W43" s="23">
        <f>-MIN('籌碼表_CallPut(3+5)'!D28,0)*R43  - MAX($P$18-G43,0) * (-MIN('籌碼表_CallPut(3+5)'!D28,0))</f>
        <v>0</v>
      </c>
      <c r="X43" s="23">
        <f>-MIN('籌碼表_CallPut(3+5)'!F28,0) * S43 -  MAX(G43-$P$18,0) * (-MIN('籌碼表_CallPut(3+5)'!F28,0))</f>
        <v>-270768.79619999998</v>
      </c>
    </row>
    <row r="44" spans="1:28" ht="13.5" customHeight="1" x14ac:dyDescent="0.25">
      <c r="A44" s="2" t="str">
        <f t="array" ref="A44:E44">[1]!'TX4N07C22800.TF-ID,Name,Price,TotalVolume,InOutRatio'</f>
        <v>TX4N07C22800</v>
      </c>
      <c r="B44" s="2" t="str">
        <v>台指選07W4 C 22800</v>
      </c>
      <c r="C44" s="7">
        <v>525</v>
      </c>
      <c r="D44" s="2">
        <v>9</v>
      </c>
      <c r="E44" s="2">
        <v>55.56</v>
      </c>
      <c r="F44" s="8">
        <f t="shared" si="0"/>
        <v>1.0008000000000004</v>
      </c>
      <c r="G44" s="8">
        <v>22800</v>
      </c>
      <c r="H44" s="8">
        <f t="shared" si="1"/>
        <v>-343.678</v>
      </c>
      <c r="I44" s="2" t="str">
        <f t="array" ref="I44:M44">[1]!'TX4N07P22800.TF-ID,Name,Price,TotalVolume,InOutRatio'</f>
        <v>TX4N07P22800</v>
      </c>
      <c r="J44" s="2" t="str">
        <v>台指選07W4 P 22800</v>
      </c>
      <c r="K44" s="7">
        <v>24.5</v>
      </c>
      <c r="L44" s="2">
        <v>2270</v>
      </c>
      <c r="M44" s="2">
        <v>42.43</v>
      </c>
      <c r="O44" s="12">
        <v>0</v>
      </c>
      <c r="P44" s="12">
        <v>22800</v>
      </c>
      <c r="R44" s="4">
        <f>IFERROR(C44+'CallPut(週五)'!C44,0)/2</f>
        <v>0</v>
      </c>
      <c r="S44" s="4">
        <f>IFERROR(K44+'CallPut(週五)'!K44,0)/2</f>
        <v>46.75</v>
      </c>
      <c r="U44" s="23">
        <f>MAX($P$18-G44,0)*MAX('籌碼表_CallPut(3+5)'!D29,0)-MAX('籌碼表_CallPut(3+5)'!D29,0)*R44</f>
        <v>0</v>
      </c>
      <c r="V44" s="23">
        <f>MAX(G44-$P$18,0)*MAX('籌碼表_CallPut(3+5)'!F29,0)-MAX('籌碼表_CallPut(3+5)'!F29,0)*S44</f>
        <v>0</v>
      </c>
      <c r="W44" s="23">
        <f>-MIN('籌碼表_CallPut(3+5)'!D29,0)*R44  - MAX($P$18-G44,0) * (-MIN('籌碼表_CallPut(3+5)'!D29,0))</f>
        <v>0</v>
      </c>
      <c r="X44" s="23">
        <f>-MIN('籌碼表_CallPut(3+5)'!F29,0) * S44 -  MAX(G44-$P$18,0) * (-MIN('籌碼表_CallPut(3+5)'!F29,0))</f>
        <v>-438230.94569999998</v>
      </c>
    </row>
    <row r="45" spans="1:28" ht="13.5" customHeight="1" x14ac:dyDescent="0.25">
      <c r="A45" s="2" t="str">
        <f t="array" ref="A45:E45">[1]!'TX4N07C22850.TF-ID,Name,Price,TotalVolume,InOutRatio'</f>
        <v>TX4N07C22850</v>
      </c>
      <c r="B45" s="2" t="str">
        <v>台指選07W4 C 22850</v>
      </c>
      <c r="C45" s="7">
        <v>462</v>
      </c>
      <c r="D45" s="2">
        <v>4</v>
      </c>
      <c r="E45" s="2">
        <v>100</v>
      </c>
      <c r="F45" s="8">
        <f t="shared" si="0"/>
        <v>4</v>
      </c>
      <c r="G45" s="8">
        <v>22850</v>
      </c>
      <c r="H45" s="8">
        <f t="shared" si="1"/>
        <v>-376.5652</v>
      </c>
      <c r="I45" s="2" t="str">
        <f t="array" ref="I45:M45">[1]!'TX4N07P22850.TF-ID,Name,Price,TotalVolume,InOutRatio'</f>
        <v>TX4N07P22850</v>
      </c>
      <c r="J45" s="2" t="str">
        <v>台指選07W4 P 22850</v>
      </c>
      <c r="K45" s="7">
        <v>35</v>
      </c>
      <c r="L45" s="2">
        <v>1342</v>
      </c>
      <c r="M45" s="2">
        <v>35.97</v>
      </c>
      <c r="O45" s="12">
        <v>0</v>
      </c>
      <c r="P45" s="12">
        <v>22850</v>
      </c>
      <c r="R45" s="4">
        <f>IFERROR(C45+'CallPut(週五)'!C45,0)/2</f>
        <v>0</v>
      </c>
      <c r="S45" s="4">
        <f>IFERROR(K45+'CallPut(週五)'!K45,0)/2</f>
        <v>58</v>
      </c>
      <c r="U45" s="23">
        <f>MAX($P$18-G45,0)*MAX('籌碼表_CallPut(3+5)'!D30,0)-MAX('籌碼表_CallPut(3+5)'!D30,0)*R45</f>
        <v>0</v>
      </c>
      <c r="V45" s="23">
        <f>MAX(G45-$P$18,0)*MAX('籌碼表_CallPut(3+5)'!F30,0)-MAX('籌碼表_CallPut(3+5)'!F30,0)*S45</f>
        <v>0</v>
      </c>
      <c r="W45" s="23">
        <f>-MIN('籌碼表_CallPut(3+5)'!D30,0)*R45  - MAX($P$18-G45,0) * (-MIN('籌碼表_CallPut(3+5)'!D30,0))</f>
        <v>0</v>
      </c>
      <c r="X45" s="23">
        <f>-MIN('籌碼表_CallPut(3+5)'!F30,0) * S45 -  MAX(G45-$P$18,0) * (-MIN('籌碼表_CallPut(3+5)'!F30,0))</f>
        <v>-489106.23840000003</v>
      </c>
    </row>
    <row r="46" spans="1:28" ht="13.5" customHeight="1" x14ac:dyDescent="0.25">
      <c r="A46" s="2" t="str">
        <f t="array" ref="A46:E46">[1]!'TX4N07C22900.TF-ID,Name,Price,TotalVolume,InOutRatio'</f>
        <v>TX4N07C22900</v>
      </c>
      <c r="B46" s="2" t="str">
        <v>台指選07W4 C 22900</v>
      </c>
      <c r="C46" s="7">
        <v>407</v>
      </c>
      <c r="D46" s="2">
        <v>68</v>
      </c>
      <c r="E46" s="2">
        <v>34.33</v>
      </c>
      <c r="F46" s="8">
        <f t="shared" si="0"/>
        <v>-21.311199999999999</v>
      </c>
      <c r="G46" s="8">
        <v>22900</v>
      </c>
      <c r="H46" s="8">
        <f t="shared" si="1"/>
        <v>-57.752999999999929</v>
      </c>
      <c r="I46" s="2" t="str">
        <f t="array" ref="I46:M46">[1]!'TX4N07P22900.TF-ID,Name,Price,TotalVolume,InOutRatio'</f>
        <v>TX4N07P22900</v>
      </c>
      <c r="J46" s="2" t="str">
        <v>台指選07W4 P 22900</v>
      </c>
      <c r="K46" s="7">
        <v>36.5</v>
      </c>
      <c r="L46" s="2">
        <v>2511</v>
      </c>
      <c r="M46" s="2">
        <v>48.85</v>
      </c>
      <c r="O46" s="12">
        <v>0</v>
      </c>
      <c r="P46" s="12">
        <v>22900</v>
      </c>
      <c r="R46" s="4">
        <f>IFERROR(C46+'CallPut(週五)'!C46,0)/2</f>
        <v>461</v>
      </c>
      <c r="S46" s="4">
        <f>IFERROR(K46+'CallPut(週五)'!K46,0)/2</f>
        <v>59.25</v>
      </c>
      <c r="U46" s="23">
        <f>MAX($P$18-G46,0)*MAX('籌碼表_CallPut(3+5)'!D31,0)-MAX('籌碼表_CallPut(3+5)'!D31,0)*R46</f>
        <v>0</v>
      </c>
      <c r="V46" s="23">
        <f>MAX(G46-$P$18,0)*MAX('籌碼表_CallPut(3+5)'!F31,0)-MAX('籌碼表_CallPut(3+5)'!F31,0)*S46</f>
        <v>0</v>
      </c>
      <c r="W46" s="23">
        <f>-MIN('籌碼表_CallPut(3+5)'!D31,0)*R46  - MAX($P$18-G46,0) * (-MIN('籌碼表_CallPut(3+5)'!D31,0))</f>
        <v>12129.4632</v>
      </c>
      <c r="X46" s="23">
        <f>-MIN('籌碼表_CallPut(3+5)'!F31,0) * S46 -  MAX(G46-$P$18,0) * (-MIN('籌碼表_CallPut(3+5)'!F31,0))</f>
        <v>-84343.0965499999</v>
      </c>
    </row>
    <row r="47" spans="1:28" ht="13.5" customHeight="1" x14ac:dyDescent="0.25">
      <c r="A47" s="2" t="str">
        <f t="array" ref="A47:E47">[1]!'TX4N07C22950.TF-ID,Name,Price,TotalVolume,InOutRatio'</f>
        <v>TX4N07C22950</v>
      </c>
      <c r="B47" s="2" t="str">
        <v>台指選07W4 C 22950</v>
      </c>
      <c r="C47" s="7">
        <v>370</v>
      </c>
      <c r="D47" s="2">
        <v>19</v>
      </c>
      <c r="E47" s="2">
        <v>84.21</v>
      </c>
      <c r="F47" s="8">
        <f t="shared" si="0"/>
        <v>12.999799999999999</v>
      </c>
      <c r="G47" s="8">
        <v>22950</v>
      </c>
      <c r="H47" s="8">
        <f t="shared" si="1"/>
        <v>-86.395200000000031</v>
      </c>
      <c r="I47" s="2" t="str">
        <f t="array" ref="I47:M47">[1]!'TX4N07P22950.TF-ID,Name,Price,TotalVolume,InOutRatio'</f>
        <v>TX4N07P22950</v>
      </c>
      <c r="J47" s="2" t="str">
        <v>台指選07W4 P 22950</v>
      </c>
      <c r="K47" s="7">
        <v>44.5</v>
      </c>
      <c r="L47" s="2">
        <v>1756</v>
      </c>
      <c r="M47" s="2">
        <v>47.54</v>
      </c>
      <c r="O47" s="12">
        <v>394398.42119999981</v>
      </c>
      <c r="P47" s="12">
        <v>22950</v>
      </c>
      <c r="R47" s="4">
        <f>IFERROR(C47+'CallPut(週五)'!C47,0)/2</f>
        <v>0</v>
      </c>
      <c r="S47" s="4">
        <f>IFERROR(K47+'CallPut(週五)'!K47,0)/2</f>
        <v>73.75</v>
      </c>
      <c r="U47" s="23">
        <f>MAX($P$18-G47,0)*MAX('籌碼表_CallPut(3+5)'!D32,0)-MAX('籌碼表_CallPut(3+5)'!D32,0)*R47</f>
        <v>0</v>
      </c>
      <c r="V47" s="23">
        <f>MAX(G47-$P$18,0)*MAX('籌碼表_CallPut(3+5)'!F32,0)-MAX('籌碼表_CallPut(3+5)'!F32,0)*S47</f>
        <v>0</v>
      </c>
      <c r="W47" s="23">
        <f>-MIN('籌碼表_CallPut(3+5)'!D32,0)*R47  - MAX($P$18-G47,0) * (-MIN('籌碼表_CallPut(3+5)'!D32,0))</f>
        <v>0</v>
      </c>
      <c r="X47" s="23">
        <f>-MIN('籌碼表_CallPut(3+5)'!F32,0) * S47 -  MAX(G47-$P$18,0) * (-MIN('籌碼表_CallPut(3+5)'!F32,0))</f>
        <v>-120279.02025000005</v>
      </c>
    </row>
    <row r="48" spans="1:28" ht="13.5" customHeight="1" x14ac:dyDescent="0.25">
      <c r="A48" s="2" t="str">
        <f t="array" ref="A48:E48">[1]!'TX4N07C23000.TF-ID,Name,Price,TotalVolume,InOutRatio'</f>
        <v>TX4N07C23000</v>
      </c>
      <c r="B48" s="2" t="str">
        <v>台指選07W4 C 23000</v>
      </c>
      <c r="C48" s="7">
        <v>321</v>
      </c>
      <c r="D48" s="2">
        <v>293</v>
      </c>
      <c r="E48" s="2">
        <v>44.6</v>
      </c>
      <c r="F48" s="8">
        <f t="shared" si="0"/>
        <v>-31.643999999999991</v>
      </c>
      <c r="G48" s="8">
        <v>23000</v>
      </c>
      <c r="H48" s="8">
        <f t="shared" si="1"/>
        <v>-175.86400000000009</v>
      </c>
      <c r="I48" s="2" t="str">
        <f t="array" ref="I48:M48">[1]!'TX4N07P23000.TF-ID,Name,Price,TotalVolume,InOutRatio'</f>
        <v>TX4N07P23000</v>
      </c>
      <c r="J48" s="2" t="str">
        <v>台指選07W4 P 23000</v>
      </c>
      <c r="K48" s="7">
        <v>53</v>
      </c>
      <c r="L48" s="2">
        <v>4940</v>
      </c>
      <c r="M48" s="2">
        <v>48.22</v>
      </c>
      <c r="O48" s="12">
        <v>1570869.0452000001</v>
      </c>
      <c r="P48" s="12">
        <v>23000</v>
      </c>
      <c r="R48" s="4">
        <f>IFERROR(C48+'CallPut(週五)'!C48,0)/2</f>
        <v>357</v>
      </c>
      <c r="S48" s="4">
        <f>IFERROR(K48+'CallPut(週五)'!K48,0)/2</f>
        <v>81</v>
      </c>
      <c r="U48" s="23">
        <f>MAX($P$18-G48,0)*MAX('籌碼表_CallPut(3+5)'!D33,0)-MAX('籌碼表_CallPut(3+5)'!D33,0)*R48</f>
        <v>0</v>
      </c>
      <c r="V48" s="23">
        <f>MAX(G48-$P$18,0)*MAX('籌碼表_CallPut(3+5)'!F33,0)-MAX('籌碼表_CallPut(3+5)'!F33,0)*S48</f>
        <v>0</v>
      </c>
      <c r="W48" s="23">
        <f>-MIN('籌碼表_CallPut(3+5)'!D33,0)*R48  - MAX($P$18-G48,0) * (-MIN('籌碼表_CallPut(3+5)'!D33,0))</f>
        <v>12010.907999999998</v>
      </c>
      <c r="X48" s="23">
        <f>-MIN('籌碼表_CallPut(3+5)'!F33,0) * S48 -  MAX(G48-$P$18,0) * (-MIN('籌碼表_CallPut(3+5)'!F33,0))</f>
        <v>-263745.55680000008</v>
      </c>
    </row>
    <row r="49" spans="1:24" ht="13.5" customHeight="1" x14ac:dyDescent="0.25">
      <c r="A49" s="2" t="str">
        <f t="array" ref="A49:E49">[1]!'TX4N07C23050.TF-ID,Name,Price,TotalVolume,InOutRatio'</f>
        <v>TX4N07C23050</v>
      </c>
      <c r="B49" s="2" t="str">
        <v>台指選07W4 C 23050</v>
      </c>
      <c r="C49" s="7">
        <v>276</v>
      </c>
      <c r="D49" s="2">
        <v>215</v>
      </c>
      <c r="E49" s="2">
        <v>64.760000000000005</v>
      </c>
      <c r="F49" s="8">
        <f t="shared" si="0"/>
        <v>63.468000000000025</v>
      </c>
      <c r="G49" s="8">
        <v>23050</v>
      </c>
      <c r="H49" s="8">
        <f t="shared" si="1"/>
        <v>507.44160000000005</v>
      </c>
      <c r="I49" s="2" t="str">
        <f t="array" ref="I49:M49">[1]!'TX4N07P23050.TF-ID,Name,Price,TotalVolume,InOutRatio'</f>
        <v>TX4N07P23050</v>
      </c>
      <c r="J49" s="2" t="str">
        <v>台指選07W4 P 23050</v>
      </c>
      <c r="K49" s="7">
        <v>65</v>
      </c>
      <c r="L49" s="2">
        <v>3144</v>
      </c>
      <c r="M49" s="2">
        <v>58.07</v>
      </c>
      <c r="O49" s="12">
        <v>0</v>
      </c>
      <c r="P49" s="12">
        <v>23050</v>
      </c>
      <c r="R49" s="4">
        <f>IFERROR(C49+'CallPut(週五)'!C49,0)/2</f>
        <v>0</v>
      </c>
      <c r="S49" s="4">
        <f>IFERROR(K49+'CallPut(週五)'!K49,0)/2</f>
        <v>96.5</v>
      </c>
      <c r="U49" s="23">
        <f>MAX($P$18-G49,0)*MAX('籌碼表_CallPut(3+5)'!D34,0)-MAX('籌碼表_CallPut(3+5)'!D34,0)*R49</f>
        <v>0</v>
      </c>
      <c r="V49" s="23">
        <f>MAX(G49-$P$18,0)*MAX('籌碼表_CallPut(3+5)'!F34,0)-MAX('籌碼表_CallPut(3+5)'!F34,0)*S49</f>
        <v>746287.36560000025</v>
      </c>
      <c r="W49" s="23">
        <f>-MIN('籌碼表_CallPut(3+5)'!D34,0)*R49  - MAX($P$18-G49,0) * (-MIN('籌碼表_CallPut(3+5)'!D34,0))</f>
        <v>0</v>
      </c>
      <c r="X49" s="23">
        <f>-MIN('籌碼表_CallPut(3+5)'!F34,0) * S49 -  MAX(G49-$P$18,0) * (-MIN('籌碼表_CallPut(3+5)'!F34,0))</f>
        <v>0</v>
      </c>
    </row>
    <row r="50" spans="1:24" ht="13.5" customHeight="1" x14ac:dyDescent="0.25">
      <c r="A50" s="2" t="str">
        <f t="array" ref="A50:E50">[1]!'TX4N07C23100.TF-ID,Name,Price,TotalVolume,InOutRatio'</f>
        <v>TX4N07C23100</v>
      </c>
      <c r="B50" s="2" t="str">
        <v>台指選07W4 C 23100</v>
      </c>
      <c r="C50" s="7">
        <v>240</v>
      </c>
      <c r="D50" s="2">
        <v>553</v>
      </c>
      <c r="E50" s="2">
        <v>32.909999999999997</v>
      </c>
      <c r="F50" s="8">
        <f t="shared" si="0"/>
        <v>-189.01540000000003</v>
      </c>
      <c r="G50" s="8">
        <v>23100</v>
      </c>
      <c r="H50" s="8">
        <f t="shared" si="1"/>
        <v>-140.09599999999983</v>
      </c>
      <c r="I50" s="2" t="str">
        <f t="array" ref="I50:M50">[1]!'TX4N07P23100.TF-ID,Name,Price,TotalVolume,InOutRatio'</f>
        <v>TX4N07P23100</v>
      </c>
      <c r="J50" s="2" t="str">
        <v>台指選07W4 P 23100</v>
      </c>
      <c r="K50" s="7">
        <v>75</v>
      </c>
      <c r="L50" s="2">
        <v>3980</v>
      </c>
      <c r="M50" s="2">
        <v>48.24</v>
      </c>
      <c r="O50" s="12">
        <v>0</v>
      </c>
      <c r="P50" s="12">
        <v>23100</v>
      </c>
      <c r="R50" s="4">
        <f>IFERROR(C50+'CallPut(週五)'!C50,0)/2</f>
        <v>273.5</v>
      </c>
      <c r="S50" s="4">
        <f>IFERROR(K50+'CallPut(週五)'!K50,0)/2</f>
        <v>101</v>
      </c>
      <c r="U50" s="23">
        <f>MAX($P$18-G50,0)*MAX('籌碼表_CallPut(3+5)'!D35,0)-MAX('籌碼表_CallPut(3+5)'!D35,0)*R50</f>
        <v>0</v>
      </c>
      <c r="V50" s="23">
        <f>MAX(G50-$P$18,0)*MAX('籌碼表_CallPut(3+5)'!F35,0)-MAX('籌碼表_CallPut(3+5)'!F35,0)*S50</f>
        <v>0</v>
      </c>
      <c r="W50" s="23">
        <f>-MIN('籌碼表_CallPut(3+5)'!D35,0)*R50  - MAX($P$18-G50,0) * (-MIN('籌碼表_CallPut(3+5)'!D35,0))</f>
        <v>50601.711900000009</v>
      </c>
      <c r="X50" s="23">
        <f>-MIN('籌碼表_CallPut(3+5)'!F35,0) * S50 -  MAX(G50-$P$18,0) * (-MIN('籌碼表_CallPut(3+5)'!F35,0))</f>
        <v>-87077.509599999757</v>
      </c>
    </row>
    <row r="51" spans="1:24" ht="13.5" customHeight="1" x14ac:dyDescent="0.25">
      <c r="A51" s="2" t="str">
        <f t="array" ref="A51:E51">[1]!'TX4N07C23150.TF-ID,Name,Price,TotalVolume,InOutRatio'</f>
        <v>TX4N07C23150</v>
      </c>
      <c r="B51" s="2" t="str">
        <v>台指選07W4 C 23150</v>
      </c>
      <c r="C51" s="7">
        <v>213</v>
      </c>
      <c r="D51" s="2">
        <v>398</v>
      </c>
      <c r="E51" s="2">
        <v>39.04</v>
      </c>
      <c r="F51" s="8">
        <f t="shared" si="0"/>
        <v>-87.241600000000005</v>
      </c>
      <c r="G51" s="8">
        <v>23150</v>
      </c>
      <c r="H51" s="8">
        <f t="shared" si="1"/>
        <v>-140.64959999999985</v>
      </c>
      <c r="I51" s="2" t="str">
        <f t="array" ref="I51:M51">[1]!'TX4N07P23150.TF-ID,Name,Price,TotalVolume,InOutRatio'</f>
        <v>TX4N07P23150</v>
      </c>
      <c r="J51" s="2" t="str">
        <v>台指選07W4 P 23150</v>
      </c>
      <c r="K51" s="7">
        <v>92</v>
      </c>
      <c r="L51" s="2">
        <v>2576</v>
      </c>
      <c r="M51" s="2">
        <v>47.27</v>
      </c>
      <c r="O51" s="12">
        <v>1109674.0948999997</v>
      </c>
      <c r="P51" s="12">
        <v>23150</v>
      </c>
      <c r="R51" s="4">
        <f>IFERROR(C51+'CallPut(週五)'!C51,0)/2</f>
        <v>246.5</v>
      </c>
      <c r="S51" s="4">
        <f>IFERROR(K51+'CallPut(週五)'!K51,0)/2</f>
        <v>121</v>
      </c>
      <c r="U51" s="23">
        <f>MAX($P$18-G51,0)*MAX('籌碼表_CallPut(3+5)'!D36,0)-MAX('籌碼表_CallPut(3+5)'!D36,0)*R51</f>
        <v>0</v>
      </c>
      <c r="V51" s="23">
        <f>MAX(G51-$P$18,0)*MAX('籌碼表_CallPut(3+5)'!F36,0)-MAX('籌碼表_CallPut(3+5)'!F36,0)*S51</f>
        <v>0</v>
      </c>
      <c r="W51" s="23">
        <f>-MIN('籌碼表_CallPut(3+5)'!D36,0)*R51  - MAX($P$18-G51,0) * (-MIN('籌碼表_CallPut(3+5)'!D36,0))</f>
        <v>21258.505099999998</v>
      </c>
      <c r="X51" s="23">
        <f>-MIN('籌碼表_CallPut(3+5)'!F36,0) * S51 -  MAX(G51-$P$18,0) * (-MIN('籌碼表_CallPut(3+5)'!F36,0))</f>
        <v>-215053.23839999977</v>
      </c>
    </row>
    <row r="52" spans="1:24" ht="13.5" customHeight="1" x14ac:dyDescent="0.25">
      <c r="A52" s="2" t="str">
        <f t="array" ref="A52:E52">[1]!'TX4N07C23200.TF-ID,Name,Price,TotalVolume,InOutRatio'</f>
        <v>TX4N07C23200</v>
      </c>
      <c r="B52" s="2" t="str">
        <v>台指選07W4 C 23200</v>
      </c>
      <c r="C52" s="7">
        <v>172</v>
      </c>
      <c r="D52" s="2">
        <v>1821</v>
      </c>
      <c r="E52" s="2">
        <v>42</v>
      </c>
      <c r="F52" s="8">
        <f t="shared" si="0"/>
        <v>-291.36</v>
      </c>
      <c r="G52" s="8">
        <v>23200</v>
      </c>
      <c r="H52" s="8">
        <f t="shared" si="1"/>
        <v>-713.69340000000045</v>
      </c>
      <c r="I52" s="2" t="str">
        <f t="array" ref="I52:M52">[1]!'TX4N07P23200.TF-ID,Name,Price,TotalVolume,InOutRatio'</f>
        <v>TX4N07P23200</v>
      </c>
      <c r="J52" s="2" t="str">
        <v>台指選07W4 P 23200</v>
      </c>
      <c r="K52" s="7">
        <v>109</v>
      </c>
      <c r="L52" s="2">
        <v>5271</v>
      </c>
      <c r="M52" s="2">
        <v>43.23</v>
      </c>
      <c r="O52" s="12">
        <v>0</v>
      </c>
      <c r="P52" s="12">
        <v>23200</v>
      </c>
      <c r="R52" s="4">
        <f>IFERROR(C52+'CallPut(週五)'!C52,0)/2</f>
        <v>211</v>
      </c>
      <c r="S52" s="4">
        <f>IFERROR(K52+'CallPut(週五)'!K52,0)/2</f>
        <v>143.5</v>
      </c>
      <c r="U52" s="23">
        <f>MAX($P$18-G52,0)*MAX('籌碼表_CallPut(3+5)'!D37,0)-MAX('籌碼表_CallPut(3+5)'!D37,0)*R52</f>
        <v>0</v>
      </c>
      <c r="V52" s="23">
        <f>MAX(G52-$P$18,0)*MAX('籌碼表_CallPut(3+5)'!F37,0)-MAX('籌碼表_CallPut(3+5)'!F37,0)*S52</f>
        <v>0</v>
      </c>
      <c r="W52" s="23">
        <f>-MIN('籌碼表_CallPut(3+5)'!D37,0)*R52  - MAX($P$18-G52,0) * (-MIN('籌碼表_CallPut(3+5)'!D37,0))</f>
        <v>61899.044400000006</v>
      </c>
      <c r="X52" s="23">
        <f>-MIN('籌碼表_CallPut(3+5)'!F37,0) * S52 -  MAX(G52-$P$18,0) * (-MIN('籌碼表_CallPut(3+5)'!F37,0))</f>
        <v>-1084395.1833000008</v>
      </c>
    </row>
    <row r="53" spans="1:24" ht="13.5" customHeight="1" x14ac:dyDescent="0.25">
      <c r="A53" s="2" t="str">
        <f t="array" ref="A53:E53">[1]!'TX4N07C23250.TF-ID,Name,Price,TotalVolume,InOutRatio'</f>
        <v>TX4N07C23250</v>
      </c>
      <c r="B53" s="2" t="str">
        <v>台指選07W4 C 23250</v>
      </c>
      <c r="C53" s="7">
        <v>140</v>
      </c>
      <c r="D53" s="2">
        <v>1918</v>
      </c>
      <c r="E53" s="2">
        <v>46.1</v>
      </c>
      <c r="F53" s="8">
        <f t="shared" si="0"/>
        <v>-149.60399999999996</v>
      </c>
      <c r="G53" s="8">
        <v>23250</v>
      </c>
      <c r="H53" s="8">
        <f t="shared" si="1"/>
        <v>-109.15519999999988</v>
      </c>
      <c r="I53" s="2" t="str">
        <f t="array" ref="I53:M53">[1]!'TX4N07P23250.TF-ID,Name,Price,TotalVolume,InOutRatio'</f>
        <v>TX4N07P23250</v>
      </c>
      <c r="J53" s="2" t="str">
        <v>台指選07W4 P 23250</v>
      </c>
      <c r="K53" s="7">
        <v>123</v>
      </c>
      <c r="L53" s="2">
        <v>3101</v>
      </c>
      <c r="M53" s="2">
        <v>48.24</v>
      </c>
      <c r="O53" s="12">
        <v>97229.630399999922</v>
      </c>
      <c r="P53" s="12">
        <v>23250</v>
      </c>
      <c r="R53" s="4">
        <f>IFERROR(C53+'CallPut(週五)'!C53,0)/2</f>
        <v>181</v>
      </c>
      <c r="S53" s="4">
        <f>IFERROR(K53+'CallPut(週五)'!K53,0)/2</f>
        <v>154.5</v>
      </c>
      <c r="U53" s="23">
        <f>MAX($P$18-G53,0)*MAX('籌碼表_CallPut(3+5)'!D38,0)-MAX('籌碼表_CallPut(3+5)'!D38,0)*R53</f>
        <v>0</v>
      </c>
      <c r="V53" s="23">
        <f>MAX(G53-$P$18,0)*MAX('籌碼表_CallPut(3+5)'!F38,0)-MAX('籌碼表_CallPut(3+5)'!F38,0)*S53</f>
        <v>0</v>
      </c>
      <c r="W53" s="23">
        <f>-MIN('籌碼表_CallPut(3+5)'!D38,0)*R53  - MAX($P$18-G53,0) * (-MIN('籌碼表_CallPut(3+5)'!D38,0))</f>
        <v>27982.81719999999</v>
      </c>
      <c r="X53" s="23">
        <f>-MIN('籌碼表_CallPut(3+5)'!F38,0) * S53 -  MAX(G53-$P$18,0) * (-MIN('籌碼表_CallPut(3+5)'!F38,0))</f>
        <v>-84858.901199999818</v>
      </c>
    </row>
    <row r="54" spans="1:24" ht="13.5" customHeight="1" x14ac:dyDescent="0.25">
      <c r="A54" s="2" t="str">
        <f t="array" ref="A54:E54">[1]!'TX4N07C23300.TF-ID,Name,Price,TotalVolume,InOutRatio'</f>
        <v>TX4N07C23300</v>
      </c>
      <c r="B54" s="2" t="str">
        <v>台指選07W4 C 23300</v>
      </c>
      <c r="C54" s="7">
        <v>116</v>
      </c>
      <c r="D54" s="2">
        <v>4594</v>
      </c>
      <c r="E54" s="2">
        <v>44.95</v>
      </c>
      <c r="F54" s="8">
        <f t="shared" si="0"/>
        <v>-463.99399999999969</v>
      </c>
      <c r="G54" s="8">
        <v>23300</v>
      </c>
      <c r="H54" s="8">
        <f t="shared" si="1"/>
        <v>-327.94559999999996</v>
      </c>
      <c r="I54" s="2" t="str">
        <f t="array" ref="I54:M54">[1]!'TX4N07P23300.TF-ID,Name,Price,TotalVolume,InOutRatio'</f>
        <v>TX4N07P23300</v>
      </c>
      <c r="J54" s="2" t="str">
        <v>台指選07W4 P 23300</v>
      </c>
      <c r="K54" s="7">
        <v>150</v>
      </c>
      <c r="L54" s="2">
        <v>4248</v>
      </c>
      <c r="M54" s="2">
        <v>46.14</v>
      </c>
      <c r="O54" s="12">
        <v>0</v>
      </c>
      <c r="P54" s="12">
        <v>23300</v>
      </c>
      <c r="R54" s="4">
        <f>IFERROR(C54+'CallPut(週五)'!C54,0)/2</f>
        <v>154</v>
      </c>
      <c r="S54" s="4">
        <f>IFERROR(K54+'CallPut(週五)'!K54,0)/2</f>
        <v>179</v>
      </c>
      <c r="U54" s="23">
        <f>MAX($P$18-G54,0)*MAX('籌碼表_CallPut(3+5)'!D39,0)-MAX('籌碼表_CallPut(3+5)'!D39,0)*R54</f>
        <v>0</v>
      </c>
      <c r="V54" s="23">
        <f>MAX(G54-$P$18,0)*MAX('籌碼表_CallPut(3+5)'!F39,0)-MAX('籌碼表_CallPut(3+5)'!F39,0)*S54</f>
        <v>0</v>
      </c>
      <c r="W54" s="23">
        <f>-MIN('籌碼表_CallPut(3+5)'!D39,0)*R54  - MAX($P$18-G54,0) * (-MIN('籌碼表_CallPut(3+5)'!D39,0))</f>
        <v>73611.075999999957</v>
      </c>
      <c r="X54" s="23">
        <f>-MIN('籌碼表_CallPut(3+5)'!F39,0) * S54 -  MAX(G54-$P$18,0) * (-MIN('籌碼表_CallPut(3+5)'!F39,0))</f>
        <v>-588337.73540000001</v>
      </c>
    </row>
    <row r="55" spans="1:24" ht="13.5" customHeight="1" x14ac:dyDescent="0.25">
      <c r="A55" s="2" t="str">
        <f t="array" ref="A55:E55">[1]!'TX4N07C23350.TF-ID,Name,Price,TotalVolume,InOutRatio'</f>
        <v>TX4N07C23350</v>
      </c>
      <c r="B55" s="2" t="str">
        <v>台指選07W4 C 23350</v>
      </c>
      <c r="C55" s="7">
        <v>91</v>
      </c>
      <c r="D55" s="2">
        <v>2874</v>
      </c>
      <c r="E55" s="2">
        <v>44.68</v>
      </c>
      <c r="F55" s="8">
        <f t="shared" si="0"/>
        <v>-305.79360000000003</v>
      </c>
      <c r="G55" s="8">
        <v>23350</v>
      </c>
      <c r="H55" s="8">
        <f t="shared" si="1"/>
        <v>-91.142999999999887</v>
      </c>
      <c r="I55" s="2" t="str">
        <f t="array" ref="I55:M55">[1]!'TX4N07P23350.TF-ID,Name,Price,TotalVolume,InOutRatio'</f>
        <v>TX4N07P23350</v>
      </c>
      <c r="J55" s="2" t="str">
        <v>台指選07W4 P 23350</v>
      </c>
      <c r="K55" s="7">
        <v>181</v>
      </c>
      <c r="L55" s="2">
        <v>2223</v>
      </c>
      <c r="M55" s="2">
        <v>47.95</v>
      </c>
      <c r="O55" s="12">
        <v>0</v>
      </c>
      <c r="P55" s="12">
        <v>23350</v>
      </c>
      <c r="R55" s="4">
        <f>IFERROR(C55+'CallPut(週五)'!C55,0)/2</f>
        <v>132</v>
      </c>
      <c r="S55" s="4">
        <f>IFERROR(K55+'CallPut(週五)'!K55,0)/2</f>
        <v>214.5</v>
      </c>
      <c r="U55" s="23">
        <f>MAX($P$18-G55,0)*MAX('籌碼表_CallPut(3+5)'!D40,0)-MAX('籌碼表_CallPut(3+5)'!D40,0)*R55</f>
        <v>0</v>
      </c>
      <c r="V55" s="23">
        <f>MAX(G55-$P$18,0)*MAX('籌碼表_CallPut(3+5)'!F40,0)-MAX('籌碼表_CallPut(3+5)'!F40,0)*S55</f>
        <v>0</v>
      </c>
      <c r="W55" s="23">
        <f>-MIN('籌碼表_CallPut(3+5)'!D40,0)*R55  - MAX($P$18-G55,0) * (-MIN('籌碼表_CallPut(3+5)'!D40,0))</f>
        <v>41156.755200000007</v>
      </c>
      <c r="X55" s="23">
        <f>-MIN('籌碼表_CallPut(3+5)'!F40,0) * S55 -  MAX(G55-$P$18,0) * (-MIN('籌碼表_CallPut(3+5)'!F40,0))</f>
        <v>-232473.89519999985</v>
      </c>
    </row>
    <row r="56" spans="1:24" ht="13.5" customHeight="1" x14ac:dyDescent="0.25">
      <c r="A56" s="2" t="str">
        <f t="array" ref="A56:E56">[1]!'TX4N07C23400.TF-ID,Name,Price,TotalVolume,InOutRatio'</f>
        <v>TX4N07C23400</v>
      </c>
      <c r="B56" s="2" t="str">
        <v>台指選07W4 C 23400</v>
      </c>
      <c r="C56" s="7">
        <v>72</v>
      </c>
      <c r="D56" s="2">
        <v>5673</v>
      </c>
      <c r="E56" s="2">
        <v>45.65</v>
      </c>
      <c r="F56" s="8">
        <f t="shared" si="0"/>
        <v>-493.5510000000001</v>
      </c>
      <c r="G56" s="8">
        <v>23400</v>
      </c>
      <c r="H56" s="8">
        <f t="shared" si="1"/>
        <v>-145.1892000000002</v>
      </c>
      <c r="I56" s="2" t="str">
        <f t="array" ref="I56:M56">[1]!'TX4N07P23400.TF-ID,Name,Price,TotalVolume,InOutRatio'</f>
        <v>TX4N07P23400</v>
      </c>
      <c r="J56" s="2" t="str">
        <v>台指選07W4 P 23400</v>
      </c>
      <c r="K56" s="7">
        <v>211</v>
      </c>
      <c r="L56" s="2">
        <v>3198</v>
      </c>
      <c r="M56" s="2">
        <v>47.73</v>
      </c>
      <c r="O56" s="12">
        <v>162926.56049999993</v>
      </c>
      <c r="P56" s="12">
        <v>23400</v>
      </c>
      <c r="R56" s="4">
        <f>IFERROR(C56+'CallPut(週五)'!C56,0)/2</f>
        <v>103</v>
      </c>
      <c r="S56" s="4">
        <f>IFERROR(K56+'CallPut(週五)'!K56,0)/2</f>
        <v>237.5</v>
      </c>
      <c r="U56" s="23">
        <f>MAX($P$18-G56,0)*MAX('籌碼表_CallPut(3+5)'!D41,0)-MAX('籌碼表_CallPut(3+5)'!D41,0)*R56</f>
        <v>0</v>
      </c>
      <c r="V56" s="23">
        <f>MAX(G56-$P$18,0)*MAX('籌碼表_CallPut(3+5)'!F41,0)-MAX('籌碼表_CallPut(3+5)'!F41,0)*S56</f>
        <v>0</v>
      </c>
      <c r="W56" s="23">
        <f>-MIN('籌碼表_CallPut(3+5)'!D41,0)*R56  - MAX($P$18-G56,0) * (-MIN('籌碼表_CallPut(3+5)'!D41,0))</f>
        <v>56604.165000000008</v>
      </c>
      <c r="X56" s="23">
        <f>-MIN('籌碼表_CallPut(3+5)'!F41,0) * S56 -  MAX(G56-$P$18,0) * (-MIN('籌碼表_CallPut(3+5)'!F41,0))</f>
        <v>-287930.37000000034</v>
      </c>
    </row>
    <row r="57" spans="1:24" ht="13.5" customHeight="1" x14ac:dyDescent="0.25">
      <c r="A57" s="2" t="str">
        <f t="array" ref="A57:E57">[1]!'TX4N07C23500.TF-ID,Name,Price,TotalVolume,InOutRatio'</f>
        <v>TX4N07C23500</v>
      </c>
      <c r="B57" s="2" t="str">
        <v>台指選07W4 C 23500</v>
      </c>
      <c r="C57" s="7">
        <v>43</v>
      </c>
      <c r="D57" s="2">
        <v>7324</v>
      </c>
      <c r="E57" s="2">
        <v>44.29</v>
      </c>
      <c r="F57" s="8">
        <f t="shared" si="0"/>
        <v>-836.40080000000012</v>
      </c>
      <c r="G57" s="8">
        <v>23500</v>
      </c>
      <c r="H57" s="8">
        <f t="shared" si="1"/>
        <v>97.702400000000054</v>
      </c>
      <c r="I57" s="2" t="str">
        <f t="array" ref="I57:M57">[1]!'TX4N07P23500.TF-ID,Name,Price,TotalVolume,InOutRatio'</f>
        <v>TX4N07P23500</v>
      </c>
      <c r="J57" s="2" t="str">
        <v>台指選07W4 P 23500</v>
      </c>
      <c r="K57" s="7">
        <v>273</v>
      </c>
      <c r="L57" s="2">
        <v>1088</v>
      </c>
      <c r="M57" s="2">
        <v>54.49</v>
      </c>
      <c r="O57" s="12">
        <v>0</v>
      </c>
      <c r="P57" s="12">
        <v>23500</v>
      </c>
      <c r="R57" s="4">
        <f>IFERROR(C57+'CallPut(週五)'!C57,0)/2</f>
        <v>69.5</v>
      </c>
      <c r="S57" s="4">
        <f>IFERROR(K57+'CallPut(週五)'!K57,0)/2</f>
        <v>0</v>
      </c>
      <c r="U57" s="23">
        <f>MAX($P$18-G57,0)*MAX('籌碼表_CallPut(3+5)'!D42,0)-MAX('籌碼表_CallPut(3+5)'!D42,0)*R57</f>
        <v>0</v>
      </c>
      <c r="V57" s="23">
        <f>MAX(G57-$P$18,0)*MAX('籌碼表_CallPut(3+5)'!F42,0)-MAX('籌碼表_CallPut(3+5)'!F42,0)*S57</f>
        <v>195404.8000000001</v>
      </c>
      <c r="W57" s="23">
        <f>-MIN('籌碼表_CallPut(3+5)'!D42,0)*R57  - MAX($P$18-G57,0) * (-MIN('籌碼表_CallPut(3+5)'!D42,0))</f>
        <v>59588.591100000012</v>
      </c>
      <c r="X57" s="23">
        <f>-MIN('籌碼表_CallPut(3+5)'!F42,0) * S57 -  MAX(G57-$P$18,0) * (-MIN('籌碼表_CallPut(3+5)'!F42,0))</f>
        <v>0</v>
      </c>
    </row>
    <row r="58" spans="1:24" ht="13.5" customHeight="1" x14ac:dyDescent="0.25">
      <c r="A58" s="2" t="str">
        <f t="array" ref="A58:E58">[1]!'TX4N07C23600.TF-ID,Name,Price,TotalVolume,InOutRatio'</f>
        <v>TX4N07C23600</v>
      </c>
      <c r="B58" s="2" t="str">
        <v>台指選07W4 C 23600</v>
      </c>
      <c r="C58" s="7">
        <v>22.5</v>
      </c>
      <c r="D58" s="2">
        <v>5937</v>
      </c>
      <c r="E58" s="2">
        <v>46.28</v>
      </c>
      <c r="F58" s="8"/>
      <c r="G58" s="8"/>
      <c r="H58" s="8"/>
      <c r="I58" s="2" t="str">
        <f t="array" ref="I58:M58">[1]!'TX4N07P23600.TF-ID,Name,Price,TotalVolume,InOutRatio'</f>
        <v>TX4N07P23600</v>
      </c>
      <c r="J58" s="2" t="str">
        <v>台指選07W4 P 23600</v>
      </c>
      <c r="K58" s="7">
        <v>358</v>
      </c>
      <c r="L58" s="2">
        <v>184</v>
      </c>
      <c r="M58" s="2">
        <v>45.9</v>
      </c>
    </row>
    <row r="59" spans="1:24" ht="13.5" customHeight="1" x14ac:dyDescent="0.25">
      <c r="A59" s="2" t="str">
        <f t="array" ref="A59:E59">[1]!'TX4N07C23700.TF-ID,Name,Price,TotalVolume,InOutRatio'</f>
        <v>TX4N07C23700</v>
      </c>
      <c r="B59" s="2" t="str">
        <v>台指選07W4 C 23700</v>
      </c>
      <c r="C59" s="7">
        <v>11.5</v>
      </c>
      <c r="D59" s="2">
        <v>5258</v>
      </c>
      <c r="E59" s="2">
        <v>47.6</v>
      </c>
      <c r="F59" s="2"/>
      <c r="G59" s="2"/>
      <c r="H59" s="2"/>
      <c r="I59" s="2" t="str">
        <f t="array" ref="I59:M59">[1]!'TX4N07P23700.TF-ID,Name,Price,TotalVolume,InOutRatio'</f>
        <v>TX4N07P23700</v>
      </c>
      <c r="J59" s="2" t="str">
        <v>台指選07W4 P 23700</v>
      </c>
      <c r="K59" s="7">
        <v>425</v>
      </c>
      <c r="L59" s="2">
        <v>28</v>
      </c>
      <c r="M59" s="2">
        <v>25</v>
      </c>
    </row>
    <row r="60" spans="1:24" ht="13.5" customHeight="1" x14ac:dyDescent="0.25">
      <c r="A60" s="2" t="str">
        <f t="array" ref="A60:E60">[1]!'TX4N07C23800.TF-ID,Name,Price,TotalVolume,InOutRatio'</f>
        <v>TX4N07C23800</v>
      </c>
      <c r="B60" s="2" t="str">
        <v>台指選07W4 C 23800</v>
      </c>
      <c r="C60" s="7">
        <v>5.7</v>
      </c>
      <c r="D60" s="2">
        <v>3860</v>
      </c>
      <c r="E60" s="2">
        <v>51.58</v>
      </c>
      <c r="F60" s="2"/>
      <c r="G60" s="2"/>
      <c r="H60" s="2"/>
      <c r="I60" s="2" t="str">
        <f t="array" ref="I60:M60">[1]!'TX4N07P23800.TF-ID,Name,Price,TotalVolume,InOutRatio'</f>
        <v>TX4N07P23800</v>
      </c>
      <c r="J60" s="2" t="str">
        <v>台指選07W4 P 23800</v>
      </c>
      <c r="K60" s="7">
        <v>520</v>
      </c>
      <c r="L60" s="2">
        <v>11</v>
      </c>
      <c r="M60" s="2">
        <v>36.36</v>
      </c>
    </row>
    <row r="61" spans="1:24" ht="13.5" customHeight="1" x14ac:dyDescent="0.25">
      <c r="A61" s="2" t="str">
        <f t="array" ref="A61:E61">[1]!'TX4N07C23900.TF-ID,Name,Price,TotalVolume,InOutRatio'</f>
        <v>TX4N07C23900</v>
      </c>
      <c r="B61" s="2" t="str">
        <v>台指選07W4 C 23900</v>
      </c>
      <c r="C61" s="7">
        <v>3.5</v>
      </c>
      <c r="D61" s="2">
        <v>1942</v>
      </c>
      <c r="E61" s="2">
        <v>56.3</v>
      </c>
      <c r="F61" s="2"/>
      <c r="G61" s="2"/>
      <c r="H61" s="2"/>
      <c r="I61" s="2" t="str">
        <f t="array" ref="I61:M61">[1]!'TX4N07P23900.TF-ID,Name,Price,TotalVolume,InOutRatio'</f>
        <v>TX4N07P23900</v>
      </c>
      <c r="J61" s="2" t="str">
        <v>台指選07W4 P 23900</v>
      </c>
      <c r="K61" s="7">
        <v>620</v>
      </c>
      <c r="L61" s="2">
        <v>3</v>
      </c>
      <c r="M61" s="2">
        <v>0</v>
      </c>
    </row>
    <row r="62" spans="1:24" ht="13.5" customHeight="1" x14ac:dyDescent="0.25">
      <c r="A62" s="2" t="str">
        <f t="array" ref="A62:E62">[1]!'TX4N07C24000.TF-ID,Name,Price,TotalVolume,InOutRatio'</f>
        <v>TX4N07C24000</v>
      </c>
      <c r="B62" s="2" t="str">
        <v>台指選07W4 C 24000</v>
      </c>
      <c r="C62" s="7">
        <v>2.1</v>
      </c>
      <c r="D62" s="2">
        <v>2296</v>
      </c>
      <c r="E62" s="2">
        <v>59.36</v>
      </c>
      <c r="F62" s="2"/>
      <c r="G62" s="2"/>
      <c r="H62" s="2"/>
      <c r="I62" s="2" t="str">
        <f t="array" ref="I62:M62">[1]!'TX4N07P24000.TF-ID,Name,Price,TotalVolume,InOutRatio'</f>
        <v>TX4N07P24000</v>
      </c>
      <c r="J62" s="2" t="str">
        <v>台指選07W4 P 24000</v>
      </c>
      <c r="K62" s="7">
        <v>650</v>
      </c>
      <c r="L62" s="2">
        <v>2</v>
      </c>
      <c r="M62" s="2">
        <v>0</v>
      </c>
    </row>
    <row r="63" spans="1:24" ht="13.5" customHeight="1" x14ac:dyDescent="0.25">
      <c r="A63" s="2" t="str">
        <f t="array" ref="A63:E63">[1]!'TX4N07C24100.TF-ID,Name,Price,TotalVolume,InOutRatio'</f>
        <v>TX4N07C24100</v>
      </c>
      <c r="B63" s="2" t="str">
        <v>台指選07W4 C 24100</v>
      </c>
      <c r="C63" s="7">
        <v>1</v>
      </c>
      <c r="D63" s="2">
        <v>690</v>
      </c>
      <c r="E63" s="2">
        <v>63.05</v>
      </c>
      <c r="F63" s="2"/>
      <c r="G63" s="2"/>
      <c r="H63" s="2"/>
      <c r="I63" s="2" t="str">
        <f t="array" ref="I63:M63">[1]!'TX4N07P24100.TF-ID,Name,Price,TotalVolume,InOutRatio'</f>
        <v>TX4N07P24100</v>
      </c>
      <c r="J63" s="2" t="str">
        <v>台指選07W4 P 24100</v>
      </c>
      <c r="K63" s="7" t="str">
        <v>--</v>
      </c>
      <c r="L63" s="2">
        <v>0</v>
      </c>
      <c r="M63" s="2" t="str">
        <v>--</v>
      </c>
    </row>
    <row r="64" spans="1:24" ht="13.5" customHeight="1" x14ac:dyDescent="0.25">
      <c r="A64" s="2" t="str">
        <f t="array" ref="A64:E64">[1]!'TX4N07C24200.TF-ID,Name,Price,TotalVolume,InOutRatio'</f>
        <v>TX4N07C24200</v>
      </c>
      <c r="B64" s="2" t="str">
        <v>台指選07W4 C 24200</v>
      </c>
      <c r="C64" s="7">
        <v>0.6</v>
      </c>
      <c r="D64" s="2">
        <v>689</v>
      </c>
      <c r="E64" s="2">
        <v>71.430000000000007</v>
      </c>
      <c r="F64" s="2"/>
      <c r="G64" s="2"/>
      <c r="H64" s="2"/>
      <c r="I64" s="2" t="str">
        <f t="array" ref="I64:M64">[1]!'TX4N07P24200.TF-ID,Name,Price,TotalVolume,InOutRatio'</f>
        <v>TX4N07P24200</v>
      </c>
      <c r="J64" s="2" t="str">
        <v>台指選07W4 P 24200</v>
      </c>
      <c r="K64" s="7">
        <v>910</v>
      </c>
      <c r="L64" s="2">
        <v>25</v>
      </c>
      <c r="M64" s="2">
        <v>50</v>
      </c>
    </row>
    <row r="65" spans="1:13" ht="13.5" customHeight="1" x14ac:dyDescent="0.25">
      <c r="A65" s="2" t="str">
        <f t="array" ref="A65:E65">[1]!'TX4N07C24300.TF-ID,Name,Price,TotalVolume,InOutRatio'</f>
        <v>TX4N07C24300</v>
      </c>
      <c r="B65" s="2" t="str">
        <v>台指選07W4 C 24300</v>
      </c>
      <c r="C65" s="7">
        <v>0.5</v>
      </c>
      <c r="D65" s="2">
        <v>397</v>
      </c>
      <c r="E65" s="2">
        <v>64.739999999999995</v>
      </c>
      <c r="F65" s="2"/>
      <c r="G65" s="2"/>
      <c r="H65" s="2"/>
      <c r="I65" s="2" t="str">
        <f t="array" ref="I65:M65">[1]!'TX4N07P24300.TF-ID,Name,Price,TotalVolume,InOutRatio'</f>
        <v>TX4N07P24300</v>
      </c>
      <c r="J65" s="2" t="str">
        <v>台指選07W4 P 24300</v>
      </c>
      <c r="K65" s="7" t="str">
        <v>--</v>
      </c>
      <c r="L65" s="2">
        <v>0</v>
      </c>
      <c r="M65" s="2" t="str">
        <v>--</v>
      </c>
    </row>
    <row r="66" spans="1:13" ht="13.5" customHeight="1" x14ac:dyDescent="0.25">
      <c r="A66" s="2" t="str">
        <f t="array" ref="A66:E66">[1]!'TX4N07C24400.TF-ID,Name,Price,TotalVolume,InOutRatio'</f>
        <v>TX4N07C24400</v>
      </c>
      <c r="B66" s="2" t="str">
        <v>台指選07W4 C 24400</v>
      </c>
      <c r="C66" s="7">
        <v>0.5</v>
      </c>
      <c r="D66" s="2">
        <v>180</v>
      </c>
      <c r="E66" s="2">
        <v>17.920000000000002</v>
      </c>
      <c r="F66" s="2"/>
      <c r="G66" s="2"/>
      <c r="H66" s="2"/>
      <c r="I66" s="2" t="str">
        <f t="array" ref="I66:M66">[1]!'TX4N07P24400.TF-ID,Name,Price,TotalVolume,InOutRatio'</f>
        <v>TX4N07P24400</v>
      </c>
      <c r="J66" s="2" t="str">
        <v>台指選07W4 P 24400</v>
      </c>
      <c r="K66" s="7">
        <v>1080</v>
      </c>
      <c r="L66" s="2">
        <v>1</v>
      </c>
      <c r="M66" s="2">
        <v>100</v>
      </c>
    </row>
    <row r="67" spans="1:13" ht="13.5" customHeight="1" x14ac:dyDescent="0.25">
      <c r="A67" s="2" t="str">
        <f t="array" ref="A67:E67">[1]!'TX4N07C24500.TF-ID,Name,Price,TotalVolume,InOutRatio'</f>
        <v>TX4N07C24500</v>
      </c>
      <c r="B67" s="2" t="str">
        <v>台指選07W4 C 24500</v>
      </c>
      <c r="C67" s="7">
        <v>0.2</v>
      </c>
      <c r="D67" s="2">
        <v>294</v>
      </c>
      <c r="E67" s="2">
        <v>49.26</v>
      </c>
      <c r="F67" s="2"/>
      <c r="G67" s="2"/>
      <c r="H67" s="2"/>
      <c r="I67" s="2" t="str">
        <f t="array" ref="I67:M67">[1]!'TX4N07P24500.TF-ID,Name,Price,TotalVolume,InOutRatio'</f>
        <v>TX4N07P24500</v>
      </c>
      <c r="J67" s="2" t="str">
        <v>台指選07W4 P 24500</v>
      </c>
      <c r="K67" s="7" t="str">
        <v>--</v>
      </c>
      <c r="L67" s="2">
        <v>0</v>
      </c>
      <c r="M67" s="2" t="str">
        <v>--</v>
      </c>
    </row>
    <row r="68" spans="1:13" ht="13.5" customHeight="1" x14ac:dyDescent="0.25">
      <c r="A68" s="2" t="str">
        <f t="array" ref="A68:E68">[1]!'TX4N07C24600.TF-ID,Name,Price,TotalVolume,InOutRatio'</f>
        <v>TX4N07C24600</v>
      </c>
      <c r="B68" s="2" t="str">
        <v>台指選07W4 C 24600</v>
      </c>
      <c r="C68" s="7">
        <v>0.3</v>
      </c>
      <c r="D68" s="2">
        <v>303</v>
      </c>
      <c r="E68" s="2">
        <v>0</v>
      </c>
      <c r="F68" s="2"/>
      <c r="G68" s="2"/>
      <c r="H68" s="2"/>
      <c r="I68" s="2" t="str">
        <f t="array" ref="I68:M68">[1]!'TX4N07P24600.TF-ID,Name,Price,TotalVolume,InOutRatio'</f>
        <v>TX4N07P24600</v>
      </c>
      <c r="J68" s="2" t="str">
        <v>台指選07W4 P 24600</v>
      </c>
      <c r="K68" s="7" t="str">
        <v>--</v>
      </c>
      <c r="L68" s="2">
        <v>0</v>
      </c>
      <c r="M68" s="2" t="str">
        <v>--</v>
      </c>
    </row>
    <row r="69" spans="1:13" ht="13.5" customHeight="1" x14ac:dyDescent="0.25">
      <c r="A69" s="2" t="str">
        <f t="array" ref="A69:E69">[1]!'TX4N07C24700.TF-ID,Name,Price,TotalVolume,InOutRatio'</f>
        <v>TX4N07C24700</v>
      </c>
      <c r="B69" s="2" t="str">
        <v>台指選07W4 C 24700</v>
      </c>
      <c r="C69" s="7">
        <v>0.3</v>
      </c>
      <c r="D69" s="2">
        <v>380</v>
      </c>
      <c r="E69" s="2">
        <v>0</v>
      </c>
      <c r="F69" s="2"/>
      <c r="G69" s="2"/>
      <c r="H69" s="2"/>
      <c r="I69" s="2" t="str">
        <f t="array" ref="I69:M69">[1]!'TX4N07P24700.TF-ID,Name,Price,TotalVolume,InOutRatio'</f>
        <v>TX4N07P24700</v>
      </c>
      <c r="J69" s="2" t="str">
        <v>台指選07W4 P 24700</v>
      </c>
      <c r="K69" s="7" t="str">
        <v>--</v>
      </c>
      <c r="L69" s="2">
        <v>0</v>
      </c>
      <c r="M69" s="2" t="str">
        <v>--</v>
      </c>
    </row>
    <row r="70" spans="1:13" ht="13.5" customHeight="1" x14ac:dyDescent="0.25">
      <c r="A70" s="2" t="str">
        <f t="array" ref="A70:E70">[1]!'TX4N07C24800.TF-ID,Name,Price,TotalVolume,InOutRatio'</f>
        <v>TX4N07C24800</v>
      </c>
      <c r="B70" s="2" t="str">
        <v>台指選07W4 C 24800</v>
      </c>
      <c r="C70" s="7">
        <v>0.2</v>
      </c>
      <c r="D70" s="2">
        <v>259</v>
      </c>
      <c r="E70" s="2">
        <v>0</v>
      </c>
      <c r="F70" s="2"/>
      <c r="G70" s="2"/>
      <c r="H70" s="2"/>
      <c r="I70" s="2" t="str">
        <f t="array" ref="I70:M70">[1]!'TX4N07P24800.TF-ID,Name,Price,TotalVolume,InOutRatio'</f>
        <v>TX4N07P24800</v>
      </c>
      <c r="J70" s="2" t="str">
        <v>台指選07W4 P 24800</v>
      </c>
      <c r="K70" s="7" t="str">
        <v>--</v>
      </c>
      <c r="L70" s="2">
        <v>0</v>
      </c>
      <c r="M70" s="2" t="str">
        <v>--</v>
      </c>
    </row>
    <row r="71" spans="1:13" ht="13.5" customHeight="1" x14ac:dyDescent="0.25">
      <c r="A71" s="2" t="str">
        <f t="array" ref="A71:E71">[1]!'TX4N07C24900.TF-ID,Name,Price,TotalVolume,InOutRatio'</f>
        <v>TX4N07C24900</v>
      </c>
      <c r="B71" s="2" t="str">
        <v>台指選07W4 C 24900</v>
      </c>
      <c r="C71" s="7" t="str">
        <v>--</v>
      </c>
      <c r="D71" s="2">
        <v>0</v>
      </c>
      <c r="E71" s="2" t="str">
        <v>--</v>
      </c>
      <c r="F71" s="2"/>
      <c r="G71" s="2"/>
      <c r="H71" s="2"/>
      <c r="I71" s="2" t="str">
        <f t="array" ref="I71:M71">[1]!'TX4N07P24900.TF-ID,Name,Price,TotalVolume,InOutRatio'</f>
        <v>TX4N07P24900</v>
      </c>
      <c r="J71" s="2" t="str">
        <v>台指選07W4 P 24900</v>
      </c>
      <c r="K71" s="7" t="str">
        <v>--</v>
      </c>
      <c r="L71" s="2">
        <v>0</v>
      </c>
      <c r="M71" s="2" t="str">
        <v>--</v>
      </c>
    </row>
    <row r="72" spans="1:13" ht="13.5" customHeight="1" x14ac:dyDescent="0.25">
      <c r="A72" s="2" t="str">
        <f t="array" ref="A72:E72">[1]!'TX4N07C25000.TF-ID,Name,Price,TotalVolume,InOutRatio'</f>
        <v>TX4N07C25000</v>
      </c>
      <c r="B72" s="2" t="str">
        <v>台指選07W4 C 25000</v>
      </c>
      <c r="C72" s="7" t="str">
        <v>--</v>
      </c>
      <c r="D72" s="2">
        <v>0</v>
      </c>
      <c r="E72" s="2" t="str">
        <v>--</v>
      </c>
      <c r="F72" s="2"/>
      <c r="G72" s="2"/>
      <c r="H72" s="2"/>
      <c r="I72" s="2" t="str">
        <f t="array" ref="I72:M72">[1]!'TX4N07P25000.TF-ID,Name,Price,TotalVolume,InOutRatio'</f>
        <v>TX4N07P25000</v>
      </c>
      <c r="J72" s="2" t="str">
        <v>台指選07W4 P 25000</v>
      </c>
      <c r="K72" s="7" t="str">
        <v>--</v>
      </c>
      <c r="L72" s="2">
        <v>0</v>
      </c>
      <c r="M72" s="2" t="str">
        <v>--</v>
      </c>
    </row>
  </sheetData>
  <phoneticPr fontId="2" type="noConversion"/>
  <pageMargins left="0.7" right="0.7" top="0.75" bottom="0.75" header="0.3" footer="0.3"/>
  <headerFooter>
    <oddHeader>&amp;L&amp;"Calibri"&amp;10&amp;K000000 公開&amp;1#_x000D_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3F5A5-F011-49C6-ACED-5A4C8FA8BF97}">
  <sheetPr codeName="工作表9"/>
  <dimension ref="A1:AL72"/>
  <sheetViews>
    <sheetView zoomScale="150" zoomScaleNormal="150" workbookViewId="0">
      <pane ySplit="17" topLeftCell="A31" activePane="bottomLeft" state="frozen"/>
      <selection activeCell="D1" sqref="A1:D1"/>
      <selection pane="bottomLeft" activeCell="D1" sqref="A1:D1"/>
    </sheetView>
  </sheetViews>
  <sheetFormatPr defaultColWidth="15.375" defaultRowHeight="13.5" customHeight="1" x14ac:dyDescent="0.25"/>
  <cols>
    <col min="1" max="1" width="12.5" style="6" customWidth="1"/>
    <col min="2" max="2" width="17.5" style="6" customWidth="1"/>
    <col min="3" max="3" width="8.375" style="3" customWidth="1"/>
    <col min="4" max="5" width="8.375" style="1" customWidth="1"/>
    <col min="6" max="6" width="8.125" style="72" customWidth="1"/>
    <col min="7" max="7" width="7.375" style="72" customWidth="1"/>
    <col min="8" max="8" width="8.75" style="72" customWidth="1"/>
    <col min="9" max="9" width="13.625" style="2" hidden="1" customWidth="1"/>
    <col min="10" max="10" width="18.875" style="2" hidden="1" customWidth="1"/>
    <col min="11" max="11" width="8.375" style="3" customWidth="1"/>
    <col min="12" max="12" width="8.375" style="1" customWidth="1"/>
    <col min="13" max="13" width="8.5" style="1" customWidth="1"/>
    <col min="14" max="14" width="1.75" style="1" hidden="1" customWidth="1"/>
    <col min="15" max="15" width="10.875" style="4" hidden="1" customWidth="1"/>
    <col min="16" max="16" width="8.5" style="4" hidden="1" customWidth="1"/>
    <col min="17" max="17" width="2.5" style="4" hidden="1" customWidth="1"/>
    <col min="18" max="19" width="8.75" style="20" hidden="1" customWidth="1"/>
    <col min="20" max="20" width="8.75" style="4" hidden="1" customWidth="1"/>
    <col min="21" max="21" width="1" style="4" hidden="1" customWidth="1"/>
    <col min="22" max="23" width="9.125" style="20" hidden="1" customWidth="1"/>
    <col min="24" max="24" width="9.125" style="4" hidden="1" customWidth="1"/>
    <col min="25" max="25" width="2" style="4" hidden="1" customWidth="1"/>
    <col min="26" max="29" width="10.5" style="21" hidden="1" customWidth="1"/>
    <col min="30" max="33" width="10.375" style="4" hidden="1" customWidth="1"/>
    <col min="34" max="34" width="5.5" style="1" hidden="1" customWidth="1"/>
    <col min="35" max="38" width="12" style="1" hidden="1" customWidth="1"/>
    <col min="39" max="39" width="15.375" style="1" customWidth="1"/>
    <col min="40" max="16384" width="15.375" style="1"/>
  </cols>
  <sheetData>
    <row r="1" spans="1:33" ht="15" x14ac:dyDescent="0.25">
      <c r="A1" s="2" t="s">
        <v>0</v>
      </c>
      <c r="B1" s="2" t="s">
        <v>1</v>
      </c>
      <c r="C1" s="7" t="s">
        <v>2</v>
      </c>
      <c r="D1" s="2" t="s">
        <v>3</v>
      </c>
      <c r="E1" s="2" t="s">
        <v>4</v>
      </c>
      <c r="F1" s="68"/>
      <c r="G1" s="68"/>
      <c r="H1" s="68"/>
      <c r="I1" s="2" t="s">
        <v>5</v>
      </c>
      <c r="J1" s="2" t="s">
        <v>1</v>
      </c>
      <c r="K1" s="7" t="s">
        <v>2</v>
      </c>
      <c r="L1" s="2" t="s">
        <v>3</v>
      </c>
      <c r="M1" s="2" t="s">
        <v>4</v>
      </c>
      <c r="O1" s="5"/>
      <c r="P1" s="5"/>
      <c r="R1" s="129" t="s">
        <v>11</v>
      </c>
      <c r="S1" s="129"/>
      <c r="T1" s="129"/>
      <c r="V1" s="129" t="s">
        <v>12</v>
      </c>
      <c r="W1" s="129"/>
      <c r="X1" s="129"/>
      <c r="Y1" s="20"/>
      <c r="AD1" s="5"/>
      <c r="AE1" s="5"/>
      <c r="AF1" s="5"/>
      <c r="AG1" s="5"/>
    </row>
    <row r="2" spans="1:33" ht="15" hidden="1" x14ac:dyDescent="0.25">
      <c r="A2" s="2" t="e">
        <f t="array" ref="A2:E2">[1]!'TXYN07C19900.TF-ID,Name,Price,TotalVolume,InOutRatio'</f>
        <v>#N/A</v>
      </c>
      <c r="B2" s="2" t="e">
        <v>#N/A</v>
      </c>
      <c r="C2" s="7" t="e">
        <v>#N/A</v>
      </c>
      <c r="D2" s="2" t="e">
        <v>#N/A</v>
      </c>
      <c r="E2" s="2" t="e">
        <v>#N/A</v>
      </c>
      <c r="F2" s="68"/>
      <c r="G2" s="68"/>
      <c r="H2" s="68"/>
      <c r="I2" s="2" t="e">
        <f t="array" ref="I2:M2">[1]!'TXYN07P19900.TF-ID,Name,Price,TotalVolume,InOutRatio'</f>
        <v>#N/A</v>
      </c>
      <c r="J2" s="2" t="e">
        <v>#N/A</v>
      </c>
      <c r="K2" s="7" t="e">
        <v>#N/A</v>
      </c>
      <c r="L2" s="2" t="e">
        <v>#N/A</v>
      </c>
      <c r="M2" s="2" t="e">
        <v>#N/A</v>
      </c>
      <c r="O2" s="5"/>
      <c r="P2" s="5"/>
      <c r="AD2" s="5"/>
      <c r="AE2" s="5"/>
      <c r="AF2" s="5"/>
      <c r="AG2" s="5"/>
    </row>
    <row r="3" spans="1:33" ht="15" hidden="1" x14ac:dyDescent="0.25">
      <c r="A3" s="2" t="e">
        <f t="array" ref="A3:E3">[1]!'TXYN07C20000.TF-ID,Name,Price,TotalVolume,InOutRatio'</f>
        <v>#N/A</v>
      </c>
      <c r="B3" s="2" t="e">
        <v>#N/A</v>
      </c>
      <c r="C3" s="7" t="e">
        <v>#N/A</v>
      </c>
      <c r="D3" s="2" t="e">
        <v>#N/A</v>
      </c>
      <c r="E3" s="2" t="e">
        <v>#N/A</v>
      </c>
      <c r="F3" s="68"/>
      <c r="G3" s="68"/>
      <c r="H3" s="68"/>
      <c r="I3" s="2" t="e">
        <f t="array" ref="I3:M3">[1]!'TXYN07P20000.TF-ID,Name,Price,TotalVolume,InOutRatio'</f>
        <v>#N/A</v>
      </c>
      <c r="J3" s="2" t="e">
        <v>#N/A</v>
      </c>
      <c r="K3" s="7" t="e">
        <v>#N/A</v>
      </c>
      <c r="L3" s="2" t="e">
        <v>#N/A</v>
      </c>
      <c r="M3" s="2" t="e">
        <v>#N/A</v>
      </c>
      <c r="O3" s="5"/>
      <c r="P3" s="5"/>
      <c r="AD3" s="5"/>
      <c r="AE3" s="5"/>
      <c r="AF3" s="5"/>
      <c r="AG3" s="5"/>
    </row>
    <row r="4" spans="1:33" ht="15" hidden="1" x14ac:dyDescent="0.25">
      <c r="A4" s="2" t="e">
        <f t="array" ref="A4:E4">[1]!'TXYN07C20100.TF-ID,Name,Price,TotalVolume,InOutRatio'</f>
        <v>#N/A</v>
      </c>
      <c r="B4" s="2" t="e">
        <v>#N/A</v>
      </c>
      <c r="C4" s="7" t="e">
        <v>#N/A</v>
      </c>
      <c r="D4" s="2" t="e">
        <v>#N/A</v>
      </c>
      <c r="E4" s="2" t="e">
        <v>#N/A</v>
      </c>
      <c r="F4" s="68"/>
      <c r="G4" s="68"/>
      <c r="H4" s="68"/>
      <c r="I4" s="2" t="e">
        <f t="array" ref="I4:M4">[1]!'TXYN07P20100.TF-ID,Name,Price,TotalVolume,InOutRatio'</f>
        <v>#N/A</v>
      </c>
      <c r="J4" s="2" t="e">
        <v>#N/A</v>
      </c>
      <c r="K4" s="7" t="e">
        <v>#N/A</v>
      </c>
      <c r="L4" s="2" t="e">
        <v>#N/A</v>
      </c>
      <c r="M4" s="2" t="e">
        <v>#N/A</v>
      </c>
      <c r="O4" s="5"/>
      <c r="P4" s="5"/>
      <c r="AD4" s="5"/>
      <c r="AE4" s="5"/>
      <c r="AF4" s="5"/>
      <c r="AG4" s="5"/>
    </row>
    <row r="5" spans="1:33" ht="15" hidden="1" x14ac:dyDescent="0.25">
      <c r="A5" s="2" t="e">
        <f t="array" ref="A5:E5">[1]!'TXYN07C20200.TF-ID,Name,Price,TotalVolume,InOutRatio'</f>
        <v>#N/A</v>
      </c>
      <c r="B5" s="2" t="e">
        <v>#N/A</v>
      </c>
      <c r="C5" s="7" t="e">
        <v>#N/A</v>
      </c>
      <c r="D5" s="2" t="e">
        <v>#N/A</v>
      </c>
      <c r="E5" s="2" t="e">
        <v>#N/A</v>
      </c>
      <c r="F5" s="68"/>
      <c r="G5" s="68"/>
      <c r="H5" s="68"/>
      <c r="I5" s="2" t="e">
        <f t="array" ref="I5:M5">[1]!'TXYN07P20200.TF-ID,Name,Price,TotalVolume,InOutRatio'</f>
        <v>#N/A</v>
      </c>
      <c r="J5" s="2" t="e">
        <v>#N/A</v>
      </c>
      <c r="K5" s="7" t="e">
        <v>#N/A</v>
      </c>
      <c r="L5" s="2" t="e">
        <v>#N/A</v>
      </c>
      <c r="M5" s="2" t="e">
        <v>#N/A</v>
      </c>
      <c r="O5" s="5"/>
      <c r="P5" s="5"/>
      <c r="AD5" s="5"/>
      <c r="AE5" s="5"/>
      <c r="AF5" s="5"/>
      <c r="AG5" s="5"/>
    </row>
    <row r="6" spans="1:33" ht="15" hidden="1" x14ac:dyDescent="0.25">
      <c r="A6" s="2" t="str">
        <f t="array" ref="A6:E6">[1]!'TXYN07C20300.TF-ID,Name,Price,TotalVolume,InOutRatio'</f>
        <v>TXYN07C20300</v>
      </c>
      <c r="B6" s="2" t="str">
        <v>台指選07F4 C 20300</v>
      </c>
      <c r="C6" s="7" t="str">
        <v>--</v>
      </c>
      <c r="D6" s="2">
        <v>0</v>
      </c>
      <c r="E6" s="2" t="str">
        <v>--</v>
      </c>
      <c r="F6" s="68"/>
      <c r="G6" s="68"/>
      <c r="H6" s="68"/>
      <c r="I6" s="2" t="str">
        <f t="array" ref="I6:M6">[1]!'TXYN07P20300.TF-ID,Name,Price,TotalVolume,InOutRatio'</f>
        <v>TXYN07P20300</v>
      </c>
      <c r="J6" s="2" t="str">
        <v>台指選07F4 P 20300</v>
      </c>
      <c r="K6" s="7">
        <v>3</v>
      </c>
      <c r="L6" s="2">
        <v>11</v>
      </c>
      <c r="M6" s="2">
        <v>45.45</v>
      </c>
      <c r="O6" s="5"/>
      <c r="P6" s="5"/>
      <c r="AD6" s="5"/>
      <c r="AE6" s="5"/>
      <c r="AF6" s="5"/>
      <c r="AG6" s="5"/>
    </row>
    <row r="7" spans="1:33" ht="15" hidden="1" x14ac:dyDescent="0.25">
      <c r="A7" s="2" t="str">
        <f t="array" ref="A7:E7">[1]!'TXYN07C20400.TF-ID,Name,Price,TotalVolume,InOutRatio'</f>
        <v>TXYN07C20400</v>
      </c>
      <c r="B7" s="2" t="str">
        <v>台指選07F4 C 20400</v>
      </c>
      <c r="C7" s="7" t="str">
        <v>--</v>
      </c>
      <c r="D7" s="2">
        <v>0</v>
      </c>
      <c r="E7" s="2" t="str">
        <v>--</v>
      </c>
      <c r="F7" s="68"/>
      <c r="G7" s="68"/>
      <c r="H7" s="68"/>
      <c r="I7" s="2" t="str">
        <f t="array" ref="I7:M7">[1]!'TXYN07P20400.TF-ID,Name,Price,TotalVolume,InOutRatio'</f>
        <v>TXYN07P20400</v>
      </c>
      <c r="J7" s="2" t="str">
        <v>台指選07F4 P 20400</v>
      </c>
      <c r="K7" s="7" t="str">
        <v>--</v>
      </c>
      <c r="L7" s="2">
        <v>0</v>
      </c>
      <c r="M7" s="2" t="str">
        <v>--</v>
      </c>
      <c r="O7" s="5"/>
      <c r="P7" s="5"/>
      <c r="AD7" s="5"/>
      <c r="AE7" s="5"/>
      <c r="AF7" s="5"/>
      <c r="AG7" s="5"/>
    </row>
    <row r="8" spans="1:33" ht="15" hidden="1" x14ac:dyDescent="0.25">
      <c r="A8" s="2" t="str">
        <f t="array" ref="A8:E8">[1]!'TXYN07C20500.TF-ID,Name,Price,TotalVolume,InOutRatio'</f>
        <v>TXYN07C20500</v>
      </c>
      <c r="B8" s="2" t="str">
        <v>台指選07F4 C 20500</v>
      </c>
      <c r="C8" s="7" t="str">
        <v>--</v>
      </c>
      <c r="D8" s="2">
        <v>0</v>
      </c>
      <c r="E8" s="2" t="str">
        <v>--</v>
      </c>
      <c r="F8" s="68"/>
      <c r="G8" s="68"/>
      <c r="H8" s="68"/>
      <c r="I8" s="2" t="str">
        <f t="array" ref="I8:M8">[1]!'TXYN07P20500.TF-ID,Name,Price,TotalVolume,InOutRatio'</f>
        <v>TXYN07P20500</v>
      </c>
      <c r="J8" s="2" t="str">
        <v>台指選07F4 P 20500</v>
      </c>
      <c r="K8" s="7" t="str">
        <v>--</v>
      </c>
      <c r="L8" s="2">
        <v>0</v>
      </c>
      <c r="M8" s="2" t="str">
        <v>--</v>
      </c>
      <c r="O8" s="5"/>
      <c r="P8" s="5">
        <v>23500</v>
      </c>
      <c r="AD8" s="5"/>
      <c r="AE8" s="5"/>
      <c r="AF8" s="5"/>
      <c r="AG8" s="5"/>
    </row>
    <row r="9" spans="1:33" ht="15" hidden="1" x14ac:dyDescent="0.25">
      <c r="A9" s="2" t="str">
        <f t="array" ref="A9:E9">[1]!'TXYN07C20600.TF-ID,Name,Price,TotalVolume,InOutRatio'</f>
        <v>TXYN07C20600</v>
      </c>
      <c r="B9" s="2" t="str">
        <v>台指選07F4 C 20600</v>
      </c>
      <c r="C9" s="7" t="str">
        <v>--</v>
      </c>
      <c r="D9" s="2">
        <v>0</v>
      </c>
      <c r="E9" s="2" t="str">
        <v>--</v>
      </c>
      <c r="F9" s="69"/>
      <c r="G9" s="68"/>
      <c r="H9" s="68"/>
      <c r="I9" s="2" t="str">
        <f t="array" ref="I9:M9">[1]!'TXYN07P20600.TF-ID,Name,Price,TotalVolume,InOutRatio'</f>
        <v>TXYN07P20600</v>
      </c>
      <c r="J9" s="2" t="str">
        <v>台指選07F4 P 20600</v>
      </c>
      <c r="K9" s="7" t="str">
        <v>--</v>
      </c>
      <c r="L9" s="2">
        <v>0</v>
      </c>
      <c r="M9" s="2" t="str">
        <v>--</v>
      </c>
      <c r="O9" s="5"/>
      <c r="P9" s="5"/>
      <c r="AD9" s="5"/>
      <c r="AE9" s="5"/>
      <c r="AF9" s="5"/>
      <c r="AG9" s="5"/>
    </row>
    <row r="10" spans="1:33" ht="15" hidden="1" x14ac:dyDescent="0.25">
      <c r="A10" s="2" t="str">
        <f t="array" ref="A10:E10">[1]!'TXYN07C20700.TF-ID,Name,Price,TotalVolume,InOutRatio'</f>
        <v>TXYN07C20700</v>
      </c>
      <c r="B10" s="2" t="str">
        <v>台指選07F4 C 20700</v>
      </c>
      <c r="C10" s="7" t="str">
        <v>--</v>
      </c>
      <c r="D10" s="2">
        <v>0</v>
      </c>
      <c r="E10" s="2" t="str">
        <v>--</v>
      </c>
      <c r="F10" s="68"/>
      <c r="G10" s="68"/>
      <c r="H10" s="68"/>
      <c r="I10" s="2" t="str">
        <f t="array" ref="I10:M10">[1]!'TXYN07P20700.TF-ID,Name,Price,TotalVolume,InOutRatio'</f>
        <v>TXYN07P20700</v>
      </c>
      <c r="J10" s="2" t="str">
        <v>台指選07F4 P 20700</v>
      </c>
      <c r="K10" s="7" t="str">
        <v>--</v>
      </c>
      <c r="L10" s="2">
        <v>0</v>
      </c>
      <c r="M10" s="2" t="str">
        <v>--</v>
      </c>
      <c r="O10" s="5"/>
      <c r="P10" s="5"/>
      <c r="AD10" s="5"/>
      <c r="AE10" s="5"/>
      <c r="AF10" s="5"/>
      <c r="AG10" s="5"/>
    </row>
    <row r="11" spans="1:33" ht="15" hidden="1" x14ac:dyDescent="0.25">
      <c r="A11" s="2" t="str">
        <f t="array" ref="A11:E11">[1]!'TXYN07C20800.TF-ID,Name,Price,TotalVolume,InOutRatio'</f>
        <v>TXYN07C20800</v>
      </c>
      <c r="B11" s="2" t="str">
        <v>台指選07F4 C 20800</v>
      </c>
      <c r="C11" s="7" t="str">
        <v>--</v>
      </c>
      <c r="D11" s="2">
        <v>0</v>
      </c>
      <c r="E11" s="2" t="str">
        <v>--</v>
      </c>
      <c r="F11" s="68"/>
      <c r="G11" s="68"/>
      <c r="H11" s="68"/>
      <c r="I11" s="2" t="str">
        <f t="array" ref="I11:M11">[1]!'TXYN07P20800.TF-ID,Name,Price,TotalVolume,InOutRatio'</f>
        <v>TXYN07P20800</v>
      </c>
      <c r="J11" s="2" t="str">
        <v>台指選07F4 P 20800</v>
      </c>
      <c r="K11" s="7" t="str">
        <v>--</v>
      </c>
      <c r="L11" s="2">
        <v>0</v>
      </c>
      <c r="M11" s="2" t="str">
        <v>--</v>
      </c>
      <c r="O11" s="5"/>
      <c r="P11" s="5"/>
      <c r="AD11" s="5"/>
      <c r="AE11" s="5"/>
      <c r="AF11" s="5"/>
      <c r="AG11" s="5"/>
    </row>
    <row r="12" spans="1:33" ht="15" hidden="1" x14ac:dyDescent="0.25">
      <c r="A12" s="2" t="str">
        <f t="array" ref="A12:E12">[1]!'TXYN07C20900.TF-ID,Name,Price,TotalVolume,InOutRatio'</f>
        <v>TXYN07C20900</v>
      </c>
      <c r="B12" s="2" t="str">
        <v>台指選07F4 C 20900</v>
      </c>
      <c r="C12" s="7" t="str">
        <v>--</v>
      </c>
      <c r="D12" s="2">
        <v>0</v>
      </c>
      <c r="E12" s="2" t="str">
        <v>--</v>
      </c>
      <c r="F12" s="68"/>
      <c r="G12" s="68"/>
      <c r="H12" s="68"/>
      <c r="I12" s="2" t="str">
        <f t="array" ref="I12:M12">[1]!'TXYN07P20900.TF-ID,Name,Price,TotalVolume,InOutRatio'</f>
        <v>TXYN07P20900</v>
      </c>
      <c r="J12" s="2" t="str">
        <v>台指選07F4 P 20900</v>
      </c>
      <c r="K12" s="7" t="str">
        <v>--</v>
      </c>
      <c r="L12" s="2">
        <v>0</v>
      </c>
      <c r="M12" s="2" t="str">
        <v>--</v>
      </c>
      <c r="O12" s="5"/>
      <c r="P12" s="5"/>
      <c r="AD12" s="5"/>
      <c r="AE12" s="5"/>
      <c r="AF12" s="5"/>
      <c r="AG12" s="5"/>
    </row>
    <row r="13" spans="1:33" ht="15" hidden="1" x14ac:dyDescent="0.25">
      <c r="A13" s="2" t="str">
        <f t="array" ref="A13:E13">[1]!'TXYN07C21000.TF-ID,Name,Price,TotalVolume,InOutRatio'</f>
        <v>TXYN07C21000</v>
      </c>
      <c r="B13" s="2" t="str">
        <v>台指選07F4 C 21000</v>
      </c>
      <c r="C13" s="7" t="str">
        <v>--</v>
      </c>
      <c r="D13" s="2">
        <v>0</v>
      </c>
      <c r="E13" s="2" t="str">
        <v>--</v>
      </c>
      <c r="F13" s="68"/>
      <c r="G13" s="68"/>
      <c r="H13" s="68"/>
      <c r="I13" s="2" t="str">
        <f t="array" ref="I13:M13">[1]!'TXYN07P21000.TF-ID,Name,Price,TotalVolume,InOutRatio'</f>
        <v>TXYN07P21000</v>
      </c>
      <c r="J13" s="2" t="str">
        <v>台指選07F4 P 21000</v>
      </c>
      <c r="K13" s="7" t="str">
        <v>--</v>
      </c>
      <c r="L13" s="2">
        <v>0</v>
      </c>
      <c r="M13" s="2" t="str">
        <v>--</v>
      </c>
      <c r="O13" s="5"/>
      <c r="P13" s="5"/>
      <c r="AD13" s="5"/>
      <c r="AE13" s="5"/>
      <c r="AF13" s="5"/>
      <c r="AG13" s="5"/>
    </row>
    <row r="14" spans="1:33" ht="15" hidden="1" x14ac:dyDescent="0.25">
      <c r="A14" s="2" t="str">
        <f t="array" ref="A14:E14">[1]!'TXYN07C21100.TF-ID,Name,Price,TotalVolume,InOutRatio'</f>
        <v>TXYN07C21100</v>
      </c>
      <c r="B14" s="2" t="str">
        <v>台指選07F4 C 21100</v>
      </c>
      <c r="C14" s="7" t="str">
        <v>--</v>
      </c>
      <c r="D14" s="2">
        <v>0</v>
      </c>
      <c r="E14" s="2" t="str">
        <v>--</v>
      </c>
      <c r="F14" s="68"/>
      <c r="G14" s="68"/>
      <c r="H14" s="68"/>
      <c r="I14" s="2" t="str">
        <f t="array" ref="I14:M14">[1]!'TXYN07P21100.TF-ID,Name,Price,TotalVolume,InOutRatio'</f>
        <v>TXYN07P21100</v>
      </c>
      <c r="J14" s="2" t="str">
        <v>台指選07F4 P 21100</v>
      </c>
      <c r="K14" s="7">
        <v>7.6</v>
      </c>
      <c r="L14" s="2">
        <v>1</v>
      </c>
      <c r="M14" s="2">
        <v>100</v>
      </c>
      <c r="O14" s="5"/>
      <c r="P14" s="5"/>
      <c r="AD14" s="5"/>
      <c r="AE14" s="5"/>
      <c r="AF14" s="5"/>
      <c r="AG14" s="5"/>
    </row>
    <row r="15" spans="1:33" ht="15" hidden="1" x14ac:dyDescent="0.25">
      <c r="A15" s="2" t="str">
        <f t="array" ref="A15:E15">[1]!'TXYN07C21200.TF-ID,Name,Price,TotalVolume,InOutRatio'</f>
        <v>TXYN07C21200</v>
      </c>
      <c r="B15" s="2" t="str">
        <v>台指選07F4 C 21200</v>
      </c>
      <c r="C15" s="7" t="str">
        <v>--</v>
      </c>
      <c r="D15" s="2">
        <v>0</v>
      </c>
      <c r="E15" s="2" t="str">
        <v>--</v>
      </c>
      <c r="F15" s="68"/>
      <c r="G15" s="68"/>
      <c r="H15" s="68"/>
      <c r="I15" s="2" t="str">
        <f t="array" ref="I15:M15">[1]!'TXYN07P21200.TF-ID,Name,Price,TotalVolume,InOutRatio'</f>
        <v>TXYN07P21200</v>
      </c>
      <c r="J15" s="2" t="str">
        <v>台指選07F4 P 21200</v>
      </c>
      <c r="K15" s="7">
        <v>6.2</v>
      </c>
      <c r="L15" s="2">
        <v>3</v>
      </c>
      <c r="M15" s="2">
        <v>100</v>
      </c>
      <c r="O15" s="5"/>
      <c r="P15" s="5"/>
      <c r="AD15" s="5"/>
      <c r="AE15" s="5"/>
      <c r="AF15" s="5"/>
      <c r="AG15" s="5"/>
    </row>
    <row r="16" spans="1:33" ht="15" hidden="1" x14ac:dyDescent="0.25">
      <c r="A16" s="2" t="str">
        <f t="array" ref="A16:E16">[1]!'TXYN07C21300.TF-ID,Name,Price,TotalVolume,InOutRatio'</f>
        <v>TXYN07C21300</v>
      </c>
      <c r="B16" s="2" t="str">
        <v>台指選07F4 C 21300</v>
      </c>
      <c r="C16" s="7" t="str">
        <v>--</v>
      </c>
      <c r="D16" s="2">
        <v>0</v>
      </c>
      <c r="E16" s="2" t="str">
        <v>--</v>
      </c>
      <c r="F16" s="68"/>
      <c r="G16" s="68"/>
      <c r="H16" s="68"/>
      <c r="I16" s="2" t="str">
        <f t="array" ref="I16:M16">[1]!'TXYN07P21300.TF-ID,Name,Price,TotalVolume,InOutRatio'</f>
        <v>TXYN07P21300</v>
      </c>
      <c r="J16" s="2" t="str">
        <v>台指選07F4 P 21300</v>
      </c>
      <c r="K16" s="7">
        <v>7</v>
      </c>
      <c r="L16" s="2">
        <v>1</v>
      </c>
      <c r="M16" s="2">
        <v>0</v>
      </c>
      <c r="O16" s="5"/>
      <c r="P16" s="5"/>
      <c r="AD16" s="5"/>
      <c r="AE16" s="5"/>
      <c r="AF16" s="5"/>
      <c r="AG16" s="5"/>
    </row>
    <row r="17" spans="1:38" ht="51" customHeight="1" x14ac:dyDescent="0.25">
      <c r="A17" s="2" t="str" cm="1">
        <f t="array" ref="A17:E17">[1]!'TXYN07C21500.TF-ID,Name,Price,TotalVolume,InOutRatio'</f>
        <v>TXYN07C21500</v>
      </c>
      <c r="B17" s="2" t="str">
        <v>台指選07F4 C 21500</v>
      </c>
      <c r="C17" s="7" t="str">
        <v>--</v>
      </c>
      <c r="D17" s="2">
        <v>0</v>
      </c>
      <c r="E17" s="2" t="str">
        <v>--</v>
      </c>
      <c r="F17" s="70" t="s">
        <v>11</v>
      </c>
      <c r="G17" s="70" t="s">
        <v>6</v>
      </c>
      <c r="H17" s="70" t="s">
        <v>12</v>
      </c>
      <c r="I17" s="9" t="str">
        <f t="array" ref="I17:M17">[1]!'TXYN07P21400.TF-ID,Name,Price,TotalVolume,InOutRatio'</f>
        <v>TXYN07P21400</v>
      </c>
      <c r="J17" s="9" t="str">
        <v>台指選07F4 P 21400</v>
      </c>
      <c r="K17" s="7" t="str">
        <v>--</v>
      </c>
      <c r="L17" s="2">
        <v>0</v>
      </c>
      <c r="M17" s="2" t="str">
        <v>--</v>
      </c>
      <c r="O17" s="11" t="s">
        <v>15</v>
      </c>
      <c r="P17" s="11" t="s">
        <v>14</v>
      </c>
      <c r="R17" s="20" t="s">
        <v>18</v>
      </c>
      <c r="S17" s="20" t="s">
        <v>25</v>
      </c>
      <c r="T17" s="4" t="s">
        <v>24</v>
      </c>
      <c r="V17" s="20" t="s">
        <v>20</v>
      </c>
      <c r="W17" s="20" t="s">
        <v>25</v>
      </c>
      <c r="X17" s="4" t="s">
        <v>24</v>
      </c>
      <c r="Z17" s="22" t="s">
        <v>8</v>
      </c>
      <c r="AA17" s="22" t="s">
        <v>9</v>
      </c>
      <c r="AB17" s="22" t="s">
        <v>7</v>
      </c>
      <c r="AC17" s="22" t="s">
        <v>10</v>
      </c>
      <c r="AD17" s="11" t="s">
        <v>8</v>
      </c>
      <c r="AE17" s="11" t="s">
        <v>9</v>
      </c>
      <c r="AF17" s="11" t="s">
        <v>7</v>
      </c>
      <c r="AG17" s="11" t="s">
        <v>10</v>
      </c>
      <c r="AI17" s="22" t="s">
        <v>8</v>
      </c>
      <c r="AJ17" s="11" t="s">
        <v>9</v>
      </c>
      <c r="AK17" s="11" t="s">
        <v>7</v>
      </c>
      <c r="AL17" s="11" t="s">
        <v>10</v>
      </c>
    </row>
    <row r="18" spans="1:38" ht="13.5" customHeight="1" x14ac:dyDescent="0.25">
      <c r="A18" s="2" t="str">
        <f t="array" ref="A18:E18">[1]!'TXYN07C21500.TF-ID,Name,Price,TotalVolume,InOutRatio'</f>
        <v>TXYN07C21500</v>
      </c>
      <c r="B18" s="2" t="str">
        <v>台指選07F4 C 21500</v>
      </c>
      <c r="C18" s="7" t="str">
        <v>--</v>
      </c>
      <c r="D18" s="2">
        <v>0</v>
      </c>
      <c r="E18" s="2" t="str">
        <v>--</v>
      </c>
      <c r="F18" s="71">
        <f>+IFERROR((E18-50)/50*D18,0)</f>
        <v>0</v>
      </c>
      <c r="G18" s="71">
        <v>21500</v>
      </c>
      <c r="H18" s="71">
        <f>+IFERROR((M18-50)/50*L18,0)</f>
        <v>3</v>
      </c>
      <c r="I18" s="2" t="str">
        <f t="array" ref="I18:M18">[1]!'TXYN07P21500.TF-ID,Name,Price,TotalVolume,InOutRatio'</f>
        <v>TXYN07P21500</v>
      </c>
      <c r="J18" s="2" t="str">
        <v>台指選07F4 P 21500</v>
      </c>
      <c r="K18" s="7">
        <v>9.1</v>
      </c>
      <c r="L18" s="2">
        <v>3</v>
      </c>
      <c r="M18" s="2">
        <v>100</v>
      </c>
      <c r="O18" s="12" t="e">
        <f>SUM(Z18:AC57)</f>
        <v>#VALUE!</v>
      </c>
      <c r="P18" s="12">
        <v>21500</v>
      </c>
      <c r="R18" s="20" t="b">
        <f>ISNUMBER(F18)</f>
        <v>1</v>
      </c>
      <c r="S18" s="25">
        <f>IF(R18,F18,0)</f>
        <v>0</v>
      </c>
      <c r="T18" s="4" t="str">
        <f>IF(R18,C18,0)</f>
        <v>--</v>
      </c>
      <c r="V18" s="20" t="b">
        <f>ISNUMBER(H18)</f>
        <v>1</v>
      </c>
      <c r="W18" s="25">
        <f>IF(V18,H18,0)</f>
        <v>3</v>
      </c>
      <c r="X18" s="4">
        <f>IF(V18,K18,0)</f>
        <v>9.1</v>
      </c>
      <c r="Z18" s="23" t="e">
        <f>MAX($P$18-G18,0)*MAX(S18,0)-MAX(S18,0)*T18</f>
        <v>#VALUE!</v>
      </c>
      <c r="AA18" s="23">
        <f>MAX(G18-$P$18,0)*MAX(W18,0)-MAX(W18,0)*X18</f>
        <v>-27.299999999999997</v>
      </c>
      <c r="AB18" s="23" t="e">
        <f>-MIN(S18,0)*T18  - MAX($P$18-G18,0) * (-MIN(S18,0))</f>
        <v>#VALUE!</v>
      </c>
      <c r="AC18" s="23">
        <f>-MIN(W18,0) * X18 -  MAX(G18-$P$18,0) * (-MIN(W18,0))</f>
        <v>0</v>
      </c>
      <c r="AD18" s="23">
        <f t="shared" ref="AD18:AG18" si="0">-MIN(X18,0) * Y18 -  MAX(H18-$P$18,0) * X18</f>
        <v>0</v>
      </c>
      <c r="AE18" s="23" t="e">
        <f t="shared" si="0"/>
        <v>#VALUE!</v>
      </c>
      <c r="AF18" s="23" t="e">
        <f t="shared" si="0"/>
        <v>#VALUE!</v>
      </c>
      <c r="AG18" s="23" t="e">
        <f t="shared" si="0"/>
        <v>#VALUE!</v>
      </c>
      <c r="AI18" s="24" t="s">
        <v>22</v>
      </c>
      <c r="AJ18" s="24" t="s">
        <v>23</v>
      </c>
      <c r="AK18" s="24" t="s">
        <v>19</v>
      </c>
      <c r="AL18" s="24" t="s">
        <v>21</v>
      </c>
    </row>
    <row r="19" spans="1:38" ht="13.5" customHeight="1" x14ac:dyDescent="0.25">
      <c r="A19" s="2" t="e">
        <f t="array" ref="A19:E19">[1]!'TXYN07C21550.TF-ID,Name,Price,TotalVolume,InOutRatio'</f>
        <v>#N/A</v>
      </c>
      <c r="B19" s="2" t="e">
        <v>#N/A</v>
      </c>
      <c r="C19" s="7" t="e">
        <v>#N/A</v>
      </c>
      <c r="D19" s="2" t="e">
        <v>#N/A</v>
      </c>
      <c r="E19" s="2" t="e">
        <v>#N/A</v>
      </c>
      <c r="F19" s="71">
        <f t="shared" ref="F19:F57" si="1">+IFERROR((E19-50)/50*D19,0)</f>
        <v>0</v>
      </c>
      <c r="G19" s="71">
        <v>21550</v>
      </c>
      <c r="H19" s="71">
        <f t="shared" ref="H19:H57" si="2">+IFERROR((M19-50)/50*L19,0)</f>
        <v>0</v>
      </c>
      <c r="I19" s="2" t="e">
        <f t="array" ref="I19:M19">[1]!'TXYN07P21550.TF-ID,Name,Price,TotalVolume,InOutRatio'</f>
        <v>#N/A</v>
      </c>
      <c r="J19" s="2" t="e">
        <v>#N/A</v>
      </c>
      <c r="K19" s="7" t="e">
        <v>#N/A</v>
      </c>
      <c r="L19" s="2" t="e">
        <v>#N/A</v>
      </c>
      <c r="M19" s="2" t="e">
        <v>#N/A</v>
      </c>
      <c r="O19" s="12">
        <v>0</v>
      </c>
      <c r="P19" s="12">
        <v>21550</v>
      </c>
      <c r="R19" s="20" t="b">
        <f>ISNUMBER(F19)</f>
        <v>1</v>
      </c>
      <c r="S19" s="25">
        <f t="shared" ref="S19:S57" si="3">IF(R19,F19,0)</f>
        <v>0</v>
      </c>
      <c r="T19" s="4" t="e">
        <f t="shared" ref="T19:T57" si="4">IF(R19,C19,0)</f>
        <v>#N/A</v>
      </c>
      <c r="V19" s="20" t="b">
        <f t="shared" ref="V19:V57" si="5">ISNUMBER(H19)</f>
        <v>1</v>
      </c>
      <c r="W19" s="25">
        <f t="shared" ref="W19:W57" si="6">IF(V19,H19,0)</f>
        <v>0</v>
      </c>
      <c r="X19" s="4" t="e">
        <f t="shared" ref="X19:X57" si="7">IF(V19,K19,0)</f>
        <v>#N/A</v>
      </c>
      <c r="Z19" s="23" t="e">
        <f t="shared" ref="Z19:Z21" si="8">MAX($P$18-G19,0)*MAX(S19,0)-MAX(S19,0)*T19</f>
        <v>#N/A</v>
      </c>
      <c r="AA19" s="23" t="e">
        <f t="shared" ref="AA19:AA57" si="9">MAX(G19-$P$18,0)*MAX(W19,0)-MAX(W19,0)*X19</f>
        <v>#N/A</v>
      </c>
      <c r="AB19" s="23" t="e">
        <f t="shared" ref="AB19:AB57" si="10">-MIN(S19,0)*T19  - MAX($P$18-G19,0) * (-MIN(S19,0))</f>
        <v>#N/A</v>
      </c>
      <c r="AC19" s="23" t="e">
        <f t="shared" ref="AC19" si="11">-MIN(W19,0) * X19 -  MAX(G19-$P$18,0) * (-MIN(W19,0))</f>
        <v>#N/A</v>
      </c>
    </row>
    <row r="20" spans="1:38" ht="13.5" customHeight="1" x14ac:dyDescent="0.25">
      <c r="A20" s="2" t="str">
        <f t="array" ref="A20:E20">[1]!'TXYN07C21600.TF-ID,Name,Price,TotalVolume,InOutRatio'</f>
        <v>TXYN07C21600</v>
      </c>
      <c r="B20" s="2" t="str">
        <v>台指選07F4 C 21600</v>
      </c>
      <c r="C20" s="7" t="str">
        <v>--</v>
      </c>
      <c r="D20" s="2">
        <v>0</v>
      </c>
      <c r="E20" s="2" t="str">
        <v>--</v>
      </c>
      <c r="F20" s="71">
        <f t="shared" si="1"/>
        <v>0</v>
      </c>
      <c r="G20" s="71">
        <v>21600</v>
      </c>
      <c r="H20" s="71">
        <f t="shared" si="2"/>
        <v>10.9976</v>
      </c>
      <c r="I20" s="2" t="str">
        <f t="array" ref="I20:M20">[1]!'TXYN07P21600.TF-ID,Name,Price,TotalVolume,InOutRatio'</f>
        <v>TXYN07P21600</v>
      </c>
      <c r="J20" s="2" t="str">
        <v>台指選07F4 P 21600</v>
      </c>
      <c r="K20" s="7">
        <v>7.5</v>
      </c>
      <c r="L20" s="2">
        <v>59</v>
      </c>
      <c r="M20" s="2">
        <v>59.32</v>
      </c>
      <c r="O20" s="12">
        <v>0</v>
      </c>
      <c r="P20" s="12">
        <v>21600</v>
      </c>
      <c r="R20" s="20" t="b">
        <f t="shared" ref="R20:R57" si="12">ISNUMBER(F20)</f>
        <v>1</v>
      </c>
      <c r="S20" s="25">
        <f t="shared" si="3"/>
        <v>0</v>
      </c>
      <c r="T20" s="4" t="str">
        <f t="shared" si="4"/>
        <v>--</v>
      </c>
      <c r="V20" s="20" t="b">
        <f t="shared" si="5"/>
        <v>1</v>
      </c>
      <c r="W20" s="25">
        <f t="shared" si="6"/>
        <v>10.9976</v>
      </c>
      <c r="X20" s="4">
        <f t="shared" si="7"/>
        <v>7.5</v>
      </c>
      <c r="Z20" s="23" t="e">
        <f t="shared" si="8"/>
        <v>#VALUE!</v>
      </c>
      <c r="AA20" s="23">
        <f t="shared" si="9"/>
        <v>1017.278</v>
      </c>
      <c r="AB20" s="23" t="e">
        <f t="shared" si="10"/>
        <v>#VALUE!</v>
      </c>
      <c r="AC20" s="23">
        <f>-MIN(W20,0) * X20 -  MAX(G20-$P$18,0) * (-MIN(W20,0))</f>
        <v>0</v>
      </c>
      <c r="AI20" s="27" t="s">
        <v>28</v>
      </c>
      <c r="AJ20" s="27" t="s">
        <v>30</v>
      </c>
    </row>
    <row r="21" spans="1:38" ht="13.5" customHeight="1" x14ac:dyDescent="0.25">
      <c r="A21" s="2" t="e">
        <f t="array" ref="A21:E21">[1]!'TXYN07C21650.TF-ID,Name,Price,TotalVolume,InOutRatio'</f>
        <v>#N/A</v>
      </c>
      <c r="B21" s="2" t="e">
        <v>#N/A</v>
      </c>
      <c r="C21" s="7" t="e">
        <v>#N/A</v>
      </c>
      <c r="D21" s="2" t="e">
        <v>#N/A</v>
      </c>
      <c r="E21" s="2" t="e">
        <v>#N/A</v>
      </c>
      <c r="F21" s="71">
        <f t="shared" si="1"/>
        <v>0</v>
      </c>
      <c r="G21" s="71">
        <v>21650</v>
      </c>
      <c r="H21" s="71">
        <f t="shared" si="2"/>
        <v>0</v>
      </c>
      <c r="I21" s="2" t="e">
        <f t="array" ref="I21:M21">[1]!'TXYN07P21650.TF-ID,Name,Price,TotalVolume,InOutRatio'</f>
        <v>#N/A</v>
      </c>
      <c r="J21" s="2" t="e">
        <v>#N/A</v>
      </c>
      <c r="K21" s="7" t="e">
        <v>#N/A</v>
      </c>
      <c r="L21" s="2" t="e">
        <v>#N/A</v>
      </c>
      <c r="M21" s="2" t="e">
        <v>#N/A</v>
      </c>
      <c r="O21" s="12">
        <v>0</v>
      </c>
      <c r="P21" s="12">
        <v>21650</v>
      </c>
      <c r="R21" s="20" t="b">
        <f t="shared" si="12"/>
        <v>1</v>
      </c>
      <c r="S21" s="25">
        <f t="shared" si="3"/>
        <v>0</v>
      </c>
      <c r="T21" s="4" t="e">
        <f t="shared" si="4"/>
        <v>#N/A</v>
      </c>
      <c r="V21" s="20" t="b">
        <f t="shared" si="5"/>
        <v>1</v>
      </c>
      <c r="W21" s="25">
        <f t="shared" si="6"/>
        <v>0</v>
      </c>
      <c r="X21" s="4" t="e">
        <f t="shared" si="7"/>
        <v>#N/A</v>
      </c>
      <c r="Z21" s="23" t="e">
        <f t="shared" si="8"/>
        <v>#N/A</v>
      </c>
      <c r="AA21" s="23" t="e">
        <f t="shared" si="9"/>
        <v>#N/A</v>
      </c>
      <c r="AB21" s="23" t="e">
        <f t="shared" si="10"/>
        <v>#N/A</v>
      </c>
      <c r="AC21" s="23" t="e">
        <f t="shared" ref="AC21:AC57" si="13">-MIN(W21,0) * X21 -  MAX(G21-$P$18,0) * (-MIN(W21,0))</f>
        <v>#N/A</v>
      </c>
      <c r="AI21" s="26" t="str">
        <f ca="1">MID(_xlfn.FORMULATEXT(A17),15,6)</f>
        <v>TXYN07</v>
      </c>
      <c r="AJ21" s="26" t="s">
        <v>29</v>
      </c>
    </row>
    <row r="22" spans="1:38" ht="13.5" customHeight="1" x14ac:dyDescent="0.25">
      <c r="A22" s="2" t="str">
        <f t="array" ref="A22:E22">[1]!'TXYN07C21700.TF-ID,Name,Price,TotalVolume,InOutRatio'</f>
        <v>TXYN07C21700</v>
      </c>
      <c r="B22" s="2" t="str">
        <v>台指選07F4 C 21700</v>
      </c>
      <c r="C22" s="7" t="str">
        <v>--</v>
      </c>
      <c r="D22" s="2">
        <v>0</v>
      </c>
      <c r="E22" s="2" t="str">
        <v>--</v>
      </c>
      <c r="F22" s="71">
        <f t="shared" si="1"/>
        <v>0</v>
      </c>
      <c r="G22" s="71">
        <v>21700</v>
      </c>
      <c r="H22" s="71">
        <f t="shared" si="2"/>
        <v>4</v>
      </c>
      <c r="I22" s="2" t="str">
        <f t="array" ref="I22:M22">[1]!'TXYN07P21700.TF-ID,Name,Price,TotalVolume,InOutRatio'</f>
        <v>TXYN07P21700</v>
      </c>
      <c r="J22" s="2" t="str">
        <v>台指選07F4 P 21700</v>
      </c>
      <c r="K22" s="7">
        <v>10</v>
      </c>
      <c r="L22" s="2">
        <v>8</v>
      </c>
      <c r="M22" s="2">
        <v>75</v>
      </c>
      <c r="O22" s="12">
        <v>0</v>
      </c>
      <c r="P22" s="12">
        <v>21700</v>
      </c>
      <c r="R22" s="20" t="b">
        <f t="shared" si="12"/>
        <v>1</v>
      </c>
      <c r="S22" s="25">
        <f t="shared" si="3"/>
        <v>0</v>
      </c>
      <c r="T22" s="4" t="str">
        <f t="shared" si="4"/>
        <v>--</v>
      </c>
      <c r="V22" s="20" t="b">
        <f t="shared" si="5"/>
        <v>1</v>
      </c>
      <c r="W22" s="25">
        <f t="shared" si="6"/>
        <v>4</v>
      </c>
      <c r="X22" s="4">
        <f t="shared" si="7"/>
        <v>10</v>
      </c>
      <c r="Z22" s="23" t="e">
        <f>MAX($P$18-G22,0)*MAX(S22,0)-MAX(S22,0)*T22</f>
        <v>#VALUE!</v>
      </c>
      <c r="AA22" s="23">
        <f t="shared" si="9"/>
        <v>760</v>
      </c>
      <c r="AB22" s="23" t="e">
        <f t="shared" si="10"/>
        <v>#VALUE!</v>
      </c>
      <c r="AC22" s="23">
        <f t="shared" si="13"/>
        <v>0</v>
      </c>
      <c r="AJ22" s="1" t="s">
        <v>31</v>
      </c>
    </row>
    <row r="23" spans="1:38" ht="13.5" customHeight="1" x14ac:dyDescent="0.25">
      <c r="A23" s="2" t="e">
        <f t="array" ref="A23:E23">[1]!'TXYN07C21750.TF-ID,Name,Price,TotalVolume,InOutRatio'</f>
        <v>#N/A</v>
      </c>
      <c r="B23" s="2" t="e">
        <v>#N/A</v>
      </c>
      <c r="C23" s="7" t="e">
        <v>#N/A</v>
      </c>
      <c r="D23" s="2" t="e">
        <v>#N/A</v>
      </c>
      <c r="E23" s="2" t="e">
        <v>#N/A</v>
      </c>
      <c r="F23" s="71">
        <f t="shared" si="1"/>
        <v>0</v>
      </c>
      <c r="G23" s="71">
        <v>21750</v>
      </c>
      <c r="H23" s="71">
        <f t="shared" si="2"/>
        <v>0</v>
      </c>
      <c r="I23" s="2" t="e">
        <f t="array" ref="I23:M23">[1]!'TXYN07P21750.TF-ID,Name,Price,TotalVolume,InOutRatio'</f>
        <v>#N/A</v>
      </c>
      <c r="J23" s="2" t="e">
        <v>#N/A</v>
      </c>
      <c r="K23" s="7" t="e">
        <v>#N/A</v>
      </c>
      <c r="L23" s="2" t="e">
        <v>#N/A</v>
      </c>
      <c r="M23" s="2" t="e">
        <v>#N/A</v>
      </c>
      <c r="O23" s="12">
        <v>0</v>
      </c>
      <c r="P23" s="12">
        <v>21750</v>
      </c>
      <c r="R23" s="20" t="b">
        <f t="shared" si="12"/>
        <v>1</v>
      </c>
      <c r="S23" s="25">
        <f t="shared" si="3"/>
        <v>0</v>
      </c>
      <c r="T23" s="4" t="e">
        <f t="shared" si="4"/>
        <v>#N/A</v>
      </c>
      <c r="V23" s="20" t="b">
        <f t="shared" si="5"/>
        <v>1</v>
      </c>
      <c r="W23" s="25">
        <f t="shared" si="6"/>
        <v>0</v>
      </c>
      <c r="X23" s="4" t="e">
        <f t="shared" si="7"/>
        <v>#N/A</v>
      </c>
      <c r="Z23" s="23" t="e">
        <f t="shared" ref="Z23:Z57" si="14">MAX($P$18-G23,0)*MAX(S23,0)-MAX(S23,0)*T23</f>
        <v>#N/A</v>
      </c>
      <c r="AA23" s="23" t="e">
        <f t="shared" si="9"/>
        <v>#N/A</v>
      </c>
      <c r="AB23" s="23" t="e">
        <f t="shared" si="10"/>
        <v>#N/A</v>
      </c>
      <c r="AC23" s="23" t="e">
        <f t="shared" si="13"/>
        <v>#N/A</v>
      </c>
    </row>
    <row r="24" spans="1:38" ht="13.5" customHeight="1" x14ac:dyDescent="0.25">
      <c r="A24" s="2" t="str">
        <f t="array" ref="A24:E24">[1]!'TXYN07C21800.TF-ID,Name,Price,TotalVolume,InOutRatio'</f>
        <v>TXYN07C21800</v>
      </c>
      <c r="B24" s="2" t="str">
        <v>台指選07F4 C 21800</v>
      </c>
      <c r="C24" s="7" t="str">
        <v>--</v>
      </c>
      <c r="D24" s="2">
        <v>0</v>
      </c>
      <c r="E24" s="2" t="str">
        <v>--</v>
      </c>
      <c r="F24" s="71">
        <f t="shared" si="1"/>
        <v>0</v>
      </c>
      <c r="G24" s="71">
        <v>21800</v>
      </c>
      <c r="H24" s="71">
        <f t="shared" si="2"/>
        <v>-133</v>
      </c>
      <c r="I24" s="2" t="str">
        <f t="array" ref="I24:M24">[1]!'TXYN07P21800.TF-ID,Name,Price,TotalVolume,InOutRatio'</f>
        <v>TXYN07P21800</v>
      </c>
      <c r="J24" s="2" t="str">
        <v>台指選07F4 P 21800</v>
      </c>
      <c r="K24" s="7">
        <v>13</v>
      </c>
      <c r="L24" s="2">
        <v>133</v>
      </c>
      <c r="M24" s="2">
        <v>0</v>
      </c>
      <c r="O24" s="12">
        <v>0</v>
      </c>
      <c r="P24" s="12">
        <v>21800</v>
      </c>
      <c r="R24" s="20" t="b">
        <f t="shared" si="12"/>
        <v>1</v>
      </c>
      <c r="S24" s="25">
        <f t="shared" si="3"/>
        <v>0</v>
      </c>
      <c r="T24" s="4" t="str">
        <f t="shared" si="4"/>
        <v>--</v>
      </c>
      <c r="V24" s="20" t="b">
        <f t="shared" si="5"/>
        <v>1</v>
      </c>
      <c r="W24" s="25">
        <f t="shared" si="6"/>
        <v>-133</v>
      </c>
      <c r="X24" s="4">
        <f t="shared" si="7"/>
        <v>13</v>
      </c>
      <c r="Z24" s="23" t="e">
        <f t="shared" si="14"/>
        <v>#VALUE!</v>
      </c>
      <c r="AA24" s="23">
        <f t="shared" si="9"/>
        <v>0</v>
      </c>
      <c r="AB24" s="23" t="e">
        <f t="shared" si="10"/>
        <v>#VALUE!</v>
      </c>
      <c r="AC24" s="23">
        <f t="shared" si="13"/>
        <v>-38171</v>
      </c>
    </row>
    <row r="25" spans="1:38" ht="13.5" customHeight="1" x14ac:dyDescent="0.25">
      <c r="A25" s="2" t="e">
        <f t="array" ref="A25:E25">[1]!'TXYN07C21850.TF-ID,Name,Price,TotalVolume,InOutRatio'</f>
        <v>#N/A</v>
      </c>
      <c r="B25" s="2" t="e">
        <v>#N/A</v>
      </c>
      <c r="C25" s="7" t="e">
        <v>#N/A</v>
      </c>
      <c r="D25" s="2" t="e">
        <v>#N/A</v>
      </c>
      <c r="E25" s="2" t="e">
        <v>#N/A</v>
      </c>
      <c r="F25" s="71">
        <f t="shared" si="1"/>
        <v>0</v>
      </c>
      <c r="G25" s="71">
        <v>21850</v>
      </c>
      <c r="H25" s="71">
        <f t="shared" si="2"/>
        <v>0</v>
      </c>
      <c r="I25" s="2" t="e">
        <f t="array" ref="I25:M25">[1]!'TXYN07P21850.TF-ID,Name,Price,TotalVolume,InOutRatio'</f>
        <v>#N/A</v>
      </c>
      <c r="J25" s="2" t="e">
        <v>#N/A</v>
      </c>
      <c r="K25" s="7" t="e">
        <v>#N/A</v>
      </c>
      <c r="L25" s="2" t="e">
        <v>#N/A</v>
      </c>
      <c r="M25" s="2" t="e">
        <v>#N/A</v>
      </c>
      <c r="O25" s="12">
        <v>0</v>
      </c>
      <c r="P25" s="12">
        <v>21850</v>
      </c>
      <c r="R25" s="20" t="b">
        <f t="shared" si="12"/>
        <v>1</v>
      </c>
      <c r="S25" s="25">
        <f t="shared" si="3"/>
        <v>0</v>
      </c>
      <c r="T25" s="4" t="e">
        <f t="shared" si="4"/>
        <v>#N/A</v>
      </c>
      <c r="V25" s="20" t="b">
        <f t="shared" si="5"/>
        <v>1</v>
      </c>
      <c r="W25" s="25">
        <f t="shared" si="6"/>
        <v>0</v>
      </c>
      <c r="X25" s="4" t="e">
        <f t="shared" si="7"/>
        <v>#N/A</v>
      </c>
      <c r="Z25" s="23" t="e">
        <f t="shared" si="14"/>
        <v>#N/A</v>
      </c>
      <c r="AA25" s="23" t="e">
        <f t="shared" si="9"/>
        <v>#N/A</v>
      </c>
      <c r="AB25" s="23" t="e">
        <f t="shared" si="10"/>
        <v>#N/A</v>
      </c>
      <c r="AC25" s="23" t="e">
        <f t="shared" si="13"/>
        <v>#N/A</v>
      </c>
    </row>
    <row r="26" spans="1:38" ht="13.5" customHeight="1" x14ac:dyDescent="0.25">
      <c r="A26" s="2" t="str">
        <f t="array" ref="A26:E26">[1]!'TXYN07C21900.TF-ID,Name,Price,TotalVolume,InOutRatio'</f>
        <v>TXYN07C21900</v>
      </c>
      <c r="B26" s="2" t="str">
        <v>台指選07F4 C 21900</v>
      </c>
      <c r="C26" s="7" t="str">
        <v>--</v>
      </c>
      <c r="D26" s="2">
        <v>0</v>
      </c>
      <c r="E26" s="2" t="str">
        <v>--</v>
      </c>
      <c r="F26" s="71">
        <f t="shared" si="1"/>
        <v>0</v>
      </c>
      <c r="G26" s="71">
        <v>21900</v>
      </c>
      <c r="H26" s="71">
        <f t="shared" si="2"/>
        <v>24.43020000000001</v>
      </c>
      <c r="I26" s="2" t="str">
        <f t="array" ref="I26:M26">[1]!'TXYN07P21900.TF-ID,Name,Price,TotalVolume,InOutRatio'</f>
        <v>TXYN07P21900</v>
      </c>
      <c r="J26" s="2" t="str">
        <v>台指選07F4 P 21900</v>
      </c>
      <c r="K26" s="7">
        <v>16</v>
      </c>
      <c r="L26" s="2">
        <v>57</v>
      </c>
      <c r="M26" s="2">
        <v>71.430000000000007</v>
      </c>
      <c r="O26" s="12">
        <v>0</v>
      </c>
      <c r="P26" s="12">
        <v>21900</v>
      </c>
      <c r="R26" s="20" t="b">
        <f t="shared" si="12"/>
        <v>1</v>
      </c>
      <c r="S26" s="25">
        <f t="shared" si="3"/>
        <v>0</v>
      </c>
      <c r="T26" s="4" t="str">
        <f t="shared" si="4"/>
        <v>--</v>
      </c>
      <c r="V26" s="20" t="b">
        <f t="shared" si="5"/>
        <v>1</v>
      </c>
      <c r="W26" s="25">
        <f t="shared" si="6"/>
        <v>24.43020000000001</v>
      </c>
      <c r="X26" s="4">
        <f t="shared" si="7"/>
        <v>16</v>
      </c>
      <c r="Z26" s="23" t="e">
        <f t="shared" si="14"/>
        <v>#VALUE!</v>
      </c>
      <c r="AA26" s="23">
        <f t="shared" si="9"/>
        <v>9381.1968000000033</v>
      </c>
      <c r="AB26" s="23" t="e">
        <f t="shared" si="10"/>
        <v>#VALUE!</v>
      </c>
      <c r="AC26" s="23">
        <f t="shared" si="13"/>
        <v>0</v>
      </c>
    </row>
    <row r="27" spans="1:38" ht="13.5" customHeight="1" x14ac:dyDescent="0.25">
      <c r="A27" s="2" t="str">
        <f t="array" ref="A27:E27">[1]!'TXYN07C21950.TF-ID,Name,Price,TotalVolume,InOutRatio'</f>
        <v>TXYN07C21950</v>
      </c>
      <c r="B27" s="2" t="str">
        <v>台指選07F4 C 21950</v>
      </c>
      <c r="C27" s="7" t="str">
        <v>--</v>
      </c>
      <c r="D27" s="2">
        <v>0</v>
      </c>
      <c r="E27" s="2" t="str">
        <v>--</v>
      </c>
      <c r="F27" s="71">
        <f t="shared" si="1"/>
        <v>0</v>
      </c>
      <c r="G27" s="71">
        <v>21950</v>
      </c>
      <c r="H27" s="71">
        <f t="shared" si="2"/>
        <v>0</v>
      </c>
      <c r="I27" s="2" t="str">
        <f t="array" ref="I27:M27">[1]!'TXYN07P21950.TF-ID,Name,Price,TotalVolume,InOutRatio'</f>
        <v>TXYN07P21950</v>
      </c>
      <c r="J27" s="2" t="str">
        <v>台指選07F4 P 21950</v>
      </c>
      <c r="K27" s="7">
        <v>16.5</v>
      </c>
      <c r="L27" s="2">
        <v>2</v>
      </c>
      <c r="M27" s="2">
        <v>50</v>
      </c>
      <c r="O27" s="12">
        <v>0</v>
      </c>
      <c r="P27" s="12">
        <v>21950</v>
      </c>
      <c r="R27" s="20" t="b">
        <f t="shared" si="12"/>
        <v>1</v>
      </c>
      <c r="S27" s="25">
        <f t="shared" si="3"/>
        <v>0</v>
      </c>
      <c r="T27" s="4" t="str">
        <f t="shared" si="4"/>
        <v>--</v>
      </c>
      <c r="V27" s="20" t="b">
        <f t="shared" si="5"/>
        <v>1</v>
      </c>
      <c r="W27" s="25">
        <f t="shared" si="6"/>
        <v>0</v>
      </c>
      <c r="X27" s="4">
        <f t="shared" si="7"/>
        <v>16.5</v>
      </c>
      <c r="Z27" s="23" t="e">
        <f t="shared" si="14"/>
        <v>#VALUE!</v>
      </c>
      <c r="AA27" s="23">
        <f t="shared" si="9"/>
        <v>0</v>
      </c>
      <c r="AB27" s="23" t="e">
        <f t="shared" si="10"/>
        <v>#VALUE!</v>
      </c>
      <c r="AC27" s="23">
        <f t="shared" si="13"/>
        <v>0</v>
      </c>
    </row>
    <row r="28" spans="1:38" ht="13.5" customHeight="1" x14ac:dyDescent="0.25">
      <c r="A28" s="2" t="str">
        <f t="array" ref="A28:E28">[1]!'TXYN07C22000.TF-ID,Name,Price,TotalVolume,InOutRatio'</f>
        <v>TXYN07C22000</v>
      </c>
      <c r="B28" s="2" t="str">
        <v>台指選07F4 C 22000</v>
      </c>
      <c r="C28" s="7" t="str">
        <v>--</v>
      </c>
      <c r="D28" s="2">
        <v>0</v>
      </c>
      <c r="E28" s="2" t="str">
        <v>--</v>
      </c>
      <c r="F28" s="71">
        <f t="shared" si="1"/>
        <v>0</v>
      </c>
      <c r="G28" s="71">
        <v>22000</v>
      </c>
      <c r="H28" s="71">
        <f t="shared" si="2"/>
        <v>117.00259999999999</v>
      </c>
      <c r="I28" s="2" t="str">
        <f t="array" ref="I28:M28">[1]!'TXYN07P22000.TF-ID,Name,Price,TotalVolume,InOutRatio'</f>
        <v>TXYN07P22000</v>
      </c>
      <c r="J28" s="2" t="str">
        <v>台指選07F4 P 22000</v>
      </c>
      <c r="K28" s="7">
        <v>18</v>
      </c>
      <c r="L28" s="2">
        <v>143</v>
      </c>
      <c r="M28" s="2">
        <v>90.91</v>
      </c>
      <c r="O28" s="12">
        <v>-1236.5119999999999</v>
      </c>
      <c r="P28" s="12">
        <v>22000</v>
      </c>
      <c r="R28" s="20" t="b">
        <f t="shared" si="12"/>
        <v>1</v>
      </c>
      <c r="S28" s="25">
        <f t="shared" si="3"/>
        <v>0</v>
      </c>
      <c r="T28" s="4" t="str">
        <f t="shared" si="4"/>
        <v>--</v>
      </c>
      <c r="V28" s="20" t="b">
        <f t="shared" si="5"/>
        <v>1</v>
      </c>
      <c r="W28" s="25">
        <f t="shared" si="6"/>
        <v>117.00259999999999</v>
      </c>
      <c r="X28" s="4">
        <f t="shared" si="7"/>
        <v>18</v>
      </c>
      <c r="Z28" s="23" t="e">
        <f t="shared" si="14"/>
        <v>#VALUE!</v>
      </c>
      <c r="AA28" s="23">
        <f t="shared" si="9"/>
        <v>56395.253199999999</v>
      </c>
      <c r="AB28" s="23" t="e">
        <f t="shared" si="10"/>
        <v>#VALUE!</v>
      </c>
      <c r="AC28" s="23">
        <f t="shared" si="13"/>
        <v>0</v>
      </c>
    </row>
    <row r="29" spans="1:38" ht="13.5" customHeight="1" x14ac:dyDescent="0.25">
      <c r="A29" s="2" t="str">
        <f t="array" ref="A29:E29">[1]!'TXYN07C22050.TF-ID,Name,Price,TotalVolume,InOutRatio'</f>
        <v>TXYN07C22050</v>
      </c>
      <c r="B29" s="2" t="str">
        <v>台指選07F4 C 22050</v>
      </c>
      <c r="C29" s="7" t="str">
        <v>--</v>
      </c>
      <c r="D29" s="2">
        <v>0</v>
      </c>
      <c r="E29" s="2" t="str">
        <v>--</v>
      </c>
      <c r="F29" s="71">
        <f t="shared" si="1"/>
        <v>0</v>
      </c>
      <c r="G29" s="71">
        <v>22050</v>
      </c>
      <c r="H29" s="71">
        <f t="shared" si="2"/>
        <v>0</v>
      </c>
      <c r="I29" s="2" t="str">
        <f t="array" ref="I29:M29">[1]!'TXYN07P22050.TF-ID,Name,Price,TotalVolume,InOutRatio'</f>
        <v>TXYN07P22050</v>
      </c>
      <c r="J29" s="2" t="str">
        <v>台指選07F4 P 22050</v>
      </c>
      <c r="K29" s="7" t="str">
        <v>--</v>
      </c>
      <c r="L29" s="2">
        <v>0</v>
      </c>
      <c r="M29" s="2" t="str">
        <v>--</v>
      </c>
      <c r="O29" s="12">
        <v>0</v>
      </c>
      <c r="P29" s="12">
        <v>22050</v>
      </c>
      <c r="R29" s="20" t="b">
        <f t="shared" si="12"/>
        <v>1</v>
      </c>
      <c r="S29" s="25">
        <f t="shared" si="3"/>
        <v>0</v>
      </c>
      <c r="T29" s="4" t="str">
        <f t="shared" si="4"/>
        <v>--</v>
      </c>
      <c r="V29" s="20" t="b">
        <f t="shared" si="5"/>
        <v>1</v>
      </c>
      <c r="W29" s="25">
        <f t="shared" si="6"/>
        <v>0</v>
      </c>
      <c r="X29" s="4" t="str">
        <f t="shared" si="7"/>
        <v>--</v>
      </c>
      <c r="Z29" s="23" t="e">
        <f t="shared" si="14"/>
        <v>#VALUE!</v>
      </c>
      <c r="AA29" s="23" t="e">
        <f t="shared" si="9"/>
        <v>#VALUE!</v>
      </c>
      <c r="AB29" s="23" t="e">
        <f t="shared" si="10"/>
        <v>#VALUE!</v>
      </c>
      <c r="AC29" s="23" t="e">
        <f t="shared" si="13"/>
        <v>#VALUE!</v>
      </c>
    </row>
    <row r="30" spans="1:38" ht="13.5" customHeight="1" x14ac:dyDescent="0.25">
      <c r="A30" s="2" t="str">
        <f t="array" ref="A30:E30">[1]!'TXYN07C22100.TF-ID,Name,Price,TotalVolume,InOutRatio'</f>
        <v>TXYN07C22100</v>
      </c>
      <c r="B30" s="2" t="str">
        <v>台指選07F4 C 22100</v>
      </c>
      <c r="C30" s="7" t="str">
        <v>--</v>
      </c>
      <c r="D30" s="2">
        <v>0</v>
      </c>
      <c r="E30" s="2" t="str">
        <v>--</v>
      </c>
      <c r="F30" s="71">
        <f t="shared" si="1"/>
        <v>0</v>
      </c>
      <c r="G30" s="71">
        <v>22100</v>
      </c>
      <c r="H30" s="71">
        <f t="shared" si="2"/>
        <v>-1.0030000000000057</v>
      </c>
      <c r="I30" s="2" t="str">
        <f t="array" ref="I30:M30">[1]!'TXYN07P22100.TF-ID,Name,Price,TotalVolume,InOutRatio'</f>
        <v>TXYN07P22100</v>
      </c>
      <c r="J30" s="2" t="str">
        <v>台指選07F4 P 22100</v>
      </c>
      <c r="K30" s="7">
        <v>19.5</v>
      </c>
      <c r="L30" s="2">
        <v>85</v>
      </c>
      <c r="M30" s="2">
        <v>49.41</v>
      </c>
      <c r="O30" s="12">
        <v>1380.2208000000001</v>
      </c>
      <c r="P30" s="12">
        <v>22100</v>
      </c>
      <c r="R30" s="20" t="b">
        <f t="shared" si="12"/>
        <v>1</v>
      </c>
      <c r="S30" s="25">
        <f t="shared" si="3"/>
        <v>0</v>
      </c>
      <c r="T30" s="4" t="str">
        <f t="shared" si="4"/>
        <v>--</v>
      </c>
      <c r="V30" s="20" t="b">
        <f t="shared" si="5"/>
        <v>1</v>
      </c>
      <c r="W30" s="25">
        <f t="shared" si="6"/>
        <v>-1.0030000000000057</v>
      </c>
      <c r="X30" s="4">
        <f t="shared" si="7"/>
        <v>19.5</v>
      </c>
      <c r="Z30" s="23" t="e">
        <f t="shared" si="14"/>
        <v>#VALUE!</v>
      </c>
      <c r="AA30" s="23">
        <f t="shared" si="9"/>
        <v>0</v>
      </c>
      <c r="AB30" s="23" t="e">
        <f t="shared" si="10"/>
        <v>#VALUE!</v>
      </c>
      <c r="AC30" s="23">
        <f t="shared" si="13"/>
        <v>-582.24150000000327</v>
      </c>
    </row>
    <row r="31" spans="1:38" ht="13.5" customHeight="1" x14ac:dyDescent="0.25">
      <c r="A31" s="2" t="str">
        <f t="array" ref="A31:E31">[1]!'TXYN07C22150.TF-ID,Name,Price,TotalVolume,InOutRatio'</f>
        <v>TXYN07C22150</v>
      </c>
      <c r="B31" s="2" t="str">
        <v>台指選07F4 C 22150</v>
      </c>
      <c r="C31" s="7" t="str">
        <v>--</v>
      </c>
      <c r="D31" s="2">
        <v>0</v>
      </c>
      <c r="E31" s="2" t="str">
        <v>--</v>
      </c>
      <c r="F31" s="71">
        <f t="shared" si="1"/>
        <v>0</v>
      </c>
      <c r="G31" s="71">
        <v>22150</v>
      </c>
      <c r="H31" s="71">
        <f t="shared" si="2"/>
        <v>58.994</v>
      </c>
      <c r="I31" s="2" t="str">
        <f t="array" ref="I31:M31">[1]!'TXYN07P22150.TF-ID,Name,Price,TotalVolume,InOutRatio'</f>
        <v>TXYN07P22150</v>
      </c>
      <c r="J31" s="2" t="str">
        <v>台指選07F4 P 22150</v>
      </c>
      <c r="K31" s="7">
        <v>21.5</v>
      </c>
      <c r="L31" s="2">
        <v>65</v>
      </c>
      <c r="M31" s="2">
        <v>95.38</v>
      </c>
      <c r="O31" s="12">
        <v>0</v>
      </c>
      <c r="P31" s="12">
        <v>22150</v>
      </c>
      <c r="R31" s="20" t="b">
        <f t="shared" si="12"/>
        <v>1</v>
      </c>
      <c r="S31" s="25">
        <f t="shared" si="3"/>
        <v>0</v>
      </c>
      <c r="T31" s="4" t="str">
        <f t="shared" si="4"/>
        <v>--</v>
      </c>
      <c r="V31" s="20" t="b">
        <f t="shared" si="5"/>
        <v>1</v>
      </c>
      <c r="W31" s="25">
        <f t="shared" si="6"/>
        <v>58.994</v>
      </c>
      <c r="X31" s="4">
        <f t="shared" si="7"/>
        <v>21.5</v>
      </c>
      <c r="Z31" s="23" t="e">
        <f t="shared" si="14"/>
        <v>#VALUE!</v>
      </c>
      <c r="AA31" s="23">
        <f t="shared" si="9"/>
        <v>37077.728999999999</v>
      </c>
      <c r="AB31" s="23" t="e">
        <f t="shared" si="10"/>
        <v>#VALUE!</v>
      </c>
      <c r="AC31" s="23">
        <f t="shared" si="13"/>
        <v>0</v>
      </c>
    </row>
    <row r="32" spans="1:38" ht="13.5" customHeight="1" x14ac:dyDescent="0.25">
      <c r="A32" s="2" t="str">
        <f t="array" ref="A32:E32">[1]!'TXYN07C22200.TF-ID,Name,Price,TotalVolume,InOutRatio'</f>
        <v>TXYN07C22200</v>
      </c>
      <c r="B32" s="2" t="str">
        <v>台指選07F4 C 22200</v>
      </c>
      <c r="C32" s="7" t="str">
        <v>--</v>
      </c>
      <c r="D32" s="2">
        <v>0</v>
      </c>
      <c r="E32" s="2" t="str">
        <v>--</v>
      </c>
      <c r="F32" s="71">
        <f t="shared" si="1"/>
        <v>0</v>
      </c>
      <c r="G32" s="71">
        <v>22200</v>
      </c>
      <c r="H32" s="71">
        <f t="shared" si="2"/>
        <v>-19.994799999999994</v>
      </c>
      <c r="I32" s="2" t="str">
        <f t="array" ref="I32:M32">[1]!'TXYN07P22200.TF-ID,Name,Price,TotalVolume,InOutRatio'</f>
        <v>TXYN07P22200</v>
      </c>
      <c r="J32" s="2" t="str">
        <v>台指選07F4 P 22200</v>
      </c>
      <c r="K32" s="7">
        <v>21</v>
      </c>
      <c r="L32" s="2">
        <v>74</v>
      </c>
      <c r="M32" s="2">
        <v>36.49</v>
      </c>
      <c r="O32" s="12">
        <v>2797.0095999999985</v>
      </c>
      <c r="P32" s="12">
        <v>22200</v>
      </c>
      <c r="R32" s="20" t="b">
        <f t="shared" si="12"/>
        <v>1</v>
      </c>
      <c r="S32" s="25">
        <f t="shared" si="3"/>
        <v>0</v>
      </c>
      <c r="T32" s="4" t="str">
        <f t="shared" si="4"/>
        <v>--</v>
      </c>
      <c r="V32" s="20" t="b">
        <f t="shared" si="5"/>
        <v>1</v>
      </c>
      <c r="W32" s="25">
        <f t="shared" si="6"/>
        <v>-19.994799999999994</v>
      </c>
      <c r="X32" s="4">
        <f t="shared" si="7"/>
        <v>21</v>
      </c>
      <c r="Z32" s="23" t="e">
        <f t="shared" si="14"/>
        <v>#VALUE!</v>
      </c>
      <c r="AA32" s="23">
        <f t="shared" si="9"/>
        <v>0</v>
      </c>
      <c r="AB32" s="23" t="e">
        <f t="shared" si="10"/>
        <v>#VALUE!</v>
      </c>
      <c r="AC32" s="23">
        <f t="shared" si="13"/>
        <v>-13576.469199999998</v>
      </c>
    </row>
    <row r="33" spans="1:29" ht="13.5" customHeight="1" x14ac:dyDescent="0.25">
      <c r="A33" s="2" t="str">
        <f t="array" ref="A33:E33">[1]!'TXYN07C22250.TF-ID,Name,Price,TotalVolume,InOutRatio'</f>
        <v>TXYN07C22250</v>
      </c>
      <c r="B33" s="2" t="str">
        <v>台指選07F4 C 22250</v>
      </c>
      <c r="C33" s="7" t="str">
        <v>--</v>
      </c>
      <c r="D33" s="2">
        <v>0</v>
      </c>
      <c r="E33" s="2" t="str">
        <v>--</v>
      </c>
      <c r="F33" s="71">
        <f t="shared" si="1"/>
        <v>0</v>
      </c>
      <c r="G33" s="71">
        <v>22250</v>
      </c>
      <c r="H33" s="71">
        <f t="shared" si="2"/>
        <v>-10.999000000000001</v>
      </c>
      <c r="I33" s="2" t="str">
        <f t="array" ref="I33:M33">[1]!'TXYN07P22250.TF-ID,Name,Price,TotalVolume,InOutRatio'</f>
        <v>TXYN07P22250</v>
      </c>
      <c r="J33" s="2" t="str">
        <v>台指選07F4 P 22250</v>
      </c>
      <c r="K33" s="7">
        <v>26</v>
      </c>
      <c r="L33" s="2">
        <v>17</v>
      </c>
      <c r="M33" s="2">
        <v>17.649999999999999</v>
      </c>
      <c r="O33" s="12">
        <v>0</v>
      </c>
      <c r="P33" s="12">
        <v>22250</v>
      </c>
      <c r="R33" s="20" t="b">
        <f t="shared" si="12"/>
        <v>1</v>
      </c>
      <c r="S33" s="25">
        <f t="shared" si="3"/>
        <v>0</v>
      </c>
      <c r="T33" s="4" t="str">
        <f t="shared" si="4"/>
        <v>--</v>
      </c>
      <c r="V33" s="20" t="b">
        <f t="shared" si="5"/>
        <v>1</v>
      </c>
      <c r="W33" s="25">
        <f t="shared" si="6"/>
        <v>-10.999000000000001</v>
      </c>
      <c r="X33" s="4">
        <f t="shared" si="7"/>
        <v>26</v>
      </c>
      <c r="Z33" s="23" t="e">
        <f t="shared" si="14"/>
        <v>#VALUE!</v>
      </c>
      <c r="AA33" s="23">
        <f t="shared" si="9"/>
        <v>0</v>
      </c>
      <c r="AB33" s="23" t="e">
        <f t="shared" si="10"/>
        <v>#VALUE!</v>
      </c>
      <c r="AC33" s="23">
        <f t="shared" si="13"/>
        <v>-7963.2759999999998</v>
      </c>
    </row>
    <row r="34" spans="1:29" s="60" customFormat="1" ht="13.5" customHeight="1" x14ac:dyDescent="0.25">
      <c r="A34" s="55" t="str">
        <f t="array" ref="A34:E34">[1]!'TXYN07C22300.TF-ID,Name,Price,TotalVolume,InOutRatio'</f>
        <v>TXYN07C22300</v>
      </c>
      <c r="B34" s="55" t="str">
        <v>台指選07F4 C 22300</v>
      </c>
      <c r="C34" s="56" t="str">
        <v>--</v>
      </c>
      <c r="D34" s="55">
        <v>0</v>
      </c>
      <c r="E34" s="55" t="str">
        <v>--</v>
      </c>
      <c r="F34" s="71">
        <f t="shared" si="1"/>
        <v>0</v>
      </c>
      <c r="G34" s="71">
        <v>22300</v>
      </c>
      <c r="H34" s="71">
        <f t="shared" si="2"/>
        <v>-56.004800000000003</v>
      </c>
      <c r="I34" s="55" t="str">
        <f t="array" ref="I34:M34">[1]!'TXYN07P22300.TF-ID,Name,Price,TotalVolume,InOutRatio'</f>
        <v>TXYN07P22300</v>
      </c>
      <c r="J34" s="55" t="str">
        <v>台指選07F4 P 22300</v>
      </c>
      <c r="K34" s="56">
        <v>26.5</v>
      </c>
      <c r="L34" s="55">
        <v>58</v>
      </c>
      <c r="M34" s="55">
        <v>1.72</v>
      </c>
      <c r="N34" s="58"/>
      <c r="O34" s="59">
        <v>15501.12000000001</v>
      </c>
      <c r="P34" s="59">
        <v>22300</v>
      </c>
      <c r="R34" s="62" t="b">
        <f t="shared" si="12"/>
        <v>1</v>
      </c>
      <c r="S34" s="63">
        <f t="shared" si="3"/>
        <v>0</v>
      </c>
      <c r="T34" s="60" t="str">
        <f t="shared" si="4"/>
        <v>--</v>
      </c>
      <c r="V34" s="62" t="b">
        <f t="shared" si="5"/>
        <v>1</v>
      </c>
      <c r="W34" s="63">
        <f t="shared" si="6"/>
        <v>-56.004800000000003</v>
      </c>
      <c r="X34" s="60">
        <f t="shared" si="7"/>
        <v>26.5</v>
      </c>
      <c r="Z34" s="61" t="e">
        <f t="shared" si="14"/>
        <v>#VALUE!</v>
      </c>
      <c r="AA34" s="61">
        <f t="shared" si="9"/>
        <v>0</v>
      </c>
      <c r="AB34" s="61" t="e">
        <f t="shared" si="10"/>
        <v>#VALUE!</v>
      </c>
      <c r="AC34" s="61">
        <f t="shared" si="13"/>
        <v>-43319.712800000001</v>
      </c>
    </row>
    <row r="35" spans="1:29" ht="13.5" customHeight="1" x14ac:dyDescent="0.25">
      <c r="A35" s="2" t="str">
        <f t="array" ref="A35:E35">[1]!'TXYN07C22350.TF-ID,Name,Price,TotalVolume,InOutRatio'</f>
        <v>TXYN07C22350</v>
      </c>
      <c r="B35" s="2" t="str">
        <v>台指選07F4 C 22350</v>
      </c>
      <c r="C35" s="7" t="str">
        <v>--</v>
      </c>
      <c r="D35" s="2">
        <v>0</v>
      </c>
      <c r="E35" s="2" t="str">
        <v>--</v>
      </c>
      <c r="F35" s="71">
        <f t="shared" si="1"/>
        <v>0</v>
      </c>
      <c r="G35" s="71">
        <v>22350</v>
      </c>
      <c r="H35" s="71">
        <f t="shared" si="2"/>
        <v>-59.000999999999998</v>
      </c>
      <c r="I35" s="2" t="str">
        <f t="array" ref="I35:M35">[1]!'TXYN07P22350.TF-ID,Name,Price,TotalVolume,InOutRatio'</f>
        <v>TXYN07P22350</v>
      </c>
      <c r="J35" s="2" t="str">
        <v>台指選07F4 P 22350</v>
      </c>
      <c r="K35" s="7">
        <v>25</v>
      </c>
      <c r="L35" s="2">
        <v>71</v>
      </c>
      <c r="M35" s="2">
        <v>8.4499999999999993</v>
      </c>
      <c r="O35" s="12">
        <v>40803.840000000011</v>
      </c>
      <c r="P35" s="12">
        <v>22350</v>
      </c>
      <c r="R35" s="20" t="b">
        <f t="shared" si="12"/>
        <v>1</v>
      </c>
      <c r="S35" s="25">
        <f t="shared" si="3"/>
        <v>0</v>
      </c>
      <c r="T35" s="4" t="str">
        <f t="shared" si="4"/>
        <v>--</v>
      </c>
      <c r="V35" s="20" t="b">
        <f t="shared" si="5"/>
        <v>1</v>
      </c>
      <c r="W35" s="25">
        <f t="shared" si="6"/>
        <v>-59.000999999999998</v>
      </c>
      <c r="X35" s="4">
        <f t="shared" si="7"/>
        <v>25</v>
      </c>
      <c r="Z35" s="23" t="e">
        <f t="shared" si="14"/>
        <v>#VALUE!</v>
      </c>
      <c r="AA35" s="23">
        <f t="shared" si="9"/>
        <v>0</v>
      </c>
      <c r="AB35" s="23" t="e">
        <f t="shared" si="10"/>
        <v>#VALUE!</v>
      </c>
      <c r="AC35" s="23">
        <f t="shared" si="13"/>
        <v>-48675.824999999997</v>
      </c>
    </row>
    <row r="36" spans="1:29" ht="13.5" customHeight="1" x14ac:dyDescent="0.25">
      <c r="A36" s="2" t="str">
        <f t="array" ref="A36:E36">[1]!'TXYN07C22400.TF-ID,Name,Price,TotalVolume,InOutRatio'</f>
        <v>TXYN07C22400</v>
      </c>
      <c r="B36" s="2" t="str">
        <v>台指選07F4 C 22400</v>
      </c>
      <c r="C36" s="7">
        <v>975</v>
      </c>
      <c r="D36" s="2">
        <v>1</v>
      </c>
      <c r="E36" s="2">
        <v>100</v>
      </c>
      <c r="F36" s="71">
        <f t="shared" si="1"/>
        <v>1</v>
      </c>
      <c r="G36" s="71">
        <v>22400</v>
      </c>
      <c r="H36" s="71">
        <f t="shared" si="2"/>
        <v>-28.995999999999999</v>
      </c>
      <c r="I36" s="2" t="str">
        <f t="array" ref="I36:M36">[1]!'TXYN07P22400.TF-ID,Name,Price,TotalVolume,InOutRatio'</f>
        <v>TXYN07P22400</v>
      </c>
      <c r="J36" s="2" t="str">
        <v>台指選07F4 P 22400</v>
      </c>
      <c r="K36" s="7">
        <v>27</v>
      </c>
      <c r="L36" s="2">
        <v>55</v>
      </c>
      <c r="M36" s="2">
        <v>23.64</v>
      </c>
      <c r="O36" s="12">
        <v>0</v>
      </c>
      <c r="P36" s="12">
        <v>22400</v>
      </c>
      <c r="R36" s="20" t="b">
        <f t="shared" si="12"/>
        <v>1</v>
      </c>
      <c r="S36" s="25">
        <f t="shared" si="3"/>
        <v>1</v>
      </c>
      <c r="T36" s="4">
        <f t="shared" si="4"/>
        <v>975</v>
      </c>
      <c r="V36" s="20" t="b">
        <f t="shared" si="5"/>
        <v>1</v>
      </c>
      <c r="W36" s="25">
        <f t="shared" si="6"/>
        <v>-28.995999999999999</v>
      </c>
      <c r="X36" s="4">
        <f t="shared" si="7"/>
        <v>27</v>
      </c>
      <c r="Z36" s="23">
        <f t="shared" si="14"/>
        <v>-975</v>
      </c>
      <c r="AA36" s="23">
        <f t="shared" si="9"/>
        <v>0</v>
      </c>
      <c r="AB36" s="23">
        <f t="shared" si="10"/>
        <v>0</v>
      </c>
      <c r="AC36" s="23">
        <f t="shared" si="13"/>
        <v>-25313.507999999998</v>
      </c>
    </row>
    <row r="37" spans="1:29" ht="13.5" customHeight="1" x14ac:dyDescent="0.25">
      <c r="A37" s="2" t="str">
        <f t="array" ref="A37:E37">[1]!'TXYN07C22450.TF-ID,Name,Price,TotalVolume,InOutRatio'</f>
        <v>TXYN07C22450</v>
      </c>
      <c r="B37" s="2" t="str">
        <v>台指選07F4 C 22450</v>
      </c>
      <c r="C37" s="7" t="str">
        <v>--</v>
      </c>
      <c r="D37" s="2">
        <v>0</v>
      </c>
      <c r="E37" s="2" t="str">
        <v>--</v>
      </c>
      <c r="F37" s="71">
        <f t="shared" si="1"/>
        <v>0</v>
      </c>
      <c r="G37" s="71">
        <v>22450</v>
      </c>
      <c r="H37" s="71">
        <f t="shared" si="2"/>
        <v>-1.9991999999999996</v>
      </c>
      <c r="I37" s="2" t="str">
        <f t="array" ref="I37:M37">[1]!'TXYN07P22450.TF-ID,Name,Price,TotalVolume,InOutRatio'</f>
        <v>TXYN07P22450</v>
      </c>
      <c r="J37" s="2" t="str">
        <v>台指選07F4 P 22450</v>
      </c>
      <c r="K37" s="7">
        <v>34.5</v>
      </c>
      <c r="L37" s="2">
        <v>12</v>
      </c>
      <c r="M37" s="2">
        <v>41.67</v>
      </c>
      <c r="O37" s="12">
        <v>0</v>
      </c>
      <c r="P37" s="12">
        <v>22450</v>
      </c>
      <c r="R37" s="20" t="b">
        <f t="shared" si="12"/>
        <v>1</v>
      </c>
      <c r="S37" s="25">
        <f t="shared" si="3"/>
        <v>0</v>
      </c>
      <c r="T37" s="4" t="str">
        <f t="shared" si="4"/>
        <v>--</v>
      </c>
      <c r="V37" s="20" t="b">
        <f t="shared" si="5"/>
        <v>1</v>
      </c>
      <c r="W37" s="25">
        <f t="shared" si="6"/>
        <v>-1.9991999999999996</v>
      </c>
      <c r="X37" s="4">
        <f t="shared" si="7"/>
        <v>34.5</v>
      </c>
      <c r="Z37" s="23" t="e">
        <f t="shared" si="14"/>
        <v>#VALUE!</v>
      </c>
      <c r="AA37" s="23">
        <f t="shared" si="9"/>
        <v>0</v>
      </c>
      <c r="AB37" s="23" t="e">
        <f t="shared" si="10"/>
        <v>#VALUE!</v>
      </c>
      <c r="AC37" s="23">
        <f t="shared" si="13"/>
        <v>-1830.2675999999997</v>
      </c>
    </row>
    <row r="38" spans="1:29" ht="13.5" customHeight="1" x14ac:dyDescent="0.25">
      <c r="A38" s="2" t="str">
        <f t="array" ref="A38:E38">[1]!'TXYN07C22500.TF-ID,Name,Price,TotalVolume,InOutRatio'</f>
        <v>TXYN07C22500</v>
      </c>
      <c r="B38" s="2" t="str">
        <v>台指選07F4 C 22500</v>
      </c>
      <c r="C38" s="7" t="str">
        <v>--</v>
      </c>
      <c r="D38" s="2">
        <v>0</v>
      </c>
      <c r="E38" s="2" t="str">
        <v>--</v>
      </c>
      <c r="F38" s="71">
        <f t="shared" si="1"/>
        <v>0</v>
      </c>
      <c r="G38" s="71">
        <v>22500</v>
      </c>
      <c r="H38" s="71">
        <f t="shared" si="2"/>
        <v>21.001800000000003</v>
      </c>
      <c r="I38" s="2" t="str">
        <f t="array" ref="I38:M38">[1]!'TXYN07P22500.TF-ID,Name,Price,TotalVolume,InOutRatio'</f>
        <v>TXYN07P22500</v>
      </c>
      <c r="J38" s="2" t="str">
        <v>台指選07F4 P 22500</v>
      </c>
      <c r="K38" s="7">
        <v>38</v>
      </c>
      <c r="L38" s="2">
        <v>51</v>
      </c>
      <c r="M38" s="2">
        <v>70.59</v>
      </c>
      <c r="O38" s="12">
        <v>42353.551800000176</v>
      </c>
      <c r="P38" s="12">
        <v>22500</v>
      </c>
      <c r="R38" s="20" t="b">
        <f t="shared" si="12"/>
        <v>1</v>
      </c>
      <c r="S38" s="25">
        <f t="shared" si="3"/>
        <v>0</v>
      </c>
      <c r="T38" s="4" t="str">
        <f t="shared" si="4"/>
        <v>--</v>
      </c>
      <c r="V38" s="20" t="b">
        <f t="shared" si="5"/>
        <v>1</v>
      </c>
      <c r="W38" s="25">
        <f t="shared" si="6"/>
        <v>21.001800000000003</v>
      </c>
      <c r="X38" s="4">
        <f t="shared" si="7"/>
        <v>38</v>
      </c>
      <c r="Z38" s="23" t="e">
        <f t="shared" si="14"/>
        <v>#VALUE!</v>
      </c>
      <c r="AA38" s="23">
        <f t="shared" si="9"/>
        <v>20203.731600000003</v>
      </c>
      <c r="AB38" s="23" t="e">
        <f t="shared" si="10"/>
        <v>#VALUE!</v>
      </c>
      <c r="AC38" s="23">
        <f t="shared" si="13"/>
        <v>0</v>
      </c>
    </row>
    <row r="39" spans="1:29" ht="13.5" customHeight="1" x14ac:dyDescent="0.25">
      <c r="A39" s="2" t="str">
        <f t="array" ref="A39:E39">[1]!'TXYN07C22550.TF-ID,Name,Price,TotalVolume,InOutRatio'</f>
        <v>TXYN07C22550</v>
      </c>
      <c r="B39" s="2" t="str">
        <v>台指選07F4 C 22550</v>
      </c>
      <c r="C39" s="7" t="str">
        <v>--</v>
      </c>
      <c r="D39" s="2">
        <v>0</v>
      </c>
      <c r="E39" s="2" t="str">
        <v>--</v>
      </c>
      <c r="F39" s="71">
        <f t="shared" si="1"/>
        <v>0</v>
      </c>
      <c r="G39" s="71">
        <v>22550</v>
      </c>
      <c r="H39" s="71">
        <f t="shared" si="2"/>
        <v>30.002400000000002</v>
      </c>
      <c r="I39" s="2" t="str">
        <f t="array" ref="I39:M39">[1]!'TXYN07P22550.TF-ID,Name,Price,TotalVolume,InOutRatio'</f>
        <v>TXYN07P22550</v>
      </c>
      <c r="J39" s="2" t="str">
        <v>台指選07F4 P 22550</v>
      </c>
      <c r="K39" s="7">
        <v>40</v>
      </c>
      <c r="L39" s="2">
        <v>36</v>
      </c>
      <c r="M39" s="2">
        <v>91.67</v>
      </c>
      <c r="O39" s="12">
        <v>0</v>
      </c>
      <c r="P39" s="12">
        <v>22550</v>
      </c>
      <c r="R39" s="20" t="b">
        <f t="shared" si="12"/>
        <v>1</v>
      </c>
      <c r="S39" s="25">
        <f t="shared" si="3"/>
        <v>0</v>
      </c>
      <c r="T39" s="4" t="str">
        <f t="shared" si="4"/>
        <v>--</v>
      </c>
      <c r="V39" s="20" t="b">
        <f t="shared" si="5"/>
        <v>1</v>
      </c>
      <c r="W39" s="25">
        <f t="shared" si="6"/>
        <v>30.002400000000002</v>
      </c>
      <c r="X39" s="4">
        <f t="shared" si="7"/>
        <v>40</v>
      </c>
      <c r="Z39" s="28" t="e">
        <f t="shared" si="14"/>
        <v>#VALUE!</v>
      </c>
      <c r="AA39" s="28">
        <f t="shared" si="9"/>
        <v>30302.423999999999</v>
      </c>
      <c r="AB39" s="28" t="e">
        <f t="shared" si="10"/>
        <v>#VALUE!</v>
      </c>
      <c r="AC39" s="28">
        <f t="shared" si="13"/>
        <v>0</v>
      </c>
    </row>
    <row r="40" spans="1:29" ht="13.5" customHeight="1" x14ac:dyDescent="0.25">
      <c r="A40" s="2" t="str">
        <f t="array" ref="A40:E40">[1]!'TXYN07C22600.TF-ID,Name,Price,TotalVolume,InOutRatio'</f>
        <v>TXYN07C22600</v>
      </c>
      <c r="B40" s="2" t="str">
        <v>台指選07F4 C 22600</v>
      </c>
      <c r="C40" s="7" t="str">
        <v>--</v>
      </c>
      <c r="D40" s="2">
        <v>0</v>
      </c>
      <c r="E40" s="2" t="str">
        <v>--</v>
      </c>
      <c r="F40" s="71">
        <f t="shared" si="1"/>
        <v>0</v>
      </c>
      <c r="G40" s="71">
        <v>22600</v>
      </c>
      <c r="H40" s="71">
        <f t="shared" si="2"/>
        <v>32.174999999999997</v>
      </c>
      <c r="I40" s="2" t="str">
        <f t="array" ref="I40:M40">[1]!'TXYN07P22600.TF-ID,Name,Price,TotalVolume,InOutRatio'</f>
        <v>TXYN07P22600</v>
      </c>
      <c r="J40" s="2" t="str">
        <v>台指選07F4 P 22600</v>
      </c>
      <c r="K40" s="7">
        <v>41.5</v>
      </c>
      <c r="L40" s="2">
        <v>55</v>
      </c>
      <c r="M40" s="2">
        <v>79.25</v>
      </c>
      <c r="O40" s="12">
        <v>0</v>
      </c>
      <c r="P40" s="12">
        <v>22600</v>
      </c>
      <c r="R40" s="20" t="b">
        <f t="shared" si="12"/>
        <v>1</v>
      </c>
      <c r="S40" s="25">
        <f t="shared" si="3"/>
        <v>0</v>
      </c>
      <c r="T40" s="4" t="str">
        <f t="shared" si="4"/>
        <v>--</v>
      </c>
      <c r="V40" s="20" t="b">
        <f t="shared" si="5"/>
        <v>1</v>
      </c>
      <c r="W40" s="25">
        <f t="shared" si="6"/>
        <v>32.174999999999997</v>
      </c>
      <c r="X40" s="4">
        <f t="shared" si="7"/>
        <v>41.5</v>
      </c>
      <c r="Z40" s="23" t="e">
        <f t="shared" si="14"/>
        <v>#VALUE!</v>
      </c>
      <c r="AA40" s="23">
        <f t="shared" si="9"/>
        <v>34057.237500000003</v>
      </c>
      <c r="AB40" s="23" t="e">
        <f t="shared" si="10"/>
        <v>#VALUE!</v>
      </c>
      <c r="AC40" s="23">
        <f t="shared" si="13"/>
        <v>0</v>
      </c>
    </row>
    <row r="41" spans="1:29" ht="13.5" customHeight="1" x14ac:dyDescent="0.25">
      <c r="A41" s="2" t="str">
        <f t="array" ref="A41:E41">[1]!'TXYN07C22650.TF-ID,Name,Price,TotalVolume,InOutRatio'</f>
        <v>TXYN07C22650</v>
      </c>
      <c r="B41" s="2" t="str">
        <v>台指選07F4 C 22650</v>
      </c>
      <c r="C41" s="7" t="str">
        <v>--</v>
      </c>
      <c r="D41" s="2">
        <v>0</v>
      </c>
      <c r="E41" s="2" t="str">
        <v>--</v>
      </c>
      <c r="F41" s="71">
        <f t="shared" si="1"/>
        <v>0</v>
      </c>
      <c r="G41" s="71">
        <v>22650</v>
      </c>
      <c r="H41" s="71">
        <f t="shared" si="2"/>
        <v>-10.999000000000001</v>
      </c>
      <c r="I41" s="2" t="str">
        <f t="array" ref="I41:M41">[1]!'TXYN07P22650.TF-ID,Name,Price,TotalVolume,InOutRatio'</f>
        <v>TXYN07P22650</v>
      </c>
      <c r="J41" s="2" t="str">
        <v>台指選07F4 P 22650</v>
      </c>
      <c r="K41" s="7">
        <v>46</v>
      </c>
      <c r="L41" s="2">
        <v>17</v>
      </c>
      <c r="M41" s="2">
        <v>17.649999999999999</v>
      </c>
      <c r="O41" s="12">
        <v>0</v>
      </c>
      <c r="P41" s="12">
        <v>22650</v>
      </c>
      <c r="R41" s="20" t="b">
        <f t="shared" si="12"/>
        <v>1</v>
      </c>
      <c r="S41" s="25">
        <f t="shared" si="3"/>
        <v>0</v>
      </c>
      <c r="T41" s="4" t="str">
        <f t="shared" si="4"/>
        <v>--</v>
      </c>
      <c r="V41" s="20" t="b">
        <f t="shared" si="5"/>
        <v>1</v>
      </c>
      <c r="W41" s="25">
        <f t="shared" si="6"/>
        <v>-10.999000000000001</v>
      </c>
      <c r="X41" s="4">
        <f t="shared" si="7"/>
        <v>46</v>
      </c>
      <c r="Z41" s="23" t="e">
        <f t="shared" si="14"/>
        <v>#VALUE!</v>
      </c>
      <c r="AA41" s="23">
        <f t="shared" si="9"/>
        <v>0</v>
      </c>
      <c r="AB41" s="23" t="e">
        <f t="shared" si="10"/>
        <v>#VALUE!</v>
      </c>
      <c r="AC41" s="23">
        <f t="shared" si="13"/>
        <v>-12142.896000000001</v>
      </c>
    </row>
    <row r="42" spans="1:29" ht="13.5" customHeight="1" x14ac:dyDescent="0.25">
      <c r="A42" s="2" t="str">
        <f t="array" ref="A42:E42">[1]!'TXYN07C22700.TF-ID,Name,Price,TotalVolume,InOutRatio'</f>
        <v>TXYN07C22700</v>
      </c>
      <c r="B42" s="2" t="str">
        <v>台指選07F4 C 22700</v>
      </c>
      <c r="C42" s="7">
        <v>655</v>
      </c>
      <c r="D42" s="2">
        <v>3</v>
      </c>
      <c r="E42" s="2">
        <v>100</v>
      </c>
      <c r="F42" s="71">
        <f t="shared" si="1"/>
        <v>3</v>
      </c>
      <c r="G42" s="71">
        <v>22700</v>
      </c>
      <c r="H42" s="71">
        <f t="shared" si="2"/>
        <v>-105.73</v>
      </c>
      <c r="I42" s="2" t="str">
        <f t="array" ref="I42:M42">[1]!'TXYN07P22700.TF-ID,Name,Price,TotalVolume,InOutRatio'</f>
        <v>TXYN07P22700</v>
      </c>
      <c r="J42" s="2" t="str">
        <v>台指選07F4 P 22700</v>
      </c>
      <c r="K42" s="7">
        <v>47.5</v>
      </c>
      <c r="L42" s="2">
        <v>194</v>
      </c>
      <c r="M42" s="2">
        <v>22.75</v>
      </c>
      <c r="O42" s="12">
        <v>0</v>
      </c>
      <c r="P42" s="12">
        <v>22700</v>
      </c>
      <c r="R42" s="20" t="b">
        <f t="shared" si="12"/>
        <v>1</v>
      </c>
      <c r="S42" s="25">
        <f t="shared" si="3"/>
        <v>3</v>
      </c>
      <c r="T42" s="4">
        <f t="shared" si="4"/>
        <v>655</v>
      </c>
      <c r="V42" s="20" t="b">
        <f t="shared" si="5"/>
        <v>1</v>
      </c>
      <c r="W42" s="25">
        <f t="shared" si="6"/>
        <v>-105.73</v>
      </c>
      <c r="X42" s="4">
        <f t="shared" si="7"/>
        <v>47.5</v>
      </c>
      <c r="Z42" s="23">
        <f t="shared" si="14"/>
        <v>-1965</v>
      </c>
      <c r="AA42" s="23">
        <f t="shared" si="9"/>
        <v>0</v>
      </c>
      <c r="AB42" s="23">
        <f t="shared" si="10"/>
        <v>0</v>
      </c>
      <c r="AC42" s="23">
        <f t="shared" si="13"/>
        <v>-121853.825</v>
      </c>
    </row>
    <row r="43" spans="1:29" ht="13.5" customHeight="1" x14ac:dyDescent="0.25">
      <c r="A43" s="2" t="str">
        <f t="array" ref="A43:E43">[1]!'TXYN07C22750.TF-ID,Name,Price,TotalVolume,InOutRatio'</f>
        <v>TXYN07C22750</v>
      </c>
      <c r="B43" s="2" t="str">
        <v>台指選07F4 C 22750</v>
      </c>
      <c r="C43" s="7" t="str">
        <v>--</v>
      </c>
      <c r="D43" s="2">
        <v>0</v>
      </c>
      <c r="E43" s="2" t="str">
        <v>--</v>
      </c>
      <c r="F43" s="71">
        <f t="shared" si="1"/>
        <v>0</v>
      </c>
      <c r="G43" s="71">
        <v>22750</v>
      </c>
      <c r="H43" s="71">
        <f t="shared" si="2"/>
        <v>0</v>
      </c>
      <c r="I43" s="2" t="str">
        <f t="array" ref="I43:M43">[1]!'TXYN07P22750.TF-ID,Name,Price,TotalVolume,InOutRatio'</f>
        <v>TXYN07P22750</v>
      </c>
      <c r="J43" s="2" t="str">
        <v>台指選07F4 P 22750</v>
      </c>
      <c r="K43" s="7">
        <v>55</v>
      </c>
      <c r="L43" s="2">
        <v>15</v>
      </c>
      <c r="M43" s="2">
        <v>50</v>
      </c>
      <c r="O43" s="12">
        <v>0</v>
      </c>
      <c r="P43" s="12">
        <v>22750</v>
      </c>
      <c r="R43" s="20" t="b">
        <f t="shared" si="12"/>
        <v>1</v>
      </c>
      <c r="S43" s="25">
        <f t="shared" si="3"/>
        <v>0</v>
      </c>
      <c r="T43" s="4" t="str">
        <f t="shared" si="4"/>
        <v>--</v>
      </c>
      <c r="V43" s="20" t="b">
        <f t="shared" si="5"/>
        <v>1</v>
      </c>
      <c r="W43" s="25">
        <f t="shared" si="6"/>
        <v>0</v>
      </c>
      <c r="X43" s="4">
        <f t="shared" si="7"/>
        <v>55</v>
      </c>
      <c r="Z43" s="23" t="e">
        <f t="shared" si="14"/>
        <v>#VALUE!</v>
      </c>
      <c r="AA43" s="23">
        <f t="shared" si="9"/>
        <v>0</v>
      </c>
      <c r="AB43" s="23" t="e">
        <f t="shared" si="10"/>
        <v>#VALUE!</v>
      </c>
      <c r="AC43" s="23">
        <f t="shared" si="13"/>
        <v>0</v>
      </c>
    </row>
    <row r="44" spans="1:29" ht="13.5" customHeight="1" x14ac:dyDescent="0.25">
      <c r="A44" s="2" t="str">
        <f t="array" ref="A44:E44">[1]!'TXYN07C22800.TF-ID,Name,Price,TotalVolume,InOutRatio'</f>
        <v>TXYN07C22800</v>
      </c>
      <c r="B44" s="2" t="str">
        <v>台指選07F4 C 22800</v>
      </c>
      <c r="C44" s="7" t="str">
        <v>--</v>
      </c>
      <c r="D44" s="2">
        <v>0</v>
      </c>
      <c r="E44" s="2" t="str">
        <v>--</v>
      </c>
      <c r="F44" s="71">
        <f t="shared" si="1"/>
        <v>0</v>
      </c>
      <c r="G44" s="71">
        <v>22800</v>
      </c>
      <c r="H44" s="71">
        <f t="shared" si="2"/>
        <v>-5.9976000000000012</v>
      </c>
      <c r="I44" s="2" t="str">
        <f t="array" ref="I44:M44">[1]!'TXYN07P22800.TF-ID,Name,Price,TotalVolume,InOutRatio'</f>
        <v>TXYN07P22800</v>
      </c>
      <c r="J44" s="2" t="str">
        <v>台指選07F4 P 22800</v>
      </c>
      <c r="K44" s="7">
        <v>69</v>
      </c>
      <c r="L44" s="2">
        <v>28</v>
      </c>
      <c r="M44" s="2">
        <v>39.29</v>
      </c>
      <c r="O44" s="12">
        <v>0</v>
      </c>
      <c r="P44" s="12">
        <v>22800</v>
      </c>
      <c r="R44" s="20" t="b">
        <f t="shared" si="12"/>
        <v>1</v>
      </c>
      <c r="S44" s="25">
        <f t="shared" si="3"/>
        <v>0</v>
      </c>
      <c r="T44" s="4" t="str">
        <f t="shared" si="4"/>
        <v>--</v>
      </c>
      <c r="V44" s="20" t="b">
        <f t="shared" si="5"/>
        <v>1</v>
      </c>
      <c r="W44" s="25">
        <f t="shared" si="6"/>
        <v>-5.9976000000000012</v>
      </c>
      <c r="X44" s="4">
        <f t="shared" si="7"/>
        <v>69</v>
      </c>
      <c r="Z44" s="23" t="e">
        <f t="shared" si="14"/>
        <v>#VALUE!</v>
      </c>
      <c r="AA44" s="23">
        <f t="shared" si="9"/>
        <v>0</v>
      </c>
      <c r="AB44" s="23" t="e">
        <f t="shared" si="10"/>
        <v>#VALUE!</v>
      </c>
      <c r="AC44" s="23">
        <f t="shared" si="13"/>
        <v>-7383.0456000000022</v>
      </c>
    </row>
    <row r="45" spans="1:29" ht="13.5" customHeight="1" x14ac:dyDescent="0.25">
      <c r="A45" s="2" t="str">
        <f t="array" ref="A45:E45">[1]!'TXYN07C22850.TF-ID,Name,Price,TotalVolume,InOutRatio'</f>
        <v>TXYN07C22850</v>
      </c>
      <c r="B45" s="2" t="str">
        <v>台指選07F4 C 22850</v>
      </c>
      <c r="C45" s="7" t="str">
        <v>--</v>
      </c>
      <c r="D45" s="2">
        <v>0</v>
      </c>
      <c r="E45" s="2" t="str">
        <v>--</v>
      </c>
      <c r="F45" s="71">
        <f t="shared" si="1"/>
        <v>0</v>
      </c>
      <c r="G45" s="71">
        <v>22850</v>
      </c>
      <c r="H45" s="71">
        <f t="shared" si="2"/>
        <v>-2</v>
      </c>
      <c r="I45" s="2" t="str">
        <f t="array" ref="I45:M45">[1]!'TXYN07P22850.TF-ID,Name,Price,TotalVolume,InOutRatio'</f>
        <v>TXYN07P22850</v>
      </c>
      <c r="J45" s="2" t="str">
        <v>台指選07F4 P 22850</v>
      </c>
      <c r="K45" s="7">
        <v>81</v>
      </c>
      <c r="L45" s="2">
        <v>16</v>
      </c>
      <c r="M45" s="2">
        <v>43.75</v>
      </c>
      <c r="O45" s="12">
        <v>0</v>
      </c>
      <c r="P45" s="12">
        <v>22850</v>
      </c>
      <c r="R45" s="20" t="b">
        <f t="shared" si="12"/>
        <v>1</v>
      </c>
      <c r="S45" s="25">
        <f t="shared" si="3"/>
        <v>0</v>
      </c>
      <c r="T45" s="4" t="str">
        <f t="shared" si="4"/>
        <v>--</v>
      </c>
      <c r="V45" s="20" t="b">
        <f t="shared" si="5"/>
        <v>1</v>
      </c>
      <c r="W45" s="25">
        <f t="shared" si="6"/>
        <v>-2</v>
      </c>
      <c r="X45" s="4">
        <f t="shared" si="7"/>
        <v>81</v>
      </c>
      <c r="Z45" s="23" t="e">
        <f t="shared" si="14"/>
        <v>#VALUE!</v>
      </c>
      <c r="AA45" s="23">
        <f t="shared" si="9"/>
        <v>0</v>
      </c>
      <c r="AB45" s="23" t="e">
        <f t="shared" si="10"/>
        <v>#VALUE!</v>
      </c>
      <c r="AC45" s="23">
        <f t="shared" si="13"/>
        <v>-2538</v>
      </c>
    </row>
    <row r="46" spans="1:29" ht="13.5" customHeight="1" x14ac:dyDescent="0.25">
      <c r="A46" s="2" t="str">
        <f t="array" ref="A46:E46">[1]!'TXYN07C22900.TF-ID,Name,Price,TotalVolume,InOutRatio'</f>
        <v>TXYN07C22900</v>
      </c>
      <c r="B46" s="2" t="str">
        <v>台指選07F4 C 22900</v>
      </c>
      <c r="C46" s="7">
        <v>515</v>
      </c>
      <c r="D46" s="2">
        <v>5</v>
      </c>
      <c r="E46" s="2">
        <v>0</v>
      </c>
      <c r="F46" s="71">
        <f t="shared" si="1"/>
        <v>-5</v>
      </c>
      <c r="G46" s="71">
        <v>22900</v>
      </c>
      <c r="H46" s="71">
        <f t="shared" si="2"/>
        <v>-5.154399999999999</v>
      </c>
      <c r="I46" s="2" t="str">
        <f t="array" ref="I46:M46">[1]!'TXYN07P22900.TF-ID,Name,Price,TotalVolume,InOutRatio'</f>
        <v>TXYN07P22900</v>
      </c>
      <c r="J46" s="2" t="str">
        <v>台指選07F4 P 22900</v>
      </c>
      <c r="K46" s="7">
        <v>82</v>
      </c>
      <c r="L46" s="2">
        <v>34</v>
      </c>
      <c r="M46" s="2">
        <v>42.42</v>
      </c>
      <c r="O46" s="12">
        <v>0</v>
      </c>
      <c r="P46" s="12">
        <v>22900</v>
      </c>
      <c r="R46" s="20" t="b">
        <f t="shared" si="12"/>
        <v>1</v>
      </c>
      <c r="S46" s="25">
        <f t="shared" si="3"/>
        <v>-5</v>
      </c>
      <c r="T46" s="4">
        <f t="shared" si="4"/>
        <v>515</v>
      </c>
      <c r="V46" s="20" t="b">
        <f t="shared" si="5"/>
        <v>1</v>
      </c>
      <c r="W46" s="25">
        <f t="shared" si="6"/>
        <v>-5.154399999999999</v>
      </c>
      <c r="X46" s="4">
        <f t="shared" si="7"/>
        <v>82</v>
      </c>
      <c r="Z46" s="23">
        <f t="shared" si="14"/>
        <v>0</v>
      </c>
      <c r="AA46" s="23">
        <f t="shared" si="9"/>
        <v>0</v>
      </c>
      <c r="AB46" s="23">
        <f t="shared" si="10"/>
        <v>2575</v>
      </c>
      <c r="AC46" s="23">
        <f t="shared" si="13"/>
        <v>-6793.4991999999993</v>
      </c>
    </row>
    <row r="47" spans="1:29" ht="13.5" customHeight="1" x14ac:dyDescent="0.25">
      <c r="A47" s="2" t="str">
        <f t="array" ref="A47:E47">[1]!'TXYN07C22950.TF-ID,Name,Price,TotalVolume,InOutRatio'</f>
        <v>TXYN07C22950</v>
      </c>
      <c r="B47" s="2" t="str">
        <v>台指選07F4 C 22950</v>
      </c>
      <c r="C47" s="7" t="str">
        <v>--</v>
      </c>
      <c r="D47" s="2">
        <v>0</v>
      </c>
      <c r="E47" s="2" t="str">
        <v>--</v>
      </c>
      <c r="F47" s="71">
        <f t="shared" si="1"/>
        <v>0</v>
      </c>
      <c r="G47" s="71">
        <v>22950</v>
      </c>
      <c r="H47" s="71">
        <f t="shared" si="2"/>
        <v>-1.0009999999999994</v>
      </c>
      <c r="I47" s="2" t="str">
        <f t="array" ref="I47:M47">[1]!'TXYN07P22950.TF-ID,Name,Price,TotalVolume,InOutRatio'</f>
        <v>TXYN07P22950</v>
      </c>
      <c r="J47" s="2" t="str">
        <v>台指選07F4 P 22950</v>
      </c>
      <c r="K47" s="7">
        <v>103</v>
      </c>
      <c r="L47" s="2">
        <v>11</v>
      </c>
      <c r="M47" s="2">
        <v>45.45</v>
      </c>
      <c r="O47" s="12">
        <v>394398.42119999981</v>
      </c>
      <c r="P47" s="12">
        <v>22950</v>
      </c>
      <c r="R47" s="20" t="b">
        <f t="shared" si="12"/>
        <v>1</v>
      </c>
      <c r="S47" s="25">
        <f t="shared" si="3"/>
        <v>0</v>
      </c>
      <c r="T47" s="4" t="str">
        <f t="shared" si="4"/>
        <v>--</v>
      </c>
      <c r="V47" s="20" t="b">
        <f t="shared" si="5"/>
        <v>1</v>
      </c>
      <c r="W47" s="25">
        <f t="shared" si="6"/>
        <v>-1.0009999999999994</v>
      </c>
      <c r="X47" s="4">
        <f t="shared" si="7"/>
        <v>103</v>
      </c>
      <c r="Z47" s="23" t="e">
        <f t="shared" si="14"/>
        <v>#VALUE!</v>
      </c>
      <c r="AA47" s="23">
        <f t="shared" si="9"/>
        <v>0</v>
      </c>
      <c r="AB47" s="23" t="e">
        <f t="shared" si="10"/>
        <v>#VALUE!</v>
      </c>
      <c r="AC47" s="23">
        <f t="shared" si="13"/>
        <v>-1348.3469999999993</v>
      </c>
    </row>
    <row r="48" spans="1:29" ht="13.5" customHeight="1" x14ac:dyDescent="0.25">
      <c r="A48" s="2" t="str">
        <f t="array" ref="A48:E48">[1]!'TXYN07C23000.TF-ID,Name,Price,TotalVolume,InOutRatio'</f>
        <v>TXYN07C23000</v>
      </c>
      <c r="B48" s="2" t="str">
        <v>台指選07F4 C 23000</v>
      </c>
      <c r="C48" s="7">
        <v>393</v>
      </c>
      <c r="D48" s="2">
        <v>4</v>
      </c>
      <c r="E48" s="2">
        <v>25</v>
      </c>
      <c r="F48" s="71">
        <f t="shared" si="1"/>
        <v>-2</v>
      </c>
      <c r="G48" s="71">
        <v>23000</v>
      </c>
      <c r="H48" s="71">
        <f t="shared" si="2"/>
        <v>-10.003200000000001</v>
      </c>
      <c r="I48" s="2" t="str">
        <f t="array" ref="I48:M48">[1]!'TXYN07P23000.TF-ID,Name,Price,TotalVolume,InOutRatio'</f>
        <v>TXYN07P23000</v>
      </c>
      <c r="J48" s="2" t="str">
        <v>台指選07F4 P 23000</v>
      </c>
      <c r="K48" s="7">
        <v>109</v>
      </c>
      <c r="L48" s="2">
        <v>48</v>
      </c>
      <c r="M48" s="2">
        <v>39.58</v>
      </c>
      <c r="O48" s="12">
        <v>1570869.0452000001</v>
      </c>
      <c r="P48" s="12">
        <v>23000</v>
      </c>
      <c r="R48" s="20" t="b">
        <f t="shared" si="12"/>
        <v>1</v>
      </c>
      <c r="S48" s="25">
        <f t="shared" si="3"/>
        <v>-2</v>
      </c>
      <c r="T48" s="4">
        <f t="shared" si="4"/>
        <v>393</v>
      </c>
      <c r="V48" s="20" t="b">
        <f t="shared" si="5"/>
        <v>1</v>
      </c>
      <c r="W48" s="25">
        <f t="shared" si="6"/>
        <v>-10.003200000000001</v>
      </c>
      <c r="X48" s="4">
        <f t="shared" si="7"/>
        <v>109</v>
      </c>
      <c r="Z48" s="23">
        <f t="shared" si="14"/>
        <v>0</v>
      </c>
      <c r="AA48" s="23">
        <f t="shared" si="9"/>
        <v>0</v>
      </c>
      <c r="AB48" s="23">
        <f t="shared" si="10"/>
        <v>786</v>
      </c>
      <c r="AC48" s="23">
        <f t="shared" si="13"/>
        <v>-13914.451200000003</v>
      </c>
    </row>
    <row r="49" spans="1:29" ht="13.5" customHeight="1" x14ac:dyDescent="0.25">
      <c r="A49" s="2" t="str">
        <f t="array" ref="A49:E49">[1]!'TXYN07C23050.TF-ID,Name,Price,TotalVolume,InOutRatio'</f>
        <v>TXYN07C23050</v>
      </c>
      <c r="B49" s="2" t="str">
        <v>台指選07F4 C 23050</v>
      </c>
      <c r="C49" s="7" t="str">
        <v>--</v>
      </c>
      <c r="D49" s="2">
        <v>0</v>
      </c>
      <c r="E49" s="2" t="str">
        <v>--</v>
      </c>
      <c r="F49" s="71">
        <f t="shared" si="1"/>
        <v>0</v>
      </c>
      <c r="G49" s="71">
        <v>23050</v>
      </c>
      <c r="H49" s="71">
        <f t="shared" si="2"/>
        <v>6</v>
      </c>
      <c r="I49" s="2" t="str">
        <f t="array" ref="I49:M49">[1]!'TXYN07P23050.TF-ID,Name,Price,TotalVolume,InOutRatio'</f>
        <v>TXYN07P23050</v>
      </c>
      <c r="J49" s="2" t="str">
        <v>台指選07F4 P 23050</v>
      </c>
      <c r="K49" s="7">
        <v>128</v>
      </c>
      <c r="L49" s="2">
        <v>12</v>
      </c>
      <c r="M49" s="2">
        <v>75</v>
      </c>
      <c r="O49" s="12">
        <v>0</v>
      </c>
      <c r="P49" s="12">
        <v>23050</v>
      </c>
      <c r="R49" s="20" t="b">
        <f t="shared" si="12"/>
        <v>1</v>
      </c>
      <c r="S49" s="25">
        <f t="shared" si="3"/>
        <v>0</v>
      </c>
      <c r="T49" s="4" t="str">
        <f t="shared" si="4"/>
        <v>--</v>
      </c>
      <c r="V49" s="20" t="b">
        <f t="shared" si="5"/>
        <v>1</v>
      </c>
      <c r="W49" s="25">
        <f t="shared" si="6"/>
        <v>6</v>
      </c>
      <c r="X49" s="4">
        <f t="shared" si="7"/>
        <v>128</v>
      </c>
      <c r="Z49" s="23" t="e">
        <f t="shared" si="14"/>
        <v>#VALUE!</v>
      </c>
      <c r="AA49" s="23">
        <f t="shared" si="9"/>
        <v>8532</v>
      </c>
      <c r="AB49" s="23" t="e">
        <f t="shared" si="10"/>
        <v>#VALUE!</v>
      </c>
      <c r="AC49" s="23">
        <f t="shared" si="13"/>
        <v>0</v>
      </c>
    </row>
    <row r="50" spans="1:29" ht="13.5" customHeight="1" x14ac:dyDescent="0.25">
      <c r="A50" s="2" t="str">
        <f t="array" ref="A50:E50">[1]!'TXYN07C23100.TF-ID,Name,Price,TotalVolume,InOutRatio'</f>
        <v>TXYN07C23100</v>
      </c>
      <c r="B50" s="2" t="str">
        <v>台指選07F4 C 23100</v>
      </c>
      <c r="C50" s="7">
        <v>307</v>
      </c>
      <c r="D50" s="2">
        <v>4</v>
      </c>
      <c r="E50" s="2">
        <v>100</v>
      </c>
      <c r="F50" s="71">
        <f t="shared" si="1"/>
        <v>4</v>
      </c>
      <c r="G50" s="71">
        <v>23100</v>
      </c>
      <c r="H50" s="71">
        <f t="shared" si="2"/>
        <v>82.005600000000001</v>
      </c>
      <c r="I50" s="2" t="str">
        <f t="array" ref="I50:M50">[1]!'TXYN07P23100.TF-ID,Name,Price,TotalVolume,InOutRatio'</f>
        <v>TXYN07P23100</v>
      </c>
      <c r="J50" s="2" t="str">
        <v>台指選07F4 P 23100</v>
      </c>
      <c r="K50" s="7">
        <v>127</v>
      </c>
      <c r="L50" s="2">
        <v>94</v>
      </c>
      <c r="M50" s="2">
        <v>93.62</v>
      </c>
      <c r="O50" s="12">
        <v>0</v>
      </c>
      <c r="P50" s="12">
        <v>23100</v>
      </c>
      <c r="R50" s="20" t="b">
        <f t="shared" si="12"/>
        <v>1</v>
      </c>
      <c r="S50" s="25">
        <f t="shared" si="3"/>
        <v>4</v>
      </c>
      <c r="T50" s="4">
        <f t="shared" si="4"/>
        <v>307</v>
      </c>
      <c r="V50" s="20" t="b">
        <f t="shared" si="5"/>
        <v>1</v>
      </c>
      <c r="W50" s="25">
        <f t="shared" si="6"/>
        <v>82.005600000000001</v>
      </c>
      <c r="X50" s="4">
        <f t="shared" si="7"/>
        <v>127</v>
      </c>
      <c r="Z50" s="23">
        <f t="shared" si="14"/>
        <v>-1228</v>
      </c>
      <c r="AA50" s="23">
        <f t="shared" si="9"/>
        <v>120794.24879999999</v>
      </c>
      <c r="AB50" s="23">
        <f t="shared" si="10"/>
        <v>0</v>
      </c>
      <c r="AC50" s="23">
        <f t="shared" si="13"/>
        <v>0</v>
      </c>
    </row>
    <row r="51" spans="1:29" ht="13.5" customHeight="1" x14ac:dyDescent="0.25">
      <c r="A51" s="2" t="str">
        <f t="array" ref="A51:E51">[1]!'TXYN07C23150.TF-ID,Name,Price,TotalVolume,InOutRatio'</f>
        <v>TXYN07C23150</v>
      </c>
      <c r="B51" s="2" t="str">
        <v>台指選07F4 C 23150</v>
      </c>
      <c r="C51" s="7">
        <v>280</v>
      </c>
      <c r="D51" s="2">
        <v>3</v>
      </c>
      <c r="E51" s="2">
        <v>66.67</v>
      </c>
      <c r="F51" s="71">
        <f t="shared" si="1"/>
        <v>1.0002</v>
      </c>
      <c r="G51" s="71">
        <v>23150</v>
      </c>
      <c r="H51" s="71">
        <f t="shared" si="2"/>
        <v>0</v>
      </c>
      <c r="I51" s="2" t="str">
        <f t="array" ref="I51:M51">[1]!'TXYN07P23150.TF-ID,Name,Price,TotalVolume,InOutRatio'</f>
        <v>TXYN07P23150</v>
      </c>
      <c r="J51" s="2" t="str">
        <v>台指選07F4 P 23150</v>
      </c>
      <c r="K51" s="7">
        <v>150</v>
      </c>
      <c r="L51" s="2">
        <v>6</v>
      </c>
      <c r="M51" s="2">
        <v>50</v>
      </c>
      <c r="O51" s="12">
        <v>1109674.0948999997</v>
      </c>
      <c r="P51" s="12">
        <v>23150</v>
      </c>
      <c r="R51" s="20" t="b">
        <f t="shared" si="12"/>
        <v>1</v>
      </c>
      <c r="S51" s="25">
        <f t="shared" si="3"/>
        <v>1.0002</v>
      </c>
      <c r="T51" s="4">
        <f t="shared" si="4"/>
        <v>280</v>
      </c>
      <c r="V51" s="20" t="b">
        <f t="shared" si="5"/>
        <v>1</v>
      </c>
      <c r="W51" s="25">
        <f t="shared" si="6"/>
        <v>0</v>
      </c>
      <c r="X51" s="4">
        <f t="shared" si="7"/>
        <v>150</v>
      </c>
      <c r="Z51" s="23">
        <f t="shared" si="14"/>
        <v>-280.05599999999998</v>
      </c>
      <c r="AA51" s="23">
        <f t="shared" si="9"/>
        <v>0</v>
      </c>
      <c r="AB51" s="23">
        <f t="shared" si="10"/>
        <v>0</v>
      </c>
      <c r="AC51" s="23">
        <f t="shared" si="13"/>
        <v>0</v>
      </c>
    </row>
    <row r="52" spans="1:29" ht="13.5" customHeight="1" x14ac:dyDescent="0.25">
      <c r="A52" s="2" t="str">
        <f t="array" ref="A52:E52">[1]!'TXYN07C23200.TF-ID,Name,Price,TotalVolume,InOutRatio'</f>
        <v>TXYN07C23200</v>
      </c>
      <c r="B52" s="2" t="str">
        <v>台指選07F4 C 23200</v>
      </c>
      <c r="C52" s="7">
        <v>250</v>
      </c>
      <c r="D52" s="2">
        <v>6</v>
      </c>
      <c r="E52" s="2">
        <v>33.33</v>
      </c>
      <c r="F52" s="71">
        <f t="shared" si="1"/>
        <v>-2.0004</v>
      </c>
      <c r="G52" s="71">
        <v>23200</v>
      </c>
      <c r="H52" s="71">
        <f t="shared" si="2"/>
        <v>17.005199999999991</v>
      </c>
      <c r="I52" s="2" t="str">
        <f t="array" ref="I52:M52">[1]!'TXYN07P23200.TF-ID,Name,Price,TotalVolume,InOutRatio'</f>
        <v>TXYN07P23200</v>
      </c>
      <c r="J52" s="2" t="str">
        <v>台指選07F4 P 23200</v>
      </c>
      <c r="K52" s="7">
        <v>178</v>
      </c>
      <c r="L52" s="2">
        <v>111</v>
      </c>
      <c r="M52" s="2">
        <v>57.66</v>
      </c>
      <c r="O52" s="12">
        <v>0</v>
      </c>
      <c r="P52" s="12">
        <v>23200</v>
      </c>
      <c r="R52" s="20" t="b">
        <f t="shared" si="12"/>
        <v>1</v>
      </c>
      <c r="S52" s="25">
        <f t="shared" si="3"/>
        <v>-2.0004</v>
      </c>
      <c r="T52" s="4">
        <f t="shared" si="4"/>
        <v>250</v>
      </c>
      <c r="V52" s="20" t="b">
        <f t="shared" si="5"/>
        <v>1</v>
      </c>
      <c r="W52" s="25">
        <f t="shared" si="6"/>
        <v>17.005199999999991</v>
      </c>
      <c r="X52" s="4">
        <f t="shared" si="7"/>
        <v>178</v>
      </c>
      <c r="Z52" s="23">
        <f t="shared" si="14"/>
        <v>0</v>
      </c>
      <c r="AA52" s="23">
        <f t="shared" si="9"/>
        <v>25881.914399999987</v>
      </c>
      <c r="AB52" s="23">
        <f t="shared" si="10"/>
        <v>500.09999999999997</v>
      </c>
      <c r="AC52" s="23">
        <f t="shared" si="13"/>
        <v>0</v>
      </c>
    </row>
    <row r="53" spans="1:29" ht="13.5" customHeight="1" x14ac:dyDescent="0.25">
      <c r="A53" s="2" t="str">
        <f t="array" ref="A53:E53">[1]!'TXYN07C23250.TF-ID,Name,Price,TotalVolume,InOutRatio'</f>
        <v>TXYN07C23250</v>
      </c>
      <c r="B53" s="2" t="str">
        <v>台指選07F4 C 23250</v>
      </c>
      <c r="C53" s="7">
        <v>222</v>
      </c>
      <c r="D53" s="2">
        <v>31</v>
      </c>
      <c r="E53" s="2">
        <v>41.94</v>
      </c>
      <c r="F53" s="71">
        <f t="shared" si="1"/>
        <v>-4.9972000000000012</v>
      </c>
      <c r="G53" s="71">
        <v>23250</v>
      </c>
      <c r="H53" s="71">
        <f t="shared" si="2"/>
        <v>55.968799999999987</v>
      </c>
      <c r="I53" s="2" t="str">
        <f t="array" ref="I53:M53">[1]!'TXYN07P23250.TF-ID,Name,Price,TotalVolume,InOutRatio'</f>
        <v>TXYN07P23250</v>
      </c>
      <c r="J53" s="2" t="str">
        <v>台指選07F4 P 23250</v>
      </c>
      <c r="K53" s="7">
        <v>186</v>
      </c>
      <c r="L53" s="2">
        <v>172</v>
      </c>
      <c r="M53" s="2">
        <v>66.27</v>
      </c>
      <c r="O53" s="12">
        <v>97229.630399999922</v>
      </c>
      <c r="P53" s="12">
        <v>23250</v>
      </c>
      <c r="R53" s="20" t="b">
        <f t="shared" si="12"/>
        <v>1</v>
      </c>
      <c r="S53" s="25">
        <f t="shared" si="3"/>
        <v>-4.9972000000000012</v>
      </c>
      <c r="T53" s="4">
        <f t="shared" si="4"/>
        <v>222</v>
      </c>
      <c r="V53" s="20" t="b">
        <f t="shared" si="5"/>
        <v>1</v>
      </c>
      <c r="W53" s="25">
        <f t="shared" si="6"/>
        <v>55.968799999999987</v>
      </c>
      <c r="X53" s="4">
        <f t="shared" si="7"/>
        <v>186</v>
      </c>
      <c r="Z53" s="23">
        <f t="shared" si="14"/>
        <v>0</v>
      </c>
      <c r="AA53" s="23">
        <f t="shared" si="9"/>
        <v>87535.203199999989</v>
      </c>
      <c r="AB53" s="23">
        <f t="shared" si="10"/>
        <v>1109.3784000000003</v>
      </c>
      <c r="AC53" s="23">
        <f t="shared" si="13"/>
        <v>0</v>
      </c>
    </row>
    <row r="54" spans="1:29" ht="13.5" customHeight="1" x14ac:dyDescent="0.25">
      <c r="A54" s="2" t="str">
        <f t="array" ref="A54:E54">[1]!'TXYN07C23300.TF-ID,Name,Price,TotalVolume,InOutRatio'</f>
        <v>TXYN07C23300</v>
      </c>
      <c r="B54" s="2" t="str">
        <v>台指選07F4 C 23300</v>
      </c>
      <c r="C54" s="7">
        <v>192</v>
      </c>
      <c r="D54" s="2">
        <v>50</v>
      </c>
      <c r="E54" s="2">
        <v>36</v>
      </c>
      <c r="F54" s="71">
        <f t="shared" si="1"/>
        <v>-14.000000000000002</v>
      </c>
      <c r="G54" s="71">
        <v>23300</v>
      </c>
      <c r="H54" s="71">
        <f t="shared" si="2"/>
        <v>-35.001799999999996</v>
      </c>
      <c r="I54" s="2" t="str">
        <f t="array" ref="I54:M54">[1]!'TXYN07P23300.TF-ID,Name,Price,TotalVolume,InOutRatio'</f>
        <v>TXYN07P23300</v>
      </c>
      <c r="J54" s="2" t="str">
        <v>台指選07F4 P 23300</v>
      </c>
      <c r="K54" s="7">
        <v>208</v>
      </c>
      <c r="L54" s="2">
        <v>61</v>
      </c>
      <c r="M54" s="2">
        <v>21.31</v>
      </c>
      <c r="O54" s="12">
        <v>0</v>
      </c>
      <c r="P54" s="12">
        <v>23300</v>
      </c>
      <c r="R54" s="20" t="b">
        <f t="shared" si="12"/>
        <v>1</v>
      </c>
      <c r="S54" s="25">
        <f t="shared" si="3"/>
        <v>-14.000000000000002</v>
      </c>
      <c r="T54" s="4">
        <f t="shared" si="4"/>
        <v>192</v>
      </c>
      <c r="V54" s="20" t="b">
        <f t="shared" si="5"/>
        <v>1</v>
      </c>
      <c r="W54" s="25">
        <f t="shared" si="6"/>
        <v>-35.001799999999996</v>
      </c>
      <c r="X54" s="4">
        <f t="shared" si="7"/>
        <v>208</v>
      </c>
      <c r="Z54" s="23">
        <f t="shared" si="14"/>
        <v>0</v>
      </c>
      <c r="AA54" s="23">
        <f t="shared" si="9"/>
        <v>0</v>
      </c>
      <c r="AB54" s="23">
        <f t="shared" si="10"/>
        <v>2688.0000000000005</v>
      </c>
      <c r="AC54" s="23">
        <f t="shared" si="13"/>
        <v>-55722.86559999999</v>
      </c>
    </row>
    <row r="55" spans="1:29" ht="13.5" customHeight="1" x14ac:dyDescent="0.25">
      <c r="A55" s="2" t="str">
        <f t="array" ref="A55:E55">[1]!'TXYN07C23350.TF-ID,Name,Price,TotalVolume,InOutRatio'</f>
        <v>TXYN07C23350</v>
      </c>
      <c r="B55" s="2" t="str">
        <v>台指選07F4 C 23350</v>
      </c>
      <c r="C55" s="7">
        <v>173</v>
      </c>
      <c r="D55" s="2">
        <v>48</v>
      </c>
      <c r="E55" s="2">
        <v>43.75</v>
      </c>
      <c r="F55" s="71">
        <f t="shared" si="1"/>
        <v>-6</v>
      </c>
      <c r="G55" s="71">
        <v>23350</v>
      </c>
      <c r="H55" s="71">
        <f t="shared" si="2"/>
        <v>-50.999399999999994</v>
      </c>
      <c r="I55" s="2" t="str">
        <f t="array" ref="I55:M55">[1]!'TXYN07P23350.TF-ID,Name,Price,TotalVolume,InOutRatio'</f>
        <v>TXYN07P23350</v>
      </c>
      <c r="J55" s="2" t="str">
        <v>台指選07F4 P 23350</v>
      </c>
      <c r="K55" s="7">
        <v>248</v>
      </c>
      <c r="L55" s="2">
        <v>87</v>
      </c>
      <c r="M55" s="2">
        <v>20.69</v>
      </c>
      <c r="O55" s="12">
        <v>0</v>
      </c>
      <c r="P55" s="12">
        <v>23350</v>
      </c>
      <c r="R55" s="20" t="b">
        <f t="shared" si="12"/>
        <v>1</v>
      </c>
      <c r="S55" s="25">
        <f t="shared" si="3"/>
        <v>-6</v>
      </c>
      <c r="T55" s="4">
        <f t="shared" si="4"/>
        <v>173</v>
      </c>
      <c r="V55" s="20" t="b">
        <f t="shared" si="5"/>
        <v>1</v>
      </c>
      <c r="W55" s="25">
        <f t="shared" si="6"/>
        <v>-50.999399999999994</v>
      </c>
      <c r="X55" s="4">
        <f t="shared" si="7"/>
        <v>248</v>
      </c>
      <c r="Z55" s="23">
        <f t="shared" si="14"/>
        <v>0</v>
      </c>
      <c r="AA55" s="23">
        <f t="shared" si="9"/>
        <v>0</v>
      </c>
      <c r="AB55" s="23">
        <f t="shared" si="10"/>
        <v>1038</v>
      </c>
      <c r="AC55" s="23">
        <f t="shared" si="13"/>
        <v>-81701.03879999998</v>
      </c>
    </row>
    <row r="56" spans="1:29" ht="13.5" customHeight="1" x14ac:dyDescent="0.25">
      <c r="A56" s="2" t="str">
        <f t="array" ref="A56:E56">[1]!'TXYN07C23400.TF-ID,Name,Price,TotalVolume,InOutRatio'</f>
        <v>TXYN07C23400</v>
      </c>
      <c r="B56" s="2" t="str">
        <v>台指選07F4 C 23400</v>
      </c>
      <c r="C56" s="7">
        <v>134</v>
      </c>
      <c r="D56" s="2">
        <v>78</v>
      </c>
      <c r="E56" s="2">
        <v>14.1</v>
      </c>
      <c r="F56" s="71">
        <f t="shared" si="1"/>
        <v>-56.003999999999998</v>
      </c>
      <c r="G56" s="71">
        <v>23400</v>
      </c>
      <c r="H56" s="71">
        <f t="shared" si="2"/>
        <v>-28.001999999999999</v>
      </c>
      <c r="I56" s="2" t="str">
        <f t="array" ref="I56:M56">[1]!'TXYN07P23400.TF-ID,Name,Price,TotalVolume,InOutRatio'</f>
        <v>TXYN07P23400</v>
      </c>
      <c r="J56" s="2" t="str">
        <v>台指選07F4 P 23400</v>
      </c>
      <c r="K56" s="7">
        <v>264</v>
      </c>
      <c r="L56" s="2">
        <v>30</v>
      </c>
      <c r="M56" s="2">
        <v>3.33</v>
      </c>
      <c r="O56" s="12">
        <v>162926.56049999993</v>
      </c>
      <c r="P56" s="12">
        <v>23400</v>
      </c>
      <c r="R56" s="20" t="b">
        <f t="shared" si="12"/>
        <v>1</v>
      </c>
      <c r="S56" s="25">
        <f t="shared" si="3"/>
        <v>-56.003999999999998</v>
      </c>
      <c r="T56" s="4">
        <f t="shared" si="4"/>
        <v>134</v>
      </c>
      <c r="V56" s="20" t="b">
        <f t="shared" si="5"/>
        <v>1</v>
      </c>
      <c r="W56" s="25">
        <f t="shared" si="6"/>
        <v>-28.001999999999999</v>
      </c>
      <c r="X56" s="4">
        <f t="shared" si="7"/>
        <v>264</v>
      </c>
      <c r="Z56" s="23">
        <f t="shared" si="14"/>
        <v>0</v>
      </c>
      <c r="AA56" s="23">
        <f t="shared" si="9"/>
        <v>0</v>
      </c>
      <c r="AB56" s="23">
        <f t="shared" si="10"/>
        <v>7504.5360000000001</v>
      </c>
      <c r="AC56" s="23">
        <f t="shared" si="13"/>
        <v>-45811.271999999997</v>
      </c>
    </row>
    <row r="57" spans="1:29" ht="13.5" customHeight="1" x14ac:dyDescent="0.25">
      <c r="A57" s="2" t="str">
        <f t="array" ref="A57:E57">[1]!'TXYN07C23500.TF-ID,Name,Price,TotalVolume,InOutRatio'</f>
        <v>TXYN07C23500</v>
      </c>
      <c r="B57" s="2" t="str">
        <v>台指選07F4 C 23500</v>
      </c>
      <c r="C57" s="7">
        <v>96</v>
      </c>
      <c r="D57" s="2">
        <v>139</v>
      </c>
      <c r="E57" s="2">
        <v>42.45</v>
      </c>
      <c r="F57" s="71">
        <f t="shared" si="1"/>
        <v>-20.98899999999999</v>
      </c>
      <c r="G57" s="71">
        <v>23500</v>
      </c>
      <c r="H57" s="71">
        <f t="shared" si="2"/>
        <v>0</v>
      </c>
      <c r="I57" s="2" t="str">
        <f t="array" ref="I57:M57">[1]!'TXYN07P23500.TF-ID,Name,Price,TotalVolume,InOutRatio'</f>
        <v>TXYN07P23500</v>
      </c>
      <c r="J57" s="2" t="str">
        <v>台指選07F4 P 23500</v>
      </c>
      <c r="K57" s="7" t="str">
        <v>--</v>
      </c>
      <c r="L57" s="2">
        <v>0</v>
      </c>
      <c r="M57" s="2" t="str">
        <v>--</v>
      </c>
      <c r="O57" s="12">
        <v>0</v>
      </c>
      <c r="P57" s="12">
        <v>23500</v>
      </c>
      <c r="R57" s="20" t="b">
        <f t="shared" si="12"/>
        <v>1</v>
      </c>
      <c r="S57" s="25">
        <f t="shared" si="3"/>
        <v>-20.98899999999999</v>
      </c>
      <c r="T57" s="4">
        <f t="shared" si="4"/>
        <v>96</v>
      </c>
      <c r="V57" s="20" t="b">
        <f t="shared" si="5"/>
        <v>1</v>
      </c>
      <c r="W57" s="25">
        <f t="shared" si="6"/>
        <v>0</v>
      </c>
      <c r="X57" s="4" t="str">
        <f t="shared" si="7"/>
        <v>--</v>
      </c>
      <c r="Z57" s="23">
        <f t="shared" si="14"/>
        <v>0</v>
      </c>
      <c r="AA57" s="23" t="e">
        <f t="shared" si="9"/>
        <v>#VALUE!</v>
      </c>
      <c r="AB57" s="23">
        <f t="shared" si="10"/>
        <v>2014.9439999999991</v>
      </c>
      <c r="AC57" s="23" t="e">
        <f t="shared" si="13"/>
        <v>#VALUE!</v>
      </c>
    </row>
    <row r="58" spans="1:29" ht="13.5" customHeight="1" x14ac:dyDescent="0.25">
      <c r="A58" s="2" t="str">
        <f t="array" ref="A58:E58">[1]!'TXYN07C23600.TF-ID,Name,Price,TotalVolume,InOutRatio'</f>
        <v>TXYN07C23600</v>
      </c>
      <c r="B58" s="2" t="str">
        <v>台指選07F4 C 23600</v>
      </c>
      <c r="C58" s="7">
        <v>63</v>
      </c>
      <c r="D58" s="2">
        <v>101</v>
      </c>
      <c r="E58" s="2">
        <v>11.88</v>
      </c>
      <c r="F58" s="71"/>
      <c r="G58" s="71"/>
      <c r="H58" s="71"/>
      <c r="I58" s="2" t="str">
        <f t="array" ref="I58:M58">[1]!'TXYN07P23600.TF-ID,Name,Price,TotalVolume,InOutRatio'</f>
        <v>TXYN07P23600</v>
      </c>
      <c r="J58" s="2" t="str">
        <v>台指選07F4 P 23600</v>
      </c>
      <c r="K58" s="7">
        <v>355</v>
      </c>
      <c r="L58" s="2">
        <v>1</v>
      </c>
      <c r="M58" s="2">
        <v>100</v>
      </c>
    </row>
    <row r="59" spans="1:29" ht="13.5" customHeight="1" x14ac:dyDescent="0.25">
      <c r="A59" s="2" t="str">
        <f t="array" ref="A59:E59">[1]!'TXYN07C23700.TF-ID,Name,Price,TotalVolume,InOutRatio'</f>
        <v>TXYN07C23700</v>
      </c>
      <c r="B59" s="2" t="str">
        <v>台指選07F4 C 23700</v>
      </c>
      <c r="C59" s="7">
        <v>45</v>
      </c>
      <c r="D59" s="2">
        <v>90</v>
      </c>
      <c r="E59" s="2">
        <v>27.78</v>
      </c>
      <c r="F59" s="68"/>
      <c r="G59" s="68"/>
      <c r="H59" s="68"/>
      <c r="I59" s="2" t="str">
        <f t="array" ref="I59:M59">[1]!'TXYN07P23700.TF-ID,Name,Price,TotalVolume,InOutRatio'</f>
        <v>TXYN07P23700</v>
      </c>
      <c r="J59" s="2" t="str">
        <v>台指選07F4 P 23700</v>
      </c>
      <c r="K59" s="7">
        <v>430</v>
      </c>
      <c r="L59" s="2">
        <v>2</v>
      </c>
      <c r="M59" s="2">
        <v>0</v>
      </c>
    </row>
    <row r="60" spans="1:29" ht="13.5" customHeight="1" x14ac:dyDescent="0.25">
      <c r="A60" s="2" t="str">
        <f t="array" ref="A60:E60">[1]!'TXYN07C23800.TF-ID,Name,Price,TotalVolume,InOutRatio'</f>
        <v>TXYN07C23800</v>
      </c>
      <c r="B60" s="2" t="str">
        <v>台指選07F4 C 23800</v>
      </c>
      <c r="C60" s="7">
        <v>28</v>
      </c>
      <c r="D60" s="2">
        <v>502</v>
      </c>
      <c r="E60" s="2">
        <v>10.58</v>
      </c>
      <c r="F60" s="68"/>
      <c r="G60" s="68"/>
      <c r="H60" s="68"/>
      <c r="I60" s="2" t="str">
        <f t="array" ref="I60:M60">[1]!'TXYN07P23800.TF-ID,Name,Price,TotalVolume,InOutRatio'</f>
        <v>TXYN07P23800</v>
      </c>
      <c r="J60" s="2" t="str">
        <v>台指選07F4 P 23800</v>
      </c>
      <c r="K60" s="7" t="str">
        <v>--</v>
      </c>
      <c r="L60" s="2">
        <v>0</v>
      </c>
      <c r="M60" s="2" t="str">
        <v>--</v>
      </c>
    </row>
    <row r="61" spans="1:29" ht="13.5" customHeight="1" x14ac:dyDescent="0.25">
      <c r="A61" s="2" t="str">
        <f t="array" ref="A61:E61">[1]!'TXYN07C23900.TF-ID,Name,Price,TotalVolume,InOutRatio'</f>
        <v>TXYN07C23900</v>
      </c>
      <c r="B61" s="2" t="str">
        <v>台指選07F4 C 23900</v>
      </c>
      <c r="C61" s="7">
        <v>18.5</v>
      </c>
      <c r="D61" s="2">
        <v>438</v>
      </c>
      <c r="E61" s="2">
        <v>14.38</v>
      </c>
      <c r="F61" s="68"/>
      <c r="G61" s="68"/>
      <c r="H61" s="68"/>
      <c r="I61" s="2" t="str">
        <f t="array" ref="I61:M61">[1]!'TXYN07P23900.TF-ID,Name,Price,TotalVolume,InOutRatio'</f>
        <v>TXYN07P23900</v>
      </c>
      <c r="J61" s="2" t="str">
        <v>台指選07F4 P 23900</v>
      </c>
      <c r="K61" s="7" t="str">
        <v>--</v>
      </c>
      <c r="L61" s="2">
        <v>0</v>
      </c>
      <c r="M61" s="2" t="str">
        <v>--</v>
      </c>
    </row>
    <row r="62" spans="1:29" ht="13.5" customHeight="1" x14ac:dyDescent="0.25">
      <c r="A62" s="2" t="str">
        <f t="array" ref="A62:E62">[1]!'TXYN07C24000.TF-ID,Name,Price,TotalVolume,InOutRatio'</f>
        <v>TXYN07C24000</v>
      </c>
      <c r="B62" s="2" t="str">
        <v>台指選07F4 C 24000</v>
      </c>
      <c r="C62" s="7">
        <v>15</v>
      </c>
      <c r="D62" s="2">
        <v>234</v>
      </c>
      <c r="E62" s="2">
        <v>68.8</v>
      </c>
      <c r="F62" s="68"/>
      <c r="G62" s="68"/>
      <c r="H62" s="68"/>
      <c r="I62" s="2" t="str">
        <f t="array" ref="I62:M62">[1]!'TXYN07P24000.TF-ID,Name,Price,TotalVolume,InOutRatio'</f>
        <v>TXYN07P24000</v>
      </c>
      <c r="J62" s="2" t="str">
        <v>台指選07F4 P 24000</v>
      </c>
      <c r="K62" s="7" t="str">
        <v>--</v>
      </c>
      <c r="L62" s="2">
        <v>0</v>
      </c>
      <c r="M62" s="2" t="str">
        <v>--</v>
      </c>
    </row>
    <row r="63" spans="1:29" ht="13.5" customHeight="1" x14ac:dyDescent="0.25">
      <c r="A63" s="2" t="str">
        <f t="array" ref="A63:E63">[1]!'TXYN07C24100.TF-ID,Name,Price,TotalVolume,InOutRatio'</f>
        <v>TXYN07C24100</v>
      </c>
      <c r="B63" s="2" t="str">
        <v>台指選07F4 C 24100</v>
      </c>
      <c r="C63" s="7">
        <v>8</v>
      </c>
      <c r="D63" s="2">
        <v>87</v>
      </c>
      <c r="E63" s="2">
        <v>36.78</v>
      </c>
      <c r="F63" s="68"/>
      <c r="G63" s="68"/>
      <c r="H63" s="68"/>
      <c r="I63" s="2" t="str">
        <f t="array" ref="I63:M63">[1]!'TXYN07P24100.TF-ID,Name,Price,TotalVolume,InOutRatio'</f>
        <v>TXYN07P24100</v>
      </c>
      <c r="J63" s="2" t="str">
        <v>台指選07F4 P 24100</v>
      </c>
      <c r="K63" s="7" t="str">
        <v>--</v>
      </c>
      <c r="L63" s="2">
        <v>0</v>
      </c>
      <c r="M63" s="2" t="str">
        <v>--</v>
      </c>
    </row>
    <row r="64" spans="1:29" ht="13.5" customHeight="1" x14ac:dyDescent="0.25">
      <c r="A64" s="2" t="str">
        <f t="array" ref="A64:E64">[1]!'TXYN07C24200.TF-ID,Name,Price,TotalVolume,InOutRatio'</f>
        <v>TXYN07C24200</v>
      </c>
      <c r="B64" s="2" t="str">
        <v>台指選07F4 C 24200</v>
      </c>
      <c r="C64" s="7">
        <v>4.5</v>
      </c>
      <c r="D64" s="2">
        <v>117</v>
      </c>
      <c r="E64" s="2">
        <v>34.86</v>
      </c>
      <c r="F64" s="68"/>
      <c r="G64" s="68"/>
      <c r="H64" s="68"/>
      <c r="I64" s="2" t="str">
        <f t="array" ref="I64:M64">[1]!'TXYN07P24200.TF-ID,Name,Price,TotalVolume,InOutRatio'</f>
        <v>TXYN07P24200</v>
      </c>
      <c r="J64" s="2" t="str">
        <v>台指選07F4 P 24200</v>
      </c>
      <c r="K64" s="7" t="str">
        <v>--</v>
      </c>
      <c r="L64" s="2">
        <v>0</v>
      </c>
      <c r="M64" s="2" t="str">
        <v>--</v>
      </c>
    </row>
    <row r="65" spans="1:13" ht="13.5" customHeight="1" x14ac:dyDescent="0.25">
      <c r="A65" s="2" t="str">
        <f t="array" ref="A65:E65">[1]!'TXYN07C24300.TF-ID,Name,Price,TotalVolume,InOutRatio'</f>
        <v>TXYN07C24300</v>
      </c>
      <c r="B65" s="2" t="str">
        <v>台指選07F4 C 24300</v>
      </c>
      <c r="C65" s="7">
        <v>4.5</v>
      </c>
      <c r="D65" s="2">
        <v>22</v>
      </c>
      <c r="E65" s="2">
        <v>63.64</v>
      </c>
      <c r="F65" s="68"/>
      <c r="G65" s="68"/>
      <c r="H65" s="68"/>
      <c r="I65" s="2" t="str">
        <f t="array" ref="I65:M65">[1]!'TXYN07P24300.TF-ID,Name,Price,TotalVolume,InOutRatio'</f>
        <v>TXYN07P24300</v>
      </c>
      <c r="J65" s="2" t="str">
        <v>台指選07F4 P 24300</v>
      </c>
      <c r="K65" s="7" t="str">
        <v>--</v>
      </c>
      <c r="L65" s="2">
        <v>0</v>
      </c>
      <c r="M65" s="2" t="str">
        <v>--</v>
      </c>
    </row>
    <row r="66" spans="1:13" ht="13.5" customHeight="1" x14ac:dyDescent="0.25">
      <c r="A66" s="2" t="str">
        <f t="array" ref="A66:E66">[1]!'TXYN07C24400.TF-ID,Name,Price,TotalVolume,InOutRatio'</f>
        <v>TXYN07C24400</v>
      </c>
      <c r="B66" s="2" t="str">
        <v>台指選07F4 C 24400</v>
      </c>
      <c r="C66" s="7">
        <v>3</v>
      </c>
      <c r="D66" s="2">
        <v>8</v>
      </c>
      <c r="E66" s="2">
        <v>62.5</v>
      </c>
      <c r="F66" s="68"/>
      <c r="G66" s="68"/>
      <c r="H66" s="68"/>
      <c r="I66" s="2" t="str">
        <f t="array" ref="I66:M66">[1]!'TXYN07P24400.TF-ID,Name,Price,TotalVolume,InOutRatio'</f>
        <v>TXYN07P24400</v>
      </c>
      <c r="J66" s="2" t="str">
        <v>台指選07F4 P 24400</v>
      </c>
      <c r="K66" s="7" t="str">
        <v>--</v>
      </c>
      <c r="L66" s="2">
        <v>0</v>
      </c>
      <c r="M66" s="2" t="str">
        <v>--</v>
      </c>
    </row>
    <row r="67" spans="1:13" ht="13.5" customHeight="1" x14ac:dyDescent="0.25">
      <c r="A67" s="2" t="str">
        <f t="array" ref="A67:E67">[1]!'TXYN07C24500.TF-ID,Name,Price,TotalVolume,InOutRatio'</f>
        <v>TXYN07C24500</v>
      </c>
      <c r="B67" s="2" t="str">
        <v>台指選07F4 C 24500</v>
      </c>
      <c r="C67" s="7">
        <v>5.8</v>
      </c>
      <c r="D67" s="2">
        <v>1</v>
      </c>
      <c r="E67" s="2">
        <v>100</v>
      </c>
      <c r="F67" s="68"/>
      <c r="G67" s="68"/>
      <c r="H67" s="68"/>
      <c r="I67" s="2" t="str">
        <f t="array" ref="I67:M67">[1]!'TXYN07P24500.TF-ID,Name,Price,TotalVolume,InOutRatio'</f>
        <v>TXYN07P24500</v>
      </c>
      <c r="J67" s="2" t="str">
        <v>台指選07F4 P 24500</v>
      </c>
      <c r="K67" s="7" t="str">
        <v>--</v>
      </c>
      <c r="L67" s="2">
        <v>0</v>
      </c>
      <c r="M67" s="2" t="str">
        <v>--</v>
      </c>
    </row>
    <row r="68" spans="1:13" ht="13.5" customHeight="1" x14ac:dyDescent="0.25">
      <c r="A68" s="2" t="str">
        <f t="array" ref="A68:E68">[1]!'TXYN07C24600.TF-ID,Name,Price,TotalVolume,InOutRatio'</f>
        <v>TXYN07C24600</v>
      </c>
      <c r="B68" s="2" t="str">
        <v>台指選07F4 C 24600</v>
      </c>
      <c r="C68" s="7">
        <v>3</v>
      </c>
      <c r="D68" s="2">
        <v>27</v>
      </c>
      <c r="E68" s="2">
        <v>30.77</v>
      </c>
      <c r="F68" s="68"/>
      <c r="G68" s="68"/>
      <c r="H68" s="68"/>
      <c r="I68" s="2" t="str">
        <f t="array" ref="I68:M68">[1]!'TXYN07P24600.TF-ID,Name,Price,TotalVolume,InOutRatio'</f>
        <v>TXYN07P24600</v>
      </c>
      <c r="J68" s="2" t="str">
        <v>台指選07F4 P 24600</v>
      </c>
      <c r="K68" s="7" t="str">
        <v>--</v>
      </c>
      <c r="L68" s="2">
        <v>0</v>
      </c>
      <c r="M68" s="2" t="str">
        <v>--</v>
      </c>
    </row>
    <row r="69" spans="1:13" ht="13.5" customHeight="1" x14ac:dyDescent="0.25">
      <c r="A69" s="2" t="str">
        <f t="array" ref="A69:E69">[1]!'TXYN07C24700.TF-ID,Name,Price,TotalVolume,InOutRatio'</f>
        <v>TXYN07C24700</v>
      </c>
      <c r="B69" s="2" t="str">
        <v>台指選07F4 C 24700</v>
      </c>
      <c r="C69" s="7">
        <v>1.3</v>
      </c>
      <c r="D69" s="2">
        <v>24</v>
      </c>
      <c r="E69" s="2">
        <v>100</v>
      </c>
      <c r="F69" s="68"/>
      <c r="G69" s="68"/>
      <c r="H69" s="68"/>
      <c r="I69" s="2" t="str">
        <f t="array" ref="I69:M69">[1]!'TXYN07P24700.TF-ID,Name,Price,TotalVolume,InOutRatio'</f>
        <v>TXYN07P24700</v>
      </c>
      <c r="J69" s="2" t="str">
        <v>台指選07F4 P 24700</v>
      </c>
      <c r="K69" s="7" t="str">
        <v>--</v>
      </c>
      <c r="L69" s="2">
        <v>0</v>
      </c>
      <c r="M69" s="2" t="str">
        <v>--</v>
      </c>
    </row>
    <row r="70" spans="1:13" ht="13.5" customHeight="1" x14ac:dyDescent="0.25">
      <c r="A70" s="2" t="str">
        <f t="array" ref="A70:E70">[1]!'TXYN07C24800.TF-ID,Name,Price,TotalVolume,InOutRatio'</f>
        <v>TXYN07C24800</v>
      </c>
      <c r="B70" s="2" t="str">
        <v>台指選07F4 C 24800</v>
      </c>
      <c r="C70" s="7">
        <v>1.1000000000000001</v>
      </c>
      <c r="D70" s="2">
        <v>3</v>
      </c>
      <c r="E70" s="2">
        <v>100</v>
      </c>
      <c r="F70" s="68"/>
      <c r="G70" s="68"/>
      <c r="H70" s="68"/>
      <c r="I70" s="2" t="str">
        <f t="array" ref="I70:M70">[1]!'TXYN07P24800.TF-ID,Name,Price,TotalVolume,InOutRatio'</f>
        <v>TXYN07P24800</v>
      </c>
      <c r="J70" s="2" t="str">
        <v>台指選07F4 P 24800</v>
      </c>
      <c r="K70" s="7" t="str">
        <v>--</v>
      </c>
      <c r="L70" s="2">
        <v>0</v>
      </c>
      <c r="M70" s="2" t="str">
        <v>--</v>
      </c>
    </row>
    <row r="71" spans="1:13" ht="13.5" customHeight="1" x14ac:dyDescent="0.25">
      <c r="A71" s="2" t="str">
        <f t="array" ref="A71:E71">[1]!'TXYN07C24900.TF-ID,Name,Price,TotalVolume,InOutRatio'</f>
        <v>TXYN07C24900</v>
      </c>
      <c r="B71" s="2" t="str">
        <v>台指選07F4 C 24900</v>
      </c>
      <c r="C71" s="7">
        <v>1</v>
      </c>
      <c r="D71" s="2">
        <v>5</v>
      </c>
      <c r="E71" s="2">
        <v>80</v>
      </c>
      <c r="F71" s="68"/>
      <c r="G71" s="68"/>
      <c r="H71" s="68"/>
      <c r="I71" s="2" t="str">
        <f t="array" ref="I71:M71">[1]!'TXYN07P24900.TF-ID,Name,Price,TotalVolume,InOutRatio'</f>
        <v>TXYN07P24900</v>
      </c>
      <c r="J71" s="2" t="str">
        <v>台指選07F4 P 24900</v>
      </c>
      <c r="K71" s="7" t="str">
        <v>--</v>
      </c>
      <c r="L71" s="2">
        <v>0</v>
      </c>
      <c r="M71" s="2" t="str">
        <v>--</v>
      </c>
    </row>
    <row r="72" spans="1:13" ht="13.5" customHeight="1" x14ac:dyDescent="0.25">
      <c r="A72" s="2" t="str">
        <f t="array" ref="A72:E72">[1]!'TXYN07C25000.TF-ID,Name,Price,TotalVolume,InOutRatio'</f>
        <v>TXYN07C25000</v>
      </c>
      <c r="B72" s="2" t="str">
        <v>台指選07F4 C 25000</v>
      </c>
      <c r="C72" s="7" t="str">
        <v>--</v>
      </c>
      <c r="D72" s="2">
        <v>0</v>
      </c>
      <c r="E72" s="2" t="str">
        <v>--</v>
      </c>
      <c r="F72" s="68"/>
      <c r="G72" s="68"/>
      <c r="H72" s="68"/>
      <c r="I72" s="2" t="str">
        <f t="array" ref="I72:M72">[1]!'TXYN07P25000.TF-ID,Name,Price,TotalVolume,InOutRatio'</f>
        <v>TXYN07P25000</v>
      </c>
      <c r="J72" s="2" t="str">
        <v>台指選07F4 P 25000</v>
      </c>
      <c r="K72" s="7" t="str">
        <v>--</v>
      </c>
      <c r="L72" s="2">
        <v>0</v>
      </c>
      <c r="M72" s="2" t="str">
        <v>--</v>
      </c>
    </row>
  </sheetData>
  <mergeCells count="2">
    <mergeCell ref="R1:T1"/>
    <mergeCell ref="V1:X1"/>
  </mergeCells>
  <phoneticPr fontId="2" type="noConversion"/>
  <pageMargins left="0.7" right="0.7" top="0.75" bottom="0.75" header="0.3" footer="0.3"/>
  <headerFooter>
    <oddHeader>&amp;L&amp;"Calibri"&amp;10&amp;K000000 公開&amp;1#_x000D_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6FF93-05CF-4152-8791-26FAB1CAC0A2}">
  <sheetPr codeName="工作表7"/>
  <dimension ref="B1:AD64"/>
  <sheetViews>
    <sheetView zoomScale="124" zoomScaleNormal="124" workbookViewId="0">
      <pane ySplit="2" topLeftCell="A4" activePane="bottomLeft" state="frozen"/>
      <selection activeCell="D1" sqref="A1:D1"/>
      <selection pane="bottomLeft" activeCell="D1" sqref="A1:D1"/>
    </sheetView>
  </sheetViews>
  <sheetFormatPr defaultColWidth="7.875" defaultRowHeight="15.75" customHeight="1" x14ac:dyDescent="0.25"/>
  <cols>
    <col min="1" max="1" width="4.875" style="40" customWidth="1"/>
    <col min="2" max="2" width="8.75" style="43" customWidth="1"/>
    <col min="3" max="3" width="8.75" style="44" customWidth="1"/>
    <col min="4" max="4" width="8.75" style="52" customWidth="1"/>
    <col min="5" max="5" width="8.75" style="50" customWidth="1"/>
    <col min="6" max="6" width="8.75" style="53" customWidth="1"/>
    <col min="7" max="8" width="8.75" style="44" customWidth="1"/>
    <col min="9" max="11" width="7.875" style="40"/>
    <col min="12" max="12" width="7.875" style="41"/>
    <col min="13" max="18" width="7.875" style="40"/>
    <col min="19" max="20" width="7.875" style="41"/>
    <col min="21" max="22" width="7.875" style="40"/>
    <col min="23" max="24" width="7.875" style="41"/>
    <col min="25" max="26" width="7.875" style="40"/>
    <col min="27" max="30" width="7.875" style="42"/>
    <col min="31" max="16384" width="7.875" style="40"/>
  </cols>
  <sheetData>
    <row r="1" spans="2:8" ht="15.75" customHeight="1" x14ac:dyDescent="0.25">
      <c r="B1" s="47" t="s">
        <v>124</v>
      </c>
      <c r="C1" s="48" t="s">
        <v>125</v>
      </c>
      <c r="D1" s="51" t="s">
        <v>126</v>
      </c>
      <c r="E1" s="48"/>
      <c r="F1" s="51" t="s">
        <v>126</v>
      </c>
      <c r="G1" s="48" t="s">
        <v>124</v>
      </c>
      <c r="H1" s="48" t="s">
        <v>125</v>
      </c>
    </row>
    <row r="2" spans="2:8" ht="15.75" customHeight="1" x14ac:dyDescent="0.25">
      <c r="B2" s="130" t="s">
        <v>11</v>
      </c>
      <c r="C2" s="131"/>
      <c r="D2" s="132"/>
      <c r="E2" s="49" t="s">
        <v>6</v>
      </c>
      <c r="F2" s="133" t="s">
        <v>12</v>
      </c>
      <c r="G2" s="134"/>
      <c r="H2" s="135"/>
    </row>
    <row r="3" spans="2:8" ht="15.75" customHeight="1" x14ac:dyDescent="0.25">
      <c r="B3" s="45">
        <f>'CallPut(週三)'!F18</f>
        <v>0</v>
      </c>
      <c r="C3" s="45">
        <f>'CallPut(週五)'!F18</f>
        <v>0</v>
      </c>
      <c r="D3" s="46">
        <f>B3+C3</f>
        <v>0</v>
      </c>
      <c r="E3" s="49">
        <v>21500</v>
      </c>
      <c r="F3" s="46">
        <f t="shared" ref="F3:F34" si="0">H3+G3</f>
        <v>6.996000000000004</v>
      </c>
      <c r="G3" s="45">
        <f>'CallPut(週三)'!H18</f>
        <v>3.996000000000004</v>
      </c>
      <c r="H3" s="45">
        <f>'CallPut(週五)'!H18</f>
        <v>3</v>
      </c>
    </row>
    <row r="4" spans="2:8" ht="15.75" customHeight="1" x14ac:dyDescent="0.25">
      <c r="B4" s="45">
        <f>'CallPut(週三)'!F19</f>
        <v>0</v>
      </c>
      <c r="C4" s="45">
        <f>'CallPut(週五)'!F19</f>
        <v>0</v>
      </c>
      <c r="D4" s="46">
        <f>B4+C4</f>
        <v>0</v>
      </c>
      <c r="E4" s="49">
        <v>21550</v>
      </c>
      <c r="F4" s="46">
        <f t="shared" si="0"/>
        <v>0</v>
      </c>
      <c r="G4" s="45">
        <f>'CallPut(週三)'!H19</f>
        <v>0</v>
      </c>
      <c r="H4" s="45">
        <f>'CallPut(週五)'!H19</f>
        <v>0</v>
      </c>
    </row>
    <row r="5" spans="2:8" ht="15.75" customHeight="1" x14ac:dyDescent="0.25">
      <c r="B5" s="45">
        <f>'CallPut(週三)'!F20</f>
        <v>0</v>
      </c>
      <c r="C5" s="45">
        <f>'CallPut(週五)'!F20</f>
        <v>0</v>
      </c>
      <c r="D5" s="46">
        <f t="shared" ref="D5:D61" si="1">B5+C5</f>
        <v>0</v>
      </c>
      <c r="E5" s="49">
        <v>21600</v>
      </c>
      <c r="F5" s="46">
        <f t="shared" si="0"/>
        <v>36.993199999999995</v>
      </c>
      <c r="G5" s="45">
        <f>'CallPut(週三)'!H20</f>
        <v>25.995599999999992</v>
      </c>
      <c r="H5" s="45">
        <f>'CallPut(週五)'!H20</f>
        <v>10.9976</v>
      </c>
    </row>
    <row r="6" spans="2:8" ht="15.75" customHeight="1" x14ac:dyDescent="0.25">
      <c r="B6" s="45">
        <f>'CallPut(週三)'!F21</f>
        <v>0</v>
      </c>
      <c r="C6" s="45">
        <f>'CallPut(週五)'!F21</f>
        <v>0</v>
      </c>
      <c r="D6" s="46">
        <f t="shared" si="1"/>
        <v>0</v>
      </c>
      <c r="E6" s="49">
        <v>21650</v>
      </c>
      <c r="F6" s="46">
        <f t="shared" si="0"/>
        <v>0</v>
      </c>
      <c r="G6" s="45">
        <f>'CallPut(週三)'!H21</f>
        <v>0</v>
      </c>
      <c r="H6" s="45">
        <f>'CallPut(週五)'!H21</f>
        <v>0</v>
      </c>
    </row>
    <row r="7" spans="2:8" ht="15.75" customHeight="1" x14ac:dyDescent="0.25">
      <c r="B7" s="45">
        <f>'CallPut(週三)'!F22</f>
        <v>0</v>
      </c>
      <c r="C7" s="45">
        <f>'CallPut(週五)'!F22</f>
        <v>0</v>
      </c>
      <c r="D7" s="46">
        <f t="shared" si="1"/>
        <v>0</v>
      </c>
      <c r="E7" s="49">
        <v>21700</v>
      </c>
      <c r="F7" s="46">
        <f t="shared" si="0"/>
        <v>7.0002000000000013</v>
      </c>
      <c r="G7" s="45">
        <f>'CallPut(週三)'!H22</f>
        <v>3.0002000000000009</v>
      </c>
      <c r="H7" s="45">
        <f>'CallPut(週五)'!H22</f>
        <v>4</v>
      </c>
    </row>
    <row r="8" spans="2:8" ht="15.75" customHeight="1" x14ac:dyDescent="0.25">
      <c r="B8" s="45">
        <f>'CallPut(週三)'!F23</f>
        <v>0</v>
      </c>
      <c r="C8" s="45">
        <f>'CallPut(週五)'!F23</f>
        <v>0</v>
      </c>
      <c r="D8" s="46">
        <f t="shared" si="1"/>
        <v>0</v>
      </c>
      <c r="E8" s="49">
        <v>21750</v>
      </c>
      <c r="F8" s="46">
        <f t="shared" si="0"/>
        <v>0</v>
      </c>
      <c r="G8" s="45">
        <f>'CallPut(週三)'!H23</f>
        <v>0</v>
      </c>
      <c r="H8" s="45">
        <f>'CallPut(週五)'!H23</f>
        <v>0</v>
      </c>
    </row>
    <row r="9" spans="2:8" ht="15.75" customHeight="1" x14ac:dyDescent="0.25">
      <c r="B9" s="45">
        <f>'CallPut(週三)'!F24</f>
        <v>0</v>
      </c>
      <c r="C9" s="45">
        <f>'CallPut(週五)'!F24</f>
        <v>0</v>
      </c>
      <c r="D9" s="46">
        <f t="shared" si="1"/>
        <v>0</v>
      </c>
      <c r="E9" s="49">
        <v>21800</v>
      </c>
      <c r="F9" s="46">
        <f t="shared" si="0"/>
        <v>-132</v>
      </c>
      <c r="G9" s="45">
        <f>'CallPut(週三)'!H24</f>
        <v>1</v>
      </c>
      <c r="H9" s="45">
        <f>'CallPut(週五)'!H24</f>
        <v>-133</v>
      </c>
    </row>
    <row r="10" spans="2:8" ht="15.75" customHeight="1" x14ac:dyDescent="0.25">
      <c r="B10" s="45">
        <f>'CallPut(週三)'!F25</f>
        <v>0</v>
      </c>
      <c r="C10" s="45">
        <f>'CallPut(週五)'!F25</f>
        <v>0</v>
      </c>
      <c r="D10" s="46">
        <f t="shared" si="1"/>
        <v>0</v>
      </c>
      <c r="E10" s="49">
        <v>21850</v>
      </c>
      <c r="F10" s="46">
        <f t="shared" si="0"/>
        <v>13.0014</v>
      </c>
      <c r="G10" s="45">
        <f>'CallPut(週三)'!H25</f>
        <v>13.0014</v>
      </c>
      <c r="H10" s="45">
        <f>'CallPut(週五)'!H25</f>
        <v>0</v>
      </c>
    </row>
    <row r="11" spans="2:8" ht="15.75" customHeight="1" x14ac:dyDescent="0.25">
      <c r="B11" s="45">
        <f>'CallPut(週三)'!F26</f>
        <v>0</v>
      </c>
      <c r="C11" s="45">
        <f>'CallPut(週五)'!F26</f>
        <v>0</v>
      </c>
      <c r="D11" s="46">
        <f t="shared" si="1"/>
        <v>0</v>
      </c>
      <c r="E11" s="49">
        <v>21900</v>
      </c>
      <c r="F11" s="46">
        <f t="shared" si="0"/>
        <v>89.93940000000002</v>
      </c>
      <c r="G11" s="45">
        <f>'CallPut(週三)'!H26</f>
        <v>65.509200000000007</v>
      </c>
      <c r="H11" s="45">
        <f>'CallPut(週五)'!H26</f>
        <v>24.43020000000001</v>
      </c>
    </row>
    <row r="12" spans="2:8" ht="15.75" customHeight="1" x14ac:dyDescent="0.25">
      <c r="B12" s="45">
        <f>'CallPut(週三)'!F27</f>
        <v>0</v>
      </c>
      <c r="C12" s="45">
        <f>'CallPut(週五)'!F27</f>
        <v>0</v>
      </c>
      <c r="D12" s="46">
        <f t="shared" si="1"/>
        <v>0</v>
      </c>
      <c r="E12" s="49">
        <v>21950</v>
      </c>
      <c r="F12" s="46">
        <f t="shared" si="0"/>
        <v>14.138999999999994</v>
      </c>
      <c r="G12" s="45">
        <f>'CallPut(週三)'!H27</f>
        <v>14.138999999999994</v>
      </c>
      <c r="H12" s="45">
        <f>'CallPut(週五)'!H27</f>
        <v>0</v>
      </c>
    </row>
    <row r="13" spans="2:8" ht="15.75" customHeight="1" x14ac:dyDescent="0.25">
      <c r="B13" s="45">
        <f>'CallPut(週三)'!F28</f>
        <v>0</v>
      </c>
      <c r="C13" s="45">
        <f>'CallPut(週五)'!F28</f>
        <v>0</v>
      </c>
      <c r="D13" s="46">
        <f t="shared" si="1"/>
        <v>0</v>
      </c>
      <c r="E13" s="49">
        <v>22000</v>
      </c>
      <c r="F13" s="46">
        <f t="shared" si="0"/>
        <v>273.96679999999998</v>
      </c>
      <c r="G13" s="45">
        <f>'CallPut(週三)'!H28</f>
        <v>156.96420000000001</v>
      </c>
      <c r="H13" s="45">
        <f>'CallPut(週五)'!H28</f>
        <v>117.00259999999999</v>
      </c>
    </row>
    <row r="14" spans="2:8" ht="15.75" customHeight="1" x14ac:dyDescent="0.25">
      <c r="B14" s="45">
        <f>'CallPut(週三)'!F29</f>
        <v>0</v>
      </c>
      <c r="C14" s="45">
        <f>'CallPut(週五)'!F29</f>
        <v>0</v>
      </c>
      <c r="D14" s="46">
        <f t="shared" si="1"/>
        <v>0</v>
      </c>
      <c r="E14" s="49">
        <v>22050</v>
      </c>
      <c r="F14" s="46">
        <f t="shared" si="0"/>
        <v>-6.9996000000000009</v>
      </c>
      <c r="G14" s="45">
        <f>'CallPut(週三)'!H29</f>
        <v>-6.9996000000000009</v>
      </c>
      <c r="H14" s="45">
        <f>'CallPut(週五)'!H29</f>
        <v>0</v>
      </c>
    </row>
    <row r="15" spans="2:8" ht="15.75" customHeight="1" x14ac:dyDescent="0.25">
      <c r="B15" s="45">
        <f>'CallPut(週三)'!F30</f>
        <v>0</v>
      </c>
      <c r="C15" s="45">
        <f>'CallPut(週五)'!F30</f>
        <v>0</v>
      </c>
      <c r="D15" s="46">
        <f t="shared" si="1"/>
        <v>0</v>
      </c>
      <c r="E15" s="49">
        <v>22100</v>
      </c>
      <c r="F15" s="46">
        <f t="shared" si="0"/>
        <v>-4.0112000000000014</v>
      </c>
      <c r="G15" s="45">
        <f>'CallPut(週三)'!H30</f>
        <v>-3.008199999999996</v>
      </c>
      <c r="H15" s="45">
        <f>'CallPut(週五)'!H30</f>
        <v>-1.0030000000000057</v>
      </c>
    </row>
    <row r="16" spans="2:8" ht="15.75" customHeight="1" x14ac:dyDescent="0.25">
      <c r="B16" s="45">
        <f>'CallPut(週三)'!F31</f>
        <v>0</v>
      </c>
      <c r="C16" s="45">
        <f>'CallPut(週五)'!F31</f>
        <v>0</v>
      </c>
      <c r="D16" s="46">
        <f t="shared" si="1"/>
        <v>0</v>
      </c>
      <c r="E16" s="49">
        <v>22150</v>
      </c>
      <c r="F16" s="46">
        <f t="shared" si="0"/>
        <v>52.989199999999997</v>
      </c>
      <c r="G16" s="45">
        <f>'CallPut(週三)'!H31</f>
        <v>-6.004800000000003</v>
      </c>
      <c r="H16" s="45">
        <f>'CallPut(週五)'!H31</f>
        <v>58.994</v>
      </c>
    </row>
    <row r="17" spans="2:8" ht="15.75" customHeight="1" x14ac:dyDescent="0.25">
      <c r="B17" s="45">
        <f>'CallPut(週三)'!F32</f>
        <v>0</v>
      </c>
      <c r="C17" s="45">
        <f>'CallPut(週五)'!F32</f>
        <v>0</v>
      </c>
      <c r="D17" s="46">
        <f t="shared" si="1"/>
        <v>0</v>
      </c>
      <c r="E17" s="49">
        <v>22200</v>
      </c>
      <c r="F17" s="46">
        <f t="shared" si="0"/>
        <v>-5.9651999999999781</v>
      </c>
      <c r="G17" s="45">
        <f>'CallPut(週三)'!H32</f>
        <v>14.029600000000016</v>
      </c>
      <c r="H17" s="45">
        <f>'CallPut(週五)'!H32</f>
        <v>-19.994799999999994</v>
      </c>
    </row>
    <row r="18" spans="2:8" ht="15.75" customHeight="1" x14ac:dyDescent="0.25">
      <c r="B18" s="45">
        <f>'CallPut(週三)'!F33</f>
        <v>0</v>
      </c>
      <c r="C18" s="45">
        <f>'CallPut(週五)'!F33</f>
        <v>0</v>
      </c>
      <c r="D18" s="46">
        <f t="shared" si="1"/>
        <v>0</v>
      </c>
      <c r="E18" s="49">
        <v>22250</v>
      </c>
      <c r="F18" s="46">
        <f t="shared" si="0"/>
        <v>37.00739999999999</v>
      </c>
      <c r="G18" s="45">
        <f>'CallPut(週三)'!H33</f>
        <v>48.006399999999992</v>
      </c>
      <c r="H18" s="45">
        <f>'CallPut(週五)'!H33</f>
        <v>-10.999000000000001</v>
      </c>
    </row>
    <row r="19" spans="2:8" ht="15.75" customHeight="1" x14ac:dyDescent="0.25">
      <c r="B19" s="45">
        <f>'CallPut(週三)'!F34</f>
        <v>-2</v>
      </c>
      <c r="C19" s="45">
        <f>'CallPut(週五)'!F34</f>
        <v>0</v>
      </c>
      <c r="D19" s="46">
        <f t="shared" si="1"/>
        <v>-2</v>
      </c>
      <c r="E19" s="49">
        <v>22300</v>
      </c>
      <c r="F19" s="46">
        <f t="shared" si="0"/>
        <v>140.93799999999999</v>
      </c>
      <c r="G19" s="45">
        <f>'CallPut(週三)'!H34</f>
        <v>196.94280000000001</v>
      </c>
      <c r="H19" s="45">
        <f>'CallPut(週五)'!H34</f>
        <v>-56.004800000000003</v>
      </c>
    </row>
    <row r="20" spans="2:8" ht="15.75" customHeight="1" x14ac:dyDescent="0.25">
      <c r="B20" s="45">
        <f>'CallPut(週三)'!F35</f>
        <v>0</v>
      </c>
      <c r="C20" s="45">
        <f>'CallPut(週五)'!F35</f>
        <v>0</v>
      </c>
      <c r="D20" s="46">
        <f t="shared" si="1"/>
        <v>0</v>
      </c>
      <c r="E20" s="49">
        <v>22350</v>
      </c>
      <c r="F20" s="46">
        <f t="shared" si="0"/>
        <v>-37.000999999999998</v>
      </c>
      <c r="G20" s="45">
        <f>'CallPut(週三)'!H35</f>
        <v>22</v>
      </c>
      <c r="H20" s="45">
        <f>'CallPut(週五)'!H35</f>
        <v>-59.000999999999998</v>
      </c>
    </row>
    <row r="21" spans="2:8" ht="15.75" customHeight="1" x14ac:dyDescent="0.25">
      <c r="B21" s="45">
        <f>'CallPut(週三)'!F36</f>
        <v>0</v>
      </c>
      <c r="C21" s="45">
        <f>'CallPut(週五)'!F36</f>
        <v>1</v>
      </c>
      <c r="D21" s="46">
        <f t="shared" si="1"/>
        <v>1</v>
      </c>
      <c r="E21" s="49">
        <v>22400</v>
      </c>
      <c r="F21" s="46">
        <f t="shared" si="0"/>
        <v>5.9152000000000093</v>
      </c>
      <c r="G21" s="45">
        <f>'CallPut(週三)'!H36</f>
        <v>34.911200000000008</v>
      </c>
      <c r="H21" s="45">
        <f>'CallPut(週五)'!H36</f>
        <v>-28.995999999999999</v>
      </c>
    </row>
    <row r="22" spans="2:8" ht="15.75" customHeight="1" x14ac:dyDescent="0.25">
      <c r="B22" s="45">
        <f>'CallPut(週三)'!F37</f>
        <v>0</v>
      </c>
      <c r="C22" s="45">
        <f>'CallPut(週五)'!F37</f>
        <v>0</v>
      </c>
      <c r="D22" s="46">
        <f t="shared" si="1"/>
        <v>0</v>
      </c>
      <c r="E22" s="49">
        <v>22450</v>
      </c>
      <c r="F22" s="46">
        <f t="shared" si="0"/>
        <v>77.487199999999987</v>
      </c>
      <c r="G22" s="45">
        <f>'CallPut(週三)'!H37</f>
        <v>79.486399999999989</v>
      </c>
      <c r="H22" s="45">
        <f>'CallPut(週五)'!H37</f>
        <v>-1.9991999999999996</v>
      </c>
    </row>
    <row r="23" spans="2:8" ht="15.75" customHeight="1" x14ac:dyDescent="0.25">
      <c r="B23" s="45">
        <f>'CallPut(週三)'!F38</f>
        <v>-5.0004</v>
      </c>
      <c r="C23" s="45">
        <f>'CallPut(週五)'!F38</f>
        <v>0</v>
      </c>
      <c r="D23" s="46">
        <f t="shared" si="1"/>
        <v>-5.0004</v>
      </c>
      <c r="E23" s="49">
        <v>22500</v>
      </c>
      <c r="F23" s="46">
        <f t="shared" si="0"/>
        <v>423.99179999999996</v>
      </c>
      <c r="G23" s="45">
        <f>'CallPut(週三)'!H38</f>
        <v>402.98999999999995</v>
      </c>
      <c r="H23" s="45">
        <f>'CallPut(週五)'!H38</f>
        <v>21.001800000000003</v>
      </c>
    </row>
    <row r="24" spans="2:8" ht="15.75" customHeight="1" x14ac:dyDescent="0.25">
      <c r="B24" s="45">
        <f>'CallPut(週三)'!F39</f>
        <v>-1</v>
      </c>
      <c r="C24" s="45">
        <f>'CallPut(週五)'!F39</f>
        <v>0</v>
      </c>
      <c r="D24" s="46">
        <f t="shared" si="1"/>
        <v>-1</v>
      </c>
      <c r="E24" s="49">
        <v>22550</v>
      </c>
      <c r="F24" s="46">
        <f t="shared" si="0"/>
        <v>255.01039999999995</v>
      </c>
      <c r="G24" s="45">
        <f>'CallPut(週三)'!H39</f>
        <v>225.00799999999995</v>
      </c>
      <c r="H24" s="45">
        <f>'CallPut(週五)'!H39</f>
        <v>30.002400000000002</v>
      </c>
    </row>
    <row r="25" spans="2:8" ht="15.75" customHeight="1" x14ac:dyDescent="0.25">
      <c r="B25" s="45">
        <f>'CallPut(週三)'!F40</f>
        <v>10</v>
      </c>
      <c r="C25" s="45">
        <f>'CallPut(週五)'!F40</f>
        <v>0</v>
      </c>
      <c r="D25" s="46">
        <f t="shared" si="1"/>
        <v>10</v>
      </c>
      <c r="E25" s="49">
        <v>22600</v>
      </c>
      <c r="F25" s="46">
        <f t="shared" si="0"/>
        <v>159.16560000000004</v>
      </c>
      <c r="G25" s="45">
        <f>'CallPut(週三)'!H40</f>
        <v>126.99060000000004</v>
      </c>
      <c r="H25" s="45">
        <f>'CallPut(週五)'!H40</f>
        <v>32.174999999999997</v>
      </c>
    </row>
    <row r="26" spans="2:8" ht="15.75" customHeight="1" x14ac:dyDescent="0.25">
      <c r="B26" s="45">
        <f>'CallPut(週三)'!F41</f>
        <v>2</v>
      </c>
      <c r="C26" s="45">
        <f>'CallPut(週五)'!F41</f>
        <v>0</v>
      </c>
      <c r="D26" s="46">
        <f t="shared" si="1"/>
        <v>2</v>
      </c>
      <c r="E26" s="49">
        <v>22650</v>
      </c>
      <c r="F26" s="46">
        <f t="shared" si="0"/>
        <v>85.236200000000053</v>
      </c>
      <c r="G26" s="45">
        <f>'CallPut(週三)'!H41</f>
        <v>96.235200000000049</v>
      </c>
      <c r="H26" s="45">
        <f>'CallPut(週五)'!H41</f>
        <v>-10.999000000000001</v>
      </c>
    </row>
    <row r="27" spans="2:8" ht="15.75" customHeight="1" x14ac:dyDescent="0.25">
      <c r="B27" s="45">
        <f>'CallPut(週三)'!F42</f>
        <v>-9</v>
      </c>
      <c r="C27" s="45">
        <f>'CallPut(週五)'!F42</f>
        <v>3</v>
      </c>
      <c r="D27" s="46">
        <f t="shared" si="1"/>
        <v>-6</v>
      </c>
      <c r="E27" s="49">
        <v>22700</v>
      </c>
      <c r="F27" s="46">
        <f t="shared" si="0"/>
        <v>99.181199999999947</v>
      </c>
      <c r="G27" s="45">
        <f>'CallPut(週三)'!H42</f>
        <v>204.91119999999995</v>
      </c>
      <c r="H27" s="45">
        <f>'CallPut(週五)'!H42</f>
        <v>-105.73</v>
      </c>
    </row>
    <row r="28" spans="2:8" ht="15.75" customHeight="1" x14ac:dyDescent="0.25">
      <c r="B28" s="45">
        <f>'CallPut(週三)'!F43</f>
        <v>1</v>
      </c>
      <c r="C28" s="45">
        <f>'CallPut(週五)'!F43</f>
        <v>0</v>
      </c>
      <c r="D28" s="46">
        <f t="shared" si="1"/>
        <v>1</v>
      </c>
      <c r="E28" s="49">
        <v>22750</v>
      </c>
      <c r="F28" s="46">
        <f t="shared" si="0"/>
        <v>-223.49880000000002</v>
      </c>
      <c r="G28" s="45">
        <f>'CallPut(週三)'!H43</f>
        <v>-223.49880000000002</v>
      </c>
      <c r="H28" s="45">
        <f>'CallPut(週五)'!H43</f>
        <v>0</v>
      </c>
    </row>
    <row r="29" spans="2:8" ht="15.75" customHeight="1" x14ac:dyDescent="0.25">
      <c r="B29" s="45">
        <f>'CallPut(週三)'!F44</f>
        <v>1.0008000000000004</v>
      </c>
      <c r="C29" s="45">
        <f>'CallPut(週五)'!F44</f>
        <v>0</v>
      </c>
      <c r="D29" s="46">
        <f t="shared" si="1"/>
        <v>1.0008000000000004</v>
      </c>
      <c r="E29" s="49">
        <v>22800</v>
      </c>
      <c r="F29" s="46">
        <f t="shared" si="0"/>
        <v>-349.67559999999997</v>
      </c>
      <c r="G29" s="45">
        <f>'CallPut(週三)'!H44</f>
        <v>-343.678</v>
      </c>
      <c r="H29" s="45">
        <f>'CallPut(週五)'!H44</f>
        <v>-5.9976000000000012</v>
      </c>
    </row>
    <row r="30" spans="2:8" ht="15.75" customHeight="1" x14ac:dyDescent="0.25">
      <c r="B30" s="45">
        <f>'CallPut(週三)'!F45</f>
        <v>4</v>
      </c>
      <c r="C30" s="45">
        <f>'CallPut(週五)'!F45</f>
        <v>0</v>
      </c>
      <c r="D30" s="46">
        <f t="shared" si="1"/>
        <v>4</v>
      </c>
      <c r="E30" s="49">
        <v>22850</v>
      </c>
      <c r="F30" s="46">
        <f t="shared" si="0"/>
        <v>-378.5652</v>
      </c>
      <c r="G30" s="45">
        <f>'CallPut(週三)'!H45</f>
        <v>-376.5652</v>
      </c>
      <c r="H30" s="45">
        <f>'CallPut(週五)'!H45</f>
        <v>-2</v>
      </c>
    </row>
    <row r="31" spans="2:8" ht="15.75" customHeight="1" x14ac:dyDescent="0.25">
      <c r="B31" s="45">
        <f>'CallPut(週三)'!F46</f>
        <v>-21.311199999999999</v>
      </c>
      <c r="C31" s="45">
        <f>'CallPut(週五)'!F46</f>
        <v>-5</v>
      </c>
      <c r="D31" s="46">
        <f t="shared" si="1"/>
        <v>-26.311199999999999</v>
      </c>
      <c r="E31" s="49">
        <v>22900</v>
      </c>
      <c r="F31" s="46">
        <f t="shared" si="0"/>
        <v>-62.907399999999924</v>
      </c>
      <c r="G31" s="45">
        <f>'CallPut(週三)'!H46</f>
        <v>-57.752999999999929</v>
      </c>
      <c r="H31" s="45">
        <f>'CallPut(週五)'!H46</f>
        <v>-5.154399999999999</v>
      </c>
    </row>
    <row r="32" spans="2:8" ht="15.75" customHeight="1" x14ac:dyDescent="0.25">
      <c r="B32" s="45">
        <f>'CallPut(週三)'!F47</f>
        <v>12.999799999999999</v>
      </c>
      <c r="C32" s="45">
        <f>'CallPut(週五)'!F47</f>
        <v>0</v>
      </c>
      <c r="D32" s="46">
        <f t="shared" si="1"/>
        <v>12.999799999999999</v>
      </c>
      <c r="E32" s="49">
        <v>22950</v>
      </c>
      <c r="F32" s="46">
        <f t="shared" si="0"/>
        <v>-87.396200000000036</v>
      </c>
      <c r="G32" s="45">
        <f>'CallPut(週三)'!H47</f>
        <v>-86.395200000000031</v>
      </c>
      <c r="H32" s="45">
        <f>'CallPut(週五)'!H47</f>
        <v>-1.0009999999999994</v>
      </c>
    </row>
    <row r="33" spans="2:8" ht="15.75" customHeight="1" x14ac:dyDescent="0.25">
      <c r="B33" s="45">
        <f>'CallPut(週三)'!F48</f>
        <v>-31.643999999999991</v>
      </c>
      <c r="C33" s="45">
        <f>'CallPut(週五)'!F48</f>
        <v>-2</v>
      </c>
      <c r="D33" s="46">
        <f t="shared" si="1"/>
        <v>-33.643999999999991</v>
      </c>
      <c r="E33" s="49">
        <v>23000</v>
      </c>
      <c r="F33" s="46">
        <f t="shared" si="0"/>
        <v>-185.86720000000008</v>
      </c>
      <c r="G33" s="45">
        <f>'CallPut(週三)'!H48</f>
        <v>-175.86400000000009</v>
      </c>
      <c r="H33" s="45">
        <f>'CallPut(週五)'!H48</f>
        <v>-10.003200000000001</v>
      </c>
    </row>
    <row r="34" spans="2:8" ht="15.75" customHeight="1" x14ac:dyDescent="0.25">
      <c r="B34" s="45">
        <f>'CallPut(週三)'!F49</f>
        <v>63.468000000000025</v>
      </c>
      <c r="C34" s="45">
        <f>'CallPut(週五)'!F49</f>
        <v>0</v>
      </c>
      <c r="D34" s="46">
        <f t="shared" si="1"/>
        <v>63.468000000000025</v>
      </c>
      <c r="E34" s="49">
        <v>23050</v>
      </c>
      <c r="F34" s="46">
        <f t="shared" si="0"/>
        <v>513.44160000000011</v>
      </c>
      <c r="G34" s="45">
        <f>'CallPut(週三)'!H49</f>
        <v>507.44160000000005</v>
      </c>
      <c r="H34" s="45">
        <f>'CallPut(週五)'!H49</f>
        <v>6</v>
      </c>
    </row>
    <row r="35" spans="2:8" ht="15.75" customHeight="1" x14ac:dyDescent="0.25">
      <c r="B35" s="45">
        <f>'CallPut(週三)'!F50</f>
        <v>-189.01540000000003</v>
      </c>
      <c r="C35" s="45">
        <f>'CallPut(週五)'!F50</f>
        <v>4</v>
      </c>
      <c r="D35" s="46">
        <f t="shared" si="1"/>
        <v>-185.01540000000003</v>
      </c>
      <c r="E35" s="49">
        <v>23100</v>
      </c>
      <c r="F35" s="46">
        <f t="shared" ref="F35:F61" si="2">H35+G35</f>
        <v>-58.090399999999832</v>
      </c>
      <c r="G35" s="45">
        <f>'CallPut(週三)'!H50</f>
        <v>-140.09599999999983</v>
      </c>
      <c r="H35" s="45">
        <f>'CallPut(週五)'!H50</f>
        <v>82.005600000000001</v>
      </c>
    </row>
    <row r="36" spans="2:8" ht="15.75" customHeight="1" x14ac:dyDescent="0.25">
      <c r="B36" s="45">
        <f>'CallPut(週三)'!F51</f>
        <v>-87.241600000000005</v>
      </c>
      <c r="C36" s="45">
        <f>'CallPut(週五)'!F51</f>
        <v>1.0002</v>
      </c>
      <c r="D36" s="46">
        <f t="shared" si="1"/>
        <v>-86.241399999999999</v>
      </c>
      <c r="E36" s="49">
        <v>23150</v>
      </c>
      <c r="F36" s="46">
        <f t="shared" si="2"/>
        <v>-140.64959999999985</v>
      </c>
      <c r="G36" s="45">
        <f>'CallPut(週三)'!H51</f>
        <v>-140.64959999999985</v>
      </c>
      <c r="H36" s="45">
        <f>'CallPut(週五)'!H51</f>
        <v>0</v>
      </c>
    </row>
    <row r="37" spans="2:8" ht="15.75" customHeight="1" x14ac:dyDescent="0.25">
      <c r="B37" s="45">
        <f>'CallPut(週三)'!F52</f>
        <v>-291.36</v>
      </c>
      <c r="C37" s="45">
        <f>'CallPut(週五)'!F52</f>
        <v>-2.0004</v>
      </c>
      <c r="D37" s="46">
        <f t="shared" si="1"/>
        <v>-293.36040000000003</v>
      </c>
      <c r="E37" s="49">
        <v>23200</v>
      </c>
      <c r="F37" s="46">
        <f t="shared" si="2"/>
        <v>-696.68820000000051</v>
      </c>
      <c r="G37" s="45">
        <f>'CallPut(週三)'!H52</f>
        <v>-713.69340000000045</v>
      </c>
      <c r="H37" s="45">
        <f>'CallPut(週五)'!H52</f>
        <v>17.005199999999991</v>
      </c>
    </row>
    <row r="38" spans="2:8" ht="15.75" customHeight="1" x14ac:dyDescent="0.25">
      <c r="B38" s="45">
        <f>'CallPut(週三)'!F53</f>
        <v>-149.60399999999996</v>
      </c>
      <c r="C38" s="45">
        <f>'CallPut(週五)'!F53</f>
        <v>-4.9972000000000012</v>
      </c>
      <c r="D38" s="46">
        <f t="shared" si="1"/>
        <v>-154.60119999999995</v>
      </c>
      <c r="E38" s="49">
        <v>23250</v>
      </c>
      <c r="F38" s="46">
        <f t="shared" si="2"/>
        <v>-53.186399999999892</v>
      </c>
      <c r="G38" s="45">
        <f>'CallPut(週三)'!H53</f>
        <v>-109.15519999999988</v>
      </c>
      <c r="H38" s="45">
        <f>'CallPut(週五)'!H53</f>
        <v>55.968799999999987</v>
      </c>
    </row>
    <row r="39" spans="2:8" ht="15.75" customHeight="1" x14ac:dyDescent="0.25">
      <c r="B39" s="45">
        <f>'CallPut(週三)'!F54</f>
        <v>-463.99399999999969</v>
      </c>
      <c r="C39" s="45">
        <f>'CallPut(週五)'!F54</f>
        <v>-14.000000000000002</v>
      </c>
      <c r="D39" s="46">
        <f t="shared" si="1"/>
        <v>-477.99399999999969</v>
      </c>
      <c r="E39" s="49">
        <v>23300</v>
      </c>
      <c r="F39" s="46">
        <f t="shared" si="2"/>
        <v>-362.94739999999996</v>
      </c>
      <c r="G39" s="45">
        <f>'CallPut(週三)'!H54</f>
        <v>-327.94559999999996</v>
      </c>
      <c r="H39" s="45">
        <f>'CallPut(週五)'!H54</f>
        <v>-35.001799999999996</v>
      </c>
    </row>
    <row r="40" spans="2:8" ht="15.75" customHeight="1" x14ac:dyDescent="0.25">
      <c r="B40" s="45">
        <f>'CallPut(週三)'!F55</f>
        <v>-305.79360000000003</v>
      </c>
      <c r="C40" s="45">
        <f>'CallPut(週五)'!F55</f>
        <v>-6</v>
      </c>
      <c r="D40" s="46">
        <f t="shared" si="1"/>
        <v>-311.79360000000003</v>
      </c>
      <c r="E40" s="49">
        <v>23350</v>
      </c>
      <c r="F40" s="46">
        <f t="shared" si="2"/>
        <v>-142.1423999999999</v>
      </c>
      <c r="G40" s="45">
        <f>'CallPut(週三)'!H55</f>
        <v>-91.142999999999887</v>
      </c>
      <c r="H40" s="45">
        <f>'CallPut(週五)'!H55</f>
        <v>-50.999399999999994</v>
      </c>
    </row>
    <row r="41" spans="2:8" ht="15.75" customHeight="1" x14ac:dyDescent="0.25">
      <c r="B41" s="45">
        <f>'CallPut(週三)'!F56</f>
        <v>-493.5510000000001</v>
      </c>
      <c r="C41" s="45">
        <f>'CallPut(週五)'!F56</f>
        <v>-56.003999999999998</v>
      </c>
      <c r="D41" s="46">
        <f t="shared" si="1"/>
        <v>-549.55500000000006</v>
      </c>
      <c r="E41" s="49">
        <v>23400</v>
      </c>
      <c r="F41" s="46">
        <f t="shared" si="2"/>
        <v>-173.19120000000021</v>
      </c>
      <c r="G41" s="45">
        <f>'CallPut(週三)'!H56</f>
        <v>-145.1892000000002</v>
      </c>
      <c r="H41" s="45">
        <f>'CallPut(週五)'!H56</f>
        <v>-28.001999999999999</v>
      </c>
    </row>
    <row r="42" spans="2:8" ht="15.75" customHeight="1" x14ac:dyDescent="0.25">
      <c r="B42" s="45">
        <f>'CallPut(週三)'!F57</f>
        <v>-836.40080000000012</v>
      </c>
      <c r="C42" s="45">
        <f>'CallPut(週五)'!F57</f>
        <v>-20.98899999999999</v>
      </c>
      <c r="D42" s="46">
        <f t="shared" si="1"/>
        <v>-857.38980000000015</v>
      </c>
      <c r="E42" s="49">
        <v>23450</v>
      </c>
      <c r="F42" s="46">
        <f t="shared" si="2"/>
        <v>97.702400000000054</v>
      </c>
      <c r="G42" s="45">
        <f>'CallPut(週三)'!H57</f>
        <v>97.702400000000054</v>
      </c>
      <c r="H42" s="45">
        <f>'CallPut(週五)'!H57</f>
        <v>0</v>
      </c>
    </row>
    <row r="43" spans="2:8" ht="15.75" customHeight="1" x14ac:dyDescent="0.25">
      <c r="B43" s="45">
        <f>'CallPut(週三)'!F58</f>
        <v>0</v>
      </c>
      <c r="C43" s="45">
        <f>'CallPut(週五)'!F58</f>
        <v>0</v>
      </c>
      <c r="D43" s="46">
        <f t="shared" si="1"/>
        <v>0</v>
      </c>
      <c r="E43" s="49">
        <v>23500</v>
      </c>
      <c r="F43" s="46">
        <f t="shared" si="2"/>
        <v>0</v>
      </c>
      <c r="G43" s="45">
        <f>'CallPut(週三)'!H58</f>
        <v>0</v>
      </c>
      <c r="H43" s="45">
        <f>'CallPut(週五)'!H58</f>
        <v>0</v>
      </c>
    </row>
    <row r="44" spans="2:8" ht="15.75" customHeight="1" x14ac:dyDescent="0.25">
      <c r="B44" s="45">
        <f>'CallPut(週三)'!F59</f>
        <v>0</v>
      </c>
      <c r="C44" s="45">
        <f>'CallPut(週五)'!F59</f>
        <v>0</v>
      </c>
      <c r="D44" s="46">
        <f t="shared" si="1"/>
        <v>0</v>
      </c>
      <c r="E44" s="49">
        <v>23550</v>
      </c>
      <c r="F44" s="46">
        <f t="shared" si="2"/>
        <v>0</v>
      </c>
      <c r="G44" s="45">
        <f>'CallPut(週三)'!H59</f>
        <v>0</v>
      </c>
      <c r="H44" s="45">
        <f>'CallPut(週五)'!H59</f>
        <v>0</v>
      </c>
    </row>
    <row r="45" spans="2:8" ht="15.75" customHeight="1" x14ac:dyDescent="0.25">
      <c r="B45" s="45">
        <f>'CallPut(週三)'!F60</f>
        <v>0</v>
      </c>
      <c r="C45" s="45">
        <f>'CallPut(週五)'!F60</f>
        <v>0</v>
      </c>
      <c r="D45" s="46">
        <f t="shared" si="1"/>
        <v>0</v>
      </c>
      <c r="E45" s="49">
        <v>23600</v>
      </c>
      <c r="F45" s="46">
        <f t="shared" si="2"/>
        <v>0</v>
      </c>
      <c r="G45" s="45">
        <f>'CallPut(週三)'!H60</f>
        <v>0</v>
      </c>
      <c r="H45" s="45">
        <f>'CallPut(週五)'!H60</f>
        <v>0</v>
      </c>
    </row>
    <row r="46" spans="2:8" ht="15.75" customHeight="1" x14ac:dyDescent="0.25">
      <c r="B46" s="45">
        <f>'CallPut(週三)'!F61</f>
        <v>0</v>
      </c>
      <c r="C46" s="45">
        <f>'CallPut(週五)'!F61</f>
        <v>0</v>
      </c>
      <c r="D46" s="46">
        <f t="shared" si="1"/>
        <v>0</v>
      </c>
      <c r="E46" s="49">
        <v>23650</v>
      </c>
      <c r="F46" s="46">
        <f t="shared" si="2"/>
        <v>0</v>
      </c>
      <c r="G46" s="45">
        <f>'CallPut(週三)'!H61</f>
        <v>0</v>
      </c>
      <c r="H46" s="45">
        <f>'CallPut(週五)'!H61</f>
        <v>0</v>
      </c>
    </row>
    <row r="47" spans="2:8" ht="15.75" customHeight="1" x14ac:dyDescent="0.25">
      <c r="B47" s="45">
        <f>'CallPut(週三)'!F62</f>
        <v>0</v>
      </c>
      <c r="C47" s="45">
        <f>'CallPut(週五)'!F62</f>
        <v>0</v>
      </c>
      <c r="D47" s="46">
        <f t="shared" si="1"/>
        <v>0</v>
      </c>
      <c r="E47" s="49">
        <v>23700</v>
      </c>
      <c r="F47" s="46">
        <f t="shared" si="2"/>
        <v>0</v>
      </c>
      <c r="G47" s="45">
        <f>'CallPut(週三)'!H62</f>
        <v>0</v>
      </c>
      <c r="H47" s="45">
        <f>'CallPut(週五)'!H62</f>
        <v>0</v>
      </c>
    </row>
    <row r="48" spans="2:8" ht="15.75" customHeight="1" x14ac:dyDescent="0.25">
      <c r="B48" s="45">
        <f>'CallPut(週三)'!F63</f>
        <v>0</v>
      </c>
      <c r="C48" s="45">
        <f>'CallPut(週五)'!F63</f>
        <v>0</v>
      </c>
      <c r="D48" s="46">
        <f t="shared" si="1"/>
        <v>0</v>
      </c>
      <c r="E48" s="49">
        <v>23750</v>
      </c>
      <c r="F48" s="46">
        <f t="shared" si="2"/>
        <v>0</v>
      </c>
      <c r="G48" s="45">
        <f>'CallPut(週三)'!H63</f>
        <v>0</v>
      </c>
      <c r="H48" s="45">
        <f>'CallPut(週五)'!H63</f>
        <v>0</v>
      </c>
    </row>
    <row r="49" spans="2:8" ht="15.75" customHeight="1" x14ac:dyDescent="0.25">
      <c r="B49" s="45">
        <f>'CallPut(週三)'!F64</f>
        <v>0</v>
      </c>
      <c r="C49" s="45">
        <f>'CallPut(週五)'!F64</f>
        <v>0</v>
      </c>
      <c r="D49" s="46">
        <f t="shared" si="1"/>
        <v>0</v>
      </c>
      <c r="E49" s="49">
        <v>23800</v>
      </c>
      <c r="F49" s="46">
        <f t="shared" si="2"/>
        <v>0</v>
      </c>
      <c r="G49" s="45">
        <f>'CallPut(週三)'!H64</f>
        <v>0</v>
      </c>
      <c r="H49" s="45">
        <f>'CallPut(週五)'!H64</f>
        <v>0</v>
      </c>
    </row>
    <row r="50" spans="2:8" ht="15.75" customHeight="1" x14ac:dyDescent="0.25">
      <c r="B50" s="45">
        <f>'CallPut(週三)'!F65</f>
        <v>0</v>
      </c>
      <c r="C50" s="45">
        <f>'CallPut(週五)'!F65</f>
        <v>0</v>
      </c>
      <c r="D50" s="46">
        <f t="shared" si="1"/>
        <v>0</v>
      </c>
      <c r="E50" s="49">
        <v>24600</v>
      </c>
      <c r="F50" s="46">
        <f t="shared" si="2"/>
        <v>0</v>
      </c>
      <c r="G50" s="45">
        <f>'CallPut(週三)'!H65</f>
        <v>0</v>
      </c>
      <c r="H50" s="45">
        <f>'CallPut(週五)'!H65</f>
        <v>0</v>
      </c>
    </row>
    <row r="51" spans="2:8" ht="15.75" customHeight="1" x14ac:dyDescent="0.25">
      <c r="B51" s="45">
        <f>'CallPut(週三)'!F66</f>
        <v>0</v>
      </c>
      <c r="C51" s="45">
        <f>'CallPut(週五)'!F66</f>
        <v>0</v>
      </c>
      <c r="D51" s="46">
        <f t="shared" si="1"/>
        <v>0</v>
      </c>
      <c r="E51" s="49">
        <v>24700</v>
      </c>
      <c r="F51" s="46">
        <f t="shared" si="2"/>
        <v>0</v>
      </c>
      <c r="G51" s="45">
        <f>'CallPut(週三)'!H66</f>
        <v>0</v>
      </c>
      <c r="H51" s="45">
        <f>'CallPut(週五)'!H66</f>
        <v>0</v>
      </c>
    </row>
    <row r="52" spans="2:8" ht="15.75" customHeight="1" x14ac:dyDescent="0.25">
      <c r="B52" s="45">
        <f>'CallPut(週三)'!F67</f>
        <v>0</v>
      </c>
      <c r="C52" s="45">
        <f>'CallPut(週五)'!F67</f>
        <v>0</v>
      </c>
      <c r="D52" s="46">
        <f t="shared" si="1"/>
        <v>0</v>
      </c>
      <c r="E52" s="49">
        <v>24800</v>
      </c>
      <c r="F52" s="46">
        <f t="shared" si="2"/>
        <v>0</v>
      </c>
      <c r="G52" s="45">
        <f>'CallPut(週三)'!H67</f>
        <v>0</v>
      </c>
      <c r="H52" s="45">
        <f>'CallPut(週五)'!H67</f>
        <v>0</v>
      </c>
    </row>
    <row r="53" spans="2:8" ht="15.75" customHeight="1" x14ac:dyDescent="0.25">
      <c r="B53" s="45">
        <f>'CallPut(週三)'!F68</f>
        <v>0</v>
      </c>
      <c r="C53" s="45">
        <f>'CallPut(週五)'!F68</f>
        <v>0</v>
      </c>
      <c r="D53" s="46">
        <f t="shared" si="1"/>
        <v>0</v>
      </c>
      <c r="E53" s="49">
        <v>24900</v>
      </c>
      <c r="F53" s="46">
        <f t="shared" si="2"/>
        <v>0</v>
      </c>
      <c r="G53" s="45">
        <f>'CallPut(週三)'!H68</f>
        <v>0</v>
      </c>
      <c r="H53" s="45">
        <f>'CallPut(週五)'!H68</f>
        <v>0</v>
      </c>
    </row>
    <row r="54" spans="2:8" ht="15.75" customHeight="1" x14ac:dyDescent="0.25">
      <c r="B54" s="45">
        <f>'CallPut(週三)'!F69</f>
        <v>0</v>
      </c>
      <c r="C54" s="45">
        <f>'CallPut(週五)'!F69</f>
        <v>0</v>
      </c>
      <c r="D54" s="46">
        <f t="shared" si="1"/>
        <v>0</v>
      </c>
      <c r="E54" s="49">
        <v>25000</v>
      </c>
      <c r="F54" s="46">
        <f t="shared" si="2"/>
        <v>0</v>
      </c>
      <c r="G54" s="45">
        <f>'CallPut(週三)'!H69</f>
        <v>0</v>
      </c>
      <c r="H54" s="45">
        <f>'CallPut(週五)'!H69</f>
        <v>0</v>
      </c>
    </row>
    <row r="55" spans="2:8" ht="15.75" customHeight="1" x14ac:dyDescent="0.25">
      <c r="B55" s="45">
        <f>'CallPut(週三)'!F70</f>
        <v>0</v>
      </c>
      <c r="C55" s="45">
        <f>'CallPut(週五)'!F70</f>
        <v>0</v>
      </c>
      <c r="D55" s="46">
        <f t="shared" si="1"/>
        <v>0</v>
      </c>
      <c r="E55" s="49">
        <v>25100</v>
      </c>
      <c r="F55" s="46">
        <f t="shared" si="2"/>
        <v>0</v>
      </c>
      <c r="G55" s="45">
        <f>'CallPut(週三)'!H70</f>
        <v>0</v>
      </c>
      <c r="H55" s="45">
        <f>'CallPut(週五)'!H70</f>
        <v>0</v>
      </c>
    </row>
    <row r="56" spans="2:8" ht="15.75" customHeight="1" x14ac:dyDescent="0.25">
      <c r="B56" s="45">
        <f>'CallPut(週三)'!F71</f>
        <v>0</v>
      </c>
      <c r="C56" s="45">
        <f>'CallPut(週五)'!F71</f>
        <v>0</v>
      </c>
      <c r="D56" s="46">
        <f t="shared" si="1"/>
        <v>0</v>
      </c>
      <c r="E56" s="49">
        <v>25200</v>
      </c>
      <c r="F56" s="46">
        <f t="shared" si="2"/>
        <v>0</v>
      </c>
      <c r="G56" s="45">
        <f>'CallPut(週三)'!H71</f>
        <v>0</v>
      </c>
      <c r="H56" s="45">
        <f>'CallPut(週五)'!H71</f>
        <v>0</v>
      </c>
    </row>
    <row r="57" spans="2:8" ht="15.75" customHeight="1" x14ac:dyDescent="0.25">
      <c r="B57" s="45">
        <f>'CallPut(週三)'!F72</f>
        <v>0</v>
      </c>
      <c r="C57" s="45">
        <f>'CallPut(週五)'!F72</f>
        <v>0</v>
      </c>
      <c r="D57" s="46">
        <f t="shared" si="1"/>
        <v>0</v>
      </c>
      <c r="E57" s="49">
        <v>25300</v>
      </c>
      <c r="F57" s="46">
        <f t="shared" si="2"/>
        <v>0</v>
      </c>
      <c r="G57" s="45">
        <f>'CallPut(週三)'!H72</f>
        <v>0</v>
      </c>
      <c r="H57" s="45">
        <f>'CallPut(週五)'!H72</f>
        <v>0</v>
      </c>
    </row>
    <row r="58" spans="2:8" ht="15.75" customHeight="1" x14ac:dyDescent="0.25">
      <c r="B58" s="45">
        <f>'CallPut(週三)'!F73</f>
        <v>0</v>
      </c>
      <c r="C58" s="45">
        <f>'CallPut(週五)'!F73</f>
        <v>0</v>
      </c>
      <c r="D58" s="46">
        <f t="shared" si="1"/>
        <v>0</v>
      </c>
      <c r="E58" s="49">
        <v>25400</v>
      </c>
      <c r="F58" s="46">
        <f t="shared" si="2"/>
        <v>0</v>
      </c>
      <c r="G58" s="45">
        <f>'CallPut(週三)'!H73</f>
        <v>0</v>
      </c>
      <c r="H58" s="45">
        <f>'CallPut(週五)'!H73</f>
        <v>0</v>
      </c>
    </row>
    <row r="59" spans="2:8" ht="15.75" customHeight="1" x14ac:dyDescent="0.25">
      <c r="B59" s="45">
        <f>'CallPut(週三)'!F74</f>
        <v>0</v>
      </c>
      <c r="C59" s="45">
        <f>'CallPut(週五)'!F74</f>
        <v>0</v>
      </c>
      <c r="D59" s="46">
        <f t="shared" si="1"/>
        <v>0</v>
      </c>
      <c r="E59" s="49">
        <v>25500</v>
      </c>
      <c r="F59" s="46">
        <f t="shared" si="2"/>
        <v>0</v>
      </c>
      <c r="G59" s="45">
        <f>'CallPut(週三)'!H74</f>
        <v>0</v>
      </c>
      <c r="H59" s="45">
        <f>'CallPut(週五)'!H74</f>
        <v>0</v>
      </c>
    </row>
    <row r="60" spans="2:8" ht="15.75" customHeight="1" x14ac:dyDescent="0.25">
      <c r="B60" s="45">
        <f>'CallPut(週三)'!F75</f>
        <v>0</v>
      </c>
      <c r="C60" s="45">
        <f>'CallPut(週五)'!F75</f>
        <v>0</v>
      </c>
      <c r="D60" s="46">
        <f t="shared" si="1"/>
        <v>0</v>
      </c>
      <c r="E60" s="49">
        <v>25600</v>
      </c>
      <c r="F60" s="46">
        <f t="shared" si="2"/>
        <v>0</v>
      </c>
      <c r="G60" s="45">
        <f>'CallPut(週三)'!H75</f>
        <v>0</v>
      </c>
      <c r="H60" s="45">
        <f>'CallPut(週五)'!H75</f>
        <v>0</v>
      </c>
    </row>
    <row r="61" spans="2:8" ht="15.75" customHeight="1" x14ac:dyDescent="0.25">
      <c r="B61" s="45">
        <f>'CallPut(週三)'!F76</f>
        <v>0</v>
      </c>
      <c r="C61" s="45">
        <f>'CallPut(週五)'!F76</f>
        <v>0</v>
      </c>
      <c r="D61" s="46">
        <f t="shared" si="1"/>
        <v>0</v>
      </c>
      <c r="E61" s="49">
        <v>25700</v>
      </c>
      <c r="F61" s="46">
        <f t="shared" si="2"/>
        <v>0</v>
      </c>
      <c r="G61" s="45">
        <f>'CallPut(週三)'!H76</f>
        <v>0</v>
      </c>
      <c r="H61" s="45">
        <f>'CallPut(週五)'!H76</f>
        <v>0</v>
      </c>
    </row>
    <row r="62" spans="2:8" ht="15.75" customHeight="1" x14ac:dyDescent="0.25">
      <c r="B62" s="45"/>
      <c r="C62" s="45"/>
      <c r="D62" s="46"/>
      <c r="E62" s="49">
        <v>25800</v>
      </c>
      <c r="F62" s="46"/>
      <c r="G62" s="45"/>
      <c r="H62" s="45"/>
    </row>
    <row r="63" spans="2:8" ht="15.75" customHeight="1" x14ac:dyDescent="0.25">
      <c r="B63" s="45"/>
      <c r="C63" s="45"/>
      <c r="D63" s="46"/>
      <c r="E63" s="49">
        <v>25900</v>
      </c>
      <c r="F63" s="46"/>
      <c r="G63" s="45"/>
      <c r="H63" s="45"/>
    </row>
    <row r="64" spans="2:8" ht="15.75" customHeight="1" x14ac:dyDescent="0.25">
      <c r="B64" s="45"/>
      <c r="C64" s="45"/>
      <c r="D64" s="46"/>
      <c r="E64" s="49">
        <v>26000</v>
      </c>
      <c r="F64" s="46"/>
      <c r="G64" s="45"/>
      <c r="H64" s="45"/>
    </row>
  </sheetData>
  <mergeCells count="2">
    <mergeCell ref="B2:D2"/>
    <mergeCell ref="F2:H2"/>
  </mergeCells>
  <phoneticPr fontId="2" type="noConversion"/>
  <pageMargins left="0.7" right="0.7" top="0.75" bottom="0.75" header="0.3" footer="0.3"/>
  <headerFooter>
    <oddHeader>&amp;L&amp;"Calibri"&amp;10&amp;K000000 公開&amp;1#_x000D_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5065C-4472-4F6B-B23B-AE78C3E5C7D4}">
  <sheetPr codeName="工作表2"/>
  <dimension ref="V9:W11"/>
  <sheetViews>
    <sheetView view="pageBreakPreview" zoomScale="110" zoomScaleNormal="93" zoomScaleSheetLayoutView="110" workbookViewId="0">
      <selection activeCell="D1" sqref="A1:D1"/>
    </sheetView>
  </sheetViews>
  <sheetFormatPr defaultRowHeight="16.5" x14ac:dyDescent="0.25"/>
  <cols>
    <col min="1" max="20" width="9" style="38"/>
    <col min="21" max="21" width="6.5" style="38" customWidth="1"/>
    <col min="22" max="22" width="19.125" style="66" bestFit="1" customWidth="1"/>
    <col min="23" max="16384" width="9" style="38"/>
  </cols>
  <sheetData>
    <row r="9" spans="22:23" x14ac:dyDescent="0.25">
      <c r="V9" s="65" t="s">
        <v>128</v>
      </c>
      <c r="W9" s="64"/>
    </row>
    <row r="11" spans="22:23" x14ac:dyDescent="0.25">
      <c r="V11" s="67">
        <v>45856.982743055552</v>
      </c>
      <c r="W11" s="64"/>
    </row>
  </sheetData>
  <phoneticPr fontId="2" type="noConversion"/>
  <pageMargins left="0.7" right="0.7" top="0.75" bottom="0.75" header="0.3" footer="0.3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損益圖更新">
                <anchor moveWithCells="1" sizeWithCells="1">
                  <from>
                    <xdr:col>21</xdr:col>
                    <xdr:colOff>161925</xdr:colOff>
                    <xdr:row>1</xdr:row>
                    <xdr:rowOff>76200</xdr:rowOff>
                  </from>
                  <to>
                    <xdr:col>21</xdr:col>
                    <xdr:colOff>1247775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CEE2-3B4B-4C75-B8FA-719A6C84A0BD}">
  <sheetPr codeName="工作表3"/>
  <dimension ref="A1:D42"/>
  <sheetViews>
    <sheetView zoomScale="124" zoomScaleNormal="124" workbookViewId="0">
      <selection activeCell="D1" sqref="A1:D1"/>
    </sheetView>
  </sheetViews>
  <sheetFormatPr defaultRowHeight="16.5" x14ac:dyDescent="0.25"/>
  <cols>
    <col min="1" max="4" width="11.75" style="4" customWidth="1"/>
  </cols>
  <sheetData>
    <row r="1" spans="1:4" ht="15.75" customHeight="1" x14ac:dyDescent="0.25">
      <c r="A1" s="11" t="s">
        <v>14</v>
      </c>
      <c r="B1" s="11" t="s">
        <v>26</v>
      </c>
      <c r="C1" s="11" t="s">
        <v>27</v>
      </c>
      <c r="D1" s="11" t="s">
        <v>15</v>
      </c>
    </row>
    <row r="2" spans="1:4" x14ac:dyDescent="0.25">
      <c r="A2" s="12">
        <v>21500</v>
      </c>
      <c r="B2" s="12">
        <v>2619.0398346700003</v>
      </c>
      <c r="C2" s="12">
        <v>-3309.4870833900018</v>
      </c>
      <c r="D2" s="12">
        <v>-690.44724872000108</v>
      </c>
    </row>
    <row r="3" spans="1:4" x14ac:dyDescent="0.25">
      <c r="A3" s="12">
        <v>21550</v>
      </c>
      <c r="B3" s="12">
        <v>2492.9990546700005</v>
      </c>
      <c r="C3" s="12">
        <v>-3176.1078733900017</v>
      </c>
      <c r="D3" s="12">
        <v>-683.1088187200013</v>
      </c>
    </row>
    <row r="4" spans="1:4" x14ac:dyDescent="0.25">
      <c r="A4" s="12">
        <v>21600</v>
      </c>
      <c r="B4" s="12">
        <v>2366.9582746699998</v>
      </c>
      <c r="C4" s="12">
        <v>-3042.7286633900012</v>
      </c>
      <c r="D4" s="12">
        <v>-675.77038872000094</v>
      </c>
    </row>
    <row r="5" spans="1:4" x14ac:dyDescent="0.25">
      <c r="A5" s="12">
        <v>21650</v>
      </c>
      <c r="B5" s="12">
        <v>2242.9673746700005</v>
      </c>
      <c r="C5" s="12">
        <v>-2909.3494533900011</v>
      </c>
      <c r="D5" s="12">
        <v>-666.38207872000112</v>
      </c>
    </row>
    <row r="6" spans="1:4" x14ac:dyDescent="0.25">
      <c r="A6" s="12">
        <v>21700</v>
      </c>
      <c r="B6" s="12">
        <v>2118.9764746700002</v>
      </c>
      <c r="C6" s="12">
        <v>-2775.9702433900006</v>
      </c>
      <c r="D6" s="12">
        <v>-656.99376872000141</v>
      </c>
    </row>
    <row r="7" spans="1:4" x14ac:dyDescent="0.25">
      <c r="A7" s="12">
        <v>21750</v>
      </c>
      <c r="B7" s="12">
        <v>1995.3855746700001</v>
      </c>
      <c r="C7" s="12">
        <v>-2642.5910333900006</v>
      </c>
      <c r="D7" s="12">
        <v>-647.20545872000105</v>
      </c>
    </row>
    <row r="8" spans="1:4" x14ac:dyDescent="0.25">
      <c r="A8" s="12">
        <v>21800</v>
      </c>
      <c r="B8" s="12">
        <v>1871.7946746699999</v>
      </c>
      <c r="C8" s="12">
        <v>-2509.211823390001</v>
      </c>
      <c r="D8" s="12">
        <v>-637.41714872000125</v>
      </c>
    </row>
    <row r="9" spans="1:4" x14ac:dyDescent="0.25">
      <c r="A9" s="12">
        <v>21850</v>
      </c>
      <c r="B9" s="12">
        <v>1748.2037746700003</v>
      </c>
      <c r="C9" s="12">
        <v>-2382.2325633900009</v>
      </c>
      <c r="D9" s="12">
        <v>-634.02878872000099</v>
      </c>
    </row>
    <row r="10" spans="1:4" x14ac:dyDescent="0.25">
      <c r="A10" s="12">
        <v>21900</v>
      </c>
      <c r="B10" s="12">
        <v>1625.26294467</v>
      </c>
      <c r="C10" s="12">
        <v>-2255.2533033900004</v>
      </c>
      <c r="D10" s="12">
        <v>-629.99035872000115</v>
      </c>
    </row>
    <row r="11" spans="1:4" x14ac:dyDescent="0.25">
      <c r="A11" s="12">
        <v>21950</v>
      </c>
      <c r="B11" s="12">
        <v>1506.7290646700001</v>
      </c>
      <c r="C11" s="12">
        <v>-2128.2740433900008</v>
      </c>
      <c r="D11" s="12">
        <v>-621.54497872000115</v>
      </c>
    </row>
    <row r="12" spans="1:4" x14ac:dyDescent="0.25">
      <c r="A12" s="12">
        <v>22000</v>
      </c>
      <c r="B12" s="12">
        <v>1388.9021346700004</v>
      </c>
      <c r="C12" s="12">
        <v>-2001.2947833900009</v>
      </c>
      <c r="D12" s="12">
        <v>-612.39264872000092</v>
      </c>
    </row>
    <row r="13" spans="1:4" x14ac:dyDescent="0.25">
      <c r="A13" s="12">
        <v>22050</v>
      </c>
      <c r="B13" s="12">
        <v>1284.78358467</v>
      </c>
      <c r="C13" s="12">
        <v>-1874.3155233900006</v>
      </c>
      <c r="D13" s="12">
        <v>-589.53193872000077</v>
      </c>
    </row>
    <row r="14" spans="1:4" x14ac:dyDescent="0.25">
      <c r="A14" s="12">
        <v>22100</v>
      </c>
      <c r="B14" s="12">
        <v>1180.6650346700001</v>
      </c>
      <c r="C14" s="12">
        <v>-1747.4862633900009</v>
      </c>
      <c r="D14" s="12">
        <v>-566.82122872000082</v>
      </c>
    </row>
    <row r="15" spans="1:4" x14ac:dyDescent="0.25">
      <c r="A15" s="12">
        <v>22150</v>
      </c>
      <c r="B15" s="12">
        <v>1076.5464846699999</v>
      </c>
      <c r="C15" s="12">
        <v>-1620.8575633900007</v>
      </c>
      <c r="D15" s="12">
        <v>-544.31107872000052</v>
      </c>
    </row>
    <row r="16" spans="1:4" x14ac:dyDescent="0.25">
      <c r="A16" s="12">
        <v>22200</v>
      </c>
      <c r="B16" s="12">
        <v>975.32768466999983</v>
      </c>
      <c r="C16" s="12">
        <v>-1494.2288633900009</v>
      </c>
      <c r="D16" s="12">
        <v>-518.90117872000087</v>
      </c>
    </row>
    <row r="17" spans="1:4" x14ac:dyDescent="0.25">
      <c r="A17" s="12">
        <v>22250</v>
      </c>
      <c r="B17" s="12">
        <v>874.10888467000007</v>
      </c>
      <c r="C17" s="12">
        <v>-1367.9493433900006</v>
      </c>
      <c r="D17" s="12">
        <v>-493.84045872000053</v>
      </c>
    </row>
    <row r="18" spans="1:4" x14ac:dyDescent="0.25">
      <c r="A18" s="12">
        <v>22300</v>
      </c>
      <c r="B18" s="12">
        <v>774.49046467000016</v>
      </c>
      <c r="C18" s="12">
        <v>-1241.6698233900006</v>
      </c>
      <c r="D18" s="12">
        <v>-467.17935872000055</v>
      </c>
    </row>
    <row r="19" spans="1:4" x14ac:dyDescent="0.25">
      <c r="A19" s="12">
        <v>22350</v>
      </c>
      <c r="B19" s="12">
        <v>680.96684467</v>
      </c>
      <c r="C19" s="12">
        <v>-1115.4903033900005</v>
      </c>
      <c r="D19" s="12">
        <v>-434.52345872000046</v>
      </c>
    </row>
    <row r="20" spans="1:4" x14ac:dyDescent="0.25">
      <c r="A20" s="12">
        <v>22400</v>
      </c>
      <c r="B20" s="12">
        <v>587.44322467000006</v>
      </c>
      <c r="C20" s="12">
        <v>-991.12071339000067</v>
      </c>
      <c r="D20" s="12">
        <v>-403.67748872000061</v>
      </c>
    </row>
    <row r="21" spans="1:4" x14ac:dyDescent="0.25">
      <c r="A21" s="12">
        <v>22450</v>
      </c>
      <c r="B21" s="12">
        <v>494.01543467000005</v>
      </c>
      <c r="C21" s="12">
        <v>-866.75112339000043</v>
      </c>
      <c r="D21" s="12">
        <v>-372.73568872000033</v>
      </c>
    </row>
    <row r="22" spans="1:4" x14ac:dyDescent="0.25">
      <c r="A22" s="12">
        <v>22500</v>
      </c>
      <c r="B22" s="12">
        <v>405.06706467000004</v>
      </c>
      <c r="C22" s="12">
        <v>-742.38153339000053</v>
      </c>
      <c r="D22" s="12">
        <v>-337.31446872000043</v>
      </c>
    </row>
    <row r="23" spans="1:4" x14ac:dyDescent="0.25">
      <c r="A23" s="12">
        <v>22550</v>
      </c>
      <c r="B23" s="12">
        <v>338.24925467000003</v>
      </c>
      <c r="C23" s="12">
        <v>-618.26196339000046</v>
      </c>
      <c r="D23" s="12">
        <v>-280.01270872000021</v>
      </c>
    </row>
    <row r="24" spans="1:4" x14ac:dyDescent="0.25">
      <c r="A24" s="12">
        <v>22600</v>
      </c>
      <c r="B24" s="12">
        <v>284.46109467000002</v>
      </c>
      <c r="C24" s="12">
        <v>-494.14239339000028</v>
      </c>
      <c r="D24" s="12">
        <v>-209.6812987200002</v>
      </c>
    </row>
    <row r="25" spans="1:4" x14ac:dyDescent="0.25">
      <c r="A25" s="12">
        <v>22650</v>
      </c>
      <c r="B25" s="12">
        <v>237.62357467000007</v>
      </c>
      <c r="C25" s="12">
        <v>-370.02282339000027</v>
      </c>
      <c r="D25" s="12">
        <v>-132.39924872000014</v>
      </c>
    </row>
    <row r="26" spans="1:4" x14ac:dyDescent="0.25">
      <c r="A26" s="12">
        <v>22700</v>
      </c>
      <c r="B26" s="12">
        <v>197.96230467000004</v>
      </c>
      <c r="C26" s="12">
        <v>-245.90325339000026</v>
      </c>
      <c r="D26" s="12">
        <v>-47.940948720000222</v>
      </c>
    </row>
    <row r="27" spans="1:4" x14ac:dyDescent="0.25">
      <c r="A27" s="12">
        <v>22750</v>
      </c>
      <c r="B27" s="12">
        <v>161.84611467000005</v>
      </c>
      <c r="C27" s="12">
        <v>-122.08368339000017</v>
      </c>
      <c r="D27" s="12">
        <v>39.762431279999866</v>
      </c>
    </row>
    <row r="28" spans="1:4" x14ac:dyDescent="0.25">
      <c r="A28" s="12">
        <v>22800</v>
      </c>
      <c r="B28" s="12">
        <v>125.72992467000006</v>
      </c>
      <c r="C28" s="12">
        <v>-8.062263390000167</v>
      </c>
      <c r="D28" s="12">
        <v>117.66766127999992</v>
      </c>
    </row>
    <row r="29" spans="1:4" x14ac:dyDescent="0.25">
      <c r="A29" s="12">
        <v>22850</v>
      </c>
      <c r="B29" s="12">
        <v>89.663714670000047</v>
      </c>
      <c r="C29" s="12">
        <v>91.255056609999912</v>
      </c>
      <c r="D29" s="12">
        <v>180.91877127999999</v>
      </c>
    </row>
    <row r="30" spans="1:4" x14ac:dyDescent="0.25">
      <c r="A30" s="12">
        <v>22900</v>
      </c>
      <c r="B30" s="12">
        <v>53.797504670000045</v>
      </c>
      <c r="C30" s="12">
        <v>170.2107766099999</v>
      </c>
      <c r="D30" s="12">
        <v>224.00828128000001</v>
      </c>
    </row>
    <row r="31" spans="1:4" x14ac:dyDescent="0.25">
      <c r="A31" s="12">
        <v>22950</v>
      </c>
      <c r="B31" s="12">
        <v>17.931294670000046</v>
      </c>
      <c r="C31" s="12">
        <v>245.10441660999996</v>
      </c>
      <c r="D31" s="12">
        <v>263.03571128000004</v>
      </c>
    </row>
    <row r="32" spans="1:4" x14ac:dyDescent="0.25">
      <c r="A32" s="12">
        <v>23000</v>
      </c>
      <c r="B32" s="12">
        <v>-17.284925329999965</v>
      </c>
      <c r="C32" s="12">
        <v>316.67300660999996</v>
      </c>
      <c r="D32" s="12">
        <v>299.38808128000005</v>
      </c>
    </row>
    <row r="33" spans="1:4" x14ac:dyDescent="0.25">
      <c r="A33" s="12">
        <v>23050</v>
      </c>
      <c r="B33" s="12">
        <v>-52.501145329999957</v>
      </c>
      <c r="C33" s="12">
        <v>378.11804661000008</v>
      </c>
      <c r="D33" s="12">
        <v>325.61690128000004</v>
      </c>
    </row>
    <row r="34" spans="1:4" x14ac:dyDescent="0.25">
      <c r="A34" s="12">
        <v>23100</v>
      </c>
      <c r="B34" s="12">
        <v>-57.614105329999973</v>
      </c>
      <c r="C34" s="12">
        <v>439.56308661000008</v>
      </c>
      <c r="D34" s="12">
        <v>381.94898128000011</v>
      </c>
    </row>
    <row r="35" spans="1:4" x14ac:dyDescent="0.25">
      <c r="A35" s="12">
        <v>23150</v>
      </c>
      <c r="B35" s="12">
        <v>-62.727065329999967</v>
      </c>
      <c r="C35" s="12">
        <v>491.8727666100001</v>
      </c>
      <c r="D35" s="12">
        <v>429.14570128000014</v>
      </c>
    </row>
    <row r="36" spans="1:4" x14ac:dyDescent="0.25">
      <c r="A36" s="12">
        <v>23200</v>
      </c>
      <c r="B36" s="12">
        <v>-67.840025329999989</v>
      </c>
      <c r="C36" s="12">
        <v>536.82850661000009</v>
      </c>
      <c r="D36" s="12">
        <v>468.98848128000014</v>
      </c>
    </row>
    <row r="37" spans="1:4" x14ac:dyDescent="0.25">
      <c r="A37" s="12">
        <v>23250</v>
      </c>
      <c r="B37" s="12">
        <v>-72.95298532999999</v>
      </c>
      <c r="C37" s="12">
        <v>542.59703661000003</v>
      </c>
      <c r="D37" s="12">
        <v>469.64405128000016</v>
      </c>
    </row>
    <row r="38" spans="1:4" x14ac:dyDescent="0.25">
      <c r="A38" s="12">
        <v>23300</v>
      </c>
      <c r="B38" s="12">
        <v>-72.986335330000003</v>
      </c>
      <c r="C38" s="12">
        <v>541.75995661000013</v>
      </c>
      <c r="D38" s="12">
        <v>468.77362128000016</v>
      </c>
    </row>
    <row r="39" spans="1:4" x14ac:dyDescent="0.25">
      <c r="A39" s="12">
        <v>23350</v>
      </c>
      <c r="B39" s="12">
        <v>-73.019685330000001</v>
      </c>
      <c r="C39" s="12">
        <v>498.82552661000022</v>
      </c>
      <c r="D39" s="12">
        <v>425.8058412800001</v>
      </c>
    </row>
    <row r="40" spans="1:4" x14ac:dyDescent="0.25">
      <c r="A40" s="12">
        <v>23400</v>
      </c>
      <c r="B40" s="12">
        <v>-73.05303533</v>
      </c>
      <c r="C40" s="12">
        <v>436.13815661000018</v>
      </c>
      <c r="D40" s="12">
        <v>363.08512128000018</v>
      </c>
    </row>
    <row r="41" spans="1:4" x14ac:dyDescent="0.25">
      <c r="A41" s="12">
        <v>23500</v>
      </c>
      <c r="B41" s="12">
        <v>-73.086385329999985</v>
      </c>
      <c r="C41" s="12">
        <v>350.65782661000014</v>
      </c>
      <c r="D41" s="12">
        <v>277.57144128000016</v>
      </c>
    </row>
    <row r="42" spans="1:4" x14ac:dyDescent="0.25">
      <c r="B42" s="4">
        <v>-73.119735329999997</v>
      </c>
      <c r="C42" s="4">
        <v>265.17749661000016</v>
      </c>
      <c r="D42" s="4">
        <v>192.05776128000014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269C-6E32-4DC3-A584-E4E2D693D6E0}">
  <sheetPr codeName="工作表6">
    <tabColor theme="7" tint="0.79998168889431442"/>
  </sheetPr>
  <dimension ref="B1:N292"/>
  <sheetViews>
    <sheetView zoomScale="150" zoomScaleNormal="150" workbookViewId="0">
      <pane xSplit="1" ySplit="1" topLeftCell="B80" activePane="bottomRight" state="frozen"/>
      <selection pane="topRight" activeCell="B1" sqref="B1"/>
      <selection pane="bottomLeft" activeCell="A2" sqref="A2"/>
      <selection pane="bottomRight" activeCell="C104" sqref="C104"/>
    </sheetView>
  </sheetViews>
  <sheetFormatPr defaultColWidth="5.75" defaultRowHeight="13.5" x14ac:dyDescent="0.25"/>
  <cols>
    <col min="1" max="1" width="5.75" style="86"/>
    <col min="2" max="2" width="14.125" style="86" bestFit="1" customWidth="1"/>
    <col min="3" max="3" width="18.75" style="86" bestFit="1" customWidth="1"/>
    <col min="4" max="5" width="5.5" style="86" bestFit="1" customWidth="1"/>
    <col min="6" max="6" width="9.625" style="86" bestFit="1" customWidth="1"/>
    <col min="7" max="7" width="5.75" style="87"/>
    <col min="8" max="8" width="6.5" style="87" bestFit="1" customWidth="1"/>
    <col min="9" max="9" width="5.75" style="87"/>
    <col min="10" max="10" width="14" style="86" bestFit="1" customWidth="1"/>
    <col min="11" max="11" width="18.625" style="86" bestFit="1" customWidth="1"/>
    <col min="12" max="13" width="5.5" style="86" bestFit="1" customWidth="1"/>
    <col min="14" max="14" width="9.625" style="86" bestFit="1" customWidth="1"/>
    <col min="15" max="16384" width="5.75" style="86"/>
  </cols>
  <sheetData>
    <row r="1" spans="2:14" x14ac:dyDescent="0.25">
      <c r="B1" s="86" t="s">
        <v>5</v>
      </c>
      <c r="C1" s="86" t="s">
        <v>1</v>
      </c>
      <c r="D1" s="86" t="s">
        <v>2</v>
      </c>
      <c r="E1" s="86" t="s">
        <v>3</v>
      </c>
      <c r="F1" s="86" t="s">
        <v>127</v>
      </c>
      <c r="G1" s="85" t="s">
        <v>11</v>
      </c>
      <c r="H1" s="85" t="s">
        <v>6</v>
      </c>
      <c r="I1" s="85" t="s">
        <v>12</v>
      </c>
      <c r="J1" s="86" t="s">
        <v>5</v>
      </c>
      <c r="K1" s="86" t="s">
        <v>1</v>
      </c>
      <c r="L1" s="86" t="s">
        <v>2</v>
      </c>
      <c r="M1" s="86" t="s">
        <v>3</v>
      </c>
      <c r="N1" s="86" t="s">
        <v>127</v>
      </c>
    </row>
    <row r="2" spans="2:14" s="7" customFormat="1" x14ac:dyDescent="0.25">
      <c r="B2" s="7" t="e" cm="1">
        <f t="array" ref="B2">[1]!'TX4N07C15500.TF-ID,Name,Price,TotalVolume,InOutRatio'</f>
        <v>#N/A</v>
      </c>
      <c r="G2" s="87">
        <f>+IFERROR((F2-50)/50*E2,0)</f>
        <v>0</v>
      </c>
      <c r="H2" s="87">
        <v>15500</v>
      </c>
      <c r="I2" s="87">
        <f>+IFERROR((N2-50)/50*M2,0)</f>
        <v>0</v>
      </c>
      <c r="J2" s="7" t="e" cm="1">
        <f t="array" ref="J2">[1]!'TX4N07P15500.TF-ID,Name,Price,TotalVolume,InOutRatio'</f>
        <v>#N/A</v>
      </c>
    </row>
    <row r="3" spans="2:14" s="7" customFormat="1" x14ac:dyDescent="0.25">
      <c r="B3" s="7" t="e" cm="1">
        <f t="array" ref="B3">[1]!'TX4N07C15550.TF-ID,Name,Price,TotalVolume,InOutRatio'</f>
        <v>#N/A</v>
      </c>
      <c r="G3" s="87">
        <f t="shared" ref="G3:G66" si="0">+IFERROR((F3-50)/50*E3,0)</f>
        <v>0</v>
      </c>
      <c r="H3" s="87">
        <v>15550</v>
      </c>
      <c r="I3" s="87">
        <f t="shared" ref="I3:I66" si="1">+IFERROR((N3-50)/50*M3,0)</f>
        <v>0</v>
      </c>
      <c r="J3" s="7" t="e" cm="1">
        <f t="array" ref="J3">[1]!'TX4N07P15550.TF-ID,Name,Price,TotalVolume,InOutRatio'</f>
        <v>#N/A</v>
      </c>
    </row>
    <row r="4" spans="2:14" s="7" customFormat="1" x14ac:dyDescent="0.25">
      <c r="B4" s="7" t="e" cm="1">
        <f t="array" ref="B4">[1]!'TX4N07C15600.TF-ID,Name,Price,TotalVolume,InOutRatio'</f>
        <v>#N/A</v>
      </c>
      <c r="G4" s="87">
        <f t="shared" si="0"/>
        <v>0</v>
      </c>
      <c r="H4" s="87">
        <v>15600</v>
      </c>
      <c r="I4" s="87">
        <f t="shared" si="1"/>
        <v>0</v>
      </c>
      <c r="J4" s="7" t="e" cm="1">
        <f t="array" ref="J4">[1]!'TX4N07P15600.TF-ID,Name,Price,TotalVolume,InOutRatio'</f>
        <v>#N/A</v>
      </c>
    </row>
    <row r="5" spans="2:14" s="7" customFormat="1" x14ac:dyDescent="0.25">
      <c r="B5" s="7" t="e" cm="1">
        <f t="array" ref="B5">[1]!'TX4N07C15650.TF-ID,Name,Price,TotalVolume,InOutRatio'</f>
        <v>#N/A</v>
      </c>
      <c r="G5" s="87">
        <f t="shared" si="0"/>
        <v>0</v>
      </c>
      <c r="H5" s="87">
        <v>15650</v>
      </c>
      <c r="I5" s="87">
        <f t="shared" si="1"/>
        <v>0</v>
      </c>
      <c r="J5" s="7" t="e" cm="1">
        <f t="array" ref="J5">[1]!'TX4N07P15650.TF-ID,Name,Price,TotalVolume,InOutRatio'</f>
        <v>#N/A</v>
      </c>
    </row>
    <row r="6" spans="2:14" s="7" customFormat="1" x14ac:dyDescent="0.25">
      <c r="B6" s="7" t="e" cm="1">
        <f t="array" ref="B6">[1]!'TX4N07C15700.TF-ID,Name,Price,TotalVolume,InOutRatio'</f>
        <v>#N/A</v>
      </c>
      <c r="G6" s="87">
        <f t="shared" si="0"/>
        <v>0</v>
      </c>
      <c r="H6" s="87">
        <v>15700</v>
      </c>
      <c r="I6" s="87">
        <f t="shared" si="1"/>
        <v>0</v>
      </c>
      <c r="J6" s="7" t="e" cm="1">
        <f t="array" ref="J6">[1]!'TX4N07P15700.TF-ID,Name,Price,TotalVolume,InOutRatio'</f>
        <v>#N/A</v>
      </c>
    </row>
    <row r="7" spans="2:14" s="7" customFormat="1" x14ac:dyDescent="0.25">
      <c r="B7" s="7" t="e" cm="1">
        <f t="array" ref="B7">[1]!'TX4N07C15750.TF-ID,Name,Price,TotalVolume,InOutRatio'</f>
        <v>#N/A</v>
      </c>
      <c r="G7" s="87">
        <f t="shared" si="0"/>
        <v>0</v>
      </c>
      <c r="H7" s="87">
        <v>15750</v>
      </c>
      <c r="I7" s="87">
        <f t="shared" si="1"/>
        <v>0</v>
      </c>
      <c r="J7" s="7" t="e" cm="1">
        <f t="array" ref="J7">[1]!'TX4N07P15750.TF-ID,Name,Price,TotalVolume,InOutRatio'</f>
        <v>#N/A</v>
      </c>
    </row>
    <row r="8" spans="2:14" s="7" customFormat="1" x14ac:dyDescent="0.25">
      <c r="B8" s="7" t="e" cm="1">
        <f t="array" ref="B8">[1]!'TX4N07C15800.TF-ID,Name,Price,TotalVolume,InOutRatio'</f>
        <v>#N/A</v>
      </c>
      <c r="G8" s="87">
        <f t="shared" si="0"/>
        <v>0</v>
      </c>
      <c r="H8" s="87">
        <v>15800</v>
      </c>
      <c r="I8" s="87">
        <f t="shared" si="1"/>
        <v>0</v>
      </c>
      <c r="J8" s="7" t="e" cm="1">
        <f t="array" ref="J8">[1]!'TX4N07P15800.TF-ID,Name,Price,TotalVolume,InOutRatio'</f>
        <v>#N/A</v>
      </c>
    </row>
    <row r="9" spans="2:14" s="7" customFormat="1" x14ac:dyDescent="0.25">
      <c r="B9" s="7" t="e" cm="1">
        <f t="array" ref="B9">[1]!'TX4N07C15850.TF-ID,Name,Price,TotalVolume,InOutRatio'</f>
        <v>#N/A</v>
      </c>
      <c r="G9" s="87">
        <f t="shared" si="0"/>
        <v>0</v>
      </c>
      <c r="H9" s="87">
        <v>15850</v>
      </c>
      <c r="I9" s="87">
        <f t="shared" si="1"/>
        <v>0</v>
      </c>
      <c r="J9" s="7" t="e" cm="1">
        <f t="array" ref="J9">[1]!'TX4N07P15850.TF-ID,Name,Price,TotalVolume,InOutRatio'</f>
        <v>#N/A</v>
      </c>
    </row>
    <row r="10" spans="2:14" s="7" customFormat="1" x14ac:dyDescent="0.25">
      <c r="B10" s="7" t="e" cm="1">
        <f t="array" ref="B10">[1]!'TX4N07C15900.TF-ID,Name,Price,TotalVolume,InOutRatio'</f>
        <v>#N/A</v>
      </c>
      <c r="G10" s="87">
        <f t="shared" si="0"/>
        <v>0</v>
      </c>
      <c r="H10" s="87">
        <v>15900</v>
      </c>
      <c r="I10" s="87">
        <f t="shared" si="1"/>
        <v>0</v>
      </c>
      <c r="J10" s="7" t="e" cm="1">
        <f t="array" ref="J10">[1]!'TX4N07P15900.TF-ID,Name,Price,TotalVolume,InOutRatio'</f>
        <v>#N/A</v>
      </c>
    </row>
    <row r="11" spans="2:14" s="7" customFormat="1" x14ac:dyDescent="0.25">
      <c r="B11" s="7" t="e" cm="1">
        <f t="array" ref="B11">[1]!'TX4N07C15950.TF-ID,Name,Price,TotalVolume,InOutRatio'</f>
        <v>#N/A</v>
      </c>
      <c r="G11" s="87">
        <f t="shared" si="0"/>
        <v>0</v>
      </c>
      <c r="H11" s="87">
        <v>15950</v>
      </c>
      <c r="I11" s="87">
        <f t="shared" si="1"/>
        <v>0</v>
      </c>
      <c r="J11" s="7" t="e" cm="1">
        <f t="array" ref="J11">[1]!'TX4N07P15950.TF-ID,Name,Price,TotalVolume,InOutRatio'</f>
        <v>#N/A</v>
      </c>
    </row>
    <row r="12" spans="2:14" s="7" customFormat="1" x14ac:dyDescent="0.25">
      <c r="B12" s="7" t="e" cm="1">
        <f t="array" ref="B12">[1]!'TX4N07C16000.TF-ID,Name,Price,TotalVolume,InOutRatio'</f>
        <v>#N/A</v>
      </c>
      <c r="G12" s="87">
        <f t="shared" si="0"/>
        <v>0</v>
      </c>
      <c r="H12" s="87">
        <v>16000</v>
      </c>
      <c r="I12" s="87">
        <f t="shared" si="1"/>
        <v>0</v>
      </c>
      <c r="J12" s="7" t="e" cm="1">
        <f t="array" ref="J12">[1]!'TX4N07P16000.TF-ID,Name,Price,TotalVolume,InOutRatio'</f>
        <v>#N/A</v>
      </c>
    </row>
    <row r="13" spans="2:14" s="7" customFormat="1" x14ac:dyDescent="0.25">
      <c r="B13" s="7" t="e" cm="1">
        <f t="array" ref="B13">[1]!'TX4N07C16050.TF-ID,Name,Price,TotalVolume,InOutRatio'</f>
        <v>#N/A</v>
      </c>
      <c r="G13" s="87">
        <f t="shared" si="0"/>
        <v>0</v>
      </c>
      <c r="H13" s="87">
        <v>16050</v>
      </c>
      <c r="I13" s="87">
        <f t="shared" si="1"/>
        <v>0</v>
      </c>
      <c r="J13" s="7" t="e" cm="1">
        <f t="array" ref="J13">[1]!'TX4N07P16050.TF-ID,Name,Price,TotalVolume,InOutRatio'</f>
        <v>#N/A</v>
      </c>
    </row>
    <row r="14" spans="2:14" s="7" customFormat="1" x14ac:dyDescent="0.25">
      <c r="B14" s="7" t="e" cm="1">
        <f t="array" ref="B14">[1]!'TX4N07C16100.TF-ID,Name,Price,TotalVolume,InOutRatio'</f>
        <v>#N/A</v>
      </c>
      <c r="G14" s="87">
        <f t="shared" si="0"/>
        <v>0</v>
      </c>
      <c r="H14" s="87">
        <v>16100</v>
      </c>
      <c r="I14" s="87">
        <f t="shared" si="1"/>
        <v>0</v>
      </c>
      <c r="J14" s="7" t="e" cm="1">
        <f t="array" ref="J14">[1]!'TX4N07P16100.TF-ID,Name,Price,TotalVolume,InOutRatio'</f>
        <v>#N/A</v>
      </c>
    </row>
    <row r="15" spans="2:14" s="7" customFormat="1" x14ac:dyDescent="0.25">
      <c r="B15" s="7" t="e" cm="1">
        <f t="array" ref="B15">[1]!'TX4N07C16150.TF-ID,Name,Price,TotalVolume,InOutRatio'</f>
        <v>#N/A</v>
      </c>
      <c r="G15" s="87">
        <f t="shared" si="0"/>
        <v>0</v>
      </c>
      <c r="H15" s="87">
        <v>16150</v>
      </c>
      <c r="I15" s="87">
        <f t="shared" si="1"/>
        <v>0</v>
      </c>
      <c r="J15" s="7" t="e" cm="1">
        <f t="array" ref="J15">[1]!'TX4N07P16150.TF-ID,Name,Price,TotalVolume,InOutRatio'</f>
        <v>#N/A</v>
      </c>
    </row>
    <row r="16" spans="2:14" s="7" customFormat="1" x14ac:dyDescent="0.25">
      <c r="B16" s="7" t="e" cm="1">
        <f t="array" ref="B16">[1]!'TX4N07C16200.TF-ID,Name,Price,TotalVolume,InOutRatio'</f>
        <v>#N/A</v>
      </c>
      <c r="G16" s="87">
        <f t="shared" si="0"/>
        <v>0</v>
      </c>
      <c r="H16" s="87">
        <v>16200</v>
      </c>
      <c r="I16" s="87">
        <f t="shared" si="1"/>
        <v>0</v>
      </c>
      <c r="J16" s="7" t="e" cm="1">
        <f t="array" ref="J16">[1]!'TX4N07P16200.TF-ID,Name,Price,TotalVolume,InOutRatio'</f>
        <v>#N/A</v>
      </c>
    </row>
    <row r="17" spans="2:10" s="7" customFormat="1" x14ac:dyDescent="0.25">
      <c r="B17" s="7" t="e" cm="1">
        <f t="array" ref="B17">[1]!'TX4N07C16250.TF-ID,Name,Price,TotalVolume,InOutRatio'</f>
        <v>#N/A</v>
      </c>
      <c r="G17" s="87">
        <f t="shared" si="0"/>
        <v>0</v>
      </c>
      <c r="H17" s="87">
        <v>16250</v>
      </c>
      <c r="I17" s="87">
        <f t="shared" si="1"/>
        <v>0</v>
      </c>
      <c r="J17" s="7" t="e" cm="1">
        <f t="array" ref="J17">[1]!'TX4N07P16250.TF-ID,Name,Price,TotalVolume,InOutRatio'</f>
        <v>#N/A</v>
      </c>
    </row>
    <row r="18" spans="2:10" s="7" customFormat="1" x14ac:dyDescent="0.25">
      <c r="B18" s="7" t="e" cm="1">
        <f t="array" ref="B18">[1]!'TX4N07C16300.TF-ID,Name,Price,TotalVolume,InOutRatio'</f>
        <v>#N/A</v>
      </c>
      <c r="G18" s="87">
        <f t="shared" si="0"/>
        <v>0</v>
      </c>
      <c r="H18" s="87">
        <v>16300</v>
      </c>
      <c r="I18" s="87">
        <f t="shared" si="1"/>
        <v>0</v>
      </c>
      <c r="J18" s="7" t="e" cm="1">
        <f t="array" ref="J18">[1]!'TX4N07P16300.TF-ID,Name,Price,TotalVolume,InOutRatio'</f>
        <v>#N/A</v>
      </c>
    </row>
    <row r="19" spans="2:10" s="7" customFormat="1" x14ac:dyDescent="0.25">
      <c r="B19" s="7" t="e" cm="1">
        <f t="array" ref="B19">[1]!'TX4N07C16350.TF-ID,Name,Price,TotalVolume,InOutRatio'</f>
        <v>#N/A</v>
      </c>
      <c r="G19" s="87">
        <f t="shared" si="0"/>
        <v>0</v>
      </c>
      <c r="H19" s="87">
        <v>16350</v>
      </c>
      <c r="I19" s="87">
        <f t="shared" si="1"/>
        <v>0</v>
      </c>
      <c r="J19" s="7" t="e" cm="1">
        <f t="array" ref="J19">[1]!'TX4N07P16350.TF-ID,Name,Price,TotalVolume,InOutRatio'</f>
        <v>#N/A</v>
      </c>
    </row>
    <row r="20" spans="2:10" s="7" customFormat="1" x14ac:dyDescent="0.25">
      <c r="B20" s="7" t="e" cm="1">
        <f t="array" ref="B20">[1]!'TX4N07C16400.TF-ID,Name,Price,TotalVolume,InOutRatio'</f>
        <v>#N/A</v>
      </c>
      <c r="G20" s="87">
        <f t="shared" si="0"/>
        <v>0</v>
      </c>
      <c r="H20" s="87">
        <v>16400</v>
      </c>
      <c r="I20" s="87">
        <f t="shared" si="1"/>
        <v>0</v>
      </c>
      <c r="J20" s="7" t="e" cm="1">
        <f t="array" ref="J20">[1]!'TX4N07P16400.TF-ID,Name,Price,TotalVolume,InOutRatio'</f>
        <v>#N/A</v>
      </c>
    </row>
    <row r="21" spans="2:10" s="7" customFormat="1" x14ac:dyDescent="0.25">
      <c r="B21" s="7" t="e" cm="1">
        <f t="array" ref="B21">[1]!'TX4N07C16450.TF-ID,Name,Price,TotalVolume,InOutRatio'</f>
        <v>#N/A</v>
      </c>
      <c r="G21" s="87">
        <f t="shared" si="0"/>
        <v>0</v>
      </c>
      <c r="H21" s="87">
        <v>16450</v>
      </c>
      <c r="I21" s="87">
        <f t="shared" si="1"/>
        <v>0</v>
      </c>
      <c r="J21" s="7" t="e" cm="1">
        <f t="array" ref="J21">[1]!'TX4N07P16450.TF-ID,Name,Price,TotalVolume,InOutRatio'</f>
        <v>#N/A</v>
      </c>
    </row>
    <row r="22" spans="2:10" s="7" customFormat="1" x14ac:dyDescent="0.25">
      <c r="B22" s="7" t="e" cm="1">
        <f t="array" ref="B22">[1]!'TX4N07C16500.TF-ID,Name,Price,TotalVolume,InOutRatio'</f>
        <v>#N/A</v>
      </c>
      <c r="G22" s="87">
        <f t="shared" si="0"/>
        <v>0</v>
      </c>
      <c r="H22" s="87">
        <v>16500</v>
      </c>
      <c r="I22" s="87">
        <f t="shared" si="1"/>
        <v>0</v>
      </c>
      <c r="J22" s="7" t="e" cm="1">
        <f t="array" ref="J22">[1]!'TX4N07P16500.TF-ID,Name,Price,TotalVolume,InOutRatio'</f>
        <v>#N/A</v>
      </c>
    </row>
    <row r="23" spans="2:10" s="7" customFormat="1" x14ac:dyDescent="0.25">
      <c r="B23" s="7" t="e" cm="1">
        <f t="array" ref="B23">[1]!'TX4N07C16550.TF-ID,Name,Price,TotalVolume,InOutRatio'</f>
        <v>#N/A</v>
      </c>
      <c r="G23" s="87">
        <f t="shared" si="0"/>
        <v>0</v>
      </c>
      <c r="H23" s="87">
        <v>16550</v>
      </c>
      <c r="I23" s="87">
        <f t="shared" si="1"/>
        <v>0</v>
      </c>
      <c r="J23" s="7" t="e" cm="1">
        <f t="array" ref="J23">[1]!'TX4N07P16550.TF-ID,Name,Price,TotalVolume,InOutRatio'</f>
        <v>#N/A</v>
      </c>
    </row>
    <row r="24" spans="2:10" s="7" customFormat="1" x14ac:dyDescent="0.25">
      <c r="B24" s="7" t="e" cm="1">
        <f t="array" ref="B24">[1]!'TX4N07C16600.TF-ID,Name,Price,TotalVolume,InOutRatio'</f>
        <v>#N/A</v>
      </c>
      <c r="G24" s="87">
        <f t="shared" si="0"/>
        <v>0</v>
      </c>
      <c r="H24" s="87">
        <v>16600</v>
      </c>
      <c r="I24" s="87">
        <f t="shared" si="1"/>
        <v>0</v>
      </c>
      <c r="J24" s="7" t="e" cm="1">
        <f t="array" ref="J24">[1]!'TX4N07P16600.TF-ID,Name,Price,TotalVolume,InOutRatio'</f>
        <v>#N/A</v>
      </c>
    </row>
    <row r="25" spans="2:10" s="7" customFormat="1" x14ac:dyDescent="0.25">
      <c r="B25" s="7" t="e" cm="1">
        <f t="array" ref="B25">[1]!'TX4N07C16650.TF-ID,Name,Price,TotalVolume,InOutRatio'</f>
        <v>#N/A</v>
      </c>
      <c r="G25" s="87">
        <f t="shared" si="0"/>
        <v>0</v>
      </c>
      <c r="H25" s="87">
        <v>16650</v>
      </c>
      <c r="I25" s="87">
        <f t="shared" si="1"/>
        <v>0</v>
      </c>
      <c r="J25" s="7" t="e" cm="1">
        <f t="array" ref="J25">[1]!'TX4N07P16650.TF-ID,Name,Price,TotalVolume,InOutRatio'</f>
        <v>#N/A</v>
      </c>
    </row>
    <row r="26" spans="2:10" s="7" customFormat="1" x14ac:dyDescent="0.25">
      <c r="B26" s="7" t="e" cm="1">
        <f t="array" ref="B26">[1]!'TX4N07C16700.TF-ID,Name,Price,TotalVolume,InOutRatio'</f>
        <v>#N/A</v>
      </c>
      <c r="G26" s="87">
        <f t="shared" si="0"/>
        <v>0</v>
      </c>
      <c r="H26" s="87">
        <v>16700</v>
      </c>
      <c r="I26" s="87">
        <f t="shared" si="1"/>
        <v>0</v>
      </c>
      <c r="J26" s="7" t="e" cm="1">
        <f t="array" ref="J26">[1]!'TX4N07P16700.TF-ID,Name,Price,TotalVolume,InOutRatio'</f>
        <v>#N/A</v>
      </c>
    </row>
    <row r="27" spans="2:10" s="7" customFormat="1" x14ac:dyDescent="0.25">
      <c r="B27" s="7" t="e" cm="1">
        <f t="array" ref="B27">[1]!'TX4N07C16750.TF-ID,Name,Price,TotalVolume,InOutRatio'</f>
        <v>#N/A</v>
      </c>
      <c r="G27" s="87">
        <f t="shared" si="0"/>
        <v>0</v>
      </c>
      <c r="H27" s="87">
        <v>16750</v>
      </c>
      <c r="I27" s="87">
        <f t="shared" si="1"/>
        <v>0</v>
      </c>
      <c r="J27" s="7" t="e" cm="1">
        <f t="array" ref="J27">[1]!'TX4N07P16750.TF-ID,Name,Price,TotalVolume,InOutRatio'</f>
        <v>#N/A</v>
      </c>
    </row>
    <row r="28" spans="2:10" s="7" customFormat="1" x14ac:dyDescent="0.25">
      <c r="B28" s="7" t="e" cm="1">
        <f t="array" ref="B28">[1]!'TX4N07C16800.TF-ID,Name,Price,TotalVolume,InOutRatio'</f>
        <v>#N/A</v>
      </c>
      <c r="G28" s="87">
        <f t="shared" si="0"/>
        <v>0</v>
      </c>
      <c r="H28" s="87">
        <v>16800</v>
      </c>
      <c r="I28" s="87">
        <f t="shared" si="1"/>
        <v>0</v>
      </c>
      <c r="J28" s="7" t="e" cm="1">
        <f t="array" ref="J28">[1]!'TX4N07P16800.TF-ID,Name,Price,TotalVolume,InOutRatio'</f>
        <v>#N/A</v>
      </c>
    </row>
    <row r="29" spans="2:10" s="7" customFormat="1" x14ac:dyDescent="0.25">
      <c r="B29" s="7" t="e" cm="1">
        <f t="array" ref="B29">[1]!'TX4N07C16850.TF-ID,Name,Price,TotalVolume,InOutRatio'</f>
        <v>#N/A</v>
      </c>
      <c r="G29" s="87">
        <f t="shared" si="0"/>
        <v>0</v>
      </c>
      <c r="H29" s="87">
        <v>16850</v>
      </c>
      <c r="I29" s="87">
        <f t="shared" si="1"/>
        <v>0</v>
      </c>
      <c r="J29" s="7" t="e" cm="1">
        <f t="array" ref="J29">[1]!'TX4N07P16850.TF-ID,Name,Price,TotalVolume,InOutRatio'</f>
        <v>#N/A</v>
      </c>
    </row>
    <row r="30" spans="2:10" s="7" customFormat="1" x14ac:dyDescent="0.25">
      <c r="B30" s="7" t="e" cm="1">
        <f t="array" ref="B30">[1]!'TX4N07C16900.TF-ID,Name,Price,TotalVolume,InOutRatio'</f>
        <v>#N/A</v>
      </c>
      <c r="G30" s="87">
        <f t="shared" si="0"/>
        <v>0</v>
      </c>
      <c r="H30" s="87">
        <v>16900</v>
      </c>
      <c r="I30" s="87">
        <f t="shared" si="1"/>
        <v>0</v>
      </c>
      <c r="J30" s="7" t="e" cm="1">
        <f t="array" ref="J30">[1]!'TX4N07P16900.TF-ID,Name,Price,TotalVolume,InOutRatio'</f>
        <v>#N/A</v>
      </c>
    </row>
    <row r="31" spans="2:10" s="7" customFormat="1" x14ac:dyDescent="0.25">
      <c r="B31" s="7" t="e" cm="1">
        <f t="array" ref="B31">[1]!'TX4N07C16950.TF-ID,Name,Price,TotalVolume,InOutRatio'</f>
        <v>#N/A</v>
      </c>
      <c r="G31" s="87">
        <f t="shared" si="0"/>
        <v>0</v>
      </c>
      <c r="H31" s="87">
        <v>16950</v>
      </c>
      <c r="I31" s="87">
        <f t="shared" si="1"/>
        <v>0</v>
      </c>
      <c r="J31" s="7" t="e" cm="1">
        <f t="array" ref="J31">[1]!'TX4N07P16950.TF-ID,Name,Price,TotalVolume,InOutRatio'</f>
        <v>#N/A</v>
      </c>
    </row>
    <row r="32" spans="2:10" s="7" customFormat="1" x14ac:dyDescent="0.25">
      <c r="B32" s="7" t="e" cm="1">
        <f t="array" ref="B32">[1]!'TX4N07C17000.TF-ID,Name,Price,TotalVolume,InOutRatio'</f>
        <v>#N/A</v>
      </c>
      <c r="G32" s="87">
        <f t="shared" si="0"/>
        <v>0</v>
      </c>
      <c r="H32" s="87">
        <v>17000</v>
      </c>
      <c r="I32" s="87">
        <f t="shared" si="1"/>
        <v>0</v>
      </c>
      <c r="J32" s="7" t="e" cm="1">
        <f t="array" ref="J32">[1]!'TX4N07P17000.TF-ID,Name,Price,TotalVolume,InOutRatio'</f>
        <v>#N/A</v>
      </c>
    </row>
    <row r="33" spans="2:10" s="7" customFormat="1" x14ac:dyDescent="0.25">
      <c r="B33" s="7" t="e" cm="1">
        <f t="array" ref="B33">[1]!'TX4N07C17050.TF-ID,Name,Price,TotalVolume,InOutRatio'</f>
        <v>#N/A</v>
      </c>
      <c r="G33" s="87">
        <f t="shared" si="0"/>
        <v>0</v>
      </c>
      <c r="H33" s="87">
        <v>17050</v>
      </c>
      <c r="I33" s="87">
        <f t="shared" si="1"/>
        <v>0</v>
      </c>
      <c r="J33" s="7" t="e" cm="1">
        <f t="array" ref="J33">[1]!'TX4N07P17050.TF-ID,Name,Price,TotalVolume,InOutRatio'</f>
        <v>#N/A</v>
      </c>
    </row>
    <row r="34" spans="2:10" s="7" customFormat="1" x14ac:dyDescent="0.25">
      <c r="B34" s="7" t="e" cm="1">
        <f t="array" ref="B34">[1]!'TX4N07C17100.TF-ID,Name,Price,TotalVolume,InOutRatio'</f>
        <v>#N/A</v>
      </c>
      <c r="G34" s="87">
        <f t="shared" si="0"/>
        <v>0</v>
      </c>
      <c r="H34" s="87">
        <v>17100</v>
      </c>
      <c r="I34" s="87">
        <f t="shared" si="1"/>
        <v>0</v>
      </c>
      <c r="J34" s="7" t="e" cm="1">
        <f t="array" ref="J34">[1]!'TX4N07P17100.TF-ID,Name,Price,TotalVolume,InOutRatio'</f>
        <v>#N/A</v>
      </c>
    </row>
    <row r="35" spans="2:10" s="7" customFormat="1" x14ac:dyDescent="0.25">
      <c r="B35" s="7" t="e" cm="1">
        <f t="array" ref="B35">[1]!'TX4N07C17150.TF-ID,Name,Price,TotalVolume,InOutRatio'</f>
        <v>#N/A</v>
      </c>
      <c r="G35" s="87">
        <f t="shared" si="0"/>
        <v>0</v>
      </c>
      <c r="H35" s="87">
        <v>17150</v>
      </c>
      <c r="I35" s="87">
        <f t="shared" si="1"/>
        <v>0</v>
      </c>
      <c r="J35" s="7" t="e" cm="1">
        <f t="array" ref="J35">[1]!'TX4N07P17150.TF-ID,Name,Price,TotalVolume,InOutRatio'</f>
        <v>#N/A</v>
      </c>
    </row>
    <row r="36" spans="2:10" s="7" customFormat="1" x14ac:dyDescent="0.25">
      <c r="B36" s="7" t="e" cm="1">
        <f t="array" ref="B36">[1]!'TX4N07C17200.TF-ID,Name,Price,TotalVolume,InOutRatio'</f>
        <v>#N/A</v>
      </c>
      <c r="G36" s="87">
        <f t="shared" si="0"/>
        <v>0</v>
      </c>
      <c r="H36" s="87">
        <v>17200</v>
      </c>
      <c r="I36" s="87">
        <f t="shared" si="1"/>
        <v>0</v>
      </c>
      <c r="J36" s="7" t="e" cm="1">
        <f t="array" ref="J36">[1]!'TX4N07P17200.TF-ID,Name,Price,TotalVolume,InOutRatio'</f>
        <v>#N/A</v>
      </c>
    </row>
    <row r="37" spans="2:10" s="7" customFormat="1" x14ac:dyDescent="0.25">
      <c r="B37" s="7" t="e" cm="1">
        <f t="array" ref="B37">[1]!'TX4N07C17250.TF-ID,Name,Price,TotalVolume,InOutRatio'</f>
        <v>#N/A</v>
      </c>
      <c r="G37" s="87">
        <f t="shared" si="0"/>
        <v>0</v>
      </c>
      <c r="H37" s="87">
        <v>17250</v>
      </c>
      <c r="I37" s="87">
        <f t="shared" si="1"/>
        <v>0</v>
      </c>
      <c r="J37" s="7" t="e" cm="1">
        <f t="array" ref="J37">[1]!'TX4N07P17250.TF-ID,Name,Price,TotalVolume,InOutRatio'</f>
        <v>#N/A</v>
      </c>
    </row>
    <row r="38" spans="2:10" s="7" customFormat="1" x14ac:dyDescent="0.25">
      <c r="B38" s="7" t="e" cm="1">
        <f t="array" ref="B38">[1]!'TX4N07C17300.TF-ID,Name,Price,TotalVolume,InOutRatio'</f>
        <v>#N/A</v>
      </c>
      <c r="G38" s="87">
        <f t="shared" si="0"/>
        <v>0</v>
      </c>
      <c r="H38" s="87">
        <v>17300</v>
      </c>
      <c r="I38" s="87">
        <f t="shared" si="1"/>
        <v>0</v>
      </c>
      <c r="J38" s="7" t="e" cm="1">
        <f t="array" ref="J38">[1]!'TX4N07P17300.TF-ID,Name,Price,TotalVolume,InOutRatio'</f>
        <v>#N/A</v>
      </c>
    </row>
    <row r="39" spans="2:10" s="7" customFormat="1" x14ac:dyDescent="0.25">
      <c r="B39" s="7" t="e" cm="1">
        <f t="array" ref="B39">[1]!'TX4N07C17350.TF-ID,Name,Price,TotalVolume,InOutRatio'</f>
        <v>#N/A</v>
      </c>
      <c r="G39" s="87">
        <f t="shared" si="0"/>
        <v>0</v>
      </c>
      <c r="H39" s="87">
        <v>17350</v>
      </c>
      <c r="I39" s="87">
        <f t="shared" si="1"/>
        <v>0</v>
      </c>
      <c r="J39" s="7" t="e" cm="1">
        <f t="array" ref="J39">[1]!'TX4N07P17350.TF-ID,Name,Price,TotalVolume,InOutRatio'</f>
        <v>#N/A</v>
      </c>
    </row>
    <row r="40" spans="2:10" s="7" customFormat="1" x14ac:dyDescent="0.25">
      <c r="B40" s="7" t="e" cm="1">
        <f t="array" ref="B40">[1]!'TX4N07C17400.TF-ID,Name,Price,TotalVolume,InOutRatio'</f>
        <v>#N/A</v>
      </c>
      <c r="G40" s="87">
        <f t="shared" si="0"/>
        <v>0</v>
      </c>
      <c r="H40" s="87">
        <v>17400</v>
      </c>
      <c r="I40" s="87">
        <f t="shared" si="1"/>
        <v>0</v>
      </c>
      <c r="J40" s="7" t="e" cm="1">
        <f t="array" ref="J40">[1]!'TX4N07P17400.TF-ID,Name,Price,TotalVolume,InOutRatio'</f>
        <v>#N/A</v>
      </c>
    </row>
    <row r="41" spans="2:10" s="7" customFormat="1" x14ac:dyDescent="0.25">
      <c r="B41" s="7" t="e" cm="1">
        <f t="array" ref="B41">[1]!'TX4N07C17450.TF-ID,Name,Price,TotalVolume,InOutRatio'</f>
        <v>#N/A</v>
      </c>
      <c r="G41" s="87">
        <f t="shared" si="0"/>
        <v>0</v>
      </c>
      <c r="H41" s="87">
        <v>17450</v>
      </c>
      <c r="I41" s="87">
        <f t="shared" si="1"/>
        <v>0</v>
      </c>
      <c r="J41" s="7" t="e" cm="1">
        <f t="array" ref="J41">[1]!'TX4N07P17450.TF-ID,Name,Price,TotalVolume,InOutRatio'</f>
        <v>#N/A</v>
      </c>
    </row>
    <row r="42" spans="2:10" s="7" customFormat="1" x14ac:dyDescent="0.25">
      <c r="B42" s="7" t="e" cm="1">
        <f t="array" ref="B42">[1]!'TX4N07C17500.TF-ID,Name,Price,TotalVolume,InOutRatio'</f>
        <v>#N/A</v>
      </c>
      <c r="G42" s="87">
        <f t="shared" si="0"/>
        <v>0</v>
      </c>
      <c r="H42" s="87">
        <v>17500</v>
      </c>
      <c r="I42" s="87">
        <f t="shared" si="1"/>
        <v>0</v>
      </c>
      <c r="J42" s="7" t="e" cm="1">
        <f t="array" ref="J42">[1]!'TX4N07P17500.TF-ID,Name,Price,TotalVolume,InOutRatio'</f>
        <v>#N/A</v>
      </c>
    </row>
    <row r="43" spans="2:10" s="7" customFormat="1" x14ac:dyDescent="0.25">
      <c r="B43" s="7" t="e" cm="1">
        <f t="array" ref="B43">[1]!'TX4N07C17550.TF-ID,Name,Price,TotalVolume,InOutRatio'</f>
        <v>#N/A</v>
      </c>
      <c r="G43" s="87">
        <f t="shared" si="0"/>
        <v>0</v>
      </c>
      <c r="H43" s="87">
        <v>17550</v>
      </c>
      <c r="I43" s="87">
        <f t="shared" si="1"/>
        <v>0</v>
      </c>
      <c r="J43" s="7" t="e" cm="1">
        <f t="array" ref="J43">[1]!'TX4N07P17550.TF-ID,Name,Price,TotalVolume,InOutRatio'</f>
        <v>#N/A</v>
      </c>
    </row>
    <row r="44" spans="2:10" s="7" customFormat="1" x14ac:dyDescent="0.25">
      <c r="B44" s="7" t="e" cm="1">
        <f t="array" ref="B44">[1]!'TX4N07C17600.TF-ID,Name,Price,TotalVolume,InOutRatio'</f>
        <v>#N/A</v>
      </c>
      <c r="G44" s="87">
        <f t="shared" si="0"/>
        <v>0</v>
      </c>
      <c r="H44" s="87">
        <v>17600</v>
      </c>
      <c r="I44" s="87">
        <f t="shared" si="1"/>
        <v>0</v>
      </c>
      <c r="J44" s="7" t="e" cm="1">
        <f t="array" ref="J44">[1]!'TX4N07P17600.TF-ID,Name,Price,TotalVolume,InOutRatio'</f>
        <v>#N/A</v>
      </c>
    </row>
    <row r="45" spans="2:10" s="7" customFormat="1" x14ac:dyDescent="0.25">
      <c r="B45" s="7" t="e" cm="1">
        <f t="array" ref="B45">[1]!'TX4N07C17650.TF-ID,Name,Price,TotalVolume,InOutRatio'</f>
        <v>#N/A</v>
      </c>
      <c r="G45" s="87">
        <f t="shared" si="0"/>
        <v>0</v>
      </c>
      <c r="H45" s="87">
        <v>17650</v>
      </c>
      <c r="I45" s="87">
        <f t="shared" si="1"/>
        <v>0</v>
      </c>
      <c r="J45" s="7" t="e" cm="1">
        <f t="array" ref="J45">[1]!'TX4N07P17650.TF-ID,Name,Price,TotalVolume,InOutRatio'</f>
        <v>#N/A</v>
      </c>
    </row>
    <row r="46" spans="2:10" s="7" customFormat="1" x14ac:dyDescent="0.25">
      <c r="B46" s="7" t="e" cm="1">
        <f t="array" ref="B46">[1]!'TX4N07C17700.TF-ID,Name,Price,TotalVolume,InOutRatio'</f>
        <v>#N/A</v>
      </c>
      <c r="G46" s="87">
        <f t="shared" si="0"/>
        <v>0</v>
      </c>
      <c r="H46" s="87">
        <v>17700</v>
      </c>
      <c r="I46" s="87">
        <f t="shared" si="1"/>
        <v>0</v>
      </c>
      <c r="J46" s="7" t="e" cm="1">
        <f t="array" ref="J46">[1]!'TX4N07P17700.TF-ID,Name,Price,TotalVolume,InOutRatio'</f>
        <v>#N/A</v>
      </c>
    </row>
    <row r="47" spans="2:10" s="7" customFormat="1" x14ac:dyDescent="0.25">
      <c r="B47" s="7" t="e" cm="1">
        <f t="array" ref="B47">[1]!'TX4N07C17750.TF-ID,Name,Price,TotalVolume,InOutRatio'</f>
        <v>#N/A</v>
      </c>
      <c r="G47" s="87">
        <f t="shared" si="0"/>
        <v>0</v>
      </c>
      <c r="H47" s="87">
        <v>17750</v>
      </c>
      <c r="I47" s="87">
        <f t="shared" si="1"/>
        <v>0</v>
      </c>
      <c r="J47" s="7" t="e" cm="1">
        <f t="array" ref="J47">[1]!'TX4N07P17750.TF-ID,Name,Price,TotalVolume,InOutRatio'</f>
        <v>#N/A</v>
      </c>
    </row>
    <row r="48" spans="2:10" s="7" customFormat="1" x14ac:dyDescent="0.25">
      <c r="B48" s="7" t="e" cm="1">
        <f t="array" ref="B48">[1]!'TX4N07C17800.TF-ID,Name,Price,TotalVolume,InOutRatio'</f>
        <v>#N/A</v>
      </c>
      <c r="G48" s="87">
        <f t="shared" si="0"/>
        <v>0</v>
      </c>
      <c r="H48" s="87">
        <v>17800</v>
      </c>
      <c r="I48" s="87">
        <f t="shared" si="1"/>
        <v>0</v>
      </c>
      <c r="J48" s="7" t="e" cm="1">
        <f t="array" ref="J48">[1]!'TX4N07P17800.TF-ID,Name,Price,TotalVolume,InOutRatio'</f>
        <v>#N/A</v>
      </c>
    </row>
    <row r="49" spans="2:10" s="7" customFormat="1" x14ac:dyDescent="0.25">
      <c r="B49" s="7" t="e" cm="1">
        <f t="array" ref="B49">[1]!'TX4N07C17850.TF-ID,Name,Price,TotalVolume,InOutRatio'</f>
        <v>#N/A</v>
      </c>
      <c r="G49" s="87">
        <f t="shared" si="0"/>
        <v>0</v>
      </c>
      <c r="H49" s="87">
        <v>17850</v>
      </c>
      <c r="I49" s="87">
        <f t="shared" si="1"/>
        <v>0</v>
      </c>
      <c r="J49" s="7" t="e" cm="1">
        <f t="array" ref="J49">[1]!'TX4N07P17850.TF-ID,Name,Price,TotalVolume,InOutRatio'</f>
        <v>#N/A</v>
      </c>
    </row>
    <row r="50" spans="2:10" s="7" customFormat="1" x14ac:dyDescent="0.25">
      <c r="B50" s="7" t="e" cm="1">
        <f t="array" ref="B50">[1]!'TX4N07C17900.TF-ID,Name,Price,TotalVolume,InOutRatio'</f>
        <v>#N/A</v>
      </c>
      <c r="G50" s="87">
        <f t="shared" si="0"/>
        <v>0</v>
      </c>
      <c r="H50" s="87">
        <v>17900</v>
      </c>
      <c r="I50" s="87">
        <f t="shared" si="1"/>
        <v>0</v>
      </c>
      <c r="J50" s="7" t="e" cm="1">
        <f t="array" ref="J50">[1]!'TX4N07P17900.TF-ID,Name,Price,TotalVolume,InOutRatio'</f>
        <v>#N/A</v>
      </c>
    </row>
    <row r="51" spans="2:10" s="7" customFormat="1" x14ac:dyDescent="0.25">
      <c r="B51" s="7" t="e" cm="1">
        <f t="array" ref="B51">[1]!'TX4N07C17950.TF-ID,Name,Price,TotalVolume,InOutRatio'</f>
        <v>#N/A</v>
      </c>
      <c r="G51" s="87">
        <f t="shared" si="0"/>
        <v>0</v>
      </c>
      <c r="H51" s="87">
        <v>17950</v>
      </c>
      <c r="I51" s="87">
        <f t="shared" si="1"/>
        <v>0</v>
      </c>
      <c r="J51" s="7" t="e" cm="1">
        <f t="array" ref="J51">[1]!'TX4N07P17950.TF-ID,Name,Price,TotalVolume,InOutRatio'</f>
        <v>#N/A</v>
      </c>
    </row>
    <row r="52" spans="2:10" s="7" customFormat="1" x14ac:dyDescent="0.25">
      <c r="B52" s="7" t="e" cm="1">
        <f t="array" ref="B52">[1]!'TX4N07C18000.TF-ID,Name,Price,TotalVolume,InOutRatio'</f>
        <v>#N/A</v>
      </c>
      <c r="G52" s="87">
        <f t="shared" si="0"/>
        <v>0</v>
      </c>
      <c r="H52" s="87">
        <v>18000</v>
      </c>
      <c r="I52" s="87">
        <f t="shared" si="1"/>
        <v>0</v>
      </c>
      <c r="J52" s="7" t="e" cm="1">
        <f t="array" ref="J52">[1]!'TX4N07P18000.TF-ID,Name,Price,TotalVolume,InOutRatio'</f>
        <v>#N/A</v>
      </c>
    </row>
    <row r="53" spans="2:10" s="7" customFormat="1" x14ac:dyDescent="0.25">
      <c r="B53" s="7" t="e" cm="1">
        <f t="array" ref="B53">[1]!'TX4N07C18050.TF-ID,Name,Price,TotalVolume,InOutRatio'</f>
        <v>#N/A</v>
      </c>
      <c r="G53" s="87">
        <f t="shared" si="0"/>
        <v>0</v>
      </c>
      <c r="H53" s="87">
        <v>18050</v>
      </c>
      <c r="I53" s="87">
        <f t="shared" si="1"/>
        <v>0</v>
      </c>
      <c r="J53" s="7" t="e" cm="1">
        <f t="array" ref="J53">[1]!'TX4N07P18050.TF-ID,Name,Price,TotalVolume,InOutRatio'</f>
        <v>#N/A</v>
      </c>
    </row>
    <row r="54" spans="2:10" s="7" customFormat="1" x14ac:dyDescent="0.25">
      <c r="B54" s="7" t="e" cm="1">
        <f t="array" ref="B54">[1]!'TX4N07C18100.TF-ID,Name,Price,TotalVolume,InOutRatio'</f>
        <v>#N/A</v>
      </c>
      <c r="G54" s="87">
        <f t="shared" si="0"/>
        <v>0</v>
      </c>
      <c r="H54" s="87">
        <v>18100</v>
      </c>
      <c r="I54" s="87">
        <f t="shared" si="1"/>
        <v>0</v>
      </c>
      <c r="J54" s="7" t="e" cm="1">
        <f t="array" ref="J54">[1]!'TX4N07P18100.TF-ID,Name,Price,TotalVolume,InOutRatio'</f>
        <v>#N/A</v>
      </c>
    </row>
    <row r="55" spans="2:10" s="7" customFormat="1" x14ac:dyDescent="0.25">
      <c r="B55" s="7" t="e" cm="1">
        <f t="array" ref="B55">[1]!'TX4N07C18150.TF-ID,Name,Price,TotalVolume,InOutRatio'</f>
        <v>#N/A</v>
      </c>
      <c r="G55" s="87">
        <f t="shared" si="0"/>
        <v>0</v>
      </c>
      <c r="H55" s="87">
        <v>18150</v>
      </c>
      <c r="I55" s="87">
        <f t="shared" si="1"/>
        <v>0</v>
      </c>
      <c r="J55" s="7" t="e" cm="1">
        <f t="array" ref="J55">[1]!'TX4N07P18150.TF-ID,Name,Price,TotalVolume,InOutRatio'</f>
        <v>#N/A</v>
      </c>
    </row>
    <row r="56" spans="2:10" s="7" customFormat="1" x14ac:dyDescent="0.25">
      <c r="B56" s="7" t="e" cm="1">
        <f t="array" ref="B56">[1]!'TX4N07C18200.TF-ID,Name,Price,TotalVolume,InOutRatio'</f>
        <v>#N/A</v>
      </c>
      <c r="G56" s="87">
        <f t="shared" si="0"/>
        <v>0</v>
      </c>
      <c r="H56" s="87">
        <v>18200</v>
      </c>
      <c r="I56" s="87">
        <f t="shared" si="1"/>
        <v>0</v>
      </c>
      <c r="J56" s="7" t="e" cm="1">
        <f t="array" ref="J56">[1]!'TX4N07P18200.TF-ID,Name,Price,TotalVolume,InOutRatio'</f>
        <v>#N/A</v>
      </c>
    </row>
    <row r="57" spans="2:10" s="7" customFormat="1" x14ac:dyDescent="0.25">
      <c r="B57" s="7" t="e" cm="1">
        <f t="array" ref="B57">[1]!'TX4N07C18250.TF-ID,Name,Price,TotalVolume,InOutRatio'</f>
        <v>#N/A</v>
      </c>
      <c r="G57" s="87">
        <f t="shared" si="0"/>
        <v>0</v>
      </c>
      <c r="H57" s="87">
        <v>18250</v>
      </c>
      <c r="I57" s="87">
        <f t="shared" si="1"/>
        <v>0</v>
      </c>
      <c r="J57" s="7" t="e" cm="1">
        <f t="array" ref="J57">[1]!'TX4N07P18250.TF-ID,Name,Price,TotalVolume,InOutRatio'</f>
        <v>#N/A</v>
      </c>
    </row>
    <row r="58" spans="2:10" s="7" customFormat="1" x14ac:dyDescent="0.25">
      <c r="B58" s="7" t="e" cm="1">
        <f t="array" ref="B58">[1]!'TX4N07C18300.TF-ID,Name,Price,TotalVolume,InOutRatio'</f>
        <v>#N/A</v>
      </c>
      <c r="G58" s="87">
        <f t="shared" si="0"/>
        <v>0</v>
      </c>
      <c r="H58" s="87">
        <v>18300</v>
      </c>
      <c r="I58" s="87">
        <f t="shared" si="1"/>
        <v>0</v>
      </c>
      <c r="J58" s="7" t="e" cm="1">
        <f t="array" ref="J58">[1]!'TX4N07P18300.TF-ID,Name,Price,TotalVolume,InOutRatio'</f>
        <v>#N/A</v>
      </c>
    </row>
    <row r="59" spans="2:10" s="7" customFormat="1" x14ac:dyDescent="0.25">
      <c r="B59" s="7" t="e" cm="1">
        <f t="array" ref="B59">[1]!'TX4N07C18350.TF-ID,Name,Price,TotalVolume,InOutRatio'</f>
        <v>#N/A</v>
      </c>
      <c r="G59" s="87">
        <f t="shared" si="0"/>
        <v>0</v>
      </c>
      <c r="H59" s="87">
        <v>18350</v>
      </c>
      <c r="I59" s="87">
        <f t="shared" si="1"/>
        <v>0</v>
      </c>
      <c r="J59" s="7" t="e" cm="1">
        <f t="array" ref="J59">[1]!'TX4N07P18350.TF-ID,Name,Price,TotalVolume,InOutRatio'</f>
        <v>#N/A</v>
      </c>
    </row>
    <row r="60" spans="2:10" s="7" customFormat="1" x14ac:dyDescent="0.25">
      <c r="B60" s="7" t="e" cm="1">
        <f t="array" ref="B60">[1]!'TX4N07C18400.TF-ID,Name,Price,TotalVolume,InOutRatio'</f>
        <v>#N/A</v>
      </c>
      <c r="G60" s="87">
        <f t="shared" si="0"/>
        <v>0</v>
      </c>
      <c r="H60" s="87">
        <v>18400</v>
      </c>
      <c r="I60" s="87">
        <f t="shared" si="1"/>
        <v>0</v>
      </c>
      <c r="J60" s="7" t="e" cm="1">
        <f t="array" ref="J60">[1]!'TX4N07P18400.TF-ID,Name,Price,TotalVolume,InOutRatio'</f>
        <v>#N/A</v>
      </c>
    </row>
    <row r="61" spans="2:10" s="7" customFormat="1" x14ac:dyDescent="0.25">
      <c r="B61" s="7" t="e" cm="1">
        <f t="array" ref="B61">[1]!'TX4N07C18450.TF-ID,Name,Price,TotalVolume,InOutRatio'</f>
        <v>#N/A</v>
      </c>
      <c r="G61" s="87">
        <f t="shared" si="0"/>
        <v>0</v>
      </c>
      <c r="H61" s="87">
        <v>18450</v>
      </c>
      <c r="I61" s="87">
        <f t="shared" si="1"/>
        <v>0</v>
      </c>
      <c r="J61" s="7" t="e" cm="1">
        <f t="array" ref="J61">[1]!'TX4N07P18450.TF-ID,Name,Price,TotalVolume,InOutRatio'</f>
        <v>#N/A</v>
      </c>
    </row>
    <row r="62" spans="2:10" s="7" customFormat="1" x14ac:dyDescent="0.25">
      <c r="B62" s="7" t="e" cm="1">
        <f t="array" ref="B62">[1]!'TX4N07C18500.TF-ID,Name,Price,TotalVolume,InOutRatio'</f>
        <v>#N/A</v>
      </c>
      <c r="G62" s="87">
        <f t="shared" si="0"/>
        <v>0</v>
      </c>
      <c r="H62" s="87">
        <v>18500</v>
      </c>
      <c r="I62" s="87">
        <f t="shared" si="1"/>
        <v>0</v>
      </c>
      <c r="J62" s="7" t="e" cm="1">
        <f t="array" ref="J62">[1]!'TX4N07P18500.TF-ID,Name,Price,TotalVolume,InOutRatio'</f>
        <v>#N/A</v>
      </c>
    </row>
    <row r="63" spans="2:10" s="7" customFormat="1" x14ac:dyDescent="0.25">
      <c r="B63" s="7" t="e" cm="1">
        <f t="array" ref="B63">[1]!'TX4N07C18550.TF-ID,Name,Price,TotalVolume,InOutRatio'</f>
        <v>#N/A</v>
      </c>
      <c r="G63" s="87">
        <f t="shared" si="0"/>
        <v>0</v>
      </c>
      <c r="H63" s="87">
        <v>18550</v>
      </c>
      <c r="I63" s="87">
        <f t="shared" si="1"/>
        <v>0</v>
      </c>
      <c r="J63" s="7" t="e" cm="1">
        <f t="array" ref="J63">[1]!'TX4N07P18550.TF-ID,Name,Price,TotalVolume,InOutRatio'</f>
        <v>#N/A</v>
      </c>
    </row>
    <row r="64" spans="2:10" s="7" customFormat="1" x14ac:dyDescent="0.25">
      <c r="B64" s="7" t="e" cm="1">
        <f t="array" ref="B64">[1]!'TX4N07C18600.TF-ID,Name,Price,TotalVolume,InOutRatio'</f>
        <v>#N/A</v>
      </c>
      <c r="G64" s="87">
        <f t="shared" si="0"/>
        <v>0</v>
      </c>
      <c r="H64" s="87">
        <v>18600</v>
      </c>
      <c r="I64" s="87">
        <f t="shared" si="1"/>
        <v>0</v>
      </c>
      <c r="J64" s="7" t="e" cm="1">
        <f t="array" ref="J64">[1]!'TX4N07P18600.TF-ID,Name,Price,TotalVolume,InOutRatio'</f>
        <v>#N/A</v>
      </c>
    </row>
    <row r="65" spans="2:10" s="7" customFormat="1" x14ac:dyDescent="0.25">
      <c r="B65" s="7" t="e" cm="1">
        <f t="array" ref="B65">[1]!'TX4N07C18650.TF-ID,Name,Price,TotalVolume,InOutRatio'</f>
        <v>#N/A</v>
      </c>
      <c r="G65" s="87">
        <f t="shared" si="0"/>
        <v>0</v>
      </c>
      <c r="H65" s="87">
        <v>18650</v>
      </c>
      <c r="I65" s="87">
        <f t="shared" si="1"/>
        <v>0</v>
      </c>
      <c r="J65" s="7" t="e" cm="1">
        <f t="array" ref="J65">[1]!'TX4N07P18650.TF-ID,Name,Price,TotalVolume,InOutRatio'</f>
        <v>#N/A</v>
      </c>
    </row>
    <row r="66" spans="2:10" s="7" customFormat="1" x14ac:dyDescent="0.25">
      <c r="B66" s="7" t="e" cm="1">
        <f t="array" ref="B66">[1]!'TX4N07C18700.TF-ID,Name,Price,TotalVolume,InOutRatio'</f>
        <v>#N/A</v>
      </c>
      <c r="G66" s="87">
        <f t="shared" si="0"/>
        <v>0</v>
      </c>
      <c r="H66" s="87">
        <v>18700</v>
      </c>
      <c r="I66" s="87">
        <f t="shared" si="1"/>
        <v>0</v>
      </c>
      <c r="J66" s="7" t="e" cm="1">
        <f t="array" ref="J66">[1]!'TX4N07P18700.TF-ID,Name,Price,TotalVolume,InOutRatio'</f>
        <v>#N/A</v>
      </c>
    </row>
    <row r="67" spans="2:10" s="7" customFormat="1" x14ac:dyDescent="0.25">
      <c r="B67" s="7" t="e" cm="1">
        <f t="array" ref="B67">[1]!'TX4N07C18750.TF-ID,Name,Price,TotalVolume,InOutRatio'</f>
        <v>#N/A</v>
      </c>
      <c r="G67" s="87">
        <f t="shared" ref="G67:G130" si="2">+IFERROR((F67-50)/50*E67,0)</f>
        <v>0</v>
      </c>
      <c r="H67" s="87">
        <v>18750</v>
      </c>
      <c r="I67" s="87">
        <f t="shared" ref="I67:I130" si="3">+IFERROR((N67-50)/50*M67,0)</f>
        <v>0</v>
      </c>
      <c r="J67" s="7" t="e" cm="1">
        <f t="array" ref="J67">[1]!'TX4N07P18750.TF-ID,Name,Price,TotalVolume,InOutRatio'</f>
        <v>#N/A</v>
      </c>
    </row>
    <row r="68" spans="2:10" s="7" customFormat="1" x14ac:dyDescent="0.25">
      <c r="B68" s="7" t="e" cm="1">
        <f t="array" ref="B68">[1]!'TX4N07C18800.TF-ID,Name,Price,TotalVolume,InOutRatio'</f>
        <v>#N/A</v>
      </c>
      <c r="G68" s="87">
        <f t="shared" si="2"/>
        <v>0</v>
      </c>
      <c r="H68" s="87">
        <v>18800</v>
      </c>
      <c r="I68" s="87">
        <f t="shared" si="3"/>
        <v>0</v>
      </c>
      <c r="J68" s="7" t="e" cm="1">
        <f t="array" ref="J68">[1]!'TX4N07P18800.TF-ID,Name,Price,TotalVolume,InOutRatio'</f>
        <v>#N/A</v>
      </c>
    </row>
    <row r="69" spans="2:10" s="7" customFormat="1" x14ac:dyDescent="0.25">
      <c r="B69" s="7" t="e" cm="1">
        <f t="array" ref="B69">[1]!'TX4N07C18850.TF-ID,Name,Price,TotalVolume,InOutRatio'</f>
        <v>#N/A</v>
      </c>
      <c r="G69" s="87">
        <f t="shared" si="2"/>
        <v>0</v>
      </c>
      <c r="H69" s="87">
        <v>18850</v>
      </c>
      <c r="I69" s="87">
        <f t="shared" si="3"/>
        <v>0</v>
      </c>
      <c r="J69" s="7" t="e" cm="1">
        <f t="array" ref="J69">[1]!'TX4N07P18850.TF-ID,Name,Price,TotalVolume,InOutRatio'</f>
        <v>#N/A</v>
      </c>
    </row>
    <row r="70" spans="2:10" s="7" customFormat="1" x14ac:dyDescent="0.25">
      <c r="B70" s="7" t="e" cm="1">
        <f t="array" ref="B70">[1]!'TX4N07C18900.TF-ID,Name,Price,TotalVolume,InOutRatio'</f>
        <v>#N/A</v>
      </c>
      <c r="G70" s="87">
        <f t="shared" si="2"/>
        <v>0</v>
      </c>
      <c r="H70" s="87">
        <v>18900</v>
      </c>
      <c r="I70" s="87">
        <f t="shared" si="3"/>
        <v>0</v>
      </c>
      <c r="J70" s="7" t="e" cm="1">
        <f t="array" ref="J70">[1]!'TX4N07P18900.TF-ID,Name,Price,TotalVolume,InOutRatio'</f>
        <v>#N/A</v>
      </c>
    </row>
    <row r="71" spans="2:10" s="7" customFormat="1" x14ac:dyDescent="0.25">
      <c r="B71" s="7" t="e" cm="1">
        <f t="array" ref="B71">[1]!'TX4N07C18950.TF-ID,Name,Price,TotalVolume,InOutRatio'</f>
        <v>#N/A</v>
      </c>
      <c r="G71" s="87">
        <f t="shared" si="2"/>
        <v>0</v>
      </c>
      <c r="H71" s="87">
        <v>18950</v>
      </c>
      <c r="I71" s="87">
        <f t="shared" si="3"/>
        <v>0</v>
      </c>
      <c r="J71" s="7" t="e" cm="1">
        <f t="array" ref="J71">[1]!'TX4N07P18950.TF-ID,Name,Price,TotalVolume,InOutRatio'</f>
        <v>#N/A</v>
      </c>
    </row>
    <row r="72" spans="2:10" s="7" customFormat="1" x14ac:dyDescent="0.25">
      <c r="B72" s="7" t="e" cm="1">
        <f t="array" ref="B72">[1]!'TX4N07C19000.TF-ID,Name,Price,TotalVolume,InOutRatio'</f>
        <v>#N/A</v>
      </c>
      <c r="G72" s="87">
        <f t="shared" si="2"/>
        <v>0</v>
      </c>
      <c r="H72" s="87">
        <v>19000</v>
      </c>
      <c r="I72" s="87">
        <f t="shared" si="3"/>
        <v>0</v>
      </c>
      <c r="J72" s="7" t="e" cm="1">
        <f t="array" ref="J72">[1]!'TX4N07P19000.TF-ID,Name,Price,TotalVolume,InOutRatio'</f>
        <v>#N/A</v>
      </c>
    </row>
    <row r="73" spans="2:10" s="7" customFormat="1" x14ac:dyDescent="0.25">
      <c r="B73" s="7" t="e" cm="1">
        <f t="array" ref="B73">[1]!'TX4N07C19050.TF-ID,Name,Price,TotalVolume,InOutRatio'</f>
        <v>#N/A</v>
      </c>
      <c r="G73" s="87">
        <f t="shared" si="2"/>
        <v>0</v>
      </c>
      <c r="H73" s="87">
        <v>19050</v>
      </c>
      <c r="I73" s="87">
        <f t="shared" si="3"/>
        <v>0</v>
      </c>
      <c r="J73" s="7" t="e" cm="1">
        <f t="array" ref="J73">[1]!'TX4N07P19050.TF-ID,Name,Price,TotalVolume,InOutRatio'</f>
        <v>#N/A</v>
      </c>
    </row>
    <row r="74" spans="2:10" s="7" customFormat="1" x14ac:dyDescent="0.25">
      <c r="B74" s="7" t="e" cm="1">
        <f t="array" ref="B74">[1]!'TX4N07C19100.TF-ID,Name,Price,TotalVolume,InOutRatio'</f>
        <v>#N/A</v>
      </c>
      <c r="G74" s="87">
        <f t="shared" si="2"/>
        <v>0</v>
      </c>
      <c r="H74" s="87">
        <v>19100</v>
      </c>
      <c r="I74" s="87">
        <f t="shared" si="3"/>
        <v>0</v>
      </c>
      <c r="J74" s="7" t="e" cm="1">
        <f t="array" ref="J74">[1]!'TX4N07P19100.TF-ID,Name,Price,TotalVolume,InOutRatio'</f>
        <v>#N/A</v>
      </c>
    </row>
    <row r="75" spans="2:10" s="7" customFormat="1" x14ac:dyDescent="0.25">
      <c r="B75" s="7" t="e" cm="1">
        <f t="array" ref="B75">[1]!'TX4N07C19150.TF-ID,Name,Price,TotalVolume,InOutRatio'</f>
        <v>#N/A</v>
      </c>
      <c r="G75" s="87">
        <f t="shared" si="2"/>
        <v>0</v>
      </c>
      <c r="H75" s="87">
        <v>19150</v>
      </c>
      <c r="I75" s="87">
        <f t="shared" si="3"/>
        <v>0</v>
      </c>
      <c r="J75" s="7" t="e" cm="1">
        <f t="array" ref="J75">[1]!'TX4N07P19150.TF-ID,Name,Price,TotalVolume,InOutRatio'</f>
        <v>#N/A</v>
      </c>
    </row>
    <row r="76" spans="2:10" s="7" customFormat="1" x14ac:dyDescent="0.25">
      <c r="B76" s="7" t="e" cm="1">
        <f t="array" ref="B76">[1]!'TX4N07C19200.TF-ID,Name,Price,TotalVolume,InOutRatio'</f>
        <v>#N/A</v>
      </c>
      <c r="G76" s="87">
        <f t="shared" si="2"/>
        <v>0</v>
      </c>
      <c r="H76" s="87">
        <v>19200</v>
      </c>
      <c r="I76" s="87">
        <f t="shared" si="3"/>
        <v>0</v>
      </c>
      <c r="J76" s="7" t="e" cm="1">
        <f t="array" ref="J76">[1]!'TX4N07P19200.TF-ID,Name,Price,TotalVolume,InOutRatio'</f>
        <v>#N/A</v>
      </c>
    </row>
    <row r="77" spans="2:10" s="7" customFormat="1" x14ac:dyDescent="0.25">
      <c r="B77" s="7" t="e" cm="1">
        <f t="array" ref="B77">[1]!'TX4N07C19250.TF-ID,Name,Price,TotalVolume,InOutRatio'</f>
        <v>#N/A</v>
      </c>
      <c r="G77" s="87">
        <f t="shared" si="2"/>
        <v>0</v>
      </c>
      <c r="H77" s="87">
        <v>19250</v>
      </c>
      <c r="I77" s="87">
        <f t="shared" si="3"/>
        <v>0</v>
      </c>
      <c r="J77" s="7" t="e" cm="1">
        <f t="array" ref="J77">[1]!'TX4N07P19250.TF-ID,Name,Price,TotalVolume,InOutRatio'</f>
        <v>#N/A</v>
      </c>
    </row>
    <row r="78" spans="2:10" s="7" customFormat="1" x14ac:dyDescent="0.25">
      <c r="B78" s="7" t="e" cm="1">
        <f t="array" ref="B78">[1]!'TX4N07C19300.TF-ID,Name,Price,TotalVolume,InOutRatio'</f>
        <v>#N/A</v>
      </c>
      <c r="G78" s="87">
        <f t="shared" si="2"/>
        <v>0</v>
      </c>
      <c r="H78" s="87">
        <v>19300</v>
      </c>
      <c r="I78" s="87">
        <f t="shared" si="3"/>
        <v>0</v>
      </c>
      <c r="J78" s="7" t="e" cm="1">
        <f t="array" ref="J78">[1]!'TX4N07P19300.TF-ID,Name,Price,TotalVolume,InOutRatio'</f>
        <v>#N/A</v>
      </c>
    </row>
    <row r="79" spans="2:10" s="7" customFormat="1" x14ac:dyDescent="0.25">
      <c r="B79" s="7" t="e" cm="1">
        <f t="array" ref="B79">[1]!'TX4N07C19350.TF-ID,Name,Price,TotalVolume,InOutRatio'</f>
        <v>#N/A</v>
      </c>
      <c r="G79" s="87">
        <f t="shared" si="2"/>
        <v>0</v>
      </c>
      <c r="H79" s="87">
        <v>19350</v>
      </c>
      <c r="I79" s="87">
        <f t="shared" si="3"/>
        <v>0</v>
      </c>
      <c r="J79" s="7" t="e" cm="1">
        <f t="array" ref="J79">[1]!'TX4N07P19350.TF-ID,Name,Price,TotalVolume,InOutRatio'</f>
        <v>#N/A</v>
      </c>
    </row>
    <row r="80" spans="2:10" s="7" customFormat="1" x14ac:dyDescent="0.25">
      <c r="B80" s="7" t="e" cm="1">
        <f t="array" ref="B80">[1]!'TX4N07C19400.TF-ID,Name,Price,TotalVolume,InOutRatio'</f>
        <v>#N/A</v>
      </c>
      <c r="G80" s="87">
        <f t="shared" si="2"/>
        <v>0</v>
      </c>
      <c r="H80" s="87">
        <v>19400</v>
      </c>
      <c r="I80" s="87">
        <f t="shared" si="3"/>
        <v>0</v>
      </c>
      <c r="J80" s="7" t="e" cm="1">
        <f t="array" ref="J80">[1]!'TX4N07P19400.TF-ID,Name,Price,TotalVolume,InOutRatio'</f>
        <v>#N/A</v>
      </c>
    </row>
    <row r="81" spans="2:14" s="7" customFormat="1" x14ac:dyDescent="0.25">
      <c r="B81" s="7" t="e" cm="1">
        <f t="array" ref="B81">[1]!'TX4N07C19450.TF-ID,Name,Price,TotalVolume,InOutRatio'</f>
        <v>#N/A</v>
      </c>
      <c r="G81" s="87">
        <f t="shared" si="2"/>
        <v>0</v>
      </c>
      <c r="H81" s="87">
        <v>19450</v>
      </c>
      <c r="I81" s="87">
        <f t="shared" si="3"/>
        <v>0</v>
      </c>
      <c r="J81" s="7" t="e" cm="1">
        <f t="array" ref="J81">[1]!'TX4N07P19450.TF-ID,Name,Price,TotalVolume,InOutRatio'</f>
        <v>#N/A</v>
      </c>
    </row>
    <row r="82" spans="2:14" s="7" customFormat="1" x14ac:dyDescent="0.25">
      <c r="B82" s="7" t="e" cm="1">
        <f t="array" ref="B82">[1]!'TX4N07C19500.TF-ID,Name,Price,TotalVolume,InOutRatio'</f>
        <v>#N/A</v>
      </c>
      <c r="G82" s="87">
        <f t="shared" si="2"/>
        <v>0</v>
      </c>
      <c r="H82" s="87">
        <v>19500</v>
      </c>
      <c r="I82" s="87">
        <f t="shared" si="3"/>
        <v>0</v>
      </c>
      <c r="J82" s="7" t="e" cm="1">
        <f t="array" ref="J82">[1]!'TX4N07P19500.TF-ID,Name,Price,TotalVolume,InOutRatio'</f>
        <v>#N/A</v>
      </c>
    </row>
    <row r="83" spans="2:14" s="7" customFormat="1" x14ac:dyDescent="0.25">
      <c r="B83" s="7" t="e" cm="1">
        <f t="array" ref="B83">[1]!'TX4N07C19550.TF-ID,Name,Price,TotalVolume,InOutRatio'</f>
        <v>#N/A</v>
      </c>
      <c r="G83" s="87">
        <f t="shared" si="2"/>
        <v>0</v>
      </c>
      <c r="H83" s="87">
        <v>19550</v>
      </c>
      <c r="I83" s="87">
        <f t="shared" si="3"/>
        <v>0</v>
      </c>
      <c r="J83" s="7" t="e" cm="1">
        <f t="array" ref="J83">[1]!'TX4N07P19550.TF-ID,Name,Price,TotalVolume,InOutRatio'</f>
        <v>#N/A</v>
      </c>
    </row>
    <row r="84" spans="2:14" s="7" customFormat="1" x14ac:dyDescent="0.25">
      <c r="B84" s="7" t="e" cm="1">
        <f t="array" ref="B84">[1]!'TX4N07C19600.TF-ID,Name,Price,TotalVolume,InOutRatio'</f>
        <v>#N/A</v>
      </c>
      <c r="G84" s="87">
        <f t="shared" si="2"/>
        <v>0</v>
      </c>
      <c r="H84" s="87">
        <v>19600</v>
      </c>
      <c r="I84" s="87">
        <f t="shared" si="3"/>
        <v>0</v>
      </c>
      <c r="J84" s="7" t="e" cm="1">
        <f t="array" ref="J84">[1]!'TX4N07P19600.TF-ID,Name,Price,TotalVolume,InOutRatio'</f>
        <v>#N/A</v>
      </c>
    </row>
    <row r="85" spans="2:14" s="7" customFormat="1" x14ac:dyDescent="0.25">
      <c r="B85" s="7" t="e" cm="1">
        <f t="array" ref="B85">[1]!'TX4N07C19650.TF-ID,Name,Price,TotalVolume,InOutRatio'</f>
        <v>#N/A</v>
      </c>
      <c r="G85" s="87">
        <f t="shared" si="2"/>
        <v>0</v>
      </c>
      <c r="H85" s="87">
        <v>19650</v>
      </c>
      <c r="I85" s="87">
        <f t="shared" si="3"/>
        <v>0</v>
      </c>
      <c r="J85" s="7" t="e" cm="1">
        <f t="array" ref="J85">[1]!'TX4N07P19650.TF-ID,Name,Price,TotalVolume,InOutRatio'</f>
        <v>#N/A</v>
      </c>
    </row>
    <row r="86" spans="2:14" s="7" customFormat="1" x14ac:dyDescent="0.25">
      <c r="B86" s="7" t="e" cm="1">
        <f t="array" ref="B86">[1]!'TX4N07C19700.TF-ID,Name,Price,TotalVolume,InOutRatio'</f>
        <v>#N/A</v>
      </c>
      <c r="G86" s="87">
        <f t="shared" si="2"/>
        <v>0</v>
      </c>
      <c r="H86" s="87">
        <v>19700</v>
      </c>
      <c r="I86" s="87">
        <f t="shared" si="3"/>
        <v>0</v>
      </c>
      <c r="J86" s="7" t="e" cm="1">
        <f t="array" ref="J86">[1]!'TX4N07P19700.TF-ID,Name,Price,TotalVolume,InOutRatio'</f>
        <v>#N/A</v>
      </c>
    </row>
    <row r="87" spans="2:14" s="7" customFormat="1" x14ac:dyDescent="0.25">
      <c r="B87" s="7" t="e" cm="1">
        <f t="array" ref="B87">[1]!'TX4N07C19750.TF-ID,Name,Price,TotalVolume,InOutRatio'</f>
        <v>#N/A</v>
      </c>
      <c r="G87" s="87">
        <f t="shared" si="2"/>
        <v>0</v>
      </c>
      <c r="H87" s="87">
        <v>19750</v>
      </c>
      <c r="I87" s="87">
        <f t="shared" si="3"/>
        <v>0</v>
      </c>
      <c r="J87" s="7" t="e" cm="1">
        <f t="array" ref="J87">[1]!'TX4N07P19750.TF-ID,Name,Price,TotalVolume,InOutRatio'</f>
        <v>#N/A</v>
      </c>
    </row>
    <row r="88" spans="2:14" s="7" customFormat="1" x14ac:dyDescent="0.25">
      <c r="B88" s="7" t="e" cm="1">
        <f t="array" ref="B88">[1]!'TX4N07C19800.TF-ID,Name,Price,TotalVolume,InOutRatio'</f>
        <v>#N/A</v>
      </c>
      <c r="G88" s="87">
        <f t="shared" si="2"/>
        <v>0</v>
      </c>
      <c r="H88" s="87">
        <v>19800</v>
      </c>
      <c r="I88" s="87">
        <f t="shared" si="3"/>
        <v>0</v>
      </c>
      <c r="J88" s="7" t="e" cm="1">
        <f t="array" ref="J88">[1]!'TX4N07P19800.TF-ID,Name,Price,TotalVolume,InOutRatio'</f>
        <v>#N/A</v>
      </c>
    </row>
    <row r="89" spans="2:14" s="7" customFormat="1" x14ac:dyDescent="0.25">
      <c r="B89" s="7" t="e" cm="1">
        <f t="array" ref="B89">[1]!'TX4N07C19850.TF-ID,Name,Price,TotalVolume,InOutRatio'</f>
        <v>#N/A</v>
      </c>
      <c r="G89" s="87">
        <f t="shared" si="2"/>
        <v>0</v>
      </c>
      <c r="H89" s="87">
        <v>19850</v>
      </c>
      <c r="I89" s="87">
        <f t="shared" si="3"/>
        <v>0</v>
      </c>
      <c r="J89" s="7" t="e" cm="1">
        <f t="array" ref="J89">[1]!'TX4N07P19850.TF-ID,Name,Price,TotalVolume,InOutRatio'</f>
        <v>#N/A</v>
      </c>
    </row>
    <row r="90" spans="2:14" s="7" customFormat="1" x14ac:dyDescent="0.25">
      <c r="B90" s="7" t="e" cm="1">
        <f t="array" ref="B90">[1]!'TX4N07C19900.TF-ID,Name,Price,TotalVolume,InOutRatio'</f>
        <v>#N/A</v>
      </c>
      <c r="G90" s="87">
        <f t="shared" si="2"/>
        <v>0</v>
      </c>
      <c r="H90" s="87">
        <v>19900</v>
      </c>
      <c r="I90" s="87">
        <f t="shared" si="3"/>
        <v>0</v>
      </c>
      <c r="J90" s="7" t="e" cm="1">
        <f t="array" ref="J90">[1]!'TX4N07P19900.TF-ID,Name,Price,TotalVolume,InOutRatio'</f>
        <v>#N/A</v>
      </c>
    </row>
    <row r="91" spans="2:14" s="7" customFormat="1" x14ac:dyDescent="0.25">
      <c r="B91" s="7" t="e" cm="1">
        <f t="array" ref="B91">[1]!'TX4N07C19950.TF-ID,Name,Price,TotalVolume,InOutRatio'</f>
        <v>#N/A</v>
      </c>
      <c r="G91" s="87">
        <f t="shared" si="2"/>
        <v>0</v>
      </c>
      <c r="H91" s="87">
        <v>19950</v>
      </c>
      <c r="I91" s="87">
        <f t="shared" si="3"/>
        <v>0</v>
      </c>
      <c r="J91" s="7" t="e" cm="1">
        <f t="array" ref="J91">[1]!'TX4N07P19950.TF-ID,Name,Price,TotalVolume,InOutRatio'</f>
        <v>#N/A</v>
      </c>
    </row>
    <row r="92" spans="2:14" s="7" customFormat="1" x14ac:dyDescent="0.25">
      <c r="B92" s="7" t="e" cm="1">
        <f t="array" ref="B92">[1]!'TX4N07C20000.TF-ID,Name,Price,TotalVolume,InOutRatio'</f>
        <v>#N/A</v>
      </c>
      <c r="G92" s="87">
        <f t="shared" si="2"/>
        <v>0</v>
      </c>
      <c r="H92" s="87">
        <v>20000</v>
      </c>
      <c r="I92" s="87">
        <f t="shared" si="3"/>
        <v>0</v>
      </c>
      <c r="J92" s="7" t="e" cm="1">
        <f t="array" ref="J92">[1]!'TX4N07P20000.TF-ID,Name,Price,TotalVolume,InOutRatio'</f>
        <v>#N/A</v>
      </c>
    </row>
    <row r="93" spans="2:14" s="7" customFormat="1" x14ac:dyDescent="0.25">
      <c r="B93" s="7" t="e" cm="1">
        <f t="array" ref="B93">[1]!'TX4N07C20050.TF-ID,Name,Price,TotalVolume,InOutRatio'</f>
        <v>#N/A</v>
      </c>
      <c r="G93" s="87">
        <f t="shared" si="2"/>
        <v>0</v>
      </c>
      <c r="H93" s="87">
        <v>20050</v>
      </c>
      <c r="I93" s="87">
        <f t="shared" si="3"/>
        <v>0</v>
      </c>
      <c r="J93" s="7" t="e" cm="1">
        <f t="array" ref="J93">[1]!'TX4N07P20050.TF-ID,Name,Price,TotalVolume,InOutRatio'</f>
        <v>#N/A</v>
      </c>
    </row>
    <row r="94" spans="2:14" x14ac:dyDescent="0.25">
      <c r="B94" s="86" t="str" cm="1">
        <f t="array" ref="B94:F94">[1]!'TX4N07C20100.TF-ID,Name,Price,TotalVolume,InOutRatio'</f>
        <v>TX4N07C20100</v>
      </c>
      <c r="C94" s="86" t="str">
        <v>台指選07W4 C 20100</v>
      </c>
      <c r="D94" s="86" t="str">
        <v>--</v>
      </c>
      <c r="E94" s="86">
        <v>0</v>
      </c>
      <c r="F94" s="86" t="str">
        <v>--</v>
      </c>
      <c r="G94" s="87">
        <f t="shared" si="2"/>
        <v>0</v>
      </c>
      <c r="H94" s="87">
        <v>20100</v>
      </c>
      <c r="I94" s="87">
        <f t="shared" si="3"/>
        <v>-193.61199999999997</v>
      </c>
      <c r="J94" s="86" t="str" cm="1">
        <f t="array" ref="J94:N94">[1]!'TX4N07P20100.TF-ID,Name,Price,TotalVolume,InOutRatio'</f>
        <v>TX4N07P20100</v>
      </c>
      <c r="K94" s="86" t="str">
        <v>台指選07W4 P 20100</v>
      </c>
      <c r="L94" s="86">
        <v>1</v>
      </c>
      <c r="M94" s="86">
        <v>499</v>
      </c>
      <c r="N94" s="86">
        <v>30.6</v>
      </c>
    </row>
    <row r="95" spans="2:14" s="7" customFormat="1" x14ac:dyDescent="0.25">
      <c r="B95" s="7" t="e" cm="1">
        <f t="array" ref="B95">[1]!'TX4N07C20150.TF-ID,Name,Price,TotalVolume,InOutRatio'</f>
        <v>#N/A</v>
      </c>
      <c r="G95" s="87">
        <f t="shared" si="2"/>
        <v>0</v>
      </c>
      <c r="H95" s="87">
        <v>20150</v>
      </c>
      <c r="I95" s="87">
        <f t="shared" si="3"/>
        <v>0</v>
      </c>
      <c r="J95" s="7" t="e" cm="1">
        <f t="array" ref="J95">[1]!'TX4N07P20150.TF-ID,Name,Price,TotalVolume,InOutRatio'</f>
        <v>#N/A</v>
      </c>
    </row>
    <row r="96" spans="2:14" x14ac:dyDescent="0.25">
      <c r="B96" s="86" t="str" cm="1">
        <f t="array" ref="B96:F96">[1]!'TX4N07C20200.TF-ID,Name,Price,TotalVolume,InOutRatio'</f>
        <v>TX4N07C20200</v>
      </c>
      <c r="C96" s="86" t="str">
        <v>台指選07W4 C 20200</v>
      </c>
      <c r="D96" s="86" t="str">
        <v>--</v>
      </c>
      <c r="E96" s="86">
        <v>0</v>
      </c>
      <c r="F96" s="86" t="str">
        <v>--</v>
      </c>
      <c r="G96" s="87">
        <f t="shared" si="2"/>
        <v>0</v>
      </c>
      <c r="H96" s="87">
        <v>20200</v>
      </c>
      <c r="I96" s="87">
        <f t="shared" si="3"/>
        <v>-4.9994000000000005</v>
      </c>
      <c r="J96" s="86" t="str" cm="1">
        <f t="array" ref="J96:N96">[1]!'TX4N07P20200.TF-ID,Name,Price,TotalVolume,InOutRatio'</f>
        <v>TX4N07P20200</v>
      </c>
      <c r="K96" s="86" t="str">
        <v>台指選07W4 P 20200</v>
      </c>
      <c r="L96" s="86">
        <v>1</v>
      </c>
      <c r="M96" s="86">
        <v>7</v>
      </c>
      <c r="N96" s="86">
        <v>14.29</v>
      </c>
    </row>
    <row r="97" spans="2:14" s="7" customFormat="1" x14ac:dyDescent="0.25">
      <c r="B97" s="7" t="e" cm="1">
        <f t="array" ref="B97">[1]!'TX4N07C20250.TF-ID,Name,Price,TotalVolume,InOutRatio'</f>
        <v>#N/A</v>
      </c>
      <c r="G97" s="87">
        <f t="shared" si="2"/>
        <v>0</v>
      </c>
      <c r="H97" s="87">
        <v>20250</v>
      </c>
      <c r="I97" s="87">
        <f t="shared" si="3"/>
        <v>0</v>
      </c>
      <c r="J97" s="7" t="e" cm="1">
        <f t="array" ref="J97">[1]!'TX4N07P20250.TF-ID,Name,Price,TotalVolume,InOutRatio'</f>
        <v>#N/A</v>
      </c>
    </row>
    <row r="98" spans="2:14" x14ac:dyDescent="0.25">
      <c r="B98" s="86" t="str" cm="1">
        <f t="array" ref="B98:F98">[1]!'TX4N07C20300.TF-ID,Name,Price,TotalVolume,InOutRatio'</f>
        <v>TX4N07C20300</v>
      </c>
      <c r="C98" s="86" t="str">
        <v>台指選07W4 C 20300</v>
      </c>
      <c r="D98" s="86" t="str">
        <v>--</v>
      </c>
      <c r="E98" s="86">
        <v>0</v>
      </c>
      <c r="F98" s="86" t="str">
        <v>--</v>
      </c>
      <c r="G98" s="87">
        <f t="shared" si="2"/>
        <v>0</v>
      </c>
      <c r="H98" s="87">
        <v>20300</v>
      </c>
      <c r="I98" s="87">
        <f t="shared" si="3"/>
        <v>0</v>
      </c>
      <c r="J98" s="86" t="str" cm="1">
        <f t="array" ref="J98:N98">[1]!'TX4N07P20300.TF-ID,Name,Price,TotalVolume,InOutRatio'</f>
        <v>TX4N07P20300</v>
      </c>
      <c r="K98" s="86" t="str">
        <v>台指選07W4 P 20300</v>
      </c>
      <c r="L98" s="86">
        <v>1.3</v>
      </c>
      <c r="M98" s="86">
        <v>6</v>
      </c>
      <c r="N98" s="86">
        <v>50</v>
      </c>
    </row>
    <row r="99" spans="2:14" s="7" customFormat="1" x14ac:dyDescent="0.25">
      <c r="B99" s="7" t="e" cm="1">
        <f t="array" ref="B99">[1]!'TX4N07C20350.TF-ID,Name,Price,TotalVolume,InOutRatio'</f>
        <v>#N/A</v>
      </c>
      <c r="G99" s="87">
        <f t="shared" si="2"/>
        <v>0</v>
      </c>
      <c r="H99" s="87">
        <v>20350</v>
      </c>
      <c r="I99" s="87">
        <f t="shared" si="3"/>
        <v>0</v>
      </c>
      <c r="J99" s="7" t="e" cm="1">
        <f t="array" ref="J99">[1]!'TX4N07P20350.TF-ID,Name,Price,TotalVolume,InOutRatio'</f>
        <v>#N/A</v>
      </c>
    </row>
    <row r="100" spans="2:14" x14ac:dyDescent="0.25">
      <c r="B100" s="86" t="str" cm="1">
        <f t="array" ref="B100:F100">[1]!'TX4N07C20400.TF-ID,Name,Price,TotalVolume,InOutRatio'</f>
        <v>TX4N07C20400</v>
      </c>
      <c r="C100" s="86" t="str">
        <v>台指選07W4 C 20400</v>
      </c>
      <c r="D100" s="86" t="str">
        <v>--</v>
      </c>
      <c r="E100" s="86">
        <v>0</v>
      </c>
      <c r="F100" s="86" t="str">
        <v>--</v>
      </c>
      <c r="G100" s="87">
        <f t="shared" si="2"/>
        <v>0</v>
      </c>
      <c r="H100" s="87">
        <v>20400</v>
      </c>
      <c r="I100" s="87">
        <f t="shared" si="3"/>
        <v>-5</v>
      </c>
      <c r="J100" s="86" t="str" cm="1">
        <f t="array" ref="J100:N100">[1]!'TX4N07P20400.TF-ID,Name,Price,TotalVolume,InOutRatio'</f>
        <v>TX4N07P20400</v>
      </c>
      <c r="K100" s="86" t="str">
        <v>台指選07W4 P 20400</v>
      </c>
      <c r="L100" s="86">
        <v>1.1000000000000001</v>
      </c>
      <c r="M100" s="86">
        <v>5</v>
      </c>
      <c r="N100" s="86">
        <v>0</v>
      </c>
    </row>
    <row r="101" spans="2:14" s="7" customFormat="1" x14ac:dyDescent="0.25">
      <c r="B101" s="7" t="e" cm="1">
        <f t="array" ref="B101">[1]!'TX4N07C20450.TF-ID,Name,Price,TotalVolume,InOutRatio'</f>
        <v>#N/A</v>
      </c>
      <c r="G101" s="87">
        <f t="shared" si="2"/>
        <v>0</v>
      </c>
      <c r="H101" s="87">
        <v>20450</v>
      </c>
      <c r="I101" s="87">
        <f t="shared" si="3"/>
        <v>0</v>
      </c>
      <c r="J101" s="7" t="e" cm="1">
        <f t="array" ref="J101">[1]!'TX4N07P20450.TF-ID,Name,Price,TotalVolume,InOutRatio'</f>
        <v>#N/A</v>
      </c>
    </row>
    <row r="102" spans="2:14" x14ac:dyDescent="0.25">
      <c r="B102" s="86" t="str" cm="1">
        <f t="array" ref="B102:F102">[1]!'TX4N07C20500.TF-ID,Name,Price,TotalVolume,InOutRatio'</f>
        <v>TX4N07C20500</v>
      </c>
      <c r="C102" s="86" t="str">
        <v>台指選07W4 C 20500</v>
      </c>
      <c r="D102" s="86" t="str">
        <v>--</v>
      </c>
      <c r="E102" s="86">
        <v>0</v>
      </c>
      <c r="F102" s="86" t="str">
        <v>--</v>
      </c>
      <c r="G102" s="87">
        <f t="shared" si="2"/>
        <v>0</v>
      </c>
      <c r="H102" s="87">
        <v>20500</v>
      </c>
      <c r="I102" s="87">
        <f t="shared" si="3"/>
        <v>3</v>
      </c>
      <c r="J102" s="86" t="str" cm="1">
        <f t="array" ref="J102:N102">[1]!'TX4N07P20500.TF-ID,Name,Price,TotalVolume,InOutRatio'</f>
        <v>TX4N07P20500</v>
      </c>
      <c r="K102" s="86" t="str">
        <v>台指選07W4 P 20500</v>
      </c>
      <c r="L102" s="86">
        <v>1.3</v>
      </c>
      <c r="M102" s="86">
        <v>5</v>
      </c>
      <c r="N102" s="86">
        <v>80</v>
      </c>
    </row>
    <row r="103" spans="2:14" s="7" customFormat="1" x14ac:dyDescent="0.25">
      <c r="B103" s="7" t="e" cm="1">
        <f t="array" ref="B103">[1]!'TX4N07C20550.TF-ID,Name,Price,TotalVolume,InOutRatio'</f>
        <v>#N/A</v>
      </c>
      <c r="G103" s="87">
        <f t="shared" si="2"/>
        <v>0</v>
      </c>
      <c r="H103" s="87">
        <v>20550</v>
      </c>
      <c r="I103" s="87">
        <f t="shared" si="3"/>
        <v>0</v>
      </c>
      <c r="J103" s="7" t="e" cm="1">
        <f t="array" ref="J103">[1]!'TX4N07P20550.TF-ID,Name,Price,TotalVolume,InOutRatio'</f>
        <v>#N/A</v>
      </c>
    </row>
    <row r="104" spans="2:14" x14ac:dyDescent="0.25">
      <c r="B104" s="86" t="str" cm="1">
        <f t="array" ref="B104:F104">[1]!'TX4N07C20600.TF-ID,Name,Price,TotalVolume,InOutRatio'</f>
        <v>TX4N07C20600</v>
      </c>
      <c r="C104" s="86" t="str">
        <v>台指選07W4 C 20600</v>
      </c>
      <c r="D104" s="86" t="str">
        <v>--</v>
      </c>
      <c r="E104" s="86">
        <v>0</v>
      </c>
      <c r="F104" s="86" t="str">
        <v>--</v>
      </c>
      <c r="G104" s="87">
        <f t="shared" si="2"/>
        <v>0</v>
      </c>
      <c r="H104" s="87">
        <v>20600</v>
      </c>
      <c r="I104" s="87">
        <f t="shared" si="3"/>
        <v>-1.0002</v>
      </c>
      <c r="J104" s="86" t="str" cm="1">
        <f t="array" ref="J104:N104">[1]!'TX4N07P20600.TF-ID,Name,Price,TotalVolume,InOutRatio'</f>
        <v>TX4N07P20600</v>
      </c>
      <c r="K104" s="86" t="str">
        <v>台指選07W4 P 20600</v>
      </c>
      <c r="L104" s="86">
        <v>1.1000000000000001</v>
      </c>
      <c r="M104" s="86">
        <v>3</v>
      </c>
      <c r="N104" s="86">
        <v>33.33</v>
      </c>
    </row>
    <row r="105" spans="2:14" s="7" customFormat="1" x14ac:dyDescent="0.25">
      <c r="B105" s="7" t="e" cm="1">
        <f t="array" ref="B105">[1]!'TX4N07C20650.TF-ID,Name,Price,TotalVolume,InOutRatio'</f>
        <v>#N/A</v>
      </c>
      <c r="G105" s="87">
        <f t="shared" si="2"/>
        <v>0</v>
      </c>
      <c r="H105" s="87">
        <v>20650</v>
      </c>
      <c r="I105" s="87">
        <f t="shared" si="3"/>
        <v>0</v>
      </c>
      <c r="J105" s="7" t="e" cm="1">
        <f t="array" ref="J105">[1]!'TX4N07P20650.TF-ID,Name,Price,TotalVolume,InOutRatio'</f>
        <v>#N/A</v>
      </c>
    </row>
    <row r="106" spans="2:14" x14ac:dyDescent="0.25">
      <c r="B106" s="86" t="str" cm="1">
        <f t="array" ref="B106:F106">[1]!'TX4N07C20700.TF-ID,Name,Price,TotalVolume,InOutRatio'</f>
        <v>TX4N07C20700</v>
      </c>
      <c r="C106" s="86" t="str">
        <v>台指選07W4 C 20700</v>
      </c>
      <c r="D106" s="86" t="str">
        <v>--</v>
      </c>
      <c r="E106" s="86">
        <v>0</v>
      </c>
      <c r="F106" s="86" t="str">
        <v>--</v>
      </c>
      <c r="G106" s="87">
        <f t="shared" si="2"/>
        <v>0</v>
      </c>
      <c r="H106" s="87">
        <v>20700</v>
      </c>
      <c r="I106" s="87">
        <f t="shared" si="3"/>
        <v>-2</v>
      </c>
      <c r="J106" s="86" t="str" cm="1">
        <f t="array" ref="J106:N106">[1]!'TX4N07P20700.TF-ID,Name,Price,TotalVolume,InOutRatio'</f>
        <v>TX4N07P20700</v>
      </c>
      <c r="K106" s="86" t="str">
        <v>台指選07W4 P 20700</v>
      </c>
      <c r="L106" s="86">
        <v>1.4</v>
      </c>
      <c r="M106" s="86">
        <v>2</v>
      </c>
      <c r="N106" s="86">
        <v>0</v>
      </c>
    </row>
    <row r="107" spans="2:14" s="7" customFormat="1" x14ac:dyDescent="0.25">
      <c r="B107" s="7" t="e" cm="1">
        <f t="array" ref="B107">[1]!'TX4N07C20750.TF-ID,Name,Price,TotalVolume,InOutRatio'</f>
        <v>#N/A</v>
      </c>
      <c r="G107" s="87">
        <f t="shared" si="2"/>
        <v>0</v>
      </c>
      <c r="H107" s="87">
        <v>20750</v>
      </c>
      <c r="I107" s="87">
        <f t="shared" si="3"/>
        <v>0</v>
      </c>
      <c r="J107" s="7" t="e" cm="1">
        <f t="array" ref="J107">[1]!'TX4N07P20750.TF-ID,Name,Price,TotalVolume,InOutRatio'</f>
        <v>#N/A</v>
      </c>
    </row>
    <row r="108" spans="2:14" x14ac:dyDescent="0.25">
      <c r="B108" s="86" t="str" cm="1">
        <f t="array" ref="B108:F108">[1]!'TX4N07C20800.TF-ID,Name,Price,TotalVolume,InOutRatio'</f>
        <v>TX4N07C20800</v>
      </c>
      <c r="C108" s="86" t="str">
        <v>台指選07W4 C 20800</v>
      </c>
      <c r="D108" s="86" t="str">
        <v>--</v>
      </c>
      <c r="E108" s="86">
        <v>0</v>
      </c>
      <c r="F108" s="86" t="str">
        <v>--</v>
      </c>
      <c r="G108" s="87">
        <f t="shared" si="2"/>
        <v>0</v>
      </c>
      <c r="H108" s="87">
        <v>20800</v>
      </c>
      <c r="I108" s="87">
        <f t="shared" si="3"/>
        <v>0</v>
      </c>
      <c r="J108" s="86" t="str" cm="1">
        <f t="array" ref="J108:N108">[1]!'TX4N07P20800.TF-ID,Name,Price,TotalVolume,InOutRatio'</f>
        <v>TX4N07P20800</v>
      </c>
      <c r="K108" s="86" t="str">
        <v>台指選07W4 P 20800</v>
      </c>
      <c r="L108" s="86" t="str">
        <v>--</v>
      </c>
      <c r="M108" s="86">
        <v>0</v>
      </c>
      <c r="N108" s="86" t="str">
        <v>--</v>
      </c>
    </row>
    <row r="109" spans="2:14" s="7" customFormat="1" x14ac:dyDescent="0.25">
      <c r="B109" s="7" t="e" cm="1">
        <f t="array" ref="B109">[1]!'TX4N07C20850.TF-ID,Name,Price,TotalVolume,InOutRatio'</f>
        <v>#N/A</v>
      </c>
      <c r="G109" s="87">
        <f t="shared" si="2"/>
        <v>0</v>
      </c>
      <c r="H109" s="87">
        <v>20850</v>
      </c>
      <c r="I109" s="87">
        <f t="shared" si="3"/>
        <v>0</v>
      </c>
      <c r="J109" s="7" t="e" cm="1">
        <f t="array" ref="J109">[1]!'TX4N07P20850.TF-ID,Name,Price,TotalVolume,InOutRatio'</f>
        <v>#N/A</v>
      </c>
    </row>
    <row r="110" spans="2:14" x14ac:dyDescent="0.25">
      <c r="B110" s="86" t="str" cm="1">
        <f t="array" ref="B110:F110">[1]!'TX4N07C20900.TF-ID,Name,Price,TotalVolume,InOutRatio'</f>
        <v>TX4N07C20900</v>
      </c>
      <c r="C110" s="86" t="str">
        <v>台指選07W4 C 20900</v>
      </c>
      <c r="D110" s="86" t="str">
        <v>--</v>
      </c>
      <c r="E110" s="86">
        <v>0</v>
      </c>
      <c r="F110" s="86" t="str">
        <v>--</v>
      </c>
      <c r="G110" s="87">
        <f t="shared" si="2"/>
        <v>0</v>
      </c>
      <c r="H110" s="87">
        <v>20900</v>
      </c>
      <c r="I110" s="87">
        <f t="shared" si="3"/>
        <v>21</v>
      </c>
      <c r="J110" s="86" t="str" cm="1">
        <f t="array" ref="J110:N110">[1]!'TX4N07P20900.TF-ID,Name,Price,TotalVolume,InOutRatio'</f>
        <v>TX4N07P20900</v>
      </c>
      <c r="K110" s="86" t="str">
        <v>台指選07W4 P 20900</v>
      </c>
      <c r="L110" s="86">
        <v>1.4</v>
      </c>
      <c r="M110" s="86">
        <v>21</v>
      </c>
      <c r="N110" s="86">
        <v>100</v>
      </c>
    </row>
    <row r="111" spans="2:14" s="7" customFormat="1" x14ac:dyDescent="0.25">
      <c r="B111" s="7" t="e" cm="1">
        <f t="array" ref="B111">[1]!'TX4N07C20950.TF-ID,Name,Price,TotalVolume,InOutRatio'</f>
        <v>#N/A</v>
      </c>
      <c r="G111" s="87">
        <f t="shared" si="2"/>
        <v>0</v>
      </c>
      <c r="H111" s="87">
        <v>20950</v>
      </c>
      <c r="I111" s="87">
        <f t="shared" si="3"/>
        <v>0</v>
      </c>
      <c r="J111" s="7" t="e" cm="1">
        <f t="array" ref="J111">[1]!'TX4N07P20950.TF-ID,Name,Price,TotalVolume,InOutRatio'</f>
        <v>#N/A</v>
      </c>
    </row>
    <row r="112" spans="2:14" x14ac:dyDescent="0.25">
      <c r="B112" s="86" t="str" cm="1">
        <f t="array" ref="B112:F112">[1]!'TX4N07C21000.TF-ID,Name,Price,TotalVolume,InOutRatio'</f>
        <v>TX4N07C21000</v>
      </c>
      <c r="C112" s="86" t="str">
        <v>台指選07W4 C 21000</v>
      </c>
      <c r="D112" s="86">
        <v>2360</v>
      </c>
      <c r="E112" s="86">
        <v>1</v>
      </c>
      <c r="F112" s="86">
        <v>100</v>
      </c>
      <c r="G112" s="87">
        <f t="shared" si="2"/>
        <v>1</v>
      </c>
      <c r="H112" s="87">
        <v>21000</v>
      </c>
      <c r="I112" s="87">
        <f t="shared" si="3"/>
        <v>27.007399999999997</v>
      </c>
      <c r="J112" s="86" t="str" cm="1">
        <f t="array" ref="J112:N112">[1]!'TX4N07P21000.TF-ID,Name,Price,TotalVolume,InOutRatio'</f>
        <v>TX4N07P21000</v>
      </c>
      <c r="K112" s="86" t="str">
        <v>台指選07W4 P 21000</v>
      </c>
      <c r="L112" s="86">
        <v>1.3</v>
      </c>
      <c r="M112" s="86">
        <v>101</v>
      </c>
      <c r="N112" s="86">
        <v>63.37</v>
      </c>
    </row>
    <row r="113" spans="2:14" s="7" customFormat="1" x14ac:dyDescent="0.25">
      <c r="B113" s="7" t="e" cm="1">
        <f t="array" ref="B113">[1]!'TX4N07C21050.TF-ID,Name,Price,TotalVolume,InOutRatio'</f>
        <v>#N/A</v>
      </c>
      <c r="G113" s="87">
        <f t="shared" si="2"/>
        <v>0</v>
      </c>
      <c r="H113" s="87">
        <v>21050</v>
      </c>
      <c r="I113" s="87">
        <f t="shared" si="3"/>
        <v>0</v>
      </c>
      <c r="J113" s="7" t="e" cm="1">
        <f t="array" ref="J113">[1]!'TX4N07P21050.TF-ID,Name,Price,TotalVolume,InOutRatio'</f>
        <v>#N/A</v>
      </c>
    </row>
    <row r="114" spans="2:14" x14ac:dyDescent="0.25">
      <c r="B114" s="86" t="str" cm="1">
        <f t="array" ref="B114:F114">[1]!'TX4N07C21100.TF-ID,Name,Price,TotalVolume,InOutRatio'</f>
        <v>TX4N07C21100</v>
      </c>
      <c r="C114" s="86" t="str">
        <v>台指選07W4 C 21100</v>
      </c>
      <c r="D114" s="86" t="str">
        <v>--</v>
      </c>
      <c r="E114" s="86">
        <v>0</v>
      </c>
      <c r="F114" s="86" t="str">
        <v>--</v>
      </c>
      <c r="G114" s="87">
        <f t="shared" si="2"/>
        <v>0</v>
      </c>
      <c r="H114" s="87">
        <v>21100</v>
      </c>
      <c r="I114" s="87">
        <f t="shared" si="3"/>
        <v>-1</v>
      </c>
      <c r="J114" s="86" t="str" cm="1">
        <f t="array" ref="J114:N114">[1]!'TX4N07P21100.TF-ID,Name,Price,TotalVolume,InOutRatio'</f>
        <v>TX4N07P21100</v>
      </c>
      <c r="K114" s="86" t="str">
        <v>台指選07W4 P 21100</v>
      </c>
      <c r="L114" s="86">
        <v>1.2</v>
      </c>
      <c r="M114" s="86">
        <v>1</v>
      </c>
      <c r="N114" s="86">
        <v>0</v>
      </c>
    </row>
    <row r="115" spans="2:14" s="7" customFormat="1" x14ac:dyDescent="0.25">
      <c r="B115" s="7" t="e" cm="1">
        <f t="array" ref="B115">[1]!'TX4N07C21150.TF-ID,Name,Price,TotalVolume,InOutRatio'</f>
        <v>#N/A</v>
      </c>
      <c r="G115" s="87">
        <f t="shared" si="2"/>
        <v>0</v>
      </c>
      <c r="H115" s="87">
        <v>21150</v>
      </c>
      <c r="I115" s="87">
        <f t="shared" si="3"/>
        <v>0</v>
      </c>
      <c r="J115" s="7" t="e" cm="1">
        <f t="array" ref="J115">[1]!'TX4N07P21150.TF-ID,Name,Price,TotalVolume,InOutRatio'</f>
        <v>#N/A</v>
      </c>
    </row>
    <row r="116" spans="2:14" x14ac:dyDescent="0.25">
      <c r="B116" s="86" t="str" cm="1">
        <f t="array" ref="B116:F116">[1]!'TX4N07C21200.TF-ID,Name,Price,TotalVolume,InOutRatio'</f>
        <v>TX4N07C21200</v>
      </c>
      <c r="C116" s="86" t="str">
        <v>台指選07W4 C 21200</v>
      </c>
      <c r="D116" s="86" t="str">
        <v>--</v>
      </c>
      <c r="E116" s="86">
        <v>0</v>
      </c>
      <c r="F116" s="86" t="str">
        <v>--</v>
      </c>
      <c r="G116" s="87">
        <f t="shared" si="2"/>
        <v>0</v>
      </c>
      <c r="H116" s="87">
        <v>21200</v>
      </c>
      <c r="I116" s="87">
        <f t="shared" si="3"/>
        <v>-1.3336000000000001</v>
      </c>
      <c r="J116" s="86" t="str" cm="1">
        <f t="array" ref="J116:N116">[1]!'TX4N07P21200.TF-ID,Name,Price,TotalVolume,InOutRatio'</f>
        <v>TX4N07P21200</v>
      </c>
      <c r="K116" s="86" t="str">
        <v>台指選07W4 P 21200</v>
      </c>
      <c r="L116" s="86">
        <v>2</v>
      </c>
      <c r="M116" s="86">
        <v>4</v>
      </c>
      <c r="N116" s="86">
        <v>33.33</v>
      </c>
    </row>
    <row r="117" spans="2:14" s="7" customFormat="1" x14ac:dyDescent="0.25">
      <c r="B117" s="7" t="e" cm="1">
        <f t="array" ref="B117">[1]!'TX4N07C21250.TF-ID,Name,Price,TotalVolume,InOutRatio'</f>
        <v>#N/A</v>
      </c>
      <c r="G117" s="87">
        <f t="shared" si="2"/>
        <v>0</v>
      </c>
      <c r="H117" s="87">
        <v>21250</v>
      </c>
      <c r="I117" s="87">
        <f t="shared" si="3"/>
        <v>0</v>
      </c>
      <c r="J117" s="7" t="e" cm="1">
        <f t="array" ref="J117">[1]!'TX4N07P21250.TF-ID,Name,Price,TotalVolume,InOutRatio'</f>
        <v>#N/A</v>
      </c>
    </row>
    <row r="118" spans="2:14" x14ac:dyDescent="0.25">
      <c r="B118" s="86" t="str" cm="1">
        <f t="array" ref="B118:F118">[1]!'TX4N07C21300.TF-ID,Name,Price,TotalVolume,InOutRatio'</f>
        <v>TX4N07C21300</v>
      </c>
      <c r="C118" s="86" t="str">
        <v>台指選07W4 C 21300</v>
      </c>
      <c r="D118" s="86" t="str">
        <v>--</v>
      </c>
      <c r="E118" s="86">
        <v>0</v>
      </c>
      <c r="F118" s="86" t="str">
        <v>--</v>
      </c>
      <c r="G118" s="87">
        <f t="shared" si="2"/>
        <v>0</v>
      </c>
      <c r="H118" s="87">
        <v>21300</v>
      </c>
      <c r="I118" s="87">
        <f t="shared" si="3"/>
        <v>-92</v>
      </c>
      <c r="J118" s="86" t="str" cm="1">
        <f t="array" ref="J118:N118">[1]!'TX4N07P21300.TF-ID,Name,Price,TotalVolume,InOutRatio'</f>
        <v>TX4N07P21300</v>
      </c>
      <c r="K118" s="86" t="str">
        <v>台指選07W4 P 21300</v>
      </c>
      <c r="L118" s="86">
        <v>1.7</v>
      </c>
      <c r="M118" s="86">
        <v>92</v>
      </c>
      <c r="N118" s="86">
        <v>0</v>
      </c>
    </row>
    <row r="119" spans="2:14" s="7" customFormat="1" x14ac:dyDescent="0.25">
      <c r="B119" s="7" t="e" cm="1">
        <f t="array" ref="B119">[1]!'TX4N07C21350.TF-ID,Name,Price,TotalVolume,InOutRatio'</f>
        <v>#N/A</v>
      </c>
      <c r="G119" s="87">
        <f t="shared" si="2"/>
        <v>0</v>
      </c>
      <c r="H119" s="87">
        <v>21350</v>
      </c>
      <c r="I119" s="87">
        <f t="shared" si="3"/>
        <v>0</v>
      </c>
      <c r="J119" s="7" t="e" cm="1">
        <f t="array" ref="J119">[1]!'TX4N07P21350.TF-ID,Name,Price,TotalVolume,InOutRatio'</f>
        <v>#N/A</v>
      </c>
    </row>
    <row r="120" spans="2:14" x14ac:dyDescent="0.25">
      <c r="B120" s="86" t="str" cm="1">
        <f t="array" ref="B120:F120">[1]!'TX4N07C21400.TF-ID,Name,Price,TotalVolume,InOutRatio'</f>
        <v>TX4N07C21400</v>
      </c>
      <c r="C120" s="86" t="str">
        <v>台指選07W4 C 21400</v>
      </c>
      <c r="D120" s="86" t="str">
        <v>--</v>
      </c>
      <c r="E120" s="86">
        <v>0</v>
      </c>
      <c r="F120" s="86" t="str">
        <v>--</v>
      </c>
      <c r="G120" s="87">
        <f t="shared" si="2"/>
        <v>0</v>
      </c>
      <c r="H120" s="87">
        <v>21400</v>
      </c>
      <c r="I120" s="87">
        <f t="shared" si="3"/>
        <v>-13.0032</v>
      </c>
      <c r="J120" s="86" t="str" cm="1">
        <f t="array" ref="J120:N120">[1]!'TX4N07P21400.TF-ID,Name,Price,TotalVolume,InOutRatio'</f>
        <v>TX4N07P21400</v>
      </c>
      <c r="K120" s="86" t="str">
        <v>台指選07W4 P 21400</v>
      </c>
      <c r="L120" s="86">
        <v>2</v>
      </c>
      <c r="M120" s="86">
        <v>63</v>
      </c>
      <c r="N120" s="86">
        <v>39.68</v>
      </c>
    </row>
    <row r="121" spans="2:14" s="7" customFormat="1" x14ac:dyDescent="0.25">
      <c r="B121" s="7" t="e" cm="1">
        <f t="array" ref="B121">[1]!'TX4N07C21450.TF-ID,Name,Price,TotalVolume,InOutRatio'</f>
        <v>#N/A</v>
      </c>
      <c r="G121" s="87">
        <f t="shared" si="2"/>
        <v>0</v>
      </c>
      <c r="H121" s="87">
        <v>21450</v>
      </c>
      <c r="I121" s="87">
        <f t="shared" si="3"/>
        <v>0</v>
      </c>
      <c r="J121" s="7" t="e" cm="1">
        <f t="array" ref="J121">[1]!'TX4N07P21450.TF-ID,Name,Price,TotalVolume,InOutRatio'</f>
        <v>#N/A</v>
      </c>
    </row>
    <row r="122" spans="2:14" x14ac:dyDescent="0.25">
      <c r="B122" s="86" t="str" cm="1">
        <f t="array" ref="B122:F122">[1]!'TX4N07C21500.TF-ID,Name,Price,TotalVolume,InOutRatio'</f>
        <v>TX4N07C21500</v>
      </c>
      <c r="C122" s="86" t="str">
        <v>台指選07W4 C 21500</v>
      </c>
      <c r="D122" s="86" t="str">
        <v>--</v>
      </c>
      <c r="E122" s="86">
        <v>0</v>
      </c>
      <c r="F122" s="86" t="str">
        <v>--</v>
      </c>
      <c r="G122" s="87">
        <f t="shared" si="2"/>
        <v>0</v>
      </c>
      <c r="H122" s="87">
        <v>21500</v>
      </c>
      <c r="I122" s="87">
        <f t="shared" si="3"/>
        <v>3.996000000000004</v>
      </c>
      <c r="J122" s="86" t="str" cm="1">
        <f t="array" ref="J122:N122">[1]!'TX4N07P21500.TF-ID,Name,Price,TotalVolume,InOutRatio'</f>
        <v>TX4N07P21500</v>
      </c>
      <c r="K122" s="86" t="str">
        <v>台指選07W4 P 21500</v>
      </c>
      <c r="L122" s="86">
        <v>2.5</v>
      </c>
      <c r="M122" s="86">
        <v>74</v>
      </c>
      <c r="N122" s="86">
        <v>52.7</v>
      </c>
    </row>
    <row r="123" spans="2:14" s="7" customFormat="1" x14ac:dyDescent="0.25">
      <c r="B123" s="7" t="e" cm="1">
        <f t="array" ref="B123">[1]!'TX4N07C21550.TF-ID,Name,Price,TotalVolume,InOutRatio'</f>
        <v>#N/A</v>
      </c>
      <c r="G123" s="87">
        <f t="shared" si="2"/>
        <v>0</v>
      </c>
      <c r="H123" s="87">
        <v>21550</v>
      </c>
      <c r="I123" s="87">
        <f t="shared" si="3"/>
        <v>0</v>
      </c>
      <c r="J123" s="7" t="e" cm="1">
        <f t="array" ref="J123">[1]!'TX4N07P21550.TF-ID,Name,Price,TotalVolume,InOutRatio'</f>
        <v>#N/A</v>
      </c>
    </row>
    <row r="124" spans="2:14" x14ac:dyDescent="0.25">
      <c r="B124" s="86" t="str" cm="1">
        <f t="array" ref="B124:F124">[1]!'TX4N07C21600.TF-ID,Name,Price,TotalVolume,InOutRatio'</f>
        <v>TX4N07C21600</v>
      </c>
      <c r="C124" s="86" t="str">
        <v>台指選07W4 C 21600</v>
      </c>
      <c r="D124" s="86" t="str">
        <v>--</v>
      </c>
      <c r="E124" s="86">
        <v>0</v>
      </c>
      <c r="F124" s="86" t="str">
        <v>--</v>
      </c>
      <c r="G124" s="87">
        <f t="shared" si="2"/>
        <v>0</v>
      </c>
      <c r="H124" s="87">
        <v>21600</v>
      </c>
      <c r="I124" s="87">
        <f t="shared" si="3"/>
        <v>25.995599999999992</v>
      </c>
      <c r="J124" s="86" t="str" cm="1">
        <f t="array" ref="J124:N124">[1]!'TX4N07P21600.TF-ID,Name,Price,TotalVolume,InOutRatio'</f>
        <v>TX4N07P21600</v>
      </c>
      <c r="K124" s="86" t="str">
        <v>台指選07W4 P 21600</v>
      </c>
      <c r="L124" s="86">
        <v>2.6</v>
      </c>
      <c r="M124" s="86">
        <v>54</v>
      </c>
      <c r="N124" s="86">
        <v>74.069999999999993</v>
      </c>
    </row>
    <row r="125" spans="2:14" s="7" customFormat="1" x14ac:dyDescent="0.25">
      <c r="B125" s="7" t="e" cm="1">
        <f t="array" ref="B125">[1]!'TX4N07C21650.TF-ID,Name,Price,TotalVolume,InOutRatio'</f>
        <v>#N/A</v>
      </c>
      <c r="G125" s="87">
        <f t="shared" si="2"/>
        <v>0</v>
      </c>
      <c r="H125" s="87">
        <v>21650</v>
      </c>
      <c r="I125" s="87">
        <f t="shared" si="3"/>
        <v>0</v>
      </c>
      <c r="J125" s="7" t="e" cm="1">
        <f t="array" ref="J125">[1]!'TX4N07P21650.TF-ID,Name,Price,TotalVolume,InOutRatio'</f>
        <v>#N/A</v>
      </c>
    </row>
    <row r="126" spans="2:14" x14ac:dyDescent="0.25">
      <c r="B126" s="86" t="str" cm="1">
        <f t="array" ref="B126:F126">[1]!'TX4N07C21700.TF-ID,Name,Price,TotalVolume,InOutRatio'</f>
        <v>TX4N07C21700</v>
      </c>
      <c r="C126" s="86" t="str">
        <v>台指選07W4 C 21700</v>
      </c>
      <c r="D126" s="86" t="str">
        <v>--</v>
      </c>
      <c r="E126" s="86">
        <v>0</v>
      </c>
      <c r="F126" s="86" t="str">
        <v>--</v>
      </c>
      <c r="G126" s="87">
        <f t="shared" si="2"/>
        <v>0</v>
      </c>
      <c r="H126" s="87">
        <v>21700</v>
      </c>
      <c r="I126" s="87">
        <f t="shared" si="3"/>
        <v>3.0002000000000009</v>
      </c>
      <c r="J126" s="86" t="str" cm="1">
        <f t="array" ref="J126:N126">[1]!'TX4N07P21700.TF-ID,Name,Price,TotalVolume,InOutRatio'</f>
        <v>TX4N07P21700</v>
      </c>
      <c r="K126" s="86" t="str">
        <v>台指選07W4 P 21700</v>
      </c>
      <c r="L126" s="86">
        <v>3</v>
      </c>
      <c r="M126" s="86">
        <v>7</v>
      </c>
      <c r="N126" s="86">
        <v>71.430000000000007</v>
      </c>
    </row>
    <row r="127" spans="2:14" x14ac:dyDescent="0.25">
      <c r="B127" s="86" t="str" cm="1">
        <f t="array" ref="B127:F127">[1]!'TX4N07C21750.TF-ID,Name,Price,TotalVolume,InOutRatio'</f>
        <v>TX4N07C21750</v>
      </c>
      <c r="C127" s="86" t="str">
        <v>台指選07W4 C 21750</v>
      </c>
      <c r="D127" s="86" t="str">
        <v>--</v>
      </c>
      <c r="E127" s="86">
        <v>0</v>
      </c>
      <c r="F127" s="86" t="str">
        <v>--</v>
      </c>
      <c r="G127" s="87">
        <f t="shared" si="2"/>
        <v>0</v>
      </c>
      <c r="H127" s="87">
        <v>21750</v>
      </c>
      <c r="I127" s="87">
        <f t="shared" si="3"/>
        <v>0</v>
      </c>
      <c r="J127" s="86" t="str" cm="1">
        <f t="array" ref="J127:N127">[1]!'TX4N07P21750.TF-ID,Name,Price,TotalVolume,InOutRatio'</f>
        <v>TX4N07P21750</v>
      </c>
      <c r="K127" s="86" t="str">
        <v>台指選07W4 P 21750</v>
      </c>
      <c r="L127" s="86">
        <v>1.9</v>
      </c>
      <c r="M127" s="86">
        <v>12</v>
      </c>
      <c r="N127" s="86">
        <v>50</v>
      </c>
    </row>
    <row r="128" spans="2:14" x14ac:dyDescent="0.25">
      <c r="B128" s="86" t="str" cm="1">
        <f t="array" ref="B128:F128">[1]!'TX4N07C21800.TF-ID,Name,Price,TotalVolume,InOutRatio'</f>
        <v>TX4N07C21800</v>
      </c>
      <c r="C128" s="86" t="str">
        <v>台指選07W4 C 21800</v>
      </c>
      <c r="D128" s="86" t="str">
        <v>--</v>
      </c>
      <c r="E128" s="86">
        <v>0</v>
      </c>
      <c r="F128" s="86" t="str">
        <v>--</v>
      </c>
      <c r="G128" s="87">
        <f t="shared" si="2"/>
        <v>0</v>
      </c>
      <c r="H128" s="87">
        <v>21800</v>
      </c>
      <c r="I128" s="87">
        <f t="shared" si="3"/>
        <v>1</v>
      </c>
      <c r="J128" s="86" t="str" cm="1">
        <f t="array" ref="J128:N128">[1]!'TX4N07P21800.TF-ID,Name,Price,TotalVolume,InOutRatio'</f>
        <v>TX4N07P21800</v>
      </c>
      <c r="K128" s="86" t="str">
        <v>台指選07W4 P 21800</v>
      </c>
      <c r="L128" s="86">
        <v>3.7</v>
      </c>
      <c r="M128" s="86">
        <v>25</v>
      </c>
      <c r="N128" s="86">
        <v>52</v>
      </c>
    </row>
    <row r="129" spans="2:14" x14ac:dyDescent="0.25">
      <c r="B129" s="86" t="str" cm="1">
        <f t="array" ref="B129:F129">[1]!'TX4N07C21850.TF-ID,Name,Price,TotalVolume,InOutRatio'</f>
        <v>TX4N07C21850</v>
      </c>
      <c r="C129" s="86" t="str">
        <v>台指選07W4 C 21850</v>
      </c>
      <c r="D129" s="86" t="str">
        <v>--</v>
      </c>
      <c r="E129" s="86">
        <v>0</v>
      </c>
      <c r="F129" s="86" t="str">
        <v>--</v>
      </c>
      <c r="G129" s="87">
        <f t="shared" si="2"/>
        <v>0</v>
      </c>
      <c r="H129" s="87">
        <v>21850</v>
      </c>
      <c r="I129" s="87">
        <f t="shared" si="3"/>
        <v>13.0014</v>
      </c>
      <c r="J129" s="86" t="str" cm="1">
        <f t="array" ref="J129:N129">[1]!'TX4N07P21850.TF-ID,Name,Price,TotalVolume,InOutRatio'</f>
        <v>TX4N07P21850</v>
      </c>
      <c r="K129" s="86" t="str">
        <v>台指選07W4 P 21850</v>
      </c>
      <c r="L129" s="86">
        <v>3.3</v>
      </c>
      <c r="M129" s="86">
        <v>31</v>
      </c>
      <c r="N129" s="86">
        <v>70.97</v>
      </c>
    </row>
    <row r="130" spans="2:14" x14ac:dyDescent="0.25">
      <c r="B130" s="86" t="str" cm="1">
        <f t="array" ref="B130:F130">[1]!'TX4N07C21900.TF-ID,Name,Price,TotalVolume,InOutRatio'</f>
        <v>TX4N07C21900</v>
      </c>
      <c r="C130" s="86" t="str">
        <v>台指選07W4 C 21900</v>
      </c>
      <c r="D130" s="86" t="str">
        <v>--</v>
      </c>
      <c r="E130" s="86">
        <v>0</v>
      </c>
      <c r="F130" s="86" t="str">
        <v>--</v>
      </c>
      <c r="G130" s="87">
        <f t="shared" si="2"/>
        <v>0</v>
      </c>
      <c r="H130" s="87">
        <v>21900</v>
      </c>
      <c r="I130" s="87">
        <f t="shared" si="3"/>
        <v>65.509200000000007</v>
      </c>
      <c r="J130" s="86" t="str" cm="1">
        <f t="array" ref="J130:N130">[1]!'TX4N07P21900.TF-ID,Name,Price,TotalVolume,InOutRatio'</f>
        <v>TX4N07P21900</v>
      </c>
      <c r="K130" s="86" t="str">
        <v>台指選07W4 P 21900</v>
      </c>
      <c r="L130" s="86">
        <v>2.7</v>
      </c>
      <c r="M130" s="86">
        <v>186</v>
      </c>
      <c r="N130" s="86">
        <v>67.61</v>
      </c>
    </row>
    <row r="131" spans="2:14" x14ac:dyDescent="0.25">
      <c r="B131" s="86" t="str" cm="1">
        <f t="array" ref="B131:F131">[1]!'TX4N07C21950.TF-ID,Name,Price,TotalVolume,InOutRatio'</f>
        <v>TX4N07C21950</v>
      </c>
      <c r="C131" s="86" t="str">
        <v>台指選07W4 C 21950</v>
      </c>
      <c r="D131" s="86" t="str">
        <v>--</v>
      </c>
      <c r="E131" s="86">
        <v>0</v>
      </c>
      <c r="F131" s="86" t="str">
        <v>--</v>
      </c>
      <c r="G131" s="87">
        <f t="shared" ref="G131:G194" si="4">+IFERROR((F131-50)/50*E131,0)</f>
        <v>0</v>
      </c>
      <c r="H131" s="87">
        <v>21950</v>
      </c>
      <c r="I131" s="87">
        <f t="shared" ref="I131:I194" si="5">+IFERROR((N131-50)/50*M131,0)</f>
        <v>14.138999999999994</v>
      </c>
      <c r="J131" s="86" t="str" cm="1">
        <f t="array" ref="J131:N131">[1]!'TX4N07P21950.TF-ID,Name,Price,TotalVolume,InOutRatio'</f>
        <v>TX4N07P21950</v>
      </c>
      <c r="K131" s="86" t="str">
        <v>台指選07W4 P 21950</v>
      </c>
      <c r="L131" s="86">
        <v>3.5</v>
      </c>
      <c r="M131" s="86">
        <v>45</v>
      </c>
      <c r="N131" s="86">
        <v>65.709999999999994</v>
      </c>
    </row>
    <row r="132" spans="2:14" x14ac:dyDescent="0.25">
      <c r="B132" s="86" t="str" cm="1">
        <f t="array" ref="B132:F132">[1]!'TX4N07C22000.TF-ID,Name,Price,TotalVolume,InOutRatio'</f>
        <v>TX4N07C22000</v>
      </c>
      <c r="C132" s="86" t="str">
        <v>台指選07W4 C 22000</v>
      </c>
      <c r="D132" s="86" t="str">
        <v>--</v>
      </c>
      <c r="E132" s="86">
        <v>0</v>
      </c>
      <c r="F132" s="86" t="str">
        <v>--</v>
      </c>
      <c r="G132" s="87">
        <f t="shared" si="4"/>
        <v>0</v>
      </c>
      <c r="H132" s="87">
        <v>22000</v>
      </c>
      <c r="I132" s="87">
        <f t="shared" si="5"/>
        <v>156.96420000000001</v>
      </c>
      <c r="J132" s="86" t="str" cm="1">
        <f t="array" ref="J132:N132">[1]!'TX4N07P22000.TF-ID,Name,Price,TotalVolume,InOutRatio'</f>
        <v>TX4N07P22000</v>
      </c>
      <c r="K132" s="86" t="str">
        <v>台指選07W4 P 22000</v>
      </c>
      <c r="L132" s="86">
        <v>3.6</v>
      </c>
      <c r="M132" s="86">
        <v>393</v>
      </c>
      <c r="N132" s="86">
        <v>69.97</v>
      </c>
    </row>
    <row r="133" spans="2:14" x14ac:dyDescent="0.25">
      <c r="B133" s="86" t="str" cm="1">
        <f t="array" ref="B133:F133">[1]!'TX4N07C22050.TF-ID,Name,Price,TotalVolume,InOutRatio'</f>
        <v>TX4N07C22050</v>
      </c>
      <c r="C133" s="86" t="str">
        <v>台指選07W4 C 22050</v>
      </c>
      <c r="D133" s="86" t="str">
        <v>--</v>
      </c>
      <c r="E133" s="86">
        <v>0</v>
      </c>
      <c r="F133" s="86" t="str">
        <v>--</v>
      </c>
      <c r="G133" s="87">
        <f t="shared" si="4"/>
        <v>0</v>
      </c>
      <c r="H133" s="87">
        <v>22050</v>
      </c>
      <c r="I133" s="87">
        <f t="shared" si="5"/>
        <v>-6.9996000000000009</v>
      </c>
      <c r="J133" s="86" t="str" cm="1">
        <f t="array" ref="J133:N133">[1]!'TX4N07P22050.TF-ID,Name,Price,TotalVolume,InOutRatio'</f>
        <v>TX4N07P22050</v>
      </c>
      <c r="K133" s="86" t="str">
        <v>台指選07W4 P 22050</v>
      </c>
      <c r="L133" s="86">
        <v>2.5</v>
      </c>
      <c r="M133" s="86">
        <v>19</v>
      </c>
      <c r="N133" s="86">
        <v>31.58</v>
      </c>
    </row>
    <row r="134" spans="2:14" x14ac:dyDescent="0.25">
      <c r="B134" s="86" t="str" cm="1">
        <f t="array" ref="B134:F134">[1]!'TX4N07C22100.TF-ID,Name,Price,TotalVolume,InOutRatio'</f>
        <v>TX4N07C22100</v>
      </c>
      <c r="C134" s="86" t="str">
        <v>台指選07W4 C 22100</v>
      </c>
      <c r="D134" s="86" t="str">
        <v>--</v>
      </c>
      <c r="E134" s="86">
        <v>0</v>
      </c>
      <c r="F134" s="86" t="str">
        <v>--</v>
      </c>
      <c r="G134" s="87">
        <f t="shared" si="4"/>
        <v>0</v>
      </c>
      <c r="H134" s="87">
        <v>22100</v>
      </c>
      <c r="I134" s="87">
        <f t="shared" si="5"/>
        <v>-3.008199999999996</v>
      </c>
      <c r="J134" s="86" t="str" cm="1">
        <f t="array" ref="J134:N134">[1]!'TX4N07P22100.TF-ID,Name,Price,TotalVolume,InOutRatio'</f>
        <v>TX4N07P22100</v>
      </c>
      <c r="K134" s="86" t="str">
        <v>台指選07W4 P 22100</v>
      </c>
      <c r="L134" s="86">
        <v>4.5999999999999996</v>
      </c>
      <c r="M134" s="86">
        <v>89</v>
      </c>
      <c r="N134" s="86">
        <v>48.31</v>
      </c>
    </row>
    <row r="135" spans="2:14" x14ac:dyDescent="0.25">
      <c r="B135" s="86" t="str" cm="1">
        <f t="array" ref="B135:F135">[1]!'TX4N07C22150.TF-ID,Name,Price,TotalVolume,InOutRatio'</f>
        <v>TX4N07C22150</v>
      </c>
      <c r="C135" s="86" t="str">
        <v>台指選07W4 C 22150</v>
      </c>
      <c r="D135" s="86" t="str">
        <v>--</v>
      </c>
      <c r="E135" s="86">
        <v>0</v>
      </c>
      <c r="F135" s="86" t="str">
        <v>--</v>
      </c>
      <c r="G135" s="87">
        <f t="shared" si="4"/>
        <v>0</v>
      </c>
      <c r="H135" s="87">
        <v>22150</v>
      </c>
      <c r="I135" s="87">
        <f t="shared" si="5"/>
        <v>-6.004800000000003</v>
      </c>
      <c r="J135" s="86" t="str" cm="1">
        <f t="array" ref="J135:N135">[1]!'TX4N07P22150.TF-ID,Name,Price,TotalVolume,InOutRatio'</f>
        <v>TX4N07P22150</v>
      </c>
      <c r="K135" s="86" t="str">
        <v>台指選07W4 P 22150</v>
      </c>
      <c r="L135" s="86">
        <v>4</v>
      </c>
      <c r="M135" s="86">
        <v>54</v>
      </c>
      <c r="N135" s="86">
        <v>44.44</v>
      </c>
    </row>
    <row r="136" spans="2:14" x14ac:dyDescent="0.25">
      <c r="B136" s="86" t="str" cm="1">
        <f t="array" ref="B136:F136">[1]!'TX4N07C22200.TF-ID,Name,Price,TotalVolume,InOutRatio'</f>
        <v>TX4N07C22200</v>
      </c>
      <c r="C136" s="86" t="str">
        <v>台指選07W4 C 22200</v>
      </c>
      <c r="D136" s="86" t="str">
        <v>--</v>
      </c>
      <c r="E136" s="86">
        <v>0</v>
      </c>
      <c r="F136" s="86" t="str">
        <v>--</v>
      </c>
      <c r="G136" s="87">
        <f t="shared" si="4"/>
        <v>0</v>
      </c>
      <c r="H136" s="87">
        <v>22200</v>
      </c>
      <c r="I136" s="87">
        <f t="shared" si="5"/>
        <v>14.029600000000016</v>
      </c>
      <c r="J136" s="86" t="str" cm="1">
        <f t="array" ref="J136:N136">[1]!'TX4N07P22200.TF-ID,Name,Price,TotalVolume,InOutRatio'</f>
        <v>TX4N07P22200</v>
      </c>
      <c r="K136" s="86" t="str">
        <v>台指選07W4 P 22200</v>
      </c>
      <c r="L136" s="86">
        <v>6</v>
      </c>
      <c r="M136" s="86">
        <v>247</v>
      </c>
      <c r="N136" s="86">
        <v>52.84</v>
      </c>
    </row>
    <row r="137" spans="2:14" x14ac:dyDescent="0.25">
      <c r="B137" s="86" t="str" cm="1">
        <f t="array" ref="B137:F137">[1]!'TX4N07C22250.TF-ID,Name,Price,TotalVolume,InOutRatio'</f>
        <v>TX4N07C22250</v>
      </c>
      <c r="C137" s="86" t="str">
        <v>台指選07W4 C 22250</v>
      </c>
      <c r="D137" s="86" t="str">
        <v>--</v>
      </c>
      <c r="E137" s="86">
        <v>0</v>
      </c>
      <c r="F137" s="86" t="str">
        <v>--</v>
      </c>
      <c r="G137" s="87">
        <f t="shared" si="4"/>
        <v>0</v>
      </c>
      <c r="H137" s="87">
        <v>22250</v>
      </c>
      <c r="I137" s="87">
        <f t="shared" si="5"/>
        <v>48.006399999999992</v>
      </c>
      <c r="J137" s="86" t="str" cm="1">
        <f t="array" ref="J137:N137">[1]!'TX4N07P22250.TF-ID,Name,Price,TotalVolume,InOutRatio'</f>
        <v>TX4N07P22250</v>
      </c>
      <c r="K137" s="86" t="str">
        <v>台指選07W4 P 22250</v>
      </c>
      <c r="L137" s="86">
        <v>12</v>
      </c>
      <c r="M137" s="86">
        <v>104</v>
      </c>
      <c r="N137" s="86">
        <v>73.08</v>
      </c>
    </row>
    <row r="138" spans="2:14" x14ac:dyDescent="0.25">
      <c r="B138" s="86" t="str" cm="1">
        <f t="array" ref="B138:F138">[1]!'TX4N07C22300.TF-ID,Name,Price,TotalVolume,InOutRatio'</f>
        <v>TX4N07C22300</v>
      </c>
      <c r="C138" s="86" t="str">
        <v>台指選07W4 C 22300</v>
      </c>
      <c r="D138" s="86">
        <v>1050</v>
      </c>
      <c r="E138" s="86">
        <v>2</v>
      </c>
      <c r="F138" s="86">
        <v>0</v>
      </c>
      <c r="G138" s="87">
        <f t="shared" si="4"/>
        <v>-2</v>
      </c>
      <c r="H138" s="87">
        <v>22300</v>
      </c>
      <c r="I138" s="87">
        <f t="shared" si="5"/>
        <v>196.94280000000001</v>
      </c>
      <c r="J138" s="86" t="str" cm="1">
        <f t="array" ref="J138:N138">[1]!'TX4N07P22300.TF-ID,Name,Price,TotalVolume,InOutRatio'</f>
        <v>TX4N07P22300</v>
      </c>
      <c r="K138" s="86" t="str">
        <v>台指選07W4 P 22300</v>
      </c>
      <c r="L138" s="86">
        <v>6</v>
      </c>
      <c r="M138" s="86">
        <v>337</v>
      </c>
      <c r="N138" s="86">
        <v>79.22</v>
      </c>
    </row>
    <row r="139" spans="2:14" x14ac:dyDescent="0.25">
      <c r="B139" s="86" t="str" cm="1">
        <f t="array" ref="B139:F139">[1]!'TX4N07C22350.TF-ID,Name,Price,TotalVolume,InOutRatio'</f>
        <v>TX4N07C22350</v>
      </c>
      <c r="C139" s="86" t="str">
        <v>台指選07W4 C 22350</v>
      </c>
      <c r="D139" s="86" t="str">
        <v>--</v>
      </c>
      <c r="E139" s="86">
        <v>0</v>
      </c>
      <c r="F139" s="86" t="str">
        <v>--</v>
      </c>
      <c r="G139" s="87">
        <f t="shared" si="4"/>
        <v>0</v>
      </c>
      <c r="H139" s="87">
        <v>22350</v>
      </c>
      <c r="I139" s="87">
        <f t="shared" si="5"/>
        <v>22</v>
      </c>
      <c r="J139" s="86" t="str" cm="1">
        <f t="array" ref="J139:N139">[1]!'TX4N07P22350.TF-ID,Name,Price,TotalVolume,InOutRatio'</f>
        <v>TX4N07P22350</v>
      </c>
      <c r="K139" s="86" t="str">
        <v>台指選07W4 P 22350</v>
      </c>
      <c r="L139" s="86">
        <v>7</v>
      </c>
      <c r="M139" s="86">
        <v>110</v>
      </c>
      <c r="N139" s="86">
        <v>60</v>
      </c>
    </row>
    <row r="140" spans="2:14" x14ac:dyDescent="0.25">
      <c r="B140" s="86" t="str" cm="1">
        <f t="array" ref="B140:F140">[1]!'TX4N07C22400.TF-ID,Name,Price,TotalVolume,InOutRatio'</f>
        <v>TX4N07C22400</v>
      </c>
      <c r="C140" s="86" t="str">
        <v>台指選07W4 C 22400</v>
      </c>
      <c r="D140" s="86" t="str">
        <v>--</v>
      </c>
      <c r="E140" s="86">
        <v>0</v>
      </c>
      <c r="F140" s="86" t="str">
        <v>--</v>
      </c>
      <c r="G140" s="87">
        <f t="shared" si="4"/>
        <v>0</v>
      </c>
      <c r="H140" s="87">
        <v>22400</v>
      </c>
      <c r="I140" s="87">
        <f t="shared" si="5"/>
        <v>34.911200000000008</v>
      </c>
      <c r="J140" s="86" t="str" cm="1">
        <f t="array" ref="J140:N140">[1]!'TX4N07P22400.TF-ID,Name,Price,TotalVolume,InOutRatio'</f>
        <v>TX4N07P22400</v>
      </c>
      <c r="K140" s="86" t="str">
        <v>台指選07W4 P 22400</v>
      </c>
      <c r="L140" s="86">
        <v>7.1</v>
      </c>
      <c r="M140" s="86">
        <v>302</v>
      </c>
      <c r="N140" s="86">
        <v>55.78</v>
      </c>
    </row>
    <row r="141" spans="2:14" x14ac:dyDescent="0.25">
      <c r="B141" s="86" t="str" cm="1">
        <f t="array" ref="B141:F141">[1]!'TX4N07C22450.TF-ID,Name,Price,TotalVolume,InOutRatio'</f>
        <v>TX4N07C22450</v>
      </c>
      <c r="C141" s="86" t="str">
        <v>台指選07W4 C 22450</v>
      </c>
      <c r="D141" s="86" t="str">
        <v>--</v>
      </c>
      <c r="E141" s="86">
        <v>0</v>
      </c>
      <c r="F141" s="86" t="str">
        <v>--</v>
      </c>
      <c r="G141" s="87">
        <f t="shared" si="4"/>
        <v>0</v>
      </c>
      <c r="H141" s="87">
        <v>22450</v>
      </c>
      <c r="I141" s="87">
        <f t="shared" si="5"/>
        <v>79.486399999999989</v>
      </c>
      <c r="J141" s="86" t="str" cm="1">
        <f t="array" ref="J141:N141">[1]!'TX4N07P22450.TF-ID,Name,Price,TotalVolume,InOutRatio'</f>
        <v>TX4N07P22450</v>
      </c>
      <c r="K141" s="86" t="str">
        <v>台指選07W4 P 22450</v>
      </c>
      <c r="L141" s="86">
        <v>7.8</v>
      </c>
      <c r="M141" s="86">
        <v>329</v>
      </c>
      <c r="N141" s="86">
        <v>62.08</v>
      </c>
    </row>
    <row r="142" spans="2:14" x14ac:dyDescent="0.25">
      <c r="B142" s="86" t="str" cm="1">
        <f t="array" ref="B142:F142">[1]!'TX4N07C22500.TF-ID,Name,Price,TotalVolume,InOutRatio'</f>
        <v>TX4N07C22500</v>
      </c>
      <c r="C142" s="86" t="str">
        <v>台指選07W4 C 22500</v>
      </c>
      <c r="D142" s="86">
        <v>780</v>
      </c>
      <c r="E142" s="86">
        <v>9</v>
      </c>
      <c r="F142" s="86">
        <v>22.22</v>
      </c>
      <c r="G142" s="87">
        <f t="shared" si="4"/>
        <v>-5.0004</v>
      </c>
      <c r="H142" s="87">
        <v>22500</v>
      </c>
      <c r="I142" s="87">
        <f t="shared" si="5"/>
        <v>402.98999999999995</v>
      </c>
      <c r="J142" s="86" t="str" cm="1">
        <f t="array" ref="J142:N142">[1]!'TX4N07P22500.TF-ID,Name,Price,TotalVolume,InOutRatio'</f>
        <v>TX4N07P22500</v>
      </c>
      <c r="K142" s="86" t="str">
        <v>台指選07W4 P 22500</v>
      </c>
      <c r="L142" s="86">
        <v>10</v>
      </c>
      <c r="M142" s="86">
        <v>1414</v>
      </c>
      <c r="N142" s="86">
        <v>64.25</v>
      </c>
    </row>
    <row r="143" spans="2:14" x14ac:dyDescent="0.25">
      <c r="B143" s="86" t="str" cm="1">
        <f t="array" ref="B143:F143">[1]!'TX4N07C22550.TF-ID,Name,Price,TotalVolume,InOutRatio'</f>
        <v>TX4N07C22550</v>
      </c>
      <c r="C143" s="86" t="str">
        <v>台指選07W4 C 22550</v>
      </c>
      <c r="D143" s="86">
        <v>720</v>
      </c>
      <c r="E143" s="86">
        <v>1</v>
      </c>
      <c r="F143" s="86">
        <v>0</v>
      </c>
      <c r="G143" s="87">
        <f t="shared" si="4"/>
        <v>-1</v>
      </c>
      <c r="H143" s="87">
        <v>22550</v>
      </c>
      <c r="I143" s="87">
        <f t="shared" si="5"/>
        <v>225.00799999999995</v>
      </c>
      <c r="J143" s="86" t="str" cm="1">
        <f t="array" ref="J143:N143">[1]!'TX4N07P22550.TF-ID,Name,Price,TotalVolume,InOutRatio'</f>
        <v>TX4N07P22550</v>
      </c>
      <c r="K143" s="86" t="str">
        <v>台指選07W4 P 22550</v>
      </c>
      <c r="L143" s="86">
        <v>10</v>
      </c>
      <c r="M143" s="86">
        <v>490</v>
      </c>
      <c r="N143" s="86">
        <v>72.959999999999994</v>
      </c>
    </row>
    <row r="144" spans="2:14" x14ac:dyDescent="0.25">
      <c r="B144" s="86" t="str" cm="1">
        <f t="array" ref="B144:F144">[1]!'TX4N07C22600.TF-ID,Name,Price,TotalVolume,InOutRatio'</f>
        <v>TX4N07C22600</v>
      </c>
      <c r="C144" s="86" t="str">
        <v>台指選07W4 C 22600</v>
      </c>
      <c r="D144" s="86">
        <v>700</v>
      </c>
      <c r="E144" s="86">
        <v>10</v>
      </c>
      <c r="F144" s="86">
        <v>100</v>
      </c>
      <c r="G144" s="87">
        <f t="shared" si="4"/>
        <v>10</v>
      </c>
      <c r="H144" s="87">
        <v>22600</v>
      </c>
      <c r="I144" s="87">
        <f t="shared" si="5"/>
        <v>126.99060000000004</v>
      </c>
      <c r="J144" s="86" t="str" cm="1">
        <f t="array" ref="J144:N144">[1]!'TX4N07P22600.TF-ID,Name,Price,TotalVolume,InOutRatio'</f>
        <v>TX4N07P22600</v>
      </c>
      <c r="K144" s="86" t="str">
        <v>台指選07W4 P 22600</v>
      </c>
      <c r="L144" s="86">
        <v>12.5</v>
      </c>
      <c r="M144" s="86">
        <v>781</v>
      </c>
      <c r="N144" s="86">
        <v>58.13</v>
      </c>
    </row>
    <row r="145" spans="2:14" x14ac:dyDescent="0.25">
      <c r="B145" s="86" t="str" cm="1">
        <f t="array" ref="B145:F145">[1]!'TX4N07C22650.TF-ID,Name,Price,TotalVolume,InOutRatio'</f>
        <v>TX4N07C22650</v>
      </c>
      <c r="C145" s="86" t="str">
        <v>台指選07W4 C 22650</v>
      </c>
      <c r="D145" s="86">
        <v>645</v>
      </c>
      <c r="E145" s="86">
        <v>2</v>
      </c>
      <c r="F145" s="86">
        <v>100</v>
      </c>
      <c r="G145" s="87">
        <f t="shared" si="4"/>
        <v>2</v>
      </c>
      <c r="H145" s="87">
        <v>22650</v>
      </c>
      <c r="I145" s="87">
        <f t="shared" si="5"/>
        <v>96.235200000000049</v>
      </c>
      <c r="J145" s="86" t="str" cm="1">
        <f t="array" ref="J145:N145">[1]!'TX4N07P22650.TF-ID,Name,Price,TotalVolume,InOutRatio'</f>
        <v>TX4N07P22650</v>
      </c>
      <c r="K145" s="86" t="str">
        <v>台指選07W4 P 22650</v>
      </c>
      <c r="L145" s="86">
        <v>13</v>
      </c>
      <c r="M145" s="86">
        <v>738</v>
      </c>
      <c r="N145" s="86">
        <v>56.52</v>
      </c>
    </row>
    <row r="146" spans="2:14" x14ac:dyDescent="0.25">
      <c r="B146" s="86" t="str" cm="1">
        <f t="array" ref="B146:F146">[1]!'TX4N07C22700.TF-ID,Name,Price,TotalVolume,InOutRatio'</f>
        <v>TX4N07C22700</v>
      </c>
      <c r="C146" s="86" t="str">
        <v>台指選07W4 C 22700</v>
      </c>
      <c r="D146" s="86">
        <v>580</v>
      </c>
      <c r="E146" s="86">
        <v>9</v>
      </c>
      <c r="F146" s="86">
        <v>0</v>
      </c>
      <c r="G146" s="87">
        <f t="shared" si="4"/>
        <v>-9</v>
      </c>
      <c r="H146" s="87">
        <v>22700</v>
      </c>
      <c r="I146" s="87">
        <f t="shared" si="5"/>
        <v>204.91119999999995</v>
      </c>
      <c r="J146" s="86" t="str" cm="1">
        <f t="array" ref="J146:N146">[1]!'TX4N07P22700.TF-ID,Name,Price,TotalVolume,InOutRatio'</f>
        <v>TX4N07P22700</v>
      </c>
      <c r="K146" s="86" t="str">
        <v>台指選07W4 P 22700</v>
      </c>
      <c r="L146" s="86">
        <v>18</v>
      </c>
      <c r="M146" s="86">
        <v>988</v>
      </c>
      <c r="N146" s="86">
        <v>60.37</v>
      </c>
    </row>
    <row r="147" spans="2:14" x14ac:dyDescent="0.25">
      <c r="B147" s="86" t="str" cm="1">
        <f t="array" ref="B147:F147">[1]!'TX4N07C22750.TF-ID,Name,Price,TotalVolume,InOutRatio'</f>
        <v>TX4N07C22750</v>
      </c>
      <c r="C147" s="86" t="str">
        <v>台指選07W4 C 22750</v>
      </c>
      <c r="D147" s="86">
        <v>540</v>
      </c>
      <c r="E147" s="86">
        <v>1</v>
      </c>
      <c r="F147" s="86">
        <v>100</v>
      </c>
      <c r="G147" s="87">
        <f t="shared" si="4"/>
        <v>1</v>
      </c>
      <c r="H147" s="87">
        <v>22750</v>
      </c>
      <c r="I147" s="87">
        <f t="shared" si="5"/>
        <v>-223.49880000000002</v>
      </c>
      <c r="J147" s="86" t="str" cm="1">
        <f t="array" ref="J147:N147">[1]!'TX4N07P22750.TF-ID,Name,Price,TotalVolume,InOutRatio'</f>
        <v>TX4N07P22750</v>
      </c>
      <c r="K147" s="86" t="str">
        <v>台指選07W4 P 22750</v>
      </c>
      <c r="L147" s="86">
        <v>22</v>
      </c>
      <c r="M147" s="86">
        <v>882</v>
      </c>
      <c r="N147" s="86">
        <v>37.33</v>
      </c>
    </row>
    <row r="148" spans="2:14" x14ac:dyDescent="0.25">
      <c r="B148" s="86" t="str" cm="1">
        <f t="array" ref="B148:F148">[1]!'TX4N07C22800.TF-ID,Name,Price,TotalVolume,InOutRatio'</f>
        <v>TX4N07C22800</v>
      </c>
      <c r="C148" s="86" t="str">
        <v>台指選07W4 C 22800</v>
      </c>
      <c r="D148" s="86">
        <v>525</v>
      </c>
      <c r="E148" s="86">
        <v>9</v>
      </c>
      <c r="F148" s="86">
        <v>55.56</v>
      </c>
      <c r="G148" s="87">
        <f t="shared" si="4"/>
        <v>1.0008000000000004</v>
      </c>
      <c r="H148" s="87">
        <v>22800</v>
      </c>
      <c r="I148" s="87">
        <f t="shared" si="5"/>
        <v>-343.678</v>
      </c>
      <c r="J148" s="86" t="str" cm="1">
        <f t="array" ref="J148:N148">[1]!'TX4N07P22800.TF-ID,Name,Price,TotalVolume,InOutRatio'</f>
        <v>TX4N07P22800</v>
      </c>
      <c r="K148" s="86" t="str">
        <v>台指選07W4 P 22800</v>
      </c>
      <c r="L148" s="86">
        <v>24.5</v>
      </c>
      <c r="M148" s="86">
        <v>2270</v>
      </c>
      <c r="N148" s="86">
        <v>42.43</v>
      </c>
    </row>
    <row r="149" spans="2:14" x14ac:dyDescent="0.25">
      <c r="B149" s="86" t="str" cm="1">
        <f t="array" ref="B149:F149">[1]!'TX4N07C22850.TF-ID,Name,Price,TotalVolume,InOutRatio'</f>
        <v>TX4N07C22850</v>
      </c>
      <c r="C149" s="86" t="str">
        <v>台指選07W4 C 22850</v>
      </c>
      <c r="D149" s="86">
        <v>462</v>
      </c>
      <c r="E149" s="86">
        <v>4</v>
      </c>
      <c r="F149" s="86">
        <v>100</v>
      </c>
      <c r="G149" s="87">
        <f t="shared" si="4"/>
        <v>4</v>
      </c>
      <c r="H149" s="87">
        <v>22850</v>
      </c>
      <c r="I149" s="87">
        <f t="shared" si="5"/>
        <v>-376.5652</v>
      </c>
      <c r="J149" s="86" t="str" cm="1">
        <f t="array" ref="J149:N149">[1]!'TX4N07P22850.TF-ID,Name,Price,TotalVolume,InOutRatio'</f>
        <v>TX4N07P22850</v>
      </c>
      <c r="K149" s="86" t="str">
        <v>台指選07W4 P 22850</v>
      </c>
      <c r="L149" s="86">
        <v>35</v>
      </c>
      <c r="M149" s="86">
        <v>1342</v>
      </c>
      <c r="N149" s="86">
        <v>35.97</v>
      </c>
    </row>
    <row r="150" spans="2:14" x14ac:dyDescent="0.25">
      <c r="B150" s="86" t="str" cm="1">
        <f t="array" ref="B150:F150">[1]!'TX4N07C22900.TF-ID,Name,Price,TotalVolume,InOutRatio'</f>
        <v>TX4N07C22900</v>
      </c>
      <c r="C150" s="86" t="str">
        <v>台指選07W4 C 22900</v>
      </c>
      <c r="D150" s="86">
        <v>407</v>
      </c>
      <c r="E150" s="86">
        <v>68</v>
      </c>
      <c r="F150" s="86">
        <v>34.33</v>
      </c>
      <c r="G150" s="87">
        <f t="shared" si="4"/>
        <v>-21.311199999999999</v>
      </c>
      <c r="H150" s="87">
        <v>22900</v>
      </c>
      <c r="I150" s="87">
        <f t="shared" si="5"/>
        <v>-57.752999999999929</v>
      </c>
      <c r="J150" s="86" t="str" cm="1">
        <f t="array" ref="J150:N150">[1]!'TX4N07P22900.TF-ID,Name,Price,TotalVolume,InOutRatio'</f>
        <v>TX4N07P22900</v>
      </c>
      <c r="K150" s="86" t="str">
        <v>台指選07W4 P 22900</v>
      </c>
      <c r="L150" s="86">
        <v>36.5</v>
      </c>
      <c r="M150" s="86">
        <v>2511</v>
      </c>
      <c r="N150" s="86">
        <v>48.85</v>
      </c>
    </row>
    <row r="151" spans="2:14" x14ac:dyDescent="0.25">
      <c r="B151" s="86" t="str" cm="1">
        <f t="array" ref="B151:F151">[1]!'TX4N07C22950.TF-ID,Name,Price,TotalVolume,InOutRatio'</f>
        <v>TX4N07C22950</v>
      </c>
      <c r="C151" s="86" t="str">
        <v>台指選07W4 C 22950</v>
      </c>
      <c r="D151" s="86">
        <v>370</v>
      </c>
      <c r="E151" s="86">
        <v>19</v>
      </c>
      <c r="F151" s="86">
        <v>84.21</v>
      </c>
      <c r="G151" s="87">
        <f t="shared" si="4"/>
        <v>12.999799999999999</v>
      </c>
      <c r="H151" s="87">
        <v>22950</v>
      </c>
      <c r="I151" s="87">
        <f t="shared" si="5"/>
        <v>-86.395200000000031</v>
      </c>
      <c r="J151" s="86" t="str" cm="1">
        <f t="array" ref="J151:N151">[1]!'TX4N07P22950.TF-ID,Name,Price,TotalVolume,InOutRatio'</f>
        <v>TX4N07P22950</v>
      </c>
      <c r="K151" s="86" t="str">
        <v>台指選07W4 P 22950</v>
      </c>
      <c r="L151" s="86">
        <v>44.5</v>
      </c>
      <c r="M151" s="86">
        <v>1756</v>
      </c>
      <c r="N151" s="86">
        <v>47.54</v>
      </c>
    </row>
    <row r="152" spans="2:14" x14ac:dyDescent="0.25">
      <c r="B152" s="86" t="str" cm="1">
        <f t="array" ref="B152:F152">[1]!'TX4N07C23000.TF-ID,Name,Price,TotalVolume,InOutRatio'</f>
        <v>TX4N07C23000</v>
      </c>
      <c r="C152" s="86" t="str">
        <v>台指選07W4 C 23000</v>
      </c>
      <c r="D152" s="86">
        <v>321</v>
      </c>
      <c r="E152" s="86">
        <v>293</v>
      </c>
      <c r="F152" s="86">
        <v>44.6</v>
      </c>
      <c r="G152" s="87">
        <f t="shared" si="4"/>
        <v>-31.643999999999991</v>
      </c>
      <c r="H152" s="87">
        <v>23000</v>
      </c>
      <c r="I152" s="87">
        <f t="shared" si="5"/>
        <v>-175.86400000000009</v>
      </c>
      <c r="J152" s="86" t="str" cm="1">
        <f t="array" ref="J152:N152">[1]!'TX4N07P23000.TF-ID,Name,Price,TotalVolume,InOutRatio'</f>
        <v>TX4N07P23000</v>
      </c>
      <c r="K152" s="86" t="str">
        <v>台指選07W4 P 23000</v>
      </c>
      <c r="L152" s="86">
        <v>53</v>
      </c>
      <c r="M152" s="86">
        <v>4940</v>
      </c>
      <c r="N152" s="86">
        <v>48.22</v>
      </c>
    </row>
    <row r="153" spans="2:14" x14ac:dyDescent="0.25">
      <c r="B153" s="86" t="str" cm="1">
        <f t="array" ref="B153:F153">[1]!'TX4N07C23050.TF-ID,Name,Price,TotalVolume,InOutRatio'</f>
        <v>TX4N07C23050</v>
      </c>
      <c r="C153" s="86" t="str">
        <v>台指選07W4 C 23050</v>
      </c>
      <c r="D153" s="86">
        <v>276</v>
      </c>
      <c r="E153" s="86">
        <v>215</v>
      </c>
      <c r="F153" s="86">
        <v>64.760000000000005</v>
      </c>
      <c r="G153" s="87">
        <f t="shared" si="4"/>
        <v>63.468000000000025</v>
      </c>
      <c r="H153" s="87">
        <v>23050</v>
      </c>
      <c r="I153" s="87">
        <f t="shared" si="5"/>
        <v>507.44160000000005</v>
      </c>
      <c r="J153" s="86" t="str" cm="1">
        <f t="array" ref="J153:N153">[1]!'TX4N07P23050.TF-ID,Name,Price,TotalVolume,InOutRatio'</f>
        <v>TX4N07P23050</v>
      </c>
      <c r="K153" s="86" t="str">
        <v>台指選07W4 P 23050</v>
      </c>
      <c r="L153" s="86">
        <v>65</v>
      </c>
      <c r="M153" s="86">
        <v>3144</v>
      </c>
      <c r="N153" s="86">
        <v>58.07</v>
      </c>
    </row>
    <row r="154" spans="2:14" x14ac:dyDescent="0.25">
      <c r="B154" s="86" t="str" cm="1">
        <f t="array" ref="B154:F154">[1]!'TX4N07C23100.TF-ID,Name,Price,TotalVolume,InOutRatio'</f>
        <v>TX4N07C23100</v>
      </c>
      <c r="C154" s="86" t="str">
        <v>台指選07W4 C 23100</v>
      </c>
      <c r="D154" s="86">
        <v>240</v>
      </c>
      <c r="E154" s="86">
        <v>553</v>
      </c>
      <c r="F154" s="86">
        <v>32.909999999999997</v>
      </c>
      <c r="G154" s="87">
        <f t="shared" si="4"/>
        <v>-189.01540000000003</v>
      </c>
      <c r="H154" s="87">
        <v>23100</v>
      </c>
      <c r="I154" s="87">
        <f t="shared" si="5"/>
        <v>-140.09599999999983</v>
      </c>
      <c r="J154" s="86" t="str" cm="1">
        <f t="array" ref="J154:N154">[1]!'TX4N07P23100.TF-ID,Name,Price,TotalVolume,InOutRatio'</f>
        <v>TX4N07P23100</v>
      </c>
      <c r="K154" s="86" t="str">
        <v>台指選07W4 P 23100</v>
      </c>
      <c r="L154" s="86">
        <v>75</v>
      </c>
      <c r="M154" s="86">
        <v>3980</v>
      </c>
      <c r="N154" s="86">
        <v>48.24</v>
      </c>
    </row>
    <row r="155" spans="2:14" x14ac:dyDescent="0.25">
      <c r="B155" s="86" t="str" cm="1">
        <f t="array" ref="B155:F155">[1]!'TX4N07C23150.TF-ID,Name,Price,TotalVolume,InOutRatio'</f>
        <v>TX4N07C23150</v>
      </c>
      <c r="C155" s="86" t="str">
        <v>台指選07W4 C 23150</v>
      </c>
      <c r="D155" s="86">
        <v>213</v>
      </c>
      <c r="E155" s="86">
        <v>398</v>
      </c>
      <c r="F155" s="86">
        <v>39.04</v>
      </c>
      <c r="G155" s="87">
        <f t="shared" si="4"/>
        <v>-87.241600000000005</v>
      </c>
      <c r="H155" s="87">
        <v>23150</v>
      </c>
      <c r="I155" s="87">
        <f t="shared" si="5"/>
        <v>-140.64959999999985</v>
      </c>
      <c r="J155" s="86" t="str" cm="1">
        <f t="array" ref="J155:N155">[1]!'TX4N07P23150.TF-ID,Name,Price,TotalVolume,InOutRatio'</f>
        <v>TX4N07P23150</v>
      </c>
      <c r="K155" s="86" t="str">
        <v>台指選07W4 P 23150</v>
      </c>
      <c r="L155" s="86">
        <v>92</v>
      </c>
      <c r="M155" s="86">
        <v>2576</v>
      </c>
      <c r="N155" s="86">
        <v>47.27</v>
      </c>
    </row>
    <row r="156" spans="2:14" x14ac:dyDescent="0.25">
      <c r="B156" s="86" t="str" cm="1">
        <f t="array" ref="B156:F156">[1]!'TX4N07C23200.TF-ID,Name,Price,TotalVolume,InOutRatio'</f>
        <v>TX4N07C23200</v>
      </c>
      <c r="C156" s="86" t="str">
        <v>台指選07W4 C 23200</v>
      </c>
      <c r="D156" s="86">
        <v>172</v>
      </c>
      <c r="E156" s="86">
        <v>1821</v>
      </c>
      <c r="F156" s="86">
        <v>42</v>
      </c>
      <c r="G156" s="87">
        <f t="shared" si="4"/>
        <v>-291.36</v>
      </c>
      <c r="H156" s="87">
        <v>23200</v>
      </c>
      <c r="I156" s="87">
        <f t="shared" si="5"/>
        <v>-713.69340000000045</v>
      </c>
      <c r="J156" s="86" t="str" cm="1">
        <f t="array" ref="J156:N156">[1]!'TX4N07P23200.TF-ID,Name,Price,TotalVolume,InOutRatio'</f>
        <v>TX4N07P23200</v>
      </c>
      <c r="K156" s="86" t="str">
        <v>台指選07W4 P 23200</v>
      </c>
      <c r="L156" s="86">
        <v>109</v>
      </c>
      <c r="M156" s="86">
        <v>5271</v>
      </c>
      <c r="N156" s="86">
        <v>43.23</v>
      </c>
    </row>
    <row r="157" spans="2:14" x14ac:dyDescent="0.25">
      <c r="B157" s="86" t="str" cm="1">
        <f t="array" ref="B157:F157">[1]!'TX4N07C23250.TF-ID,Name,Price,TotalVolume,InOutRatio'</f>
        <v>TX4N07C23250</v>
      </c>
      <c r="C157" s="86" t="str">
        <v>台指選07W4 C 23250</v>
      </c>
      <c r="D157" s="86">
        <v>140</v>
      </c>
      <c r="E157" s="86">
        <v>1918</v>
      </c>
      <c r="F157" s="86">
        <v>46.1</v>
      </c>
      <c r="G157" s="87">
        <f t="shared" si="4"/>
        <v>-149.60399999999996</v>
      </c>
      <c r="H157" s="87">
        <v>23250</v>
      </c>
      <c r="I157" s="87">
        <f t="shared" si="5"/>
        <v>-109.15519999999988</v>
      </c>
      <c r="J157" s="86" t="str" cm="1">
        <f t="array" ref="J157:N157">[1]!'TX4N07P23250.TF-ID,Name,Price,TotalVolume,InOutRatio'</f>
        <v>TX4N07P23250</v>
      </c>
      <c r="K157" s="86" t="str">
        <v>台指選07W4 P 23250</v>
      </c>
      <c r="L157" s="86">
        <v>123</v>
      </c>
      <c r="M157" s="86">
        <v>3101</v>
      </c>
      <c r="N157" s="86">
        <v>48.24</v>
      </c>
    </row>
    <row r="158" spans="2:14" x14ac:dyDescent="0.25">
      <c r="B158" s="86" t="str" cm="1">
        <f t="array" ref="B158:F158">[1]!'TX4N07C23300.TF-ID,Name,Price,TotalVolume,InOutRatio'</f>
        <v>TX4N07C23300</v>
      </c>
      <c r="C158" s="86" t="str">
        <v>台指選07W4 C 23300</v>
      </c>
      <c r="D158" s="86">
        <v>116</v>
      </c>
      <c r="E158" s="86">
        <v>4594</v>
      </c>
      <c r="F158" s="86">
        <v>44.95</v>
      </c>
      <c r="G158" s="87">
        <f t="shared" si="4"/>
        <v>-463.99399999999969</v>
      </c>
      <c r="H158" s="87">
        <v>23300</v>
      </c>
      <c r="I158" s="87">
        <f t="shared" si="5"/>
        <v>-327.94559999999996</v>
      </c>
      <c r="J158" s="86" t="str" cm="1">
        <f t="array" ref="J158:N158">[1]!'TX4N07P23300.TF-ID,Name,Price,TotalVolume,InOutRatio'</f>
        <v>TX4N07P23300</v>
      </c>
      <c r="K158" s="86" t="str">
        <v>台指選07W4 P 23300</v>
      </c>
      <c r="L158" s="86">
        <v>150</v>
      </c>
      <c r="M158" s="86">
        <v>4248</v>
      </c>
      <c r="N158" s="86">
        <v>46.14</v>
      </c>
    </row>
    <row r="159" spans="2:14" x14ac:dyDescent="0.25">
      <c r="B159" s="86" t="str" cm="1">
        <f t="array" ref="B159:F159">[1]!'TX4N07C23350.TF-ID,Name,Price,TotalVolume,InOutRatio'</f>
        <v>TX4N07C23350</v>
      </c>
      <c r="C159" s="86" t="str">
        <v>台指選07W4 C 23350</v>
      </c>
      <c r="D159" s="86">
        <v>91</v>
      </c>
      <c r="E159" s="86">
        <v>2874</v>
      </c>
      <c r="F159" s="86">
        <v>44.68</v>
      </c>
      <c r="G159" s="87">
        <f t="shared" si="4"/>
        <v>-305.79360000000003</v>
      </c>
      <c r="H159" s="87">
        <v>23350</v>
      </c>
      <c r="I159" s="87">
        <f t="shared" si="5"/>
        <v>-91.142999999999887</v>
      </c>
      <c r="J159" s="86" t="str" cm="1">
        <f t="array" ref="J159:N159">[1]!'TX4N07P23350.TF-ID,Name,Price,TotalVolume,InOutRatio'</f>
        <v>TX4N07P23350</v>
      </c>
      <c r="K159" s="86" t="str">
        <v>台指選07W4 P 23350</v>
      </c>
      <c r="L159" s="86">
        <v>181</v>
      </c>
      <c r="M159" s="86">
        <v>2223</v>
      </c>
      <c r="N159" s="86">
        <v>47.95</v>
      </c>
    </row>
    <row r="160" spans="2:14" x14ac:dyDescent="0.25">
      <c r="B160" s="86" t="str" cm="1">
        <f t="array" ref="B160:F160">[1]!'TX4N07C23400.TF-ID,Name,Price,TotalVolume,InOutRatio'</f>
        <v>TX4N07C23400</v>
      </c>
      <c r="C160" s="86" t="str">
        <v>台指選07W4 C 23400</v>
      </c>
      <c r="D160" s="86">
        <v>72</v>
      </c>
      <c r="E160" s="86">
        <v>5673</v>
      </c>
      <c r="F160" s="86">
        <v>45.65</v>
      </c>
      <c r="G160" s="87">
        <f t="shared" si="4"/>
        <v>-493.5510000000001</v>
      </c>
      <c r="H160" s="87">
        <v>23400</v>
      </c>
      <c r="I160" s="87">
        <f t="shared" si="5"/>
        <v>-145.1892000000002</v>
      </c>
      <c r="J160" s="86" t="str" cm="1">
        <f t="array" ref="J160:N160">[1]!'TX4N07P23400.TF-ID,Name,Price,TotalVolume,InOutRatio'</f>
        <v>TX4N07P23400</v>
      </c>
      <c r="K160" s="86" t="str">
        <v>台指選07W4 P 23400</v>
      </c>
      <c r="L160" s="86">
        <v>211</v>
      </c>
      <c r="M160" s="86">
        <v>3198</v>
      </c>
      <c r="N160" s="86">
        <v>47.73</v>
      </c>
    </row>
    <row r="161" spans="2:14" x14ac:dyDescent="0.25">
      <c r="B161" s="86" t="str" cm="1">
        <f t="array" ref="B161:F161">[1]!'TX4N07C23450.TF-ID,Name,Price,TotalVolume,InOutRatio'</f>
        <v>TX4N07C23450</v>
      </c>
      <c r="C161" s="86" t="str">
        <v>台指選07W4 C 23450</v>
      </c>
      <c r="D161" s="86">
        <v>53</v>
      </c>
      <c r="E161" s="86">
        <v>4467</v>
      </c>
      <c r="F161" s="86">
        <v>45</v>
      </c>
      <c r="G161" s="87">
        <f t="shared" si="4"/>
        <v>-446.70000000000005</v>
      </c>
      <c r="H161" s="87">
        <v>23450</v>
      </c>
      <c r="I161" s="87">
        <f t="shared" si="5"/>
        <v>57.996200000000044</v>
      </c>
      <c r="J161" s="86" t="str" cm="1">
        <f t="array" ref="J161:N161">[1]!'TX4N07P23450.TF-ID,Name,Price,TotalVolume,InOutRatio'</f>
        <v>TX4N07P23450</v>
      </c>
      <c r="K161" s="86" t="str">
        <v>台指選07W4 P 23450</v>
      </c>
      <c r="L161" s="86">
        <v>252</v>
      </c>
      <c r="M161" s="86">
        <v>709</v>
      </c>
      <c r="N161" s="86">
        <v>54.09</v>
      </c>
    </row>
    <row r="162" spans="2:14" x14ac:dyDescent="0.25">
      <c r="B162" s="86" t="str" cm="1">
        <f t="array" ref="B162:F162">[1]!'TX4N07C23500.TF-ID,Name,Price,TotalVolume,InOutRatio'</f>
        <v>TX4N07C23500</v>
      </c>
      <c r="C162" s="86" t="str">
        <v>台指選07W4 C 23500</v>
      </c>
      <c r="D162" s="86">
        <v>43</v>
      </c>
      <c r="E162" s="86">
        <v>7324</v>
      </c>
      <c r="F162" s="86">
        <v>44.29</v>
      </c>
      <c r="G162" s="87">
        <f t="shared" si="4"/>
        <v>-836.40080000000012</v>
      </c>
      <c r="H162" s="87">
        <v>23500</v>
      </c>
      <c r="I162" s="87">
        <f t="shared" si="5"/>
        <v>97.702400000000054</v>
      </c>
      <c r="J162" s="86" t="str" cm="1">
        <f t="array" ref="J162:N162">[1]!'TX4N07P23500.TF-ID,Name,Price,TotalVolume,InOutRatio'</f>
        <v>TX4N07P23500</v>
      </c>
      <c r="K162" s="86" t="str">
        <v>台指選07W4 P 23500</v>
      </c>
      <c r="L162" s="86">
        <v>273</v>
      </c>
      <c r="M162" s="86">
        <v>1088</v>
      </c>
      <c r="N162" s="86">
        <v>54.49</v>
      </c>
    </row>
    <row r="163" spans="2:14" x14ac:dyDescent="0.25">
      <c r="B163" s="86" t="str" cm="1">
        <f t="array" ref="B163:F163">[1]!'TX4N07C23550.TF-ID,Name,Price,TotalVolume,InOutRatio'</f>
        <v>TX4N07C23550</v>
      </c>
      <c r="C163" s="86" t="str">
        <v>台指選07W4 C 23550</v>
      </c>
      <c r="D163" s="86">
        <v>29.5</v>
      </c>
      <c r="E163" s="86">
        <v>3741</v>
      </c>
      <c r="F163" s="86">
        <v>45.04</v>
      </c>
      <c r="G163" s="87">
        <f t="shared" si="4"/>
        <v>-371.10720000000003</v>
      </c>
      <c r="H163" s="87">
        <v>23550</v>
      </c>
      <c r="I163" s="87">
        <f t="shared" si="5"/>
        <v>6.0927999999999862</v>
      </c>
      <c r="J163" s="86" t="str" cm="1">
        <f t="array" ref="J163:N163">[1]!'TX4N07P23550.TF-ID,Name,Price,TotalVolume,InOutRatio'</f>
        <v>TX4N07P23550</v>
      </c>
      <c r="K163" s="86" t="str">
        <v>台指選07W4 P 23550</v>
      </c>
      <c r="L163" s="86">
        <v>311</v>
      </c>
      <c r="M163" s="86">
        <v>272</v>
      </c>
      <c r="N163" s="86">
        <v>51.12</v>
      </c>
    </row>
    <row r="164" spans="2:14" x14ac:dyDescent="0.25">
      <c r="B164" s="86" t="str" cm="1">
        <f t="array" ref="B164:F164">[1]!'TX4N07C23600.TF-ID,Name,Price,TotalVolume,InOutRatio'</f>
        <v>TX4N07C23600</v>
      </c>
      <c r="C164" s="86" t="str">
        <v>台指選07W4 C 23600</v>
      </c>
      <c r="D164" s="86">
        <v>22.5</v>
      </c>
      <c r="E164" s="86">
        <v>5937</v>
      </c>
      <c r="F164" s="86">
        <v>46.28</v>
      </c>
      <c r="G164" s="87">
        <f t="shared" si="4"/>
        <v>-441.7127999999999</v>
      </c>
      <c r="H164" s="87">
        <v>23600</v>
      </c>
      <c r="I164" s="87">
        <f t="shared" si="5"/>
        <v>-15.088000000000006</v>
      </c>
      <c r="J164" s="86" t="str" cm="1">
        <f t="array" ref="J164:N164">[1]!'TX4N07P23600.TF-ID,Name,Price,TotalVolume,InOutRatio'</f>
        <v>TX4N07P23600</v>
      </c>
      <c r="K164" s="86" t="str">
        <v>台指選07W4 P 23600</v>
      </c>
      <c r="L164" s="86">
        <v>358</v>
      </c>
      <c r="M164" s="86">
        <v>184</v>
      </c>
      <c r="N164" s="86">
        <v>45.9</v>
      </c>
    </row>
    <row r="165" spans="2:14" x14ac:dyDescent="0.25">
      <c r="B165" s="86" t="str" cm="1">
        <f t="array" ref="B165:F165">[1]!'TX4N07C23650.TF-ID,Name,Price,TotalVolume,InOutRatio'</f>
        <v>TX4N07C23650</v>
      </c>
      <c r="C165" s="86" t="str">
        <v>台指選07W4 C 23650</v>
      </c>
      <c r="D165" s="86">
        <v>18</v>
      </c>
      <c r="E165" s="86">
        <v>2689</v>
      </c>
      <c r="F165" s="86">
        <v>52.41</v>
      </c>
      <c r="G165" s="87">
        <f t="shared" si="4"/>
        <v>129.60979999999981</v>
      </c>
      <c r="H165" s="87">
        <v>23650</v>
      </c>
      <c r="I165" s="87">
        <f t="shared" si="5"/>
        <v>8.9929999999999986</v>
      </c>
      <c r="J165" s="86" t="str" cm="1">
        <f t="array" ref="J165:N165">[1]!'TX4N07P23650.TF-ID,Name,Price,TotalVolume,InOutRatio'</f>
        <v>TX4N07P23650</v>
      </c>
      <c r="K165" s="86" t="str">
        <v>台指選07W4 P 23650</v>
      </c>
      <c r="L165" s="86">
        <v>392</v>
      </c>
      <c r="M165" s="86">
        <v>85</v>
      </c>
      <c r="N165" s="86">
        <v>55.29</v>
      </c>
    </row>
    <row r="166" spans="2:14" x14ac:dyDescent="0.25">
      <c r="B166" s="86" t="str" cm="1">
        <f t="array" ref="B166:F166">[1]!'TX4N07C23700.TF-ID,Name,Price,TotalVolume,InOutRatio'</f>
        <v>TX4N07C23700</v>
      </c>
      <c r="C166" s="86" t="str">
        <v>台指選07W4 C 23700</v>
      </c>
      <c r="D166" s="86">
        <v>11.5</v>
      </c>
      <c r="E166" s="86">
        <v>5258</v>
      </c>
      <c r="F166" s="86">
        <v>47.6</v>
      </c>
      <c r="G166" s="87">
        <f t="shared" si="4"/>
        <v>-252.38399999999987</v>
      </c>
      <c r="H166" s="87">
        <v>23700</v>
      </c>
      <c r="I166" s="87">
        <f t="shared" si="5"/>
        <v>-14</v>
      </c>
      <c r="J166" s="86" t="str" cm="1">
        <f t="array" ref="J166:N166">[1]!'TX4N07P23700.TF-ID,Name,Price,TotalVolume,InOutRatio'</f>
        <v>TX4N07P23700</v>
      </c>
      <c r="K166" s="86" t="str">
        <v>台指選07W4 P 23700</v>
      </c>
      <c r="L166" s="86">
        <v>425</v>
      </c>
      <c r="M166" s="86">
        <v>28</v>
      </c>
      <c r="N166" s="86">
        <v>25</v>
      </c>
    </row>
    <row r="167" spans="2:14" x14ac:dyDescent="0.25">
      <c r="B167" s="86" t="str" cm="1">
        <f t="array" ref="B167:F167">[1]!'TX4N07C23750.TF-ID,Name,Price,TotalVolume,InOutRatio'</f>
        <v>TX4N07C23750</v>
      </c>
      <c r="C167" s="86" t="str">
        <v>台指選07W4 C 23750</v>
      </c>
      <c r="D167" s="86">
        <v>9.5</v>
      </c>
      <c r="E167" s="86">
        <v>3692</v>
      </c>
      <c r="F167" s="86">
        <v>51.29</v>
      </c>
      <c r="G167" s="87">
        <f t="shared" si="4"/>
        <v>95.253599999999935</v>
      </c>
      <c r="H167" s="87">
        <v>23750</v>
      </c>
      <c r="I167" s="87">
        <f t="shared" si="5"/>
        <v>-20</v>
      </c>
      <c r="J167" s="86" t="str" cm="1">
        <f t="array" ref="J167:N167">[1]!'TX4N07P23750.TF-ID,Name,Price,TotalVolume,InOutRatio'</f>
        <v>TX4N07P23750</v>
      </c>
      <c r="K167" s="86" t="str">
        <v>台指選07W4 P 23750</v>
      </c>
      <c r="L167" s="86">
        <v>438</v>
      </c>
      <c r="M167" s="86">
        <v>20</v>
      </c>
      <c r="N167" s="86">
        <v>0</v>
      </c>
    </row>
    <row r="168" spans="2:14" x14ac:dyDescent="0.25">
      <c r="B168" s="86" t="str" cm="1">
        <f t="array" ref="B168:F168">[1]!'TX4N07C23800.TF-ID,Name,Price,TotalVolume,InOutRatio'</f>
        <v>TX4N07C23800</v>
      </c>
      <c r="C168" s="86" t="str">
        <v>台指選07W4 C 23800</v>
      </c>
      <c r="D168" s="86">
        <v>5.7</v>
      </c>
      <c r="E168" s="86">
        <v>3860</v>
      </c>
      <c r="F168" s="86">
        <v>51.58</v>
      </c>
      <c r="G168" s="87">
        <f t="shared" si="4"/>
        <v>121.97599999999987</v>
      </c>
      <c r="H168" s="87">
        <v>23800</v>
      </c>
      <c r="I168" s="87">
        <f t="shared" si="5"/>
        <v>-3.0007999999999999</v>
      </c>
      <c r="J168" s="86" t="str" cm="1">
        <f t="array" ref="J168:N168">[1]!'TX4N07P23800.TF-ID,Name,Price,TotalVolume,InOutRatio'</f>
        <v>TX4N07P23800</v>
      </c>
      <c r="K168" s="86" t="str">
        <v>台指選07W4 P 23800</v>
      </c>
      <c r="L168" s="86">
        <v>520</v>
      </c>
      <c r="M168" s="86">
        <v>11</v>
      </c>
      <c r="N168" s="86">
        <v>36.36</v>
      </c>
    </row>
    <row r="169" spans="2:14" s="7" customFormat="1" x14ac:dyDescent="0.25">
      <c r="B169" s="7" t="e" cm="1">
        <f t="array" ref="B169">[1]!'TX4N07C23850.TF-ID,Name,Price,TotalVolume,InOutRatio'</f>
        <v>#N/A</v>
      </c>
      <c r="G169" s="87">
        <f t="shared" si="4"/>
        <v>0</v>
      </c>
      <c r="H169" s="87">
        <v>23850</v>
      </c>
      <c r="I169" s="87">
        <f t="shared" si="5"/>
        <v>0</v>
      </c>
      <c r="J169" s="7" t="e" cm="1">
        <f t="array" ref="J169">[1]!'TX4N07P23850.TF-ID,Name,Price,TotalVolume,InOutRatio'</f>
        <v>#N/A</v>
      </c>
    </row>
    <row r="170" spans="2:14" x14ac:dyDescent="0.25">
      <c r="B170" s="86" t="str" cm="1">
        <f t="array" ref="B170:F170">[1]!'TX4N07C23900.TF-ID,Name,Price,TotalVolume,InOutRatio'</f>
        <v>TX4N07C23900</v>
      </c>
      <c r="C170" s="86" t="str">
        <v>台指選07W4 C 23900</v>
      </c>
      <c r="D170" s="86">
        <v>3.5</v>
      </c>
      <c r="E170" s="86">
        <v>1942</v>
      </c>
      <c r="F170" s="86">
        <v>56.3</v>
      </c>
      <c r="G170" s="87">
        <f t="shared" si="4"/>
        <v>244.69199999999989</v>
      </c>
      <c r="H170" s="87">
        <v>23900</v>
      </c>
      <c r="I170" s="87">
        <f t="shared" si="5"/>
        <v>-3</v>
      </c>
      <c r="J170" s="86" t="str" cm="1">
        <f t="array" ref="J170:N170">[1]!'TX4N07P23900.TF-ID,Name,Price,TotalVolume,InOutRatio'</f>
        <v>TX4N07P23900</v>
      </c>
      <c r="K170" s="86" t="str">
        <v>台指選07W4 P 23900</v>
      </c>
      <c r="L170" s="86">
        <v>620</v>
      </c>
      <c r="M170" s="86">
        <v>3</v>
      </c>
      <c r="N170" s="86">
        <v>0</v>
      </c>
    </row>
    <row r="171" spans="2:14" s="7" customFormat="1" x14ac:dyDescent="0.25">
      <c r="B171" s="7" t="e" cm="1">
        <f t="array" ref="B171">[1]!'TX4N07C23950.TF-ID,Name,Price,TotalVolume,InOutRatio'</f>
        <v>#N/A</v>
      </c>
      <c r="G171" s="87">
        <f t="shared" si="4"/>
        <v>0</v>
      </c>
      <c r="H171" s="87">
        <v>23950</v>
      </c>
      <c r="I171" s="87">
        <f t="shared" si="5"/>
        <v>0</v>
      </c>
      <c r="J171" s="7" t="e" cm="1">
        <f t="array" ref="J171">[1]!'TX4N07P23950.TF-ID,Name,Price,TotalVolume,InOutRatio'</f>
        <v>#N/A</v>
      </c>
    </row>
    <row r="172" spans="2:14" x14ac:dyDescent="0.25">
      <c r="B172" s="86" t="str" cm="1">
        <f t="array" ref="B172:F172">[1]!'TX4N07C24000.TF-ID,Name,Price,TotalVolume,InOutRatio'</f>
        <v>TX4N07C24000</v>
      </c>
      <c r="C172" s="86" t="str">
        <v>台指選07W4 C 24000</v>
      </c>
      <c r="D172" s="86">
        <v>2.1</v>
      </c>
      <c r="E172" s="86">
        <v>2296</v>
      </c>
      <c r="F172" s="86">
        <v>59.36</v>
      </c>
      <c r="G172" s="87">
        <f t="shared" si="4"/>
        <v>429.81119999999993</v>
      </c>
      <c r="H172" s="87">
        <v>24000</v>
      </c>
      <c r="I172" s="87">
        <f t="shared" si="5"/>
        <v>-2</v>
      </c>
      <c r="J172" s="86" t="str" cm="1">
        <f t="array" ref="J172:N172">[1]!'TX4N07P24000.TF-ID,Name,Price,TotalVolume,InOutRatio'</f>
        <v>TX4N07P24000</v>
      </c>
      <c r="K172" s="86" t="str">
        <v>台指選07W4 P 24000</v>
      </c>
      <c r="L172" s="86">
        <v>650</v>
      </c>
      <c r="M172" s="86">
        <v>2</v>
      </c>
      <c r="N172" s="86">
        <v>0</v>
      </c>
    </row>
    <row r="173" spans="2:14" s="7" customFormat="1" x14ac:dyDescent="0.25">
      <c r="B173" s="7" t="e" cm="1">
        <f t="array" ref="B173">[1]!'TX4N07C24050.TF-ID,Name,Price,TotalVolume,InOutRatio'</f>
        <v>#N/A</v>
      </c>
      <c r="G173" s="87">
        <f t="shared" si="4"/>
        <v>0</v>
      </c>
      <c r="H173" s="87">
        <v>24050</v>
      </c>
      <c r="I173" s="87">
        <f t="shared" si="5"/>
        <v>0</v>
      </c>
      <c r="J173" s="7" t="e" cm="1">
        <f t="array" ref="J173">[1]!'TX4N07P24050.TF-ID,Name,Price,TotalVolume,InOutRatio'</f>
        <v>#N/A</v>
      </c>
    </row>
    <row r="174" spans="2:14" x14ac:dyDescent="0.25">
      <c r="B174" s="86" t="str" cm="1">
        <f t="array" ref="B174:F174">[1]!'TX4N07C24100.TF-ID,Name,Price,TotalVolume,InOutRatio'</f>
        <v>TX4N07C24100</v>
      </c>
      <c r="C174" s="86" t="str">
        <v>台指選07W4 C 24100</v>
      </c>
      <c r="D174" s="86">
        <v>1</v>
      </c>
      <c r="E174" s="86">
        <v>690</v>
      </c>
      <c r="F174" s="86">
        <v>63.05</v>
      </c>
      <c r="G174" s="87">
        <f t="shared" si="4"/>
        <v>180.08999999999997</v>
      </c>
      <c r="H174" s="87">
        <v>24100</v>
      </c>
      <c r="I174" s="87">
        <f t="shared" si="5"/>
        <v>0</v>
      </c>
      <c r="J174" s="86" t="str" cm="1">
        <f t="array" ref="J174:N174">[1]!'TX4N07P24100.TF-ID,Name,Price,TotalVolume,InOutRatio'</f>
        <v>TX4N07P24100</v>
      </c>
      <c r="K174" s="86" t="str">
        <v>台指選07W4 P 24100</v>
      </c>
      <c r="L174" s="86" t="str">
        <v>--</v>
      </c>
      <c r="M174" s="86">
        <v>0</v>
      </c>
      <c r="N174" s="86" t="str">
        <v>--</v>
      </c>
    </row>
    <row r="175" spans="2:14" s="7" customFormat="1" x14ac:dyDescent="0.25">
      <c r="B175" s="7" t="e" cm="1">
        <f t="array" ref="B175">[1]!'TX4N07C24150.TF-ID,Name,Price,TotalVolume,InOutRatio'</f>
        <v>#N/A</v>
      </c>
      <c r="G175" s="87">
        <f t="shared" si="4"/>
        <v>0</v>
      </c>
      <c r="H175" s="87">
        <v>24150</v>
      </c>
      <c r="I175" s="87">
        <f t="shared" si="5"/>
        <v>0</v>
      </c>
      <c r="J175" s="7" t="e" cm="1">
        <f t="array" ref="J175">[1]!'TX4N07P24150.TF-ID,Name,Price,TotalVolume,InOutRatio'</f>
        <v>#N/A</v>
      </c>
    </row>
    <row r="176" spans="2:14" x14ac:dyDescent="0.25">
      <c r="B176" s="86" t="str" cm="1">
        <f t="array" ref="B176:F176">[1]!'TX4N07C24200.TF-ID,Name,Price,TotalVolume,InOutRatio'</f>
        <v>TX4N07C24200</v>
      </c>
      <c r="C176" s="86" t="str">
        <v>台指選07W4 C 24200</v>
      </c>
      <c r="D176" s="86">
        <v>0.6</v>
      </c>
      <c r="E176" s="86">
        <v>689</v>
      </c>
      <c r="F176" s="86">
        <v>71.430000000000007</v>
      </c>
      <c r="G176" s="87">
        <f t="shared" si="4"/>
        <v>295.30540000000008</v>
      </c>
      <c r="H176" s="87">
        <v>24200</v>
      </c>
      <c r="I176" s="87">
        <f t="shared" si="5"/>
        <v>0</v>
      </c>
      <c r="J176" s="86" t="str" cm="1">
        <f t="array" ref="J176:N176">[1]!'TX4N07P24200.TF-ID,Name,Price,TotalVolume,InOutRatio'</f>
        <v>TX4N07P24200</v>
      </c>
      <c r="K176" s="86" t="str">
        <v>台指選07W4 P 24200</v>
      </c>
      <c r="L176" s="86">
        <v>910</v>
      </c>
      <c r="M176" s="86">
        <v>25</v>
      </c>
      <c r="N176" s="86">
        <v>50</v>
      </c>
    </row>
    <row r="177" spans="2:14" s="7" customFormat="1" x14ac:dyDescent="0.25">
      <c r="B177" s="7" t="e" cm="1">
        <f t="array" ref="B177">[1]!'TX4N07C24250.TF-ID,Name,Price,TotalVolume,InOutRatio'</f>
        <v>#N/A</v>
      </c>
      <c r="G177" s="87">
        <f t="shared" si="4"/>
        <v>0</v>
      </c>
      <c r="H177" s="87">
        <v>24250</v>
      </c>
      <c r="I177" s="87">
        <f t="shared" si="5"/>
        <v>0</v>
      </c>
      <c r="J177" s="7" t="e" cm="1">
        <f t="array" ref="J177">[1]!'TX4N07P24250.TF-ID,Name,Price,TotalVolume,InOutRatio'</f>
        <v>#N/A</v>
      </c>
    </row>
    <row r="178" spans="2:14" x14ac:dyDescent="0.25">
      <c r="B178" s="86" t="str" cm="1">
        <f t="array" ref="B178:F178">[1]!'TX4N07C24300.TF-ID,Name,Price,TotalVolume,InOutRatio'</f>
        <v>TX4N07C24300</v>
      </c>
      <c r="C178" s="86" t="str">
        <v>台指選07W4 C 24300</v>
      </c>
      <c r="D178" s="86">
        <v>0.5</v>
      </c>
      <c r="E178" s="86">
        <v>397</v>
      </c>
      <c r="F178" s="86">
        <v>64.739999999999995</v>
      </c>
      <c r="G178" s="87">
        <f t="shared" si="4"/>
        <v>117.03559999999996</v>
      </c>
      <c r="H178" s="87">
        <v>24300</v>
      </c>
      <c r="I178" s="87">
        <f t="shared" si="5"/>
        <v>0</v>
      </c>
      <c r="J178" s="86" t="str" cm="1">
        <f t="array" ref="J178:N178">[1]!'TX4N07P24300.TF-ID,Name,Price,TotalVolume,InOutRatio'</f>
        <v>TX4N07P24300</v>
      </c>
      <c r="K178" s="86" t="str">
        <v>台指選07W4 P 24300</v>
      </c>
      <c r="L178" s="86" t="str">
        <v>--</v>
      </c>
      <c r="M178" s="86">
        <v>0</v>
      </c>
      <c r="N178" s="86" t="str">
        <v>--</v>
      </c>
    </row>
    <row r="179" spans="2:14" s="7" customFormat="1" x14ac:dyDescent="0.25">
      <c r="B179" s="7" t="e" cm="1">
        <f t="array" ref="B179">[1]!'TX4N07C24350.TF-ID,Name,Price,TotalVolume,InOutRatio'</f>
        <v>#N/A</v>
      </c>
      <c r="G179" s="87">
        <f t="shared" si="4"/>
        <v>0</v>
      </c>
      <c r="H179" s="87">
        <v>24350</v>
      </c>
      <c r="I179" s="87">
        <f t="shared" si="5"/>
        <v>0</v>
      </c>
      <c r="J179" s="7" t="e" cm="1">
        <f t="array" ref="J179">[1]!'TX4N07P24350.TF-ID,Name,Price,TotalVolume,InOutRatio'</f>
        <v>#N/A</v>
      </c>
    </row>
    <row r="180" spans="2:14" x14ac:dyDescent="0.25">
      <c r="B180" s="86" t="str" cm="1">
        <f t="array" ref="B180:F180">[1]!'TX4N07C24400.TF-ID,Name,Price,TotalVolume,InOutRatio'</f>
        <v>TX4N07C24400</v>
      </c>
      <c r="C180" s="86" t="str">
        <v>台指選07W4 C 24400</v>
      </c>
      <c r="D180" s="86">
        <v>0.5</v>
      </c>
      <c r="E180" s="86">
        <v>180</v>
      </c>
      <c r="F180" s="86">
        <v>17.920000000000002</v>
      </c>
      <c r="G180" s="87">
        <f t="shared" si="4"/>
        <v>-115.48799999999999</v>
      </c>
      <c r="H180" s="87">
        <v>24400</v>
      </c>
      <c r="I180" s="87">
        <f t="shared" si="5"/>
        <v>1</v>
      </c>
      <c r="J180" s="86" t="str" cm="1">
        <f t="array" ref="J180:N180">[1]!'TX4N07P24400.TF-ID,Name,Price,TotalVolume,InOutRatio'</f>
        <v>TX4N07P24400</v>
      </c>
      <c r="K180" s="86" t="str">
        <v>台指選07W4 P 24400</v>
      </c>
      <c r="L180" s="86">
        <v>1080</v>
      </c>
      <c r="M180" s="86">
        <v>1</v>
      </c>
      <c r="N180" s="86">
        <v>100</v>
      </c>
    </row>
    <row r="181" spans="2:14" s="7" customFormat="1" x14ac:dyDescent="0.25">
      <c r="B181" s="7" t="e" cm="1">
        <f t="array" ref="B181">[1]!'TX4N07C24450.TF-ID,Name,Price,TotalVolume,InOutRatio'</f>
        <v>#N/A</v>
      </c>
      <c r="G181" s="87">
        <f t="shared" si="4"/>
        <v>0</v>
      </c>
      <c r="H181" s="87">
        <v>24450</v>
      </c>
      <c r="I181" s="87">
        <f t="shared" si="5"/>
        <v>0</v>
      </c>
      <c r="J181" s="7" t="e" cm="1">
        <f t="array" ref="J181">[1]!'TX4N07P24450.TF-ID,Name,Price,TotalVolume,InOutRatio'</f>
        <v>#N/A</v>
      </c>
    </row>
    <row r="182" spans="2:14" x14ac:dyDescent="0.25">
      <c r="B182" s="86" t="str" cm="1">
        <f t="array" ref="B182:F182">[1]!'TX4N07C24500.TF-ID,Name,Price,TotalVolume,InOutRatio'</f>
        <v>TX4N07C24500</v>
      </c>
      <c r="C182" s="86" t="str">
        <v>台指選07W4 C 24500</v>
      </c>
      <c r="D182" s="86">
        <v>0.2</v>
      </c>
      <c r="E182" s="86">
        <v>294</v>
      </c>
      <c r="F182" s="86">
        <v>49.26</v>
      </c>
      <c r="G182" s="87">
        <f t="shared" si="4"/>
        <v>-4.3512000000000119</v>
      </c>
      <c r="H182" s="87">
        <v>24500</v>
      </c>
      <c r="I182" s="87">
        <f t="shared" si="5"/>
        <v>0</v>
      </c>
      <c r="J182" s="86" t="str" cm="1">
        <f t="array" ref="J182:N182">[1]!'TX4N07P24500.TF-ID,Name,Price,TotalVolume,InOutRatio'</f>
        <v>TX4N07P24500</v>
      </c>
      <c r="K182" s="86" t="str">
        <v>台指選07W4 P 24500</v>
      </c>
      <c r="L182" s="86" t="str">
        <v>--</v>
      </c>
      <c r="M182" s="86">
        <v>0</v>
      </c>
      <c r="N182" s="86" t="str">
        <v>--</v>
      </c>
    </row>
    <row r="183" spans="2:14" s="7" customFormat="1" x14ac:dyDescent="0.25">
      <c r="B183" s="7" t="e" cm="1">
        <f t="array" ref="B183">[1]!'TX4N07C24550.TF-ID,Name,Price,TotalVolume,InOutRatio'</f>
        <v>#N/A</v>
      </c>
      <c r="G183" s="87">
        <f t="shared" si="4"/>
        <v>0</v>
      </c>
      <c r="H183" s="87">
        <v>24550</v>
      </c>
      <c r="I183" s="87">
        <f t="shared" si="5"/>
        <v>0</v>
      </c>
      <c r="J183" s="7" t="e" cm="1">
        <f t="array" ref="J183">[1]!'TX4N07P24550.TF-ID,Name,Price,TotalVolume,InOutRatio'</f>
        <v>#N/A</v>
      </c>
    </row>
    <row r="184" spans="2:14" x14ac:dyDescent="0.25">
      <c r="B184" s="86" t="str" cm="1">
        <f t="array" ref="B184:F184">[1]!'TX4N07C24600.TF-ID,Name,Price,TotalVolume,InOutRatio'</f>
        <v>TX4N07C24600</v>
      </c>
      <c r="C184" s="86" t="str">
        <v>台指選07W4 C 24600</v>
      </c>
      <c r="D184" s="86">
        <v>0.3</v>
      </c>
      <c r="E184" s="86">
        <v>303</v>
      </c>
      <c r="F184" s="86">
        <v>0</v>
      </c>
      <c r="G184" s="87">
        <f t="shared" si="4"/>
        <v>-303</v>
      </c>
      <c r="H184" s="87">
        <v>24600</v>
      </c>
      <c r="I184" s="87">
        <f t="shared" si="5"/>
        <v>0</v>
      </c>
      <c r="J184" s="86" t="str" cm="1">
        <f t="array" ref="J184:N184">[1]!'TX4N07P24600.TF-ID,Name,Price,TotalVolume,InOutRatio'</f>
        <v>TX4N07P24600</v>
      </c>
      <c r="K184" s="86" t="str">
        <v>台指選07W4 P 24600</v>
      </c>
      <c r="L184" s="86" t="str">
        <v>--</v>
      </c>
      <c r="M184" s="86">
        <v>0</v>
      </c>
      <c r="N184" s="86" t="str">
        <v>--</v>
      </c>
    </row>
    <row r="185" spans="2:14" s="7" customFormat="1" x14ac:dyDescent="0.25">
      <c r="B185" s="7" t="e" cm="1">
        <f t="array" ref="B185">[1]!'TX4N07C24650.TF-ID,Name,Price,TotalVolume,InOutRatio'</f>
        <v>#N/A</v>
      </c>
      <c r="G185" s="87">
        <f t="shared" si="4"/>
        <v>0</v>
      </c>
      <c r="H185" s="87">
        <v>24650</v>
      </c>
      <c r="I185" s="87">
        <f t="shared" si="5"/>
        <v>0</v>
      </c>
      <c r="J185" s="7" t="e" cm="1">
        <f t="array" ref="J185">[1]!'TX4N07P24650.TF-ID,Name,Price,TotalVolume,InOutRatio'</f>
        <v>#N/A</v>
      </c>
    </row>
    <row r="186" spans="2:14" x14ac:dyDescent="0.25">
      <c r="B186" s="86" t="str" cm="1">
        <f t="array" ref="B186:F186">[1]!'TX4N07C24700.TF-ID,Name,Price,TotalVolume,InOutRatio'</f>
        <v>TX4N07C24700</v>
      </c>
      <c r="C186" s="86" t="str">
        <v>台指選07W4 C 24700</v>
      </c>
      <c r="D186" s="86">
        <v>0.3</v>
      </c>
      <c r="E186" s="86">
        <v>380</v>
      </c>
      <c r="F186" s="86">
        <v>0</v>
      </c>
      <c r="G186" s="87">
        <f t="shared" si="4"/>
        <v>-380</v>
      </c>
      <c r="H186" s="87">
        <v>24700</v>
      </c>
      <c r="I186" s="87">
        <f t="shared" si="5"/>
        <v>0</v>
      </c>
      <c r="J186" s="86" t="str" cm="1">
        <f t="array" ref="J186:N186">[1]!'TX4N07P24700.TF-ID,Name,Price,TotalVolume,InOutRatio'</f>
        <v>TX4N07P24700</v>
      </c>
      <c r="K186" s="86" t="str">
        <v>台指選07W4 P 24700</v>
      </c>
      <c r="L186" s="86" t="str">
        <v>--</v>
      </c>
      <c r="M186" s="86">
        <v>0</v>
      </c>
      <c r="N186" s="86" t="str">
        <v>--</v>
      </c>
    </row>
    <row r="187" spans="2:14" s="7" customFormat="1" x14ac:dyDescent="0.25">
      <c r="B187" s="7" t="e" cm="1">
        <f t="array" ref="B187">[1]!'TX4N07C24750.TF-ID,Name,Price,TotalVolume,InOutRatio'</f>
        <v>#N/A</v>
      </c>
      <c r="G187" s="87">
        <f t="shared" si="4"/>
        <v>0</v>
      </c>
      <c r="H187" s="87">
        <v>24750</v>
      </c>
      <c r="I187" s="87">
        <f t="shared" si="5"/>
        <v>0</v>
      </c>
      <c r="J187" s="7" t="e" cm="1">
        <f t="array" ref="J187">[1]!'TX4N07P24750.TF-ID,Name,Price,TotalVolume,InOutRatio'</f>
        <v>#N/A</v>
      </c>
    </row>
    <row r="188" spans="2:14" x14ac:dyDescent="0.25">
      <c r="B188" s="86" t="str" cm="1">
        <f t="array" ref="B188:F188">[1]!'TX4N07C24800.TF-ID,Name,Price,TotalVolume,InOutRatio'</f>
        <v>TX4N07C24800</v>
      </c>
      <c r="C188" s="86" t="str">
        <v>台指選07W4 C 24800</v>
      </c>
      <c r="D188" s="86">
        <v>0.2</v>
      </c>
      <c r="E188" s="86">
        <v>259</v>
      </c>
      <c r="F188" s="86">
        <v>0</v>
      </c>
      <c r="G188" s="87">
        <f t="shared" si="4"/>
        <v>-259</v>
      </c>
      <c r="H188" s="87">
        <v>24800</v>
      </c>
      <c r="I188" s="87">
        <f t="shared" si="5"/>
        <v>0</v>
      </c>
      <c r="J188" s="86" t="str" cm="1">
        <f t="array" ref="J188:N188">[1]!'TX4N07P24800.TF-ID,Name,Price,TotalVolume,InOutRatio'</f>
        <v>TX4N07P24800</v>
      </c>
      <c r="K188" s="86" t="str">
        <v>台指選07W4 P 24800</v>
      </c>
      <c r="L188" s="86" t="str">
        <v>--</v>
      </c>
      <c r="M188" s="86">
        <v>0</v>
      </c>
      <c r="N188" s="86" t="str">
        <v>--</v>
      </c>
    </row>
    <row r="189" spans="2:14" s="7" customFormat="1" x14ac:dyDescent="0.25">
      <c r="B189" s="7" t="e" cm="1">
        <f t="array" ref="B189">[1]!'TX4N07C24850.TF-ID,Name,Price,TotalVolume,InOutRatio'</f>
        <v>#N/A</v>
      </c>
      <c r="G189" s="87">
        <f t="shared" si="4"/>
        <v>0</v>
      </c>
      <c r="H189" s="87">
        <v>24850</v>
      </c>
      <c r="I189" s="87">
        <f t="shared" si="5"/>
        <v>0</v>
      </c>
      <c r="J189" s="7" t="e" cm="1">
        <f t="array" ref="J189">[1]!'TX4N07P24850.TF-ID,Name,Price,TotalVolume,InOutRatio'</f>
        <v>#N/A</v>
      </c>
    </row>
    <row r="190" spans="2:14" x14ac:dyDescent="0.25">
      <c r="B190" s="86" t="str" cm="1">
        <f t="array" ref="B190:F190">[1]!'TX4N07C24900.TF-ID,Name,Price,TotalVolume,InOutRatio'</f>
        <v>TX4N07C24900</v>
      </c>
      <c r="C190" s="86" t="str">
        <v>台指選07W4 C 24900</v>
      </c>
      <c r="D190" s="86" t="str">
        <v>--</v>
      </c>
      <c r="E190" s="86">
        <v>0</v>
      </c>
      <c r="F190" s="86" t="str">
        <v>--</v>
      </c>
      <c r="G190" s="87">
        <f t="shared" si="4"/>
        <v>0</v>
      </c>
      <c r="H190" s="87">
        <v>24900</v>
      </c>
      <c r="I190" s="87">
        <f t="shared" si="5"/>
        <v>0</v>
      </c>
      <c r="J190" s="86" t="str" cm="1">
        <f t="array" ref="J190:N190">[1]!'TX4N07P24900.TF-ID,Name,Price,TotalVolume,InOutRatio'</f>
        <v>TX4N07P24900</v>
      </c>
      <c r="K190" s="86" t="str">
        <v>台指選07W4 P 24900</v>
      </c>
      <c r="L190" s="86" t="str">
        <v>--</v>
      </c>
      <c r="M190" s="86">
        <v>0</v>
      </c>
      <c r="N190" s="86" t="str">
        <v>--</v>
      </c>
    </row>
    <row r="191" spans="2:14" s="7" customFormat="1" x14ac:dyDescent="0.25">
      <c r="B191" s="7" t="e" cm="1">
        <f t="array" ref="B191">[1]!'TX4N07C24950.TF-ID,Name,Price,TotalVolume,InOutRatio'</f>
        <v>#N/A</v>
      </c>
      <c r="G191" s="87">
        <f t="shared" si="4"/>
        <v>0</v>
      </c>
      <c r="H191" s="87">
        <v>24950</v>
      </c>
      <c r="I191" s="87">
        <f t="shared" si="5"/>
        <v>0</v>
      </c>
      <c r="J191" s="7" t="e" cm="1">
        <f t="array" ref="J191">[1]!'TX4N07P24950.TF-ID,Name,Price,TotalVolume,InOutRatio'</f>
        <v>#N/A</v>
      </c>
    </row>
    <row r="192" spans="2:14" x14ac:dyDescent="0.25">
      <c r="B192" s="86" t="str" cm="1">
        <f t="array" ref="B192:F192">[1]!'TX4N07C25000.TF-ID,Name,Price,TotalVolume,InOutRatio'</f>
        <v>TX4N07C25000</v>
      </c>
      <c r="C192" s="86" t="str">
        <v>台指選07W4 C 25000</v>
      </c>
      <c r="D192" s="86" t="str">
        <v>--</v>
      </c>
      <c r="E192" s="86">
        <v>0</v>
      </c>
      <c r="F192" s="86" t="str">
        <v>--</v>
      </c>
      <c r="G192" s="87">
        <f t="shared" si="4"/>
        <v>0</v>
      </c>
      <c r="H192" s="87">
        <v>25000</v>
      </c>
      <c r="I192" s="87">
        <f t="shared" si="5"/>
        <v>0</v>
      </c>
      <c r="J192" s="86" t="str" cm="1">
        <f t="array" ref="J192:N192">[1]!'TX4N07P25000.TF-ID,Name,Price,TotalVolume,InOutRatio'</f>
        <v>TX4N07P25000</v>
      </c>
      <c r="K192" s="86" t="str">
        <v>台指選07W4 P 25000</v>
      </c>
      <c r="L192" s="86" t="str">
        <v>--</v>
      </c>
      <c r="M192" s="86">
        <v>0</v>
      </c>
      <c r="N192" s="86" t="str">
        <v>--</v>
      </c>
    </row>
    <row r="193" spans="2:14" s="7" customFormat="1" x14ac:dyDescent="0.25">
      <c r="B193" s="7" t="e" cm="1">
        <f t="array" ref="B193">[1]!'TX4N07C25050.TF-ID,Name,Price,TotalVolume,InOutRatio'</f>
        <v>#N/A</v>
      </c>
      <c r="G193" s="87">
        <f t="shared" si="4"/>
        <v>0</v>
      </c>
      <c r="H193" s="87">
        <v>25050</v>
      </c>
      <c r="I193" s="87">
        <f t="shared" si="5"/>
        <v>0</v>
      </c>
      <c r="J193" s="7" t="e" cm="1">
        <f t="array" ref="J193">[1]!'TX4N07P25050.TF-ID,Name,Price,TotalVolume,InOutRatio'</f>
        <v>#N/A</v>
      </c>
    </row>
    <row r="194" spans="2:14" x14ac:dyDescent="0.25">
      <c r="B194" s="86" t="str" cm="1">
        <f t="array" ref="B194:F194">[1]!'TX4N07C25100.TF-ID,Name,Price,TotalVolume,InOutRatio'</f>
        <v>TX4N07C25100</v>
      </c>
      <c r="C194" s="86" t="str">
        <v>台指選07W4 C 25100</v>
      </c>
      <c r="D194" s="86" t="str">
        <v>--</v>
      </c>
      <c r="E194" s="86">
        <v>0</v>
      </c>
      <c r="F194" s="86" t="str">
        <v>--</v>
      </c>
      <c r="G194" s="87">
        <f t="shared" si="4"/>
        <v>0</v>
      </c>
      <c r="H194" s="87">
        <v>25100</v>
      </c>
      <c r="I194" s="87">
        <f t="shared" si="5"/>
        <v>0</v>
      </c>
      <c r="J194" s="86" t="str" cm="1">
        <f t="array" ref="J194:N194">[1]!'TX4N07P25100.TF-ID,Name,Price,TotalVolume,InOutRatio'</f>
        <v>TX4N07P25100</v>
      </c>
      <c r="K194" s="86" t="str">
        <v>台指選07W4 P 25100</v>
      </c>
      <c r="L194" s="86" t="str">
        <v>--</v>
      </c>
      <c r="M194" s="86">
        <v>0</v>
      </c>
      <c r="N194" s="86" t="str">
        <v>--</v>
      </c>
    </row>
    <row r="195" spans="2:14" s="7" customFormat="1" x14ac:dyDescent="0.25">
      <c r="B195" s="7" t="e" cm="1">
        <f t="array" ref="B195">[1]!'TX4N07C25150.TF-ID,Name,Price,TotalVolume,InOutRatio'</f>
        <v>#N/A</v>
      </c>
      <c r="G195" s="87">
        <f t="shared" ref="G195:G258" si="6">+IFERROR((F195-50)/50*E195,0)</f>
        <v>0</v>
      </c>
      <c r="H195" s="87">
        <v>25150</v>
      </c>
      <c r="I195" s="87">
        <f t="shared" ref="I195:I258" si="7">+IFERROR((N195-50)/50*M195,0)</f>
        <v>0</v>
      </c>
      <c r="J195" s="7" t="e" cm="1">
        <f t="array" ref="J195">[1]!'TX4N07P25150.TF-ID,Name,Price,TotalVolume,InOutRatio'</f>
        <v>#N/A</v>
      </c>
    </row>
    <row r="196" spans="2:14" x14ac:dyDescent="0.25">
      <c r="B196" s="86" t="str" cm="1">
        <f t="array" ref="B196:F196">[1]!'TX4N07C25200.TF-ID,Name,Price,TotalVolume,InOutRatio'</f>
        <v>TX4N07C25200</v>
      </c>
      <c r="C196" s="86" t="str">
        <v>台指選07W4 C 25200</v>
      </c>
      <c r="D196" s="86">
        <v>0.2</v>
      </c>
      <c r="E196" s="86">
        <v>1</v>
      </c>
      <c r="F196" s="86">
        <v>0</v>
      </c>
      <c r="G196" s="87">
        <f t="shared" si="6"/>
        <v>-1</v>
      </c>
      <c r="H196" s="87">
        <v>25200</v>
      </c>
      <c r="I196" s="87">
        <f t="shared" si="7"/>
        <v>0</v>
      </c>
      <c r="J196" s="86" t="str" cm="1">
        <f t="array" ref="J196:N196">[1]!'TX4N07P25200.TF-ID,Name,Price,TotalVolume,InOutRatio'</f>
        <v>TX4N07P25200</v>
      </c>
      <c r="K196" s="86" t="str">
        <v>台指選07W4 P 25200</v>
      </c>
      <c r="L196" s="86" t="str">
        <v>--</v>
      </c>
      <c r="M196" s="86">
        <v>0</v>
      </c>
      <c r="N196" s="86" t="str">
        <v>--</v>
      </c>
    </row>
    <row r="197" spans="2:14" s="7" customFormat="1" x14ac:dyDescent="0.25">
      <c r="B197" s="7" t="e" cm="1">
        <f t="array" ref="B197">[1]!'TX4N07C25250.TF-ID,Name,Price,TotalVolume,InOutRatio'</f>
        <v>#N/A</v>
      </c>
      <c r="G197" s="87">
        <f t="shared" si="6"/>
        <v>0</v>
      </c>
      <c r="H197" s="87">
        <v>25250</v>
      </c>
      <c r="I197" s="87">
        <f t="shared" si="7"/>
        <v>0</v>
      </c>
      <c r="J197" s="7" t="e" cm="1">
        <f t="array" ref="J197">[1]!'TX4N07P25250.TF-ID,Name,Price,TotalVolume,InOutRatio'</f>
        <v>#N/A</v>
      </c>
    </row>
    <row r="198" spans="2:14" x14ac:dyDescent="0.25">
      <c r="B198" s="86" t="str" cm="1">
        <f t="array" ref="B198:F198">[1]!'TX4N07C25300.TF-ID,Name,Price,TotalVolume,InOutRatio'</f>
        <v>TX4N07C25300</v>
      </c>
      <c r="C198" s="86" t="str">
        <v>台指選07W4 C 25300</v>
      </c>
      <c r="D198" s="86">
        <v>0.2</v>
      </c>
      <c r="E198" s="86">
        <v>1</v>
      </c>
      <c r="F198" s="86">
        <v>0</v>
      </c>
      <c r="G198" s="87">
        <f t="shared" si="6"/>
        <v>-1</v>
      </c>
      <c r="H198" s="87">
        <v>25300</v>
      </c>
      <c r="I198" s="87">
        <f t="shared" si="7"/>
        <v>0</v>
      </c>
      <c r="J198" s="86" t="str" cm="1">
        <f t="array" ref="J198:N198">[1]!'TX4N07P25300.TF-ID,Name,Price,TotalVolume,InOutRatio'</f>
        <v>TX4N07P25300</v>
      </c>
      <c r="K198" s="86" t="str">
        <v>台指選07W4 P 25300</v>
      </c>
      <c r="L198" s="86" t="str">
        <v>--</v>
      </c>
      <c r="M198" s="86">
        <v>0</v>
      </c>
      <c r="N198" s="86" t="str">
        <v>--</v>
      </c>
    </row>
    <row r="199" spans="2:14" s="7" customFormat="1" x14ac:dyDescent="0.25">
      <c r="B199" s="7" t="e" cm="1">
        <f t="array" ref="B199">[1]!'TX4N07C25350.TF-ID,Name,Price,TotalVolume,InOutRatio'</f>
        <v>#N/A</v>
      </c>
      <c r="G199" s="87">
        <f t="shared" si="6"/>
        <v>0</v>
      </c>
      <c r="H199" s="87">
        <v>25350</v>
      </c>
      <c r="I199" s="87">
        <f t="shared" si="7"/>
        <v>0</v>
      </c>
      <c r="J199" s="7" t="e" cm="1">
        <f t="array" ref="J199">[1]!'TX4N07P25350.TF-ID,Name,Price,TotalVolume,InOutRatio'</f>
        <v>#N/A</v>
      </c>
    </row>
    <row r="200" spans="2:14" x14ac:dyDescent="0.25">
      <c r="B200" s="86" t="str" cm="1">
        <f t="array" ref="B200:F200">[1]!'TX4N07C25400.TF-ID,Name,Price,TotalVolume,InOutRatio'</f>
        <v>TX4N07C25400</v>
      </c>
      <c r="C200" s="86" t="str">
        <v>台指選07W4 C 25400</v>
      </c>
      <c r="D200" s="86">
        <v>0.3</v>
      </c>
      <c r="E200" s="86">
        <v>4</v>
      </c>
      <c r="F200" s="86">
        <v>25</v>
      </c>
      <c r="G200" s="87">
        <f t="shared" si="6"/>
        <v>-2</v>
      </c>
      <c r="H200" s="87">
        <v>25400</v>
      </c>
      <c r="I200" s="87">
        <f t="shared" si="7"/>
        <v>0</v>
      </c>
      <c r="J200" s="86" t="str" cm="1">
        <f t="array" ref="J200:N200">[1]!'TX4N07P25400.TF-ID,Name,Price,TotalVolume,InOutRatio'</f>
        <v>TX4N07P25400</v>
      </c>
      <c r="K200" s="86" t="str">
        <v>台指選07W4 P 25400</v>
      </c>
      <c r="L200" s="86" t="str">
        <v>--</v>
      </c>
      <c r="M200" s="86">
        <v>0</v>
      </c>
      <c r="N200" s="86" t="str">
        <v>--</v>
      </c>
    </row>
    <row r="201" spans="2:14" s="7" customFormat="1" x14ac:dyDescent="0.25">
      <c r="B201" s="7" t="e" cm="1">
        <f t="array" ref="B201">[1]!'TX4N07C25450.TF-ID,Name,Price,TotalVolume,InOutRatio'</f>
        <v>#N/A</v>
      </c>
      <c r="G201" s="87">
        <f t="shared" si="6"/>
        <v>0</v>
      </c>
      <c r="H201" s="87">
        <v>25450</v>
      </c>
      <c r="I201" s="87">
        <f t="shared" si="7"/>
        <v>0</v>
      </c>
      <c r="J201" s="7" t="e" cm="1">
        <f t="array" ref="J201">[1]!'TX4N07P25450.TF-ID,Name,Price,TotalVolume,InOutRatio'</f>
        <v>#N/A</v>
      </c>
    </row>
    <row r="202" spans="2:14" x14ac:dyDescent="0.25">
      <c r="B202" s="86" t="str" cm="1">
        <f t="array" ref="B202:F202">[1]!'TX4N07C25500.TF-ID,Name,Price,TotalVolume,InOutRatio'</f>
        <v>TX4N07C25500</v>
      </c>
      <c r="C202" s="86" t="str">
        <v>台指選07W4 C 25500</v>
      </c>
      <c r="D202" s="86">
        <v>0.2</v>
      </c>
      <c r="E202" s="86">
        <v>3</v>
      </c>
      <c r="F202" s="86">
        <v>0</v>
      </c>
      <c r="G202" s="87">
        <f t="shared" si="6"/>
        <v>-3</v>
      </c>
      <c r="H202" s="87">
        <v>25500</v>
      </c>
      <c r="I202" s="87">
        <f t="shared" si="7"/>
        <v>0</v>
      </c>
      <c r="J202" s="86" t="str" cm="1">
        <f t="array" ref="J202:N202">[1]!'TX4N07P25500.TF-ID,Name,Price,TotalVolume,InOutRatio'</f>
        <v>TX4N07P25500</v>
      </c>
      <c r="K202" s="86" t="str">
        <v>台指選07W4 P 25500</v>
      </c>
      <c r="L202" s="86" t="str">
        <v>--</v>
      </c>
      <c r="M202" s="86">
        <v>0</v>
      </c>
      <c r="N202" s="86" t="str">
        <v>--</v>
      </c>
    </row>
    <row r="203" spans="2:14" s="7" customFormat="1" x14ac:dyDescent="0.25">
      <c r="B203" s="7" t="e" cm="1">
        <f t="array" ref="B203">[1]!'TX4N07C25550.TF-ID,Name,Price,TotalVolume,InOutRatio'</f>
        <v>#N/A</v>
      </c>
      <c r="G203" s="87">
        <f t="shared" si="6"/>
        <v>0</v>
      </c>
      <c r="H203" s="87">
        <v>25550</v>
      </c>
      <c r="I203" s="87">
        <f t="shared" si="7"/>
        <v>0</v>
      </c>
      <c r="J203" s="7" t="e" cm="1">
        <f t="array" ref="J203">[1]!'TX4N07P25550.TF-ID,Name,Price,TotalVolume,InOutRatio'</f>
        <v>#N/A</v>
      </c>
    </row>
    <row r="204" spans="2:14" s="7" customFormat="1" x14ac:dyDescent="0.25">
      <c r="B204" s="7" t="e" cm="1">
        <f t="array" ref="B204">[1]!'TX4N07C25600.TF-ID,Name,Price,TotalVolume,InOutRatio'</f>
        <v>#N/A</v>
      </c>
      <c r="G204" s="87">
        <f t="shared" si="6"/>
        <v>0</v>
      </c>
      <c r="H204" s="87">
        <v>25600</v>
      </c>
      <c r="I204" s="87">
        <f t="shared" si="7"/>
        <v>0</v>
      </c>
      <c r="J204" s="7" t="e" cm="1">
        <f t="array" ref="J204">[1]!'TX4N07P25600.TF-ID,Name,Price,TotalVolume,InOutRatio'</f>
        <v>#N/A</v>
      </c>
    </row>
    <row r="205" spans="2:14" s="7" customFormat="1" x14ac:dyDescent="0.25">
      <c r="B205" s="7" t="e" cm="1">
        <f t="array" ref="B205">[1]!'TX4N07C25650.TF-ID,Name,Price,TotalVolume,InOutRatio'</f>
        <v>#N/A</v>
      </c>
      <c r="G205" s="87">
        <f t="shared" si="6"/>
        <v>0</v>
      </c>
      <c r="H205" s="87">
        <v>25650</v>
      </c>
      <c r="I205" s="87">
        <f t="shared" si="7"/>
        <v>0</v>
      </c>
      <c r="J205" s="7" t="e" cm="1">
        <f t="array" ref="J205">[1]!'TX4N07P25650.TF-ID,Name,Price,TotalVolume,InOutRatio'</f>
        <v>#N/A</v>
      </c>
    </row>
    <row r="206" spans="2:14" s="7" customFormat="1" x14ac:dyDescent="0.25">
      <c r="B206" s="7" t="e" cm="1">
        <f t="array" ref="B206">[1]!'TX4N07C25700.TF-ID,Name,Price,TotalVolume,InOutRatio'</f>
        <v>#N/A</v>
      </c>
      <c r="G206" s="87">
        <f t="shared" si="6"/>
        <v>0</v>
      </c>
      <c r="H206" s="87">
        <v>25700</v>
      </c>
      <c r="I206" s="87">
        <f t="shared" si="7"/>
        <v>0</v>
      </c>
      <c r="J206" s="7" t="e" cm="1">
        <f t="array" ref="J206">[1]!'TX4N07P25700.TF-ID,Name,Price,TotalVolume,InOutRatio'</f>
        <v>#N/A</v>
      </c>
    </row>
    <row r="207" spans="2:14" s="7" customFormat="1" x14ac:dyDescent="0.25">
      <c r="B207" s="7" t="e" cm="1">
        <f t="array" ref="B207">[1]!'TX4N07C25750.TF-ID,Name,Price,TotalVolume,InOutRatio'</f>
        <v>#N/A</v>
      </c>
      <c r="G207" s="87">
        <f t="shared" si="6"/>
        <v>0</v>
      </c>
      <c r="H207" s="87">
        <v>25750</v>
      </c>
      <c r="I207" s="87">
        <f t="shared" si="7"/>
        <v>0</v>
      </c>
      <c r="J207" s="7" t="e" cm="1">
        <f t="array" ref="J207">[1]!'TX4N07P25750.TF-ID,Name,Price,TotalVolume,InOutRatio'</f>
        <v>#N/A</v>
      </c>
    </row>
    <row r="208" spans="2:14" s="7" customFormat="1" x14ac:dyDescent="0.25">
      <c r="B208" s="7" t="e" cm="1">
        <f t="array" ref="B208">[1]!'TX4N07C25800.TF-ID,Name,Price,TotalVolume,InOutRatio'</f>
        <v>#N/A</v>
      </c>
      <c r="G208" s="87">
        <f t="shared" si="6"/>
        <v>0</v>
      </c>
      <c r="H208" s="87">
        <v>25800</v>
      </c>
      <c r="I208" s="87">
        <f t="shared" si="7"/>
        <v>0</v>
      </c>
      <c r="J208" s="7" t="e" cm="1">
        <f t="array" ref="J208">[1]!'TX4N07P25800.TF-ID,Name,Price,TotalVolume,InOutRatio'</f>
        <v>#N/A</v>
      </c>
    </row>
    <row r="209" spans="2:10" s="7" customFormat="1" x14ac:dyDescent="0.25">
      <c r="B209" s="7" t="e" cm="1">
        <f t="array" ref="B209">[1]!'TX4N07C25850.TF-ID,Name,Price,TotalVolume,InOutRatio'</f>
        <v>#N/A</v>
      </c>
      <c r="G209" s="87">
        <f t="shared" si="6"/>
        <v>0</v>
      </c>
      <c r="H209" s="87">
        <v>25850</v>
      </c>
      <c r="I209" s="87">
        <f t="shared" si="7"/>
        <v>0</v>
      </c>
      <c r="J209" s="7" t="e" cm="1">
        <f t="array" ref="J209">[1]!'TX4N07P25850.TF-ID,Name,Price,TotalVolume,InOutRatio'</f>
        <v>#N/A</v>
      </c>
    </row>
    <row r="210" spans="2:10" s="7" customFormat="1" x14ac:dyDescent="0.25">
      <c r="B210" s="7" t="e" cm="1">
        <f t="array" ref="B210">[1]!'TX4N07C25900.TF-ID,Name,Price,TotalVolume,InOutRatio'</f>
        <v>#N/A</v>
      </c>
      <c r="G210" s="87">
        <f t="shared" si="6"/>
        <v>0</v>
      </c>
      <c r="H210" s="87">
        <v>25900</v>
      </c>
      <c r="I210" s="87">
        <f t="shared" si="7"/>
        <v>0</v>
      </c>
      <c r="J210" s="7" t="e" cm="1">
        <f t="array" ref="J210">[1]!'TX4N07P25900.TF-ID,Name,Price,TotalVolume,InOutRatio'</f>
        <v>#N/A</v>
      </c>
    </row>
    <row r="211" spans="2:10" s="7" customFormat="1" x14ac:dyDescent="0.25">
      <c r="B211" s="7" t="e" cm="1">
        <f t="array" ref="B211">[1]!'TX4N07C25950.TF-ID,Name,Price,TotalVolume,InOutRatio'</f>
        <v>#N/A</v>
      </c>
      <c r="G211" s="87">
        <f t="shared" si="6"/>
        <v>0</v>
      </c>
      <c r="H211" s="87">
        <v>25950</v>
      </c>
      <c r="I211" s="87">
        <f t="shared" si="7"/>
        <v>0</v>
      </c>
      <c r="J211" s="7" t="e" cm="1">
        <f t="array" ref="J211">[1]!'TX4N07P25950.TF-ID,Name,Price,TotalVolume,InOutRatio'</f>
        <v>#N/A</v>
      </c>
    </row>
    <row r="212" spans="2:10" s="7" customFormat="1" x14ac:dyDescent="0.25">
      <c r="B212" s="7" t="e" cm="1">
        <f t="array" ref="B212">[1]!'TX4N07C26000.TF-ID,Name,Price,TotalVolume,InOutRatio'</f>
        <v>#N/A</v>
      </c>
      <c r="G212" s="87">
        <f t="shared" si="6"/>
        <v>0</v>
      </c>
      <c r="H212" s="87">
        <v>26000</v>
      </c>
      <c r="I212" s="87">
        <f t="shared" si="7"/>
        <v>0</v>
      </c>
      <c r="J212" s="7" t="e" cm="1">
        <f t="array" ref="J212">[1]!'TX4N07P26000.TF-ID,Name,Price,TotalVolume,InOutRatio'</f>
        <v>#N/A</v>
      </c>
    </row>
    <row r="213" spans="2:10" s="7" customFormat="1" x14ac:dyDescent="0.25">
      <c r="B213" s="7" t="e" cm="1">
        <f t="array" ref="B213">[1]!'TX4N07C26050.TF-ID,Name,Price,TotalVolume,InOutRatio'</f>
        <v>#N/A</v>
      </c>
      <c r="G213" s="87">
        <f t="shared" si="6"/>
        <v>0</v>
      </c>
      <c r="H213" s="87">
        <v>26050</v>
      </c>
      <c r="I213" s="87">
        <f t="shared" si="7"/>
        <v>0</v>
      </c>
      <c r="J213" s="7" t="e" cm="1">
        <f t="array" ref="J213">[1]!'TX4N07P26050.TF-ID,Name,Price,TotalVolume,InOutRatio'</f>
        <v>#N/A</v>
      </c>
    </row>
    <row r="214" spans="2:10" s="7" customFormat="1" x14ac:dyDescent="0.25">
      <c r="B214" s="7" t="e" cm="1">
        <f t="array" ref="B214">[1]!'TX4N07C26100.TF-ID,Name,Price,TotalVolume,InOutRatio'</f>
        <v>#N/A</v>
      </c>
      <c r="G214" s="87">
        <f t="shared" si="6"/>
        <v>0</v>
      </c>
      <c r="H214" s="87">
        <v>26100</v>
      </c>
      <c r="I214" s="87">
        <f t="shared" si="7"/>
        <v>0</v>
      </c>
      <c r="J214" s="7" t="e" cm="1">
        <f t="array" ref="J214">[1]!'TX4N07P26100.TF-ID,Name,Price,TotalVolume,InOutRatio'</f>
        <v>#N/A</v>
      </c>
    </row>
    <row r="215" spans="2:10" s="7" customFormat="1" x14ac:dyDescent="0.25">
      <c r="B215" s="7" t="e" cm="1">
        <f t="array" ref="B215">[1]!'TX4N07C26150.TF-ID,Name,Price,TotalVolume,InOutRatio'</f>
        <v>#N/A</v>
      </c>
      <c r="G215" s="87">
        <f t="shared" si="6"/>
        <v>0</v>
      </c>
      <c r="H215" s="87">
        <v>26150</v>
      </c>
      <c r="I215" s="87">
        <f t="shared" si="7"/>
        <v>0</v>
      </c>
      <c r="J215" s="7" t="e" cm="1">
        <f t="array" ref="J215">[1]!'TX4N07P26150.TF-ID,Name,Price,TotalVolume,InOutRatio'</f>
        <v>#N/A</v>
      </c>
    </row>
    <row r="216" spans="2:10" s="7" customFormat="1" x14ac:dyDescent="0.25">
      <c r="B216" s="7" t="e" cm="1">
        <f t="array" ref="B216">[1]!'TX4N07C26200.TF-ID,Name,Price,TotalVolume,InOutRatio'</f>
        <v>#N/A</v>
      </c>
      <c r="G216" s="87">
        <f t="shared" si="6"/>
        <v>0</v>
      </c>
      <c r="H216" s="87">
        <v>26200</v>
      </c>
      <c r="I216" s="87">
        <f t="shared" si="7"/>
        <v>0</v>
      </c>
      <c r="J216" s="7" t="e" cm="1">
        <f t="array" ref="J216">[1]!'TX4N07P26200.TF-ID,Name,Price,TotalVolume,InOutRatio'</f>
        <v>#N/A</v>
      </c>
    </row>
    <row r="217" spans="2:10" s="7" customFormat="1" x14ac:dyDescent="0.25">
      <c r="B217" s="7" t="e" cm="1">
        <f t="array" ref="B217">[1]!'TX4N07C26250.TF-ID,Name,Price,TotalVolume,InOutRatio'</f>
        <v>#N/A</v>
      </c>
      <c r="G217" s="87">
        <f t="shared" si="6"/>
        <v>0</v>
      </c>
      <c r="H217" s="87">
        <v>26250</v>
      </c>
      <c r="I217" s="87">
        <f t="shared" si="7"/>
        <v>0</v>
      </c>
      <c r="J217" s="7" t="e" cm="1">
        <f t="array" ref="J217">[1]!'TX4N07P26250.TF-ID,Name,Price,TotalVolume,InOutRatio'</f>
        <v>#N/A</v>
      </c>
    </row>
    <row r="218" spans="2:10" s="7" customFormat="1" x14ac:dyDescent="0.25">
      <c r="B218" s="7" t="e" cm="1">
        <f t="array" ref="B218">[1]!'TX4N07C26300.TF-ID,Name,Price,TotalVolume,InOutRatio'</f>
        <v>#N/A</v>
      </c>
      <c r="G218" s="87">
        <f t="shared" si="6"/>
        <v>0</v>
      </c>
      <c r="H218" s="87">
        <v>26300</v>
      </c>
      <c r="I218" s="87">
        <f t="shared" si="7"/>
        <v>0</v>
      </c>
      <c r="J218" s="7" t="e" cm="1">
        <f t="array" ref="J218">[1]!'TX4N07P26300.TF-ID,Name,Price,TotalVolume,InOutRatio'</f>
        <v>#N/A</v>
      </c>
    </row>
    <row r="219" spans="2:10" s="7" customFormat="1" x14ac:dyDescent="0.25">
      <c r="B219" s="7" t="e" cm="1">
        <f t="array" ref="B219">[1]!'TX4N07C26350.TF-ID,Name,Price,TotalVolume,InOutRatio'</f>
        <v>#N/A</v>
      </c>
      <c r="G219" s="87">
        <f t="shared" si="6"/>
        <v>0</v>
      </c>
      <c r="H219" s="87">
        <v>26350</v>
      </c>
      <c r="I219" s="87">
        <f t="shared" si="7"/>
        <v>0</v>
      </c>
      <c r="J219" s="7" t="e" cm="1">
        <f t="array" ref="J219">[1]!'TX4N07P26350.TF-ID,Name,Price,TotalVolume,InOutRatio'</f>
        <v>#N/A</v>
      </c>
    </row>
    <row r="220" spans="2:10" s="7" customFormat="1" x14ac:dyDescent="0.25">
      <c r="B220" s="7" t="e" cm="1">
        <f t="array" ref="B220">[1]!'TX4N07C26400.TF-ID,Name,Price,TotalVolume,InOutRatio'</f>
        <v>#N/A</v>
      </c>
      <c r="G220" s="87">
        <f t="shared" si="6"/>
        <v>0</v>
      </c>
      <c r="H220" s="87">
        <v>26400</v>
      </c>
      <c r="I220" s="87">
        <f t="shared" si="7"/>
        <v>0</v>
      </c>
      <c r="J220" s="7" t="e" cm="1">
        <f t="array" ref="J220">[1]!'TX4N07P26400.TF-ID,Name,Price,TotalVolume,InOutRatio'</f>
        <v>#N/A</v>
      </c>
    </row>
    <row r="221" spans="2:10" s="7" customFormat="1" x14ac:dyDescent="0.25">
      <c r="B221" s="7" t="e" cm="1">
        <f t="array" ref="B221">[1]!'TX4N07C26450.TF-ID,Name,Price,TotalVolume,InOutRatio'</f>
        <v>#N/A</v>
      </c>
      <c r="G221" s="87">
        <f t="shared" si="6"/>
        <v>0</v>
      </c>
      <c r="H221" s="87">
        <v>26450</v>
      </c>
      <c r="I221" s="87">
        <f t="shared" si="7"/>
        <v>0</v>
      </c>
      <c r="J221" s="7" t="e" cm="1">
        <f t="array" ref="J221">[1]!'TX4N07P26450.TF-ID,Name,Price,TotalVolume,InOutRatio'</f>
        <v>#N/A</v>
      </c>
    </row>
    <row r="222" spans="2:10" s="7" customFormat="1" x14ac:dyDescent="0.25">
      <c r="B222" s="7" t="e" cm="1">
        <f t="array" ref="B222">[1]!'TX4N07C26500.TF-ID,Name,Price,TotalVolume,InOutRatio'</f>
        <v>#N/A</v>
      </c>
      <c r="G222" s="87">
        <f t="shared" si="6"/>
        <v>0</v>
      </c>
      <c r="H222" s="87">
        <v>26500</v>
      </c>
      <c r="I222" s="87">
        <f t="shared" si="7"/>
        <v>0</v>
      </c>
      <c r="J222" s="7" t="e" cm="1">
        <f t="array" ref="J222">[1]!'TX4N07P26500.TF-ID,Name,Price,TotalVolume,InOutRatio'</f>
        <v>#N/A</v>
      </c>
    </row>
    <row r="223" spans="2:10" s="7" customFormat="1" x14ac:dyDescent="0.25">
      <c r="B223" s="7" t="e" cm="1">
        <f t="array" ref="B223">[1]!'TX4N07C26550.TF-ID,Name,Price,TotalVolume,InOutRatio'</f>
        <v>#N/A</v>
      </c>
      <c r="G223" s="87">
        <f t="shared" si="6"/>
        <v>0</v>
      </c>
      <c r="H223" s="87">
        <v>26550</v>
      </c>
      <c r="I223" s="87">
        <f t="shared" si="7"/>
        <v>0</v>
      </c>
      <c r="J223" s="7" t="e" cm="1">
        <f t="array" ref="J223">[1]!'TX4N07P26550.TF-ID,Name,Price,TotalVolume,InOutRatio'</f>
        <v>#N/A</v>
      </c>
    </row>
    <row r="224" spans="2:10" s="7" customFormat="1" x14ac:dyDescent="0.25">
      <c r="B224" s="7" t="e" cm="1">
        <f t="array" ref="B224">[1]!'TX4N07C26600.TF-ID,Name,Price,TotalVolume,InOutRatio'</f>
        <v>#N/A</v>
      </c>
      <c r="G224" s="87">
        <f t="shared" si="6"/>
        <v>0</v>
      </c>
      <c r="H224" s="87">
        <v>26600</v>
      </c>
      <c r="I224" s="87">
        <f t="shared" si="7"/>
        <v>0</v>
      </c>
      <c r="J224" s="7" t="e" cm="1">
        <f t="array" ref="J224">[1]!'TX4N07P26600.TF-ID,Name,Price,TotalVolume,InOutRatio'</f>
        <v>#N/A</v>
      </c>
    </row>
    <row r="225" spans="2:10" s="7" customFormat="1" x14ac:dyDescent="0.25">
      <c r="B225" s="7" t="e" cm="1">
        <f t="array" ref="B225">[1]!'TX4N07C26650.TF-ID,Name,Price,TotalVolume,InOutRatio'</f>
        <v>#N/A</v>
      </c>
      <c r="G225" s="87">
        <f t="shared" si="6"/>
        <v>0</v>
      </c>
      <c r="H225" s="87">
        <v>26650</v>
      </c>
      <c r="I225" s="87">
        <f t="shared" si="7"/>
        <v>0</v>
      </c>
      <c r="J225" s="7" t="e" cm="1">
        <f t="array" ref="J225">[1]!'TX4N07P26650.TF-ID,Name,Price,TotalVolume,InOutRatio'</f>
        <v>#N/A</v>
      </c>
    </row>
    <row r="226" spans="2:10" s="7" customFormat="1" x14ac:dyDescent="0.25">
      <c r="B226" s="7" t="e" cm="1">
        <f t="array" ref="B226">[1]!'TX4N07C26700.TF-ID,Name,Price,TotalVolume,InOutRatio'</f>
        <v>#N/A</v>
      </c>
      <c r="G226" s="87">
        <f t="shared" si="6"/>
        <v>0</v>
      </c>
      <c r="H226" s="87">
        <v>26700</v>
      </c>
      <c r="I226" s="87">
        <f t="shared" si="7"/>
        <v>0</v>
      </c>
      <c r="J226" s="7" t="e" cm="1">
        <f t="array" ref="J226">[1]!'TX4N07P26700.TF-ID,Name,Price,TotalVolume,InOutRatio'</f>
        <v>#N/A</v>
      </c>
    </row>
    <row r="227" spans="2:10" s="7" customFormat="1" x14ac:dyDescent="0.25">
      <c r="B227" s="7" t="e" cm="1">
        <f t="array" ref="B227">[1]!'TX4N07C26750.TF-ID,Name,Price,TotalVolume,InOutRatio'</f>
        <v>#N/A</v>
      </c>
      <c r="G227" s="87">
        <f t="shared" si="6"/>
        <v>0</v>
      </c>
      <c r="H227" s="87">
        <v>26750</v>
      </c>
      <c r="I227" s="87">
        <f t="shared" si="7"/>
        <v>0</v>
      </c>
      <c r="J227" s="7" t="e" cm="1">
        <f t="array" ref="J227">[1]!'TX4N07P26750.TF-ID,Name,Price,TotalVolume,InOutRatio'</f>
        <v>#N/A</v>
      </c>
    </row>
    <row r="228" spans="2:10" s="7" customFormat="1" x14ac:dyDescent="0.25">
      <c r="B228" s="7" t="e" cm="1">
        <f t="array" ref="B228">[1]!'TX4N07C26800.TF-ID,Name,Price,TotalVolume,InOutRatio'</f>
        <v>#N/A</v>
      </c>
      <c r="G228" s="87">
        <f t="shared" si="6"/>
        <v>0</v>
      </c>
      <c r="H228" s="87">
        <v>26800</v>
      </c>
      <c r="I228" s="87">
        <f t="shared" si="7"/>
        <v>0</v>
      </c>
      <c r="J228" s="7" t="e" cm="1">
        <f t="array" ref="J228">[1]!'TX4N07P26800.TF-ID,Name,Price,TotalVolume,InOutRatio'</f>
        <v>#N/A</v>
      </c>
    </row>
    <row r="229" spans="2:10" s="7" customFormat="1" x14ac:dyDescent="0.25">
      <c r="B229" s="7" t="e" cm="1">
        <f t="array" ref="B229">[1]!'TX4N07C26850.TF-ID,Name,Price,TotalVolume,InOutRatio'</f>
        <v>#N/A</v>
      </c>
      <c r="G229" s="87">
        <f t="shared" si="6"/>
        <v>0</v>
      </c>
      <c r="H229" s="87">
        <v>26850</v>
      </c>
      <c r="I229" s="87">
        <f t="shared" si="7"/>
        <v>0</v>
      </c>
      <c r="J229" s="7" t="e" cm="1">
        <f t="array" ref="J229">[1]!'TX4N07P26850.TF-ID,Name,Price,TotalVolume,InOutRatio'</f>
        <v>#N/A</v>
      </c>
    </row>
    <row r="230" spans="2:10" s="7" customFormat="1" x14ac:dyDescent="0.25">
      <c r="B230" s="7" t="e" cm="1">
        <f t="array" ref="B230">[1]!'TX4N07C26900.TF-ID,Name,Price,TotalVolume,InOutRatio'</f>
        <v>#N/A</v>
      </c>
      <c r="G230" s="87">
        <f t="shared" si="6"/>
        <v>0</v>
      </c>
      <c r="H230" s="87">
        <v>26900</v>
      </c>
      <c r="I230" s="87">
        <f t="shared" si="7"/>
        <v>0</v>
      </c>
      <c r="J230" s="7" t="e" cm="1">
        <f t="array" ref="J230">[1]!'TX4N07P26900.TF-ID,Name,Price,TotalVolume,InOutRatio'</f>
        <v>#N/A</v>
      </c>
    </row>
    <row r="231" spans="2:10" s="7" customFormat="1" x14ac:dyDescent="0.25">
      <c r="B231" s="7" t="e" cm="1">
        <f t="array" ref="B231">[1]!'TX4N07C26950.TF-ID,Name,Price,TotalVolume,InOutRatio'</f>
        <v>#N/A</v>
      </c>
      <c r="G231" s="87">
        <f t="shared" si="6"/>
        <v>0</v>
      </c>
      <c r="H231" s="87">
        <v>26950</v>
      </c>
      <c r="I231" s="87">
        <f t="shared" si="7"/>
        <v>0</v>
      </c>
      <c r="J231" s="7" t="e" cm="1">
        <f t="array" ref="J231">[1]!'TX4N07P26950.TF-ID,Name,Price,TotalVolume,InOutRatio'</f>
        <v>#N/A</v>
      </c>
    </row>
    <row r="232" spans="2:10" s="7" customFormat="1" x14ac:dyDescent="0.25">
      <c r="B232" s="7" t="e" cm="1">
        <f t="array" ref="B232">[1]!'TX4N07C27000.TF-ID,Name,Price,TotalVolume,InOutRatio'</f>
        <v>#N/A</v>
      </c>
      <c r="G232" s="87">
        <f t="shared" si="6"/>
        <v>0</v>
      </c>
      <c r="H232" s="87">
        <v>27000</v>
      </c>
      <c r="I232" s="87">
        <f t="shared" si="7"/>
        <v>0</v>
      </c>
      <c r="J232" s="7" t="e" cm="1">
        <f t="array" ref="J232">[1]!'TX4N07P27000.TF-ID,Name,Price,TotalVolume,InOutRatio'</f>
        <v>#N/A</v>
      </c>
    </row>
    <row r="233" spans="2:10" s="7" customFormat="1" x14ac:dyDescent="0.25">
      <c r="B233" s="7" t="e" cm="1">
        <f t="array" ref="B233">[1]!'TX4N07C27050.TF-ID,Name,Price,TotalVolume,InOutRatio'</f>
        <v>#N/A</v>
      </c>
      <c r="G233" s="87">
        <f t="shared" si="6"/>
        <v>0</v>
      </c>
      <c r="H233" s="87">
        <v>27050</v>
      </c>
      <c r="I233" s="87">
        <f t="shared" si="7"/>
        <v>0</v>
      </c>
      <c r="J233" s="7" t="e" cm="1">
        <f t="array" ref="J233">[1]!'TX4N07P27050.TF-ID,Name,Price,TotalVolume,InOutRatio'</f>
        <v>#N/A</v>
      </c>
    </row>
    <row r="234" spans="2:10" s="7" customFormat="1" x14ac:dyDescent="0.25">
      <c r="B234" s="7" t="e" cm="1">
        <f t="array" ref="B234">[1]!'TX4N07C27100.TF-ID,Name,Price,TotalVolume,InOutRatio'</f>
        <v>#N/A</v>
      </c>
      <c r="G234" s="87">
        <f t="shared" si="6"/>
        <v>0</v>
      </c>
      <c r="H234" s="87">
        <v>27100</v>
      </c>
      <c r="I234" s="87">
        <f t="shared" si="7"/>
        <v>0</v>
      </c>
      <c r="J234" s="7" t="e" cm="1">
        <f t="array" ref="J234">[1]!'TX4N07P27100.TF-ID,Name,Price,TotalVolume,InOutRatio'</f>
        <v>#N/A</v>
      </c>
    </row>
    <row r="235" spans="2:10" s="7" customFormat="1" x14ac:dyDescent="0.25">
      <c r="B235" s="7" t="e" cm="1">
        <f t="array" ref="B235">[1]!'TX4N07C27150.TF-ID,Name,Price,TotalVolume,InOutRatio'</f>
        <v>#N/A</v>
      </c>
      <c r="G235" s="87">
        <f t="shared" si="6"/>
        <v>0</v>
      </c>
      <c r="H235" s="87">
        <v>27150</v>
      </c>
      <c r="I235" s="87">
        <f t="shared" si="7"/>
        <v>0</v>
      </c>
      <c r="J235" s="7" t="e" cm="1">
        <f t="array" ref="J235">[1]!'TX4N07P27150.TF-ID,Name,Price,TotalVolume,InOutRatio'</f>
        <v>#N/A</v>
      </c>
    </row>
    <row r="236" spans="2:10" s="7" customFormat="1" x14ac:dyDescent="0.25">
      <c r="B236" s="7" t="e" cm="1">
        <f t="array" ref="B236">[1]!'TX4N07C27200.TF-ID,Name,Price,TotalVolume,InOutRatio'</f>
        <v>#N/A</v>
      </c>
      <c r="G236" s="87">
        <f t="shared" si="6"/>
        <v>0</v>
      </c>
      <c r="H236" s="87">
        <v>27200</v>
      </c>
      <c r="I236" s="87">
        <f t="shared" si="7"/>
        <v>0</v>
      </c>
      <c r="J236" s="7" t="e" cm="1">
        <f t="array" ref="J236">[1]!'TX4N07P27200.TF-ID,Name,Price,TotalVolume,InOutRatio'</f>
        <v>#N/A</v>
      </c>
    </row>
    <row r="237" spans="2:10" s="7" customFormat="1" x14ac:dyDescent="0.25">
      <c r="B237" s="7" t="e" cm="1">
        <f t="array" ref="B237">[1]!'TX4N07C27250.TF-ID,Name,Price,TotalVolume,InOutRatio'</f>
        <v>#N/A</v>
      </c>
      <c r="G237" s="87">
        <f t="shared" si="6"/>
        <v>0</v>
      </c>
      <c r="H237" s="87">
        <v>27250</v>
      </c>
      <c r="I237" s="87">
        <f t="shared" si="7"/>
        <v>0</v>
      </c>
      <c r="J237" s="7" t="e" cm="1">
        <f t="array" ref="J237">[1]!'TX4N07P27250.TF-ID,Name,Price,TotalVolume,InOutRatio'</f>
        <v>#N/A</v>
      </c>
    </row>
    <row r="238" spans="2:10" s="7" customFormat="1" x14ac:dyDescent="0.25">
      <c r="B238" s="7" t="e" cm="1">
        <f t="array" ref="B238">[1]!'TX4N07C27300.TF-ID,Name,Price,TotalVolume,InOutRatio'</f>
        <v>#N/A</v>
      </c>
      <c r="G238" s="87">
        <f t="shared" si="6"/>
        <v>0</v>
      </c>
      <c r="H238" s="87">
        <v>27300</v>
      </c>
      <c r="I238" s="87">
        <f t="shared" si="7"/>
        <v>0</v>
      </c>
      <c r="J238" s="7" t="e" cm="1">
        <f t="array" ref="J238">[1]!'TX4N07P27300.TF-ID,Name,Price,TotalVolume,InOutRatio'</f>
        <v>#N/A</v>
      </c>
    </row>
    <row r="239" spans="2:10" s="7" customFormat="1" x14ac:dyDescent="0.25">
      <c r="B239" s="7" t="e" cm="1">
        <f t="array" ref="B239">[1]!'TX4N07C27350.TF-ID,Name,Price,TotalVolume,InOutRatio'</f>
        <v>#N/A</v>
      </c>
      <c r="G239" s="87">
        <f t="shared" si="6"/>
        <v>0</v>
      </c>
      <c r="H239" s="87">
        <v>27350</v>
      </c>
      <c r="I239" s="87">
        <f t="shared" si="7"/>
        <v>0</v>
      </c>
      <c r="J239" s="7" t="e" cm="1">
        <f t="array" ref="J239">[1]!'TX4N07P27350.TF-ID,Name,Price,TotalVolume,InOutRatio'</f>
        <v>#N/A</v>
      </c>
    </row>
    <row r="240" spans="2:10" s="7" customFormat="1" x14ac:dyDescent="0.25">
      <c r="B240" s="7" t="e" cm="1">
        <f t="array" ref="B240">[1]!'TX4N07C27400.TF-ID,Name,Price,TotalVolume,InOutRatio'</f>
        <v>#N/A</v>
      </c>
      <c r="G240" s="87">
        <f t="shared" si="6"/>
        <v>0</v>
      </c>
      <c r="H240" s="87">
        <v>27400</v>
      </c>
      <c r="I240" s="87">
        <f t="shared" si="7"/>
        <v>0</v>
      </c>
      <c r="J240" s="7" t="e" cm="1">
        <f t="array" ref="J240">[1]!'TX4N07P27400.TF-ID,Name,Price,TotalVolume,InOutRatio'</f>
        <v>#N/A</v>
      </c>
    </row>
    <row r="241" spans="2:10" s="7" customFormat="1" x14ac:dyDescent="0.25">
      <c r="B241" s="7" t="e" cm="1">
        <f t="array" ref="B241">[1]!'TX4N07C27450.TF-ID,Name,Price,TotalVolume,InOutRatio'</f>
        <v>#N/A</v>
      </c>
      <c r="G241" s="87">
        <f t="shared" si="6"/>
        <v>0</v>
      </c>
      <c r="H241" s="87">
        <v>27450</v>
      </c>
      <c r="I241" s="87">
        <f t="shared" si="7"/>
        <v>0</v>
      </c>
      <c r="J241" s="7" t="e" cm="1">
        <f t="array" ref="J241">[1]!'TX4N07P27450.TF-ID,Name,Price,TotalVolume,InOutRatio'</f>
        <v>#N/A</v>
      </c>
    </row>
    <row r="242" spans="2:10" s="7" customFormat="1" x14ac:dyDescent="0.25">
      <c r="B242" s="7" t="e" cm="1">
        <f t="array" ref="B242">[1]!'TX4N07C27500.TF-ID,Name,Price,TotalVolume,InOutRatio'</f>
        <v>#N/A</v>
      </c>
      <c r="G242" s="87">
        <f t="shared" si="6"/>
        <v>0</v>
      </c>
      <c r="H242" s="87">
        <v>27500</v>
      </c>
      <c r="I242" s="87">
        <f t="shared" si="7"/>
        <v>0</v>
      </c>
      <c r="J242" s="7" t="e" cm="1">
        <f t="array" ref="J242">[1]!'TX4N07P27500.TF-ID,Name,Price,TotalVolume,InOutRatio'</f>
        <v>#N/A</v>
      </c>
    </row>
    <row r="243" spans="2:10" s="7" customFormat="1" x14ac:dyDescent="0.25">
      <c r="B243" s="7" t="e" cm="1">
        <f t="array" ref="B243">[1]!'TX4N07C27550.TF-ID,Name,Price,TotalVolume,InOutRatio'</f>
        <v>#N/A</v>
      </c>
      <c r="G243" s="87">
        <f t="shared" si="6"/>
        <v>0</v>
      </c>
      <c r="H243" s="87">
        <v>27550</v>
      </c>
      <c r="I243" s="87">
        <f t="shared" si="7"/>
        <v>0</v>
      </c>
      <c r="J243" s="7" t="e" cm="1">
        <f t="array" ref="J243">[1]!'TX4N07P27550.TF-ID,Name,Price,TotalVolume,InOutRatio'</f>
        <v>#N/A</v>
      </c>
    </row>
    <row r="244" spans="2:10" s="7" customFormat="1" x14ac:dyDescent="0.25">
      <c r="B244" s="7" t="e" cm="1">
        <f t="array" ref="B244">[1]!'TX4N07C27600.TF-ID,Name,Price,TotalVolume,InOutRatio'</f>
        <v>#N/A</v>
      </c>
      <c r="G244" s="87">
        <f t="shared" si="6"/>
        <v>0</v>
      </c>
      <c r="H244" s="87">
        <v>27600</v>
      </c>
      <c r="I244" s="87">
        <f t="shared" si="7"/>
        <v>0</v>
      </c>
      <c r="J244" s="7" t="e" cm="1">
        <f t="array" ref="J244">[1]!'TX4N07P27600.TF-ID,Name,Price,TotalVolume,InOutRatio'</f>
        <v>#N/A</v>
      </c>
    </row>
    <row r="245" spans="2:10" s="7" customFormat="1" x14ac:dyDescent="0.25">
      <c r="B245" s="7" t="e" cm="1">
        <f t="array" ref="B245">[1]!'TX4N07C27650.TF-ID,Name,Price,TotalVolume,InOutRatio'</f>
        <v>#N/A</v>
      </c>
      <c r="G245" s="87">
        <f t="shared" si="6"/>
        <v>0</v>
      </c>
      <c r="H245" s="87">
        <v>27650</v>
      </c>
      <c r="I245" s="87">
        <f t="shared" si="7"/>
        <v>0</v>
      </c>
      <c r="J245" s="7" t="e" cm="1">
        <f t="array" ref="J245">[1]!'TX4N07P27650.TF-ID,Name,Price,TotalVolume,InOutRatio'</f>
        <v>#N/A</v>
      </c>
    </row>
    <row r="246" spans="2:10" s="7" customFormat="1" x14ac:dyDescent="0.25">
      <c r="B246" s="7" t="e" cm="1">
        <f t="array" ref="B246">[1]!'TX4N07C27700.TF-ID,Name,Price,TotalVolume,InOutRatio'</f>
        <v>#N/A</v>
      </c>
      <c r="G246" s="87">
        <f t="shared" si="6"/>
        <v>0</v>
      </c>
      <c r="H246" s="87">
        <v>27700</v>
      </c>
      <c r="I246" s="87">
        <f t="shared" si="7"/>
        <v>0</v>
      </c>
      <c r="J246" s="7" t="e" cm="1">
        <f t="array" ref="J246">[1]!'TX4N07P27700.TF-ID,Name,Price,TotalVolume,InOutRatio'</f>
        <v>#N/A</v>
      </c>
    </row>
    <row r="247" spans="2:10" s="7" customFormat="1" x14ac:dyDescent="0.25">
      <c r="B247" s="7" t="e" cm="1">
        <f t="array" ref="B247">[1]!'TX4N07C27750.TF-ID,Name,Price,TotalVolume,InOutRatio'</f>
        <v>#N/A</v>
      </c>
      <c r="G247" s="87">
        <f t="shared" si="6"/>
        <v>0</v>
      </c>
      <c r="H247" s="87">
        <v>27750</v>
      </c>
      <c r="I247" s="87">
        <f t="shared" si="7"/>
        <v>0</v>
      </c>
      <c r="J247" s="7" t="e" cm="1">
        <f t="array" ref="J247">[1]!'TX4N07P27750.TF-ID,Name,Price,TotalVolume,InOutRatio'</f>
        <v>#N/A</v>
      </c>
    </row>
    <row r="248" spans="2:10" s="7" customFormat="1" x14ac:dyDescent="0.25">
      <c r="B248" s="7" t="e" cm="1">
        <f t="array" ref="B248">[1]!'TX4N07C27800.TF-ID,Name,Price,TotalVolume,InOutRatio'</f>
        <v>#N/A</v>
      </c>
      <c r="G248" s="87">
        <f t="shared" si="6"/>
        <v>0</v>
      </c>
      <c r="H248" s="87">
        <v>27800</v>
      </c>
      <c r="I248" s="87">
        <f t="shared" si="7"/>
        <v>0</v>
      </c>
      <c r="J248" s="7" t="e" cm="1">
        <f t="array" ref="J248">[1]!'TX4N07P27800.TF-ID,Name,Price,TotalVolume,InOutRatio'</f>
        <v>#N/A</v>
      </c>
    </row>
    <row r="249" spans="2:10" s="7" customFormat="1" x14ac:dyDescent="0.25">
      <c r="B249" s="7" t="e" cm="1">
        <f t="array" ref="B249">[1]!'TX4N07C27850.TF-ID,Name,Price,TotalVolume,InOutRatio'</f>
        <v>#N/A</v>
      </c>
      <c r="G249" s="87">
        <f t="shared" si="6"/>
        <v>0</v>
      </c>
      <c r="H249" s="87">
        <v>27850</v>
      </c>
      <c r="I249" s="87">
        <f t="shared" si="7"/>
        <v>0</v>
      </c>
      <c r="J249" s="7" t="e" cm="1">
        <f t="array" ref="J249">[1]!'TX4N07P27850.TF-ID,Name,Price,TotalVolume,InOutRatio'</f>
        <v>#N/A</v>
      </c>
    </row>
    <row r="250" spans="2:10" s="7" customFormat="1" x14ac:dyDescent="0.25">
      <c r="B250" s="7" t="e" cm="1">
        <f t="array" ref="B250">[1]!'TX4N07C27900.TF-ID,Name,Price,TotalVolume,InOutRatio'</f>
        <v>#N/A</v>
      </c>
      <c r="G250" s="87">
        <f t="shared" si="6"/>
        <v>0</v>
      </c>
      <c r="H250" s="87">
        <v>27900</v>
      </c>
      <c r="I250" s="87">
        <f t="shared" si="7"/>
        <v>0</v>
      </c>
      <c r="J250" s="7" t="e" cm="1">
        <f t="array" ref="J250">[1]!'TX4N07P27900.TF-ID,Name,Price,TotalVolume,InOutRatio'</f>
        <v>#N/A</v>
      </c>
    </row>
    <row r="251" spans="2:10" s="7" customFormat="1" x14ac:dyDescent="0.25">
      <c r="B251" s="7" t="e" cm="1">
        <f t="array" ref="B251">[1]!'TX4N07C27950.TF-ID,Name,Price,TotalVolume,InOutRatio'</f>
        <v>#N/A</v>
      </c>
      <c r="G251" s="87">
        <f t="shared" si="6"/>
        <v>0</v>
      </c>
      <c r="H251" s="87">
        <v>27950</v>
      </c>
      <c r="I251" s="87">
        <f t="shared" si="7"/>
        <v>0</v>
      </c>
      <c r="J251" s="7" t="e" cm="1">
        <f t="array" ref="J251">[1]!'TX4N07P27950.TF-ID,Name,Price,TotalVolume,InOutRatio'</f>
        <v>#N/A</v>
      </c>
    </row>
    <row r="252" spans="2:10" s="7" customFormat="1" x14ac:dyDescent="0.25">
      <c r="B252" s="7" t="e" cm="1">
        <f t="array" ref="B252">[1]!'TX4N07C28000.TF-ID,Name,Price,TotalVolume,InOutRatio'</f>
        <v>#N/A</v>
      </c>
      <c r="G252" s="87">
        <f t="shared" si="6"/>
        <v>0</v>
      </c>
      <c r="H252" s="87">
        <v>28000</v>
      </c>
      <c r="I252" s="87">
        <f t="shared" si="7"/>
        <v>0</v>
      </c>
      <c r="J252" s="7" t="e" cm="1">
        <f t="array" ref="J252">[1]!'TX4N07P28000.TF-ID,Name,Price,TotalVolume,InOutRatio'</f>
        <v>#N/A</v>
      </c>
    </row>
    <row r="253" spans="2:10" s="7" customFormat="1" x14ac:dyDescent="0.25">
      <c r="B253" s="7" t="e" cm="1">
        <f t="array" ref="B253">[1]!'TX4N07C28050.TF-ID,Name,Price,TotalVolume,InOutRatio'</f>
        <v>#N/A</v>
      </c>
      <c r="G253" s="87">
        <f t="shared" si="6"/>
        <v>0</v>
      </c>
      <c r="H253" s="87">
        <v>28050</v>
      </c>
      <c r="I253" s="87">
        <f t="shared" si="7"/>
        <v>0</v>
      </c>
      <c r="J253" s="7" t="e" cm="1">
        <f t="array" ref="J253">[1]!'TX4N07P28050.TF-ID,Name,Price,TotalVolume,InOutRatio'</f>
        <v>#N/A</v>
      </c>
    </row>
    <row r="254" spans="2:10" s="7" customFormat="1" x14ac:dyDescent="0.25">
      <c r="B254" s="7" t="e" cm="1">
        <f t="array" ref="B254">[1]!'TX4N07C28100.TF-ID,Name,Price,TotalVolume,InOutRatio'</f>
        <v>#N/A</v>
      </c>
      <c r="G254" s="87">
        <f t="shared" si="6"/>
        <v>0</v>
      </c>
      <c r="H254" s="87">
        <v>28100</v>
      </c>
      <c r="I254" s="87">
        <f t="shared" si="7"/>
        <v>0</v>
      </c>
      <c r="J254" s="7" t="e" cm="1">
        <f t="array" ref="J254">[1]!'TX4N07P28100.TF-ID,Name,Price,TotalVolume,InOutRatio'</f>
        <v>#N/A</v>
      </c>
    </row>
    <row r="255" spans="2:10" s="7" customFormat="1" x14ac:dyDescent="0.25">
      <c r="B255" s="7" t="e" cm="1">
        <f t="array" ref="B255">[1]!'TX4N07C28150.TF-ID,Name,Price,TotalVolume,InOutRatio'</f>
        <v>#N/A</v>
      </c>
      <c r="G255" s="87">
        <f t="shared" si="6"/>
        <v>0</v>
      </c>
      <c r="H255" s="87">
        <v>28150</v>
      </c>
      <c r="I255" s="87">
        <f t="shared" si="7"/>
        <v>0</v>
      </c>
      <c r="J255" s="7" t="e" cm="1">
        <f t="array" ref="J255">[1]!'TX4N07P28150.TF-ID,Name,Price,TotalVolume,InOutRatio'</f>
        <v>#N/A</v>
      </c>
    </row>
    <row r="256" spans="2:10" s="7" customFormat="1" x14ac:dyDescent="0.25">
      <c r="B256" s="7" t="e" cm="1">
        <f t="array" ref="B256">[1]!'TX4N07C28200.TF-ID,Name,Price,TotalVolume,InOutRatio'</f>
        <v>#N/A</v>
      </c>
      <c r="G256" s="87">
        <f t="shared" si="6"/>
        <v>0</v>
      </c>
      <c r="H256" s="87">
        <v>28200</v>
      </c>
      <c r="I256" s="87">
        <f t="shared" si="7"/>
        <v>0</v>
      </c>
      <c r="J256" s="7" t="e" cm="1">
        <f t="array" ref="J256">[1]!'TX4N07P28200.TF-ID,Name,Price,TotalVolume,InOutRatio'</f>
        <v>#N/A</v>
      </c>
    </row>
    <row r="257" spans="2:10" s="7" customFormat="1" x14ac:dyDescent="0.25">
      <c r="B257" s="7" t="e" cm="1">
        <f t="array" ref="B257">[1]!'TX4N07C28250.TF-ID,Name,Price,TotalVolume,InOutRatio'</f>
        <v>#N/A</v>
      </c>
      <c r="G257" s="87">
        <f t="shared" si="6"/>
        <v>0</v>
      </c>
      <c r="H257" s="87">
        <v>28250</v>
      </c>
      <c r="I257" s="87">
        <f t="shared" si="7"/>
        <v>0</v>
      </c>
      <c r="J257" s="7" t="e" cm="1">
        <f t="array" ref="J257">[1]!'TX4N07P28250.TF-ID,Name,Price,TotalVolume,InOutRatio'</f>
        <v>#N/A</v>
      </c>
    </row>
    <row r="258" spans="2:10" s="7" customFormat="1" x14ac:dyDescent="0.25">
      <c r="B258" s="7" t="e" cm="1">
        <f t="array" ref="B258">[1]!'TX4N07C28300.TF-ID,Name,Price,TotalVolume,InOutRatio'</f>
        <v>#N/A</v>
      </c>
      <c r="G258" s="87">
        <f t="shared" si="6"/>
        <v>0</v>
      </c>
      <c r="H258" s="87">
        <v>28300</v>
      </c>
      <c r="I258" s="87">
        <f t="shared" si="7"/>
        <v>0</v>
      </c>
      <c r="J258" s="7" t="e" cm="1">
        <f t="array" ref="J258">[1]!'TX4N07P28300.TF-ID,Name,Price,TotalVolume,InOutRatio'</f>
        <v>#N/A</v>
      </c>
    </row>
    <row r="259" spans="2:10" s="7" customFormat="1" x14ac:dyDescent="0.25">
      <c r="B259" s="7" t="e" cm="1">
        <f t="array" ref="B259">[1]!'TX4N07C28350.TF-ID,Name,Price,TotalVolume,InOutRatio'</f>
        <v>#N/A</v>
      </c>
      <c r="G259" s="87">
        <f t="shared" ref="G259:G292" si="8">+IFERROR((F259-50)/50*E259,0)</f>
        <v>0</v>
      </c>
      <c r="H259" s="87">
        <v>28350</v>
      </c>
      <c r="I259" s="87">
        <f t="shared" ref="I259:I292" si="9">+IFERROR((N259-50)/50*M259,0)</f>
        <v>0</v>
      </c>
      <c r="J259" s="7" t="e" cm="1">
        <f t="array" ref="J259">[1]!'TX4N07P28350.TF-ID,Name,Price,TotalVolume,InOutRatio'</f>
        <v>#N/A</v>
      </c>
    </row>
    <row r="260" spans="2:10" s="7" customFormat="1" x14ac:dyDescent="0.25">
      <c r="B260" s="7" t="e" cm="1">
        <f t="array" ref="B260">[1]!'TX4N07C28400.TF-ID,Name,Price,TotalVolume,InOutRatio'</f>
        <v>#N/A</v>
      </c>
      <c r="G260" s="87">
        <f t="shared" si="8"/>
        <v>0</v>
      </c>
      <c r="H260" s="87">
        <v>28400</v>
      </c>
      <c r="I260" s="87">
        <f t="shared" si="9"/>
        <v>0</v>
      </c>
      <c r="J260" s="7" t="e" cm="1">
        <f t="array" ref="J260">[1]!'TX4N07P28400.TF-ID,Name,Price,TotalVolume,InOutRatio'</f>
        <v>#N/A</v>
      </c>
    </row>
    <row r="261" spans="2:10" s="7" customFormat="1" x14ac:dyDescent="0.25">
      <c r="B261" s="7" t="e" cm="1">
        <f t="array" ref="B261">[1]!'TX4N07C28450.TF-ID,Name,Price,TotalVolume,InOutRatio'</f>
        <v>#N/A</v>
      </c>
      <c r="G261" s="87">
        <f t="shared" si="8"/>
        <v>0</v>
      </c>
      <c r="H261" s="87">
        <v>28450</v>
      </c>
      <c r="I261" s="87">
        <f t="shared" si="9"/>
        <v>0</v>
      </c>
      <c r="J261" s="7" t="e" cm="1">
        <f t="array" ref="J261">[1]!'TX4N07P28450.TF-ID,Name,Price,TotalVolume,InOutRatio'</f>
        <v>#N/A</v>
      </c>
    </row>
    <row r="262" spans="2:10" s="7" customFormat="1" x14ac:dyDescent="0.25">
      <c r="B262" s="7" t="e" cm="1">
        <f t="array" ref="B262">[1]!'TX4N07C28500.TF-ID,Name,Price,TotalVolume,InOutRatio'</f>
        <v>#N/A</v>
      </c>
      <c r="G262" s="87">
        <f t="shared" si="8"/>
        <v>0</v>
      </c>
      <c r="H262" s="87">
        <v>28500</v>
      </c>
      <c r="I262" s="87">
        <f t="shared" si="9"/>
        <v>0</v>
      </c>
      <c r="J262" s="7" t="e" cm="1">
        <f t="array" ref="J262">[1]!'TX4N07P28500.TF-ID,Name,Price,TotalVolume,InOutRatio'</f>
        <v>#N/A</v>
      </c>
    </row>
    <row r="263" spans="2:10" s="7" customFormat="1" x14ac:dyDescent="0.25">
      <c r="B263" s="7" t="e" cm="1">
        <f t="array" ref="B263">[1]!'TX4N07C28550.TF-ID,Name,Price,TotalVolume,InOutRatio'</f>
        <v>#N/A</v>
      </c>
      <c r="G263" s="87">
        <f t="shared" si="8"/>
        <v>0</v>
      </c>
      <c r="H263" s="87">
        <v>28550</v>
      </c>
      <c r="I263" s="87">
        <f t="shared" si="9"/>
        <v>0</v>
      </c>
      <c r="J263" s="7" t="e" cm="1">
        <f t="array" ref="J263">[1]!'TX4N07P28550.TF-ID,Name,Price,TotalVolume,InOutRatio'</f>
        <v>#N/A</v>
      </c>
    </row>
    <row r="264" spans="2:10" s="7" customFormat="1" x14ac:dyDescent="0.25">
      <c r="B264" s="7" t="e" cm="1">
        <f t="array" ref="B264">[1]!'TX4N07C28600.TF-ID,Name,Price,TotalVolume,InOutRatio'</f>
        <v>#N/A</v>
      </c>
      <c r="G264" s="87">
        <f t="shared" si="8"/>
        <v>0</v>
      </c>
      <c r="H264" s="87">
        <v>28600</v>
      </c>
      <c r="I264" s="87">
        <f t="shared" si="9"/>
        <v>0</v>
      </c>
      <c r="J264" s="7" t="e" cm="1">
        <f t="array" ref="J264">[1]!'TX4N07P28600.TF-ID,Name,Price,TotalVolume,InOutRatio'</f>
        <v>#N/A</v>
      </c>
    </row>
    <row r="265" spans="2:10" s="7" customFormat="1" x14ac:dyDescent="0.25">
      <c r="B265" s="7" t="e" cm="1">
        <f t="array" ref="B265">[1]!'TX4N07C28650.TF-ID,Name,Price,TotalVolume,InOutRatio'</f>
        <v>#N/A</v>
      </c>
      <c r="G265" s="87">
        <f t="shared" si="8"/>
        <v>0</v>
      </c>
      <c r="H265" s="87">
        <v>28650</v>
      </c>
      <c r="I265" s="87">
        <f t="shared" si="9"/>
        <v>0</v>
      </c>
      <c r="J265" s="7" t="e" cm="1">
        <f t="array" ref="J265">[1]!'TX4N07P28650.TF-ID,Name,Price,TotalVolume,InOutRatio'</f>
        <v>#N/A</v>
      </c>
    </row>
    <row r="266" spans="2:10" s="7" customFormat="1" x14ac:dyDescent="0.25">
      <c r="B266" s="7" t="e" cm="1">
        <f t="array" ref="B266">[1]!'TX4N07C28700.TF-ID,Name,Price,TotalVolume,InOutRatio'</f>
        <v>#N/A</v>
      </c>
      <c r="G266" s="87">
        <f t="shared" si="8"/>
        <v>0</v>
      </c>
      <c r="H266" s="87">
        <v>28700</v>
      </c>
      <c r="I266" s="87">
        <f t="shared" si="9"/>
        <v>0</v>
      </c>
      <c r="J266" s="7" t="e" cm="1">
        <f t="array" ref="J266">[1]!'TX4N07P28700.TF-ID,Name,Price,TotalVolume,InOutRatio'</f>
        <v>#N/A</v>
      </c>
    </row>
    <row r="267" spans="2:10" s="7" customFormat="1" x14ac:dyDescent="0.25">
      <c r="B267" s="7" t="e" cm="1">
        <f t="array" ref="B267">[1]!'TX4N07C28750.TF-ID,Name,Price,TotalVolume,InOutRatio'</f>
        <v>#N/A</v>
      </c>
      <c r="G267" s="87">
        <f t="shared" si="8"/>
        <v>0</v>
      </c>
      <c r="H267" s="87">
        <v>28750</v>
      </c>
      <c r="I267" s="87">
        <f t="shared" si="9"/>
        <v>0</v>
      </c>
      <c r="J267" s="7" t="e" cm="1">
        <f t="array" ref="J267">[1]!'TX4N07P28750.TF-ID,Name,Price,TotalVolume,InOutRatio'</f>
        <v>#N/A</v>
      </c>
    </row>
    <row r="268" spans="2:10" s="7" customFormat="1" x14ac:dyDescent="0.25">
      <c r="B268" s="7" t="e" cm="1">
        <f t="array" ref="B268">[1]!'TX4N07C28800.TF-ID,Name,Price,TotalVolume,InOutRatio'</f>
        <v>#N/A</v>
      </c>
      <c r="G268" s="87">
        <f t="shared" si="8"/>
        <v>0</v>
      </c>
      <c r="H268" s="87">
        <v>28800</v>
      </c>
      <c r="I268" s="87">
        <f t="shared" si="9"/>
        <v>0</v>
      </c>
      <c r="J268" s="7" t="e" cm="1">
        <f t="array" ref="J268">[1]!'TX4N07P28800.TF-ID,Name,Price,TotalVolume,InOutRatio'</f>
        <v>#N/A</v>
      </c>
    </row>
    <row r="269" spans="2:10" s="7" customFormat="1" x14ac:dyDescent="0.25">
      <c r="B269" s="7" t="e" cm="1">
        <f t="array" ref="B269">[1]!'TX4N07C28850.TF-ID,Name,Price,TotalVolume,InOutRatio'</f>
        <v>#N/A</v>
      </c>
      <c r="G269" s="87">
        <f t="shared" si="8"/>
        <v>0</v>
      </c>
      <c r="H269" s="87">
        <v>28850</v>
      </c>
      <c r="I269" s="87">
        <f t="shared" si="9"/>
        <v>0</v>
      </c>
      <c r="J269" s="7" t="e" cm="1">
        <f t="array" ref="J269">[1]!'TX4N07P28850.TF-ID,Name,Price,TotalVolume,InOutRatio'</f>
        <v>#N/A</v>
      </c>
    </row>
    <row r="270" spans="2:10" s="7" customFormat="1" x14ac:dyDescent="0.25">
      <c r="B270" s="7" t="e" cm="1">
        <f t="array" ref="B270">[1]!'TX4N07C28900.TF-ID,Name,Price,TotalVolume,InOutRatio'</f>
        <v>#N/A</v>
      </c>
      <c r="G270" s="87">
        <f t="shared" si="8"/>
        <v>0</v>
      </c>
      <c r="H270" s="87">
        <v>28900</v>
      </c>
      <c r="I270" s="87">
        <f t="shared" si="9"/>
        <v>0</v>
      </c>
      <c r="J270" s="7" t="e" cm="1">
        <f t="array" ref="J270">[1]!'TX4N07P28900.TF-ID,Name,Price,TotalVolume,InOutRatio'</f>
        <v>#N/A</v>
      </c>
    </row>
    <row r="271" spans="2:10" s="7" customFormat="1" x14ac:dyDescent="0.25">
      <c r="B271" s="7" t="e" cm="1">
        <f t="array" ref="B271">[1]!'TX4N07C28950.TF-ID,Name,Price,TotalVolume,InOutRatio'</f>
        <v>#N/A</v>
      </c>
      <c r="G271" s="87">
        <f t="shared" si="8"/>
        <v>0</v>
      </c>
      <c r="H271" s="87">
        <v>28950</v>
      </c>
      <c r="I271" s="87">
        <f t="shared" si="9"/>
        <v>0</v>
      </c>
      <c r="J271" s="7" t="e" cm="1">
        <f t="array" ref="J271">[1]!'TX4N07P28950.TF-ID,Name,Price,TotalVolume,InOutRatio'</f>
        <v>#N/A</v>
      </c>
    </row>
    <row r="272" spans="2:10" s="7" customFormat="1" x14ac:dyDescent="0.25">
      <c r="B272" s="7" t="e" cm="1">
        <f t="array" ref="B272">[1]!'TX4N07C29000.TF-ID,Name,Price,TotalVolume,InOutRatio'</f>
        <v>#N/A</v>
      </c>
      <c r="G272" s="87">
        <f t="shared" si="8"/>
        <v>0</v>
      </c>
      <c r="H272" s="87">
        <v>29000</v>
      </c>
      <c r="I272" s="87">
        <f t="shared" si="9"/>
        <v>0</v>
      </c>
      <c r="J272" s="7" t="e" cm="1">
        <f t="array" ref="J272">[1]!'TX4N07P29000.TF-ID,Name,Price,TotalVolume,InOutRatio'</f>
        <v>#N/A</v>
      </c>
    </row>
    <row r="273" spans="2:10" s="7" customFormat="1" x14ac:dyDescent="0.25">
      <c r="B273" s="7" t="e" cm="1">
        <f t="array" ref="B273">[1]!'TX4N07C29050.TF-ID,Name,Price,TotalVolume,InOutRatio'</f>
        <v>#N/A</v>
      </c>
      <c r="G273" s="87">
        <f t="shared" si="8"/>
        <v>0</v>
      </c>
      <c r="H273" s="87">
        <v>29050</v>
      </c>
      <c r="I273" s="87">
        <f t="shared" si="9"/>
        <v>0</v>
      </c>
      <c r="J273" s="7" t="e" cm="1">
        <f t="array" ref="J273">[1]!'TX4N07P29050.TF-ID,Name,Price,TotalVolume,InOutRatio'</f>
        <v>#N/A</v>
      </c>
    </row>
    <row r="274" spans="2:10" s="7" customFormat="1" x14ac:dyDescent="0.25">
      <c r="B274" s="7" t="e" cm="1">
        <f t="array" ref="B274">[1]!'TX4N07C29100.TF-ID,Name,Price,TotalVolume,InOutRatio'</f>
        <v>#N/A</v>
      </c>
      <c r="G274" s="87">
        <f t="shared" si="8"/>
        <v>0</v>
      </c>
      <c r="H274" s="87">
        <v>29100</v>
      </c>
      <c r="I274" s="87">
        <f t="shared" si="9"/>
        <v>0</v>
      </c>
      <c r="J274" s="7" t="e" cm="1">
        <f t="array" ref="J274">[1]!'TX4N07P29100.TF-ID,Name,Price,TotalVolume,InOutRatio'</f>
        <v>#N/A</v>
      </c>
    </row>
    <row r="275" spans="2:10" s="7" customFormat="1" x14ac:dyDescent="0.25">
      <c r="B275" s="7" t="e" cm="1">
        <f t="array" ref="B275">[1]!'TX4N07C29150.TF-ID,Name,Price,TotalVolume,InOutRatio'</f>
        <v>#N/A</v>
      </c>
      <c r="G275" s="87">
        <f t="shared" si="8"/>
        <v>0</v>
      </c>
      <c r="H275" s="87">
        <v>29150</v>
      </c>
      <c r="I275" s="87">
        <f t="shared" si="9"/>
        <v>0</v>
      </c>
      <c r="J275" s="7" t="e" cm="1">
        <f t="array" ref="J275">[1]!'TX4N07P29150.TF-ID,Name,Price,TotalVolume,InOutRatio'</f>
        <v>#N/A</v>
      </c>
    </row>
    <row r="276" spans="2:10" s="7" customFormat="1" x14ac:dyDescent="0.25">
      <c r="B276" s="7" t="e" cm="1">
        <f t="array" ref="B276">[1]!'TX4N07C29200.TF-ID,Name,Price,TotalVolume,InOutRatio'</f>
        <v>#N/A</v>
      </c>
      <c r="G276" s="87">
        <f t="shared" si="8"/>
        <v>0</v>
      </c>
      <c r="H276" s="87">
        <v>29200</v>
      </c>
      <c r="I276" s="87">
        <f t="shared" si="9"/>
        <v>0</v>
      </c>
      <c r="J276" s="7" t="e" cm="1">
        <f t="array" ref="J276">[1]!'TX4N07P29200.TF-ID,Name,Price,TotalVolume,InOutRatio'</f>
        <v>#N/A</v>
      </c>
    </row>
    <row r="277" spans="2:10" s="7" customFormat="1" x14ac:dyDescent="0.25">
      <c r="B277" s="7" t="e" cm="1">
        <f t="array" ref="B277">[1]!'TX4N07C29250.TF-ID,Name,Price,TotalVolume,InOutRatio'</f>
        <v>#N/A</v>
      </c>
      <c r="G277" s="87">
        <f t="shared" si="8"/>
        <v>0</v>
      </c>
      <c r="H277" s="87">
        <v>29250</v>
      </c>
      <c r="I277" s="87">
        <f t="shared" si="9"/>
        <v>0</v>
      </c>
      <c r="J277" s="7" t="e" cm="1">
        <f t="array" ref="J277">[1]!'TX4N07P29250.TF-ID,Name,Price,TotalVolume,InOutRatio'</f>
        <v>#N/A</v>
      </c>
    </row>
    <row r="278" spans="2:10" s="7" customFormat="1" x14ac:dyDescent="0.25">
      <c r="B278" s="7" t="e" cm="1">
        <f t="array" ref="B278">[1]!'TX4N07C29300.TF-ID,Name,Price,TotalVolume,InOutRatio'</f>
        <v>#N/A</v>
      </c>
      <c r="G278" s="87">
        <f t="shared" si="8"/>
        <v>0</v>
      </c>
      <c r="H278" s="87">
        <v>29300</v>
      </c>
      <c r="I278" s="87">
        <f t="shared" si="9"/>
        <v>0</v>
      </c>
      <c r="J278" s="7" t="e" cm="1">
        <f t="array" ref="J278">[1]!'TX4N07P29300.TF-ID,Name,Price,TotalVolume,InOutRatio'</f>
        <v>#N/A</v>
      </c>
    </row>
    <row r="279" spans="2:10" s="7" customFormat="1" x14ac:dyDescent="0.25">
      <c r="B279" s="7" t="e" cm="1">
        <f t="array" ref="B279">[1]!'TX4N07C29350.TF-ID,Name,Price,TotalVolume,InOutRatio'</f>
        <v>#N/A</v>
      </c>
      <c r="G279" s="87">
        <f t="shared" si="8"/>
        <v>0</v>
      </c>
      <c r="H279" s="87">
        <v>29350</v>
      </c>
      <c r="I279" s="87">
        <f t="shared" si="9"/>
        <v>0</v>
      </c>
      <c r="J279" s="7" t="e" cm="1">
        <f t="array" ref="J279">[1]!'TX4N07P29350.TF-ID,Name,Price,TotalVolume,InOutRatio'</f>
        <v>#N/A</v>
      </c>
    </row>
    <row r="280" spans="2:10" s="7" customFormat="1" x14ac:dyDescent="0.25">
      <c r="B280" s="7" t="e" cm="1">
        <f t="array" ref="B280">[1]!'TX4N07C29400.TF-ID,Name,Price,TotalVolume,InOutRatio'</f>
        <v>#N/A</v>
      </c>
      <c r="G280" s="87">
        <f t="shared" si="8"/>
        <v>0</v>
      </c>
      <c r="H280" s="87">
        <v>29400</v>
      </c>
      <c r="I280" s="87">
        <f t="shared" si="9"/>
        <v>0</v>
      </c>
      <c r="J280" s="7" t="e" cm="1">
        <f t="array" ref="J280">[1]!'TX4N07P29400.TF-ID,Name,Price,TotalVolume,InOutRatio'</f>
        <v>#N/A</v>
      </c>
    </row>
    <row r="281" spans="2:10" s="7" customFormat="1" x14ac:dyDescent="0.25">
      <c r="B281" s="7" t="e" cm="1">
        <f t="array" ref="B281">[1]!'TX4N07C29450.TF-ID,Name,Price,TotalVolume,InOutRatio'</f>
        <v>#N/A</v>
      </c>
      <c r="G281" s="87">
        <f t="shared" si="8"/>
        <v>0</v>
      </c>
      <c r="H281" s="87">
        <v>29450</v>
      </c>
      <c r="I281" s="87">
        <f t="shared" si="9"/>
        <v>0</v>
      </c>
      <c r="J281" s="7" t="e" cm="1">
        <f t="array" ref="J281">[1]!'TX4N07P29450.TF-ID,Name,Price,TotalVolume,InOutRatio'</f>
        <v>#N/A</v>
      </c>
    </row>
    <row r="282" spans="2:10" s="7" customFormat="1" x14ac:dyDescent="0.25">
      <c r="B282" s="7" t="e" cm="1">
        <f t="array" ref="B282">[1]!'TX4N07C29500.TF-ID,Name,Price,TotalVolume,InOutRatio'</f>
        <v>#N/A</v>
      </c>
      <c r="G282" s="87">
        <f t="shared" si="8"/>
        <v>0</v>
      </c>
      <c r="H282" s="87">
        <v>29500</v>
      </c>
      <c r="I282" s="87">
        <f t="shared" si="9"/>
        <v>0</v>
      </c>
      <c r="J282" s="7" t="e" cm="1">
        <f t="array" ref="J282">[1]!'TX4N07P29500.TF-ID,Name,Price,TotalVolume,InOutRatio'</f>
        <v>#N/A</v>
      </c>
    </row>
    <row r="283" spans="2:10" s="7" customFormat="1" x14ac:dyDescent="0.25">
      <c r="B283" s="7" t="e" cm="1">
        <f t="array" ref="B283">[1]!'TX4N07C29550.TF-ID,Name,Price,TotalVolume,InOutRatio'</f>
        <v>#N/A</v>
      </c>
      <c r="G283" s="87">
        <f t="shared" si="8"/>
        <v>0</v>
      </c>
      <c r="H283" s="87">
        <v>29550</v>
      </c>
      <c r="I283" s="87">
        <f t="shared" si="9"/>
        <v>0</v>
      </c>
      <c r="J283" s="7" t="e" cm="1">
        <f t="array" ref="J283">[1]!'TX4N07P29550.TF-ID,Name,Price,TotalVolume,InOutRatio'</f>
        <v>#N/A</v>
      </c>
    </row>
    <row r="284" spans="2:10" s="7" customFormat="1" x14ac:dyDescent="0.25">
      <c r="B284" s="7" t="e" cm="1">
        <f t="array" ref="B284">[1]!'TX4N07C29600.TF-ID,Name,Price,TotalVolume,InOutRatio'</f>
        <v>#N/A</v>
      </c>
      <c r="G284" s="87">
        <f t="shared" si="8"/>
        <v>0</v>
      </c>
      <c r="H284" s="87">
        <v>29600</v>
      </c>
      <c r="I284" s="87">
        <f t="shared" si="9"/>
        <v>0</v>
      </c>
      <c r="J284" s="7" t="e" cm="1">
        <f t="array" ref="J284">[1]!'TX4N07P29600.TF-ID,Name,Price,TotalVolume,InOutRatio'</f>
        <v>#N/A</v>
      </c>
    </row>
    <row r="285" spans="2:10" s="7" customFormat="1" x14ac:dyDescent="0.25">
      <c r="B285" s="7" t="e" cm="1">
        <f t="array" ref="B285">[1]!'TX4N07C29650.TF-ID,Name,Price,TotalVolume,InOutRatio'</f>
        <v>#N/A</v>
      </c>
      <c r="G285" s="87">
        <f t="shared" si="8"/>
        <v>0</v>
      </c>
      <c r="H285" s="87">
        <v>29650</v>
      </c>
      <c r="I285" s="87">
        <f t="shared" si="9"/>
        <v>0</v>
      </c>
      <c r="J285" s="7" t="e" cm="1">
        <f t="array" ref="J285">[1]!'TX4N07P29650.TF-ID,Name,Price,TotalVolume,InOutRatio'</f>
        <v>#N/A</v>
      </c>
    </row>
    <row r="286" spans="2:10" s="7" customFormat="1" x14ac:dyDescent="0.25">
      <c r="B286" s="7" t="e" cm="1">
        <f t="array" ref="B286">[1]!'TX4N07C29700.TF-ID,Name,Price,TotalVolume,InOutRatio'</f>
        <v>#N/A</v>
      </c>
      <c r="G286" s="87">
        <f t="shared" si="8"/>
        <v>0</v>
      </c>
      <c r="H286" s="87">
        <v>29700</v>
      </c>
      <c r="I286" s="87">
        <f t="shared" si="9"/>
        <v>0</v>
      </c>
      <c r="J286" s="7" t="e" cm="1">
        <f t="array" ref="J286">[1]!'TX4N07P29700.TF-ID,Name,Price,TotalVolume,InOutRatio'</f>
        <v>#N/A</v>
      </c>
    </row>
    <row r="287" spans="2:10" s="7" customFormat="1" x14ac:dyDescent="0.25">
      <c r="B287" s="7" t="e" cm="1">
        <f t="array" ref="B287">[1]!'TX4N07C29750.TF-ID,Name,Price,TotalVolume,InOutRatio'</f>
        <v>#N/A</v>
      </c>
      <c r="G287" s="87">
        <f t="shared" si="8"/>
        <v>0</v>
      </c>
      <c r="H287" s="87">
        <v>29750</v>
      </c>
      <c r="I287" s="87">
        <f t="shared" si="9"/>
        <v>0</v>
      </c>
      <c r="J287" s="7" t="e" cm="1">
        <f t="array" ref="J287">[1]!'TX4N07P29750.TF-ID,Name,Price,TotalVolume,InOutRatio'</f>
        <v>#N/A</v>
      </c>
    </row>
    <row r="288" spans="2:10" s="7" customFormat="1" x14ac:dyDescent="0.25">
      <c r="B288" s="7" t="e" cm="1">
        <f t="array" ref="B288">[1]!'TX4N07C29800.TF-ID,Name,Price,TotalVolume,InOutRatio'</f>
        <v>#N/A</v>
      </c>
      <c r="G288" s="87">
        <f t="shared" si="8"/>
        <v>0</v>
      </c>
      <c r="H288" s="87">
        <v>29800</v>
      </c>
      <c r="I288" s="87">
        <f t="shared" si="9"/>
        <v>0</v>
      </c>
      <c r="J288" s="7" t="e" cm="1">
        <f t="array" ref="J288">[1]!'TX4N07P29800.TF-ID,Name,Price,TotalVolume,InOutRatio'</f>
        <v>#N/A</v>
      </c>
    </row>
    <row r="289" spans="2:10" s="7" customFormat="1" x14ac:dyDescent="0.25">
      <c r="B289" s="7" t="e" cm="1">
        <f t="array" ref="B289">[1]!'TX4N07C29850.TF-ID,Name,Price,TotalVolume,InOutRatio'</f>
        <v>#N/A</v>
      </c>
      <c r="G289" s="87">
        <f t="shared" si="8"/>
        <v>0</v>
      </c>
      <c r="H289" s="87">
        <v>29850</v>
      </c>
      <c r="I289" s="87">
        <f t="shared" si="9"/>
        <v>0</v>
      </c>
      <c r="J289" s="7" t="e" cm="1">
        <f t="array" ref="J289">[1]!'TX4N07P29850.TF-ID,Name,Price,TotalVolume,InOutRatio'</f>
        <v>#N/A</v>
      </c>
    </row>
    <row r="290" spans="2:10" s="7" customFormat="1" x14ac:dyDescent="0.25">
      <c r="B290" s="7" t="e" cm="1">
        <f t="array" ref="B290">[1]!'TX4N07C29900.TF-ID,Name,Price,TotalVolume,InOutRatio'</f>
        <v>#N/A</v>
      </c>
      <c r="G290" s="87">
        <f t="shared" si="8"/>
        <v>0</v>
      </c>
      <c r="H290" s="87">
        <v>29900</v>
      </c>
      <c r="I290" s="87">
        <f t="shared" si="9"/>
        <v>0</v>
      </c>
      <c r="J290" s="7" t="e" cm="1">
        <f t="array" ref="J290">[1]!'TX4N07P29900.TF-ID,Name,Price,TotalVolume,InOutRatio'</f>
        <v>#N/A</v>
      </c>
    </row>
    <row r="291" spans="2:10" s="7" customFormat="1" x14ac:dyDescent="0.25">
      <c r="B291" s="7" t="e" cm="1">
        <f t="array" ref="B291">[1]!'TX4N07C29950.TF-ID,Name,Price,TotalVolume,InOutRatio'</f>
        <v>#N/A</v>
      </c>
      <c r="G291" s="87">
        <f t="shared" si="8"/>
        <v>0</v>
      </c>
      <c r="H291" s="87">
        <v>29950</v>
      </c>
      <c r="I291" s="87">
        <f t="shared" si="9"/>
        <v>0</v>
      </c>
      <c r="J291" s="7" t="e" cm="1">
        <f t="array" ref="J291">[1]!'TX4N07P29950.TF-ID,Name,Price,TotalVolume,InOutRatio'</f>
        <v>#N/A</v>
      </c>
    </row>
    <row r="292" spans="2:10" s="7" customFormat="1" x14ac:dyDescent="0.25">
      <c r="B292" s="7" t="e" cm="1">
        <f t="array" ref="B292">[1]!'TX4N07C30000.TF-ID,Name,Price,TotalVolume,InOutRatio'</f>
        <v>#N/A</v>
      </c>
      <c r="G292" s="87">
        <f t="shared" si="8"/>
        <v>0</v>
      </c>
      <c r="H292" s="87">
        <v>30000</v>
      </c>
      <c r="I292" s="87">
        <f t="shared" si="9"/>
        <v>0</v>
      </c>
      <c r="J292" s="7" t="e" cm="1">
        <f t="array" ref="J292">[1]!'TX4N07P30000.TF-ID,Name,Price,TotalVolume,InOutRatio'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9F61-0B87-42CF-95FD-D9D5C9BF185C}">
  <sheetPr codeName="工作表11">
    <tabColor theme="7" tint="0.79998168889431442"/>
  </sheetPr>
  <dimension ref="B1:N292"/>
  <sheetViews>
    <sheetView zoomScale="150" zoomScaleNormal="15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35" sqref="L135"/>
    </sheetView>
  </sheetViews>
  <sheetFormatPr defaultColWidth="5.75" defaultRowHeight="13.5" x14ac:dyDescent="0.25"/>
  <cols>
    <col min="1" max="1" width="5.75" style="86"/>
    <col min="2" max="2" width="14.125" style="86" bestFit="1" customWidth="1"/>
    <col min="3" max="3" width="18.75" style="86" bestFit="1" customWidth="1"/>
    <col min="4" max="5" width="5.5" style="86" bestFit="1" customWidth="1"/>
    <col min="6" max="6" width="9.625" style="86" bestFit="1" customWidth="1"/>
    <col min="7" max="7" width="5.75" style="87"/>
    <col min="8" max="8" width="6.5" style="87" bestFit="1" customWidth="1"/>
    <col min="9" max="9" width="5.75" style="87"/>
    <col min="10" max="10" width="14" style="86" bestFit="1" customWidth="1"/>
    <col min="11" max="11" width="18.625" style="86" bestFit="1" customWidth="1"/>
    <col min="12" max="13" width="5.5" style="86" bestFit="1" customWidth="1"/>
    <col min="14" max="14" width="9.625" style="86" bestFit="1" customWidth="1"/>
    <col min="15" max="16384" width="5.75" style="86"/>
  </cols>
  <sheetData>
    <row r="1" spans="2:14" x14ac:dyDescent="0.25">
      <c r="B1" s="86" t="s">
        <v>5</v>
      </c>
      <c r="C1" s="86" t="s">
        <v>1</v>
      </c>
      <c r="D1" s="86" t="s">
        <v>2</v>
      </c>
      <c r="E1" s="86" t="s">
        <v>3</v>
      </c>
      <c r="F1" s="86" t="s">
        <v>127</v>
      </c>
      <c r="G1" s="85" t="s">
        <v>11</v>
      </c>
      <c r="H1" s="85" t="s">
        <v>6</v>
      </c>
      <c r="I1" s="85" t="s">
        <v>12</v>
      </c>
      <c r="J1" s="86" t="s">
        <v>5</v>
      </c>
      <c r="K1" s="86" t="s">
        <v>1</v>
      </c>
      <c r="L1" s="86" t="s">
        <v>2</v>
      </c>
      <c r="M1" s="86" t="s">
        <v>3</v>
      </c>
      <c r="N1" s="86" t="s">
        <v>127</v>
      </c>
    </row>
    <row r="2" spans="2:14" x14ac:dyDescent="0.25">
      <c r="B2" s="86" t="e" cm="1">
        <f t="array" ref="B2">[1]!'TXYN07C15500.TF-ID,Name,Price,TotalVolume,InOutRatio'</f>
        <v>#N/A</v>
      </c>
      <c r="G2" s="87">
        <f>+IFERROR((F2-50)/50*E2,0)</f>
        <v>0</v>
      </c>
      <c r="H2" s="87">
        <v>15500</v>
      </c>
      <c r="I2" s="87">
        <f>+IFERROR((N2-50)/50*M2,0)</f>
        <v>0</v>
      </c>
      <c r="J2" s="86" t="e" cm="1">
        <f t="array" ref="J2">[1]!'TXYN07P15500.TF-ID,Name,Price,TotalVolume,InOutRatio'</f>
        <v>#N/A</v>
      </c>
    </row>
    <row r="3" spans="2:14" x14ac:dyDescent="0.25">
      <c r="B3" s="86" t="e" cm="1">
        <f t="array" ref="B3">[1]!'TXYN07C15550.TF-ID,Name,Price,TotalVolume,InOutRatio'</f>
        <v>#N/A</v>
      </c>
      <c r="G3" s="87">
        <f t="shared" ref="G3:G66" si="0">+IFERROR((F3-50)/50*E3,0)</f>
        <v>0</v>
      </c>
      <c r="H3" s="87">
        <v>15550</v>
      </c>
      <c r="I3" s="87">
        <f t="shared" ref="I3:I66" si="1">+IFERROR((N3-50)/50*M3,0)</f>
        <v>0</v>
      </c>
      <c r="J3" s="86" t="e" cm="1">
        <f t="array" ref="J3">[1]!'TXYN07P15550.TF-ID,Name,Price,TotalVolume,InOutRatio'</f>
        <v>#N/A</v>
      </c>
    </row>
    <row r="4" spans="2:14" x14ac:dyDescent="0.25">
      <c r="B4" s="86" t="e" cm="1">
        <f t="array" ref="B4">[1]!'TXYN07C15600.TF-ID,Name,Price,TotalVolume,InOutRatio'</f>
        <v>#N/A</v>
      </c>
      <c r="G4" s="87">
        <f t="shared" si="0"/>
        <v>0</v>
      </c>
      <c r="H4" s="87">
        <v>15600</v>
      </c>
      <c r="I4" s="87">
        <f t="shared" si="1"/>
        <v>0</v>
      </c>
      <c r="J4" s="86" t="e" cm="1">
        <f t="array" ref="J4">[1]!'TXYN07P15600.TF-ID,Name,Price,TotalVolume,InOutRatio'</f>
        <v>#N/A</v>
      </c>
    </row>
    <row r="5" spans="2:14" x14ac:dyDescent="0.25">
      <c r="B5" s="86" t="e" cm="1">
        <f t="array" ref="B5">[1]!'TXYN07C15650.TF-ID,Name,Price,TotalVolume,InOutRatio'</f>
        <v>#N/A</v>
      </c>
      <c r="G5" s="87">
        <f t="shared" si="0"/>
        <v>0</v>
      </c>
      <c r="H5" s="87">
        <v>15650</v>
      </c>
      <c r="I5" s="87">
        <f t="shared" si="1"/>
        <v>0</v>
      </c>
      <c r="J5" s="86" t="e" cm="1">
        <f t="array" ref="J5">[1]!'TXYN07P15650.TF-ID,Name,Price,TotalVolume,InOutRatio'</f>
        <v>#N/A</v>
      </c>
    </row>
    <row r="6" spans="2:14" x14ac:dyDescent="0.25">
      <c r="B6" s="86" t="e" cm="1">
        <f t="array" ref="B6">[1]!'TXYN07C15700.TF-ID,Name,Price,TotalVolume,InOutRatio'</f>
        <v>#N/A</v>
      </c>
      <c r="G6" s="87">
        <f t="shared" si="0"/>
        <v>0</v>
      </c>
      <c r="H6" s="87">
        <v>15700</v>
      </c>
      <c r="I6" s="87">
        <f t="shared" si="1"/>
        <v>0</v>
      </c>
      <c r="J6" s="86" t="e" cm="1">
        <f t="array" ref="J6">[1]!'TXYN07P15700.TF-ID,Name,Price,TotalVolume,InOutRatio'</f>
        <v>#N/A</v>
      </c>
    </row>
    <row r="7" spans="2:14" x14ac:dyDescent="0.25">
      <c r="B7" s="86" t="e" cm="1">
        <f t="array" ref="B7">[1]!'TXYN07C15750.TF-ID,Name,Price,TotalVolume,InOutRatio'</f>
        <v>#N/A</v>
      </c>
      <c r="G7" s="87">
        <f t="shared" si="0"/>
        <v>0</v>
      </c>
      <c r="H7" s="87">
        <v>15750</v>
      </c>
      <c r="I7" s="87">
        <f t="shared" si="1"/>
        <v>0</v>
      </c>
      <c r="J7" s="86" t="e" cm="1">
        <f t="array" ref="J7">[1]!'TXYN07P15750.TF-ID,Name,Price,TotalVolume,InOutRatio'</f>
        <v>#N/A</v>
      </c>
    </row>
    <row r="8" spans="2:14" x14ac:dyDescent="0.25">
      <c r="B8" s="86" t="e" cm="1">
        <f t="array" ref="B8">[1]!'TXYN07C15800.TF-ID,Name,Price,TotalVolume,InOutRatio'</f>
        <v>#N/A</v>
      </c>
      <c r="G8" s="87">
        <f t="shared" si="0"/>
        <v>0</v>
      </c>
      <c r="H8" s="87">
        <v>15800</v>
      </c>
      <c r="I8" s="87">
        <f t="shared" si="1"/>
        <v>0</v>
      </c>
      <c r="J8" s="86" t="e" cm="1">
        <f t="array" ref="J8">[1]!'TXYN07P15800.TF-ID,Name,Price,TotalVolume,InOutRatio'</f>
        <v>#N/A</v>
      </c>
    </row>
    <row r="9" spans="2:14" x14ac:dyDescent="0.25">
      <c r="B9" s="86" t="e" cm="1">
        <f t="array" ref="B9">[1]!'TXYN07C15850.TF-ID,Name,Price,TotalVolume,InOutRatio'</f>
        <v>#N/A</v>
      </c>
      <c r="G9" s="87">
        <f t="shared" si="0"/>
        <v>0</v>
      </c>
      <c r="H9" s="87">
        <v>15850</v>
      </c>
      <c r="I9" s="87">
        <f t="shared" si="1"/>
        <v>0</v>
      </c>
      <c r="J9" s="86" t="e" cm="1">
        <f t="array" ref="J9">[1]!'TXYN07P15850.TF-ID,Name,Price,TotalVolume,InOutRatio'</f>
        <v>#N/A</v>
      </c>
    </row>
    <row r="10" spans="2:14" x14ac:dyDescent="0.25">
      <c r="B10" s="86" t="e" cm="1">
        <f t="array" ref="B10">[1]!'TXYN07C15900.TF-ID,Name,Price,TotalVolume,InOutRatio'</f>
        <v>#N/A</v>
      </c>
      <c r="G10" s="87">
        <f t="shared" si="0"/>
        <v>0</v>
      </c>
      <c r="H10" s="87">
        <v>15900</v>
      </c>
      <c r="I10" s="87">
        <f t="shared" si="1"/>
        <v>0</v>
      </c>
      <c r="J10" s="86" t="e" cm="1">
        <f t="array" ref="J10">[1]!'TXYN07P15900.TF-ID,Name,Price,TotalVolume,InOutRatio'</f>
        <v>#N/A</v>
      </c>
    </row>
    <row r="11" spans="2:14" x14ac:dyDescent="0.25">
      <c r="B11" s="86" t="e" cm="1">
        <f t="array" ref="B11">[1]!'TXYN07C15950.TF-ID,Name,Price,TotalVolume,InOutRatio'</f>
        <v>#N/A</v>
      </c>
      <c r="G11" s="87">
        <f t="shared" si="0"/>
        <v>0</v>
      </c>
      <c r="H11" s="87">
        <v>15950</v>
      </c>
      <c r="I11" s="87">
        <f t="shared" si="1"/>
        <v>0</v>
      </c>
      <c r="J11" s="86" t="e" cm="1">
        <f t="array" ref="J11">[1]!'TXYN07P15950.TF-ID,Name,Price,TotalVolume,InOutRatio'</f>
        <v>#N/A</v>
      </c>
    </row>
    <row r="12" spans="2:14" x14ac:dyDescent="0.25">
      <c r="B12" s="86" t="e" cm="1">
        <f t="array" ref="B12">[1]!'TXYN07C16000.TF-ID,Name,Price,TotalVolume,InOutRatio'</f>
        <v>#N/A</v>
      </c>
      <c r="G12" s="87">
        <f t="shared" si="0"/>
        <v>0</v>
      </c>
      <c r="H12" s="87">
        <v>16000</v>
      </c>
      <c r="I12" s="87">
        <f t="shared" si="1"/>
        <v>0</v>
      </c>
      <c r="J12" s="86" t="e" cm="1">
        <f t="array" ref="J12">[1]!'TXYN07P16000.TF-ID,Name,Price,TotalVolume,InOutRatio'</f>
        <v>#N/A</v>
      </c>
    </row>
    <row r="13" spans="2:14" x14ac:dyDescent="0.25">
      <c r="B13" s="86" t="e" cm="1">
        <f t="array" ref="B13">[1]!'TXYN07C16050.TF-ID,Name,Price,TotalVolume,InOutRatio'</f>
        <v>#N/A</v>
      </c>
      <c r="G13" s="87">
        <f t="shared" si="0"/>
        <v>0</v>
      </c>
      <c r="H13" s="87">
        <v>16050</v>
      </c>
      <c r="I13" s="87">
        <f t="shared" si="1"/>
        <v>0</v>
      </c>
      <c r="J13" s="86" t="e" cm="1">
        <f t="array" ref="J13">[1]!'TXYN07P16050.TF-ID,Name,Price,TotalVolume,InOutRatio'</f>
        <v>#N/A</v>
      </c>
    </row>
    <row r="14" spans="2:14" x14ac:dyDescent="0.25">
      <c r="B14" s="86" t="e" cm="1">
        <f t="array" ref="B14">[1]!'TXYN07C16100.TF-ID,Name,Price,TotalVolume,InOutRatio'</f>
        <v>#N/A</v>
      </c>
      <c r="G14" s="87">
        <f t="shared" si="0"/>
        <v>0</v>
      </c>
      <c r="H14" s="87">
        <v>16100</v>
      </c>
      <c r="I14" s="87">
        <f t="shared" si="1"/>
        <v>0</v>
      </c>
      <c r="J14" s="86" t="e" cm="1">
        <f t="array" ref="J14">[1]!'TXYN07P16100.TF-ID,Name,Price,TotalVolume,InOutRatio'</f>
        <v>#N/A</v>
      </c>
    </row>
    <row r="15" spans="2:14" x14ac:dyDescent="0.25">
      <c r="B15" s="86" t="e" cm="1">
        <f t="array" ref="B15">[1]!'TXYN07C16150.TF-ID,Name,Price,TotalVolume,InOutRatio'</f>
        <v>#N/A</v>
      </c>
      <c r="G15" s="87">
        <f t="shared" si="0"/>
        <v>0</v>
      </c>
      <c r="H15" s="87">
        <v>16150</v>
      </c>
      <c r="I15" s="87">
        <f t="shared" si="1"/>
        <v>0</v>
      </c>
      <c r="J15" s="86" t="e" cm="1">
        <f t="array" ref="J15">[1]!'TXYN07P16150.TF-ID,Name,Price,TotalVolume,InOutRatio'</f>
        <v>#N/A</v>
      </c>
    </row>
    <row r="16" spans="2:14" x14ac:dyDescent="0.25">
      <c r="B16" s="86" t="e" cm="1">
        <f t="array" ref="B16">[1]!'TXYN07C16200.TF-ID,Name,Price,TotalVolume,InOutRatio'</f>
        <v>#N/A</v>
      </c>
      <c r="G16" s="87">
        <f t="shared" si="0"/>
        <v>0</v>
      </c>
      <c r="H16" s="87">
        <v>16200</v>
      </c>
      <c r="I16" s="87">
        <f t="shared" si="1"/>
        <v>0</v>
      </c>
      <c r="J16" s="86" t="e" cm="1">
        <f t="array" ref="J16">[1]!'TXYN07P16200.TF-ID,Name,Price,TotalVolume,InOutRatio'</f>
        <v>#N/A</v>
      </c>
    </row>
    <row r="17" spans="2:10" x14ac:dyDescent="0.25">
      <c r="B17" s="86" t="e" cm="1">
        <f t="array" ref="B17">[1]!'TXYN07C16250.TF-ID,Name,Price,TotalVolume,InOutRatio'</f>
        <v>#N/A</v>
      </c>
      <c r="G17" s="87">
        <f t="shared" si="0"/>
        <v>0</v>
      </c>
      <c r="H17" s="87">
        <v>16250</v>
      </c>
      <c r="I17" s="87">
        <f t="shared" si="1"/>
        <v>0</v>
      </c>
      <c r="J17" s="86" t="e" cm="1">
        <f t="array" ref="J17">[1]!'TXYN07P16250.TF-ID,Name,Price,TotalVolume,InOutRatio'</f>
        <v>#N/A</v>
      </c>
    </row>
    <row r="18" spans="2:10" x14ac:dyDescent="0.25">
      <c r="B18" s="86" t="e" cm="1">
        <f t="array" ref="B18">[1]!'TXYN07C16300.TF-ID,Name,Price,TotalVolume,InOutRatio'</f>
        <v>#N/A</v>
      </c>
      <c r="G18" s="87">
        <f t="shared" si="0"/>
        <v>0</v>
      </c>
      <c r="H18" s="87">
        <v>16300</v>
      </c>
      <c r="I18" s="87">
        <f t="shared" si="1"/>
        <v>0</v>
      </c>
      <c r="J18" s="86" t="e" cm="1">
        <f t="array" ref="J18">[1]!'TXYN07P16300.TF-ID,Name,Price,TotalVolume,InOutRatio'</f>
        <v>#N/A</v>
      </c>
    </row>
    <row r="19" spans="2:10" x14ac:dyDescent="0.25">
      <c r="B19" s="86" t="e" cm="1">
        <f t="array" ref="B19">[1]!'TXYN07C16350.TF-ID,Name,Price,TotalVolume,InOutRatio'</f>
        <v>#N/A</v>
      </c>
      <c r="G19" s="87">
        <f t="shared" si="0"/>
        <v>0</v>
      </c>
      <c r="H19" s="87">
        <v>16350</v>
      </c>
      <c r="I19" s="87">
        <f t="shared" si="1"/>
        <v>0</v>
      </c>
      <c r="J19" s="86" t="e" cm="1">
        <f t="array" ref="J19">[1]!'TXYN07P16350.TF-ID,Name,Price,TotalVolume,InOutRatio'</f>
        <v>#N/A</v>
      </c>
    </row>
    <row r="20" spans="2:10" x14ac:dyDescent="0.25">
      <c r="B20" s="86" t="e" cm="1">
        <f t="array" ref="B20">[1]!'TXYN07C16400.TF-ID,Name,Price,TotalVolume,InOutRatio'</f>
        <v>#N/A</v>
      </c>
      <c r="G20" s="87">
        <f t="shared" si="0"/>
        <v>0</v>
      </c>
      <c r="H20" s="87">
        <v>16400</v>
      </c>
      <c r="I20" s="87">
        <f t="shared" si="1"/>
        <v>0</v>
      </c>
      <c r="J20" s="86" t="e" cm="1">
        <f t="array" ref="J20">[1]!'TXYN07P16400.TF-ID,Name,Price,TotalVolume,InOutRatio'</f>
        <v>#N/A</v>
      </c>
    </row>
    <row r="21" spans="2:10" x14ac:dyDescent="0.25">
      <c r="B21" s="86" t="e" cm="1">
        <f t="array" ref="B21">[1]!'TXYN07C16450.TF-ID,Name,Price,TotalVolume,InOutRatio'</f>
        <v>#N/A</v>
      </c>
      <c r="G21" s="87">
        <f t="shared" si="0"/>
        <v>0</v>
      </c>
      <c r="H21" s="87">
        <v>16450</v>
      </c>
      <c r="I21" s="87">
        <f t="shared" si="1"/>
        <v>0</v>
      </c>
      <c r="J21" s="86" t="e" cm="1">
        <f t="array" ref="J21">[1]!'TXYN07P16450.TF-ID,Name,Price,TotalVolume,InOutRatio'</f>
        <v>#N/A</v>
      </c>
    </row>
    <row r="22" spans="2:10" x14ac:dyDescent="0.25">
      <c r="B22" s="86" t="e" cm="1">
        <f t="array" ref="B22">[1]!'TXYN07C16500.TF-ID,Name,Price,TotalVolume,InOutRatio'</f>
        <v>#N/A</v>
      </c>
      <c r="G22" s="87">
        <f t="shared" si="0"/>
        <v>0</v>
      </c>
      <c r="H22" s="87">
        <v>16500</v>
      </c>
      <c r="I22" s="87">
        <f t="shared" si="1"/>
        <v>0</v>
      </c>
      <c r="J22" s="86" t="e" cm="1">
        <f t="array" ref="J22">[1]!'TXYN07P16500.TF-ID,Name,Price,TotalVolume,InOutRatio'</f>
        <v>#N/A</v>
      </c>
    </row>
    <row r="23" spans="2:10" x14ac:dyDescent="0.25">
      <c r="B23" s="86" t="e" cm="1">
        <f t="array" ref="B23">[1]!'TXYN07C16550.TF-ID,Name,Price,TotalVolume,InOutRatio'</f>
        <v>#N/A</v>
      </c>
      <c r="G23" s="87">
        <f t="shared" si="0"/>
        <v>0</v>
      </c>
      <c r="H23" s="87">
        <v>16550</v>
      </c>
      <c r="I23" s="87">
        <f t="shared" si="1"/>
        <v>0</v>
      </c>
      <c r="J23" s="86" t="e" cm="1">
        <f t="array" ref="J23">[1]!'TXYN07P16550.TF-ID,Name,Price,TotalVolume,InOutRatio'</f>
        <v>#N/A</v>
      </c>
    </row>
    <row r="24" spans="2:10" x14ac:dyDescent="0.25">
      <c r="B24" s="86" t="e" cm="1">
        <f t="array" ref="B24">[1]!'TXYN07C16600.TF-ID,Name,Price,TotalVolume,InOutRatio'</f>
        <v>#N/A</v>
      </c>
      <c r="G24" s="87">
        <f t="shared" si="0"/>
        <v>0</v>
      </c>
      <c r="H24" s="87">
        <v>16600</v>
      </c>
      <c r="I24" s="87">
        <f t="shared" si="1"/>
        <v>0</v>
      </c>
      <c r="J24" s="86" t="e" cm="1">
        <f t="array" ref="J24">[1]!'TXYN07P16600.TF-ID,Name,Price,TotalVolume,InOutRatio'</f>
        <v>#N/A</v>
      </c>
    </row>
    <row r="25" spans="2:10" x14ac:dyDescent="0.25">
      <c r="B25" s="86" t="e" cm="1">
        <f t="array" ref="B25">[1]!'TXYN07C16650.TF-ID,Name,Price,TotalVolume,InOutRatio'</f>
        <v>#N/A</v>
      </c>
      <c r="G25" s="87">
        <f t="shared" si="0"/>
        <v>0</v>
      </c>
      <c r="H25" s="87">
        <v>16650</v>
      </c>
      <c r="I25" s="87">
        <f t="shared" si="1"/>
        <v>0</v>
      </c>
      <c r="J25" s="86" t="e" cm="1">
        <f t="array" ref="J25">[1]!'TXYN07P16650.TF-ID,Name,Price,TotalVolume,InOutRatio'</f>
        <v>#N/A</v>
      </c>
    </row>
    <row r="26" spans="2:10" x14ac:dyDescent="0.25">
      <c r="B26" s="86" t="e" cm="1">
        <f t="array" ref="B26">[1]!'TXYN07C16700.TF-ID,Name,Price,TotalVolume,InOutRatio'</f>
        <v>#N/A</v>
      </c>
      <c r="G26" s="87">
        <f t="shared" si="0"/>
        <v>0</v>
      </c>
      <c r="H26" s="87">
        <v>16700</v>
      </c>
      <c r="I26" s="87">
        <f t="shared" si="1"/>
        <v>0</v>
      </c>
      <c r="J26" s="86" t="e" cm="1">
        <f t="array" ref="J26">[1]!'TXYN07P16700.TF-ID,Name,Price,TotalVolume,InOutRatio'</f>
        <v>#N/A</v>
      </c>
    </row>
    <row r="27" spans="2:10" x14ac:dyDescent="0.25">
      <c r="B27" s="86" t="e" cm="1">
        <f t="array" ref="B27">[1]!'TXYN07C16750.TF-ID,Name,Price,TotalVolume,InOutRatio'</f>
        <v>#N/A</v>
      </c>
      <c r="G27" s="87">
        <f t="shared" si="0"/>
        <v>0</v>
      </c>
      <c r="H27" s="87">
        <v>16750</v>
      </c>
      <c r="I27" s="87">
        <f t="shared" si="1"/>
        <v>0</v>
      </c>
      <c r="J27" s="86" t="e" cm="1">
        <f t="array" ref="J27">[1]!'TXYN07P16750.TF-ID,Name,Price,TotalVolume,InOutRatio'</f>
        <v>#N/A</v>
      </c>
    </row>
    <row r="28" spans="2:10" x14ac:dyDescent="0.25">
      <c r="B28" s="86" t="e" cm="1">
        <f t="array" ref="B28">[1]!'TXYN07C16800.TF-ID,Name,Price,TotalVolume,InOutRatio'</f>
        <v>#N/A</v>
      </c>
      <c r="G28" s="87">
        <f t="shared" si="0"/>
        <v>0</v>
      </c>
      <c r="H28" s="87">
        <v>16800</v>
      </c>
      <c r="I28" s="87">
        <f t="shared" si="1"/>
        <v>0</v>
      </c>
      <c r="J28" s="86" t="e" cm="1">
        <f t="array" ref="J28">[1]!'TXYN07P16800.TF-ID,Name,Price,TotalVolume,InOutRatio'</f>
        <v>#N/A</v>
      </c>
    </row>
    <row r="29" spans="2:10" x14ac:dyDescent="0.25">
      <c r="B29" s="86" t="e" cm="1">
        <f t="array" ref="B29">[1]!'TXYN07C16850.TF-ID,Name,Price,TotalVolume,InOutRatio'</f>
        <v>#N/A</v>
      </c>
      <c r="G29" s="87">
        <f t="shared" si="0"/>
        <v>0</v>
      </c>
      <c r="H29" s="87">
        <v>16850</v>
      </c>
      <c r="I29" s="87">
        <f t="shared" si="1"/>
        <v>0</v>
      </c>
      <c r="J29" s="86" t="e" cm="1">
        <f t="array" ref="J29">[1]!'TXYN07P16850.TF-ID,Name,Price,TotalVolume,InOutRatio'</f>
        <v>#N/A</v>
      </c>
    </row>
    <row r="30" spans="2:10" x14ac:dyDescent="0.25">
      <c r="B30" s="86" t="e" cm="1">
        <f t="array" ref="B30">[1]!'TXYN07C16900.TF-ID,Name,Price,TotalVolume,InOutRatio'</f>
        <v>#N/A</v>
      </c>
      <c r="G30" s="87">
        <f t="shared" si="0"/>
        <v>0</v>
      </c>
      <c r="H30" s="87">
        <v>16900</v>
      </c>
      <c r="I30" s="87">
        <f t="shared" si="1"/>
        <v>0</v>
      </c>
      <c r="J30" s="86" t="e" cm="1">
        <f t="array" ref="J30">[1]!'TXYN07P16900.TF-ID,Name,Price,TotalVolume,InOutRatio'</f>
        <v>#N/A</v>
      </c>
    </row>
    <row r="31" spans="2:10" x14ac:dyDescent="0.25">
      <c r="B31" s="86" t="e" cm="1">
        <f t="array" ref="B31">[1]!'TXYN07C16950.TF-ID,Name,Price,TotalVolume,InOutRatio'</f>
        <v>#N/A</v>
      </c>
      <c r="G31" s="87">
        <f t="shared" si="0"/>
        <v>0</v>
      </c>
      <c r="H31" s="87">
        <v>16950</v>
      </c>
      <c r="I31" s="87">
        <f t="shared" si="1"/>
        <v>0</v>
      </c>
      <c r="J31" s="86" t="e" cm="1">
        <f t="array" ref="J31">[1]!'TXYN07P16950.TF-ID,Name,Price,TotalVolume,InOutRatio'</f>
        <v>#N/A</v>
      </c>
    </row>
    <row r="32" spans="2:10" x14ac:dyDescent="0.25">
      <c r="B32" s="86" t="e" cm="1">
        <f t="array" ref="B32">[1]!'TXYN07C17000.TF-ID,Name,Price,TotalVolume,InOutRatio'</f>
        <v>#N/A</v>
      </c>
      <c r="G32" s="87">
        <f t="shared" si="0"/>
        <v>0</v>
      </c>
      <c r="H32" s="87">
        <v>17000</v>
      </c>
      <c r="I32" s="87">
        <f t="shared" si="1"/>
        <v>0</v>
      </c>
      <c r="J32" s="86" t="e" cm="1">
        <f t="array" ref="J32">[1]!'TXYN07P17000.TF-ID,Name,Price,TotalVolume,InOutRatio'</f>
        <v>#N/A</v>
      </c>
    </row>
    <row r="33" spans="2:10" x14ac:dyDescent="0.25">
      <c r="B33" s="86" t="e" cm="1">
        <f t="array" ref="B33">[1]!'TXYN07C17050.TF-ID,Name,Price,TotalVolume,InOutRatio'</f>
        <v>#N/A</v>
      </c>
      <c r="G33" s="87">
        <f t="shared" si="0"/>
        <v>0</v>
      </c>
      <c r="H33" s="87">
        <v>17050</v>
      </c>
      <c r="I33" s="87">
        <f t="shared" si="1"/>
        <v>0</v>
      </c>
      <c r="J33" s="86" t="e" cm="1">
        <f t="array" ref="J33">[1]!'TXYN07P17050.TF-ID,Name,Price,TotalVolume,InOutRatio'</f>
        <v>#N/A</v>
      </c>
    </row>
    <row r="34" spans="2:10" x14ac:dyDescent="0.25">
      <c r="B34" s="86" t="e" cm="1">
        <f t="array" ref="B34">[1]!'TXYN07C17100.TF-ID,Name,Price,TotalVolume,InOutRatio'</f>
        <v>#N/A</v>
      </c>
      <c r="G34" s="87">
        <f t="shared" si="0"/>
        <v>0</v>
      </c>
      <c r="H34" s="87">
        <v>17100</v>
      </c>
      <c r="I34" s="87">
        <f t="shared" si="1"/>
        <v>0</v>
      </c>
      <c r="J34" s="86" t="e" cm="1">
        <f t="array" ref="J34">[1]!'TXYN07P17100.TF-ID,Name,Price,TotalVolume,InOutRatio'</f>
        <v>#N/A</v>
      </c>
    </row>
    <row r="35" spans="2:10" x14ac:dyDescent="0.25">
      <c r="B35" s="86" t="e" cm="1">
        <f t="array" ref="B35">[1]!'TXYN07C17150.TF-ID,Name,Price,TotalVolume,InOutRatio'</f>
        <v>#N/A</v>
      </c>
      <c r="G35" s="87">
        <f t="shared" si="0"/>
        <v>0</v>
      </c>
      <c r="H35" s="87">
        <v>17150</v>
      </c>
      <c r="I35" s="87">
        <f t="shared" si="1"/>
        <v>0</v>
      </c>
      <c r="J35" s="86" t="e" cm="1">
        <f t="array" ref="J35">[1]!'TXYN07P17150.TF-ID,Name,Price,TotalVolume,InOutRatio'</f>
        <v>#N/A</v>
      </c>
    </row>
    <row r="36" spans="2:10" x14ac:dyDescent="0.25">
      <c r="B36" s="86" t="e" cm="1">
        <f t="array" ref="B36">[1]!'TXYN07C17200.TF-ID,Name,Price,TotalVolume,InOutRatio'</f>
        <v>#N/A</v>
      </c>
      <c r="G36" s="87">
        <f t="shared" si="0"/>
        <v>0</v>
      </c>
      <c r="H36" s="87">
        <v>17200</v>
      </c>
      <c r="I36" s="87">
        <f t="shared" si="1"/>
        <v>0</v>
      </c>
      <c r="J36" s="86" t="e" cm="1">
        <f t="array" ref="J36">[1]!'TXYN07P17200.TF-ID,Name,Price,TotalVolume,InOutRatio'</f>
        <v>#N/A</v>
      </c>
    </row>
    <row r="37" spans="2:10" x14ac:dyDescent="0.25">
      <c r="B37" s="86" t="e" cm="1">
        <f t="array" ref="B37">[1]!'TXYN07C17250.TF-ID,Name,Price,TotalVolume,InOutRatio'</f>
        <v>#N/A</v>
      </c>
      <c r="G37" s="87">
        <f t="shared" si="0"/>
        <v>0</v>
      </c>
      <c r="H37" s="87">
        <v>17250</v>
      </c>
      <c r="I37" s="87">
        <f t="shared" si="1"/>
        <v>0</v>
      </c>
      <c r="J37" s="86" t="e" cm="1">
        <f t="array" ref="J37">[1]!'TXYN07P17250.TF-ID,Name,Price,TotalVolume,InOutRatio'</f>
        <v>#N/A</v>
      </c>
    </row>
    <row r="38" spans="2:10" x14ac:dyDescent="0.25">
      <c r="B38" s="86" t="e" cm="1">
        <f t="array" ref="B38">[1]!'TXYN07C17300.TF-ID,Name,Price,TotalVolume,InOutRatio'</f>
        <v>#N/A</v>
      </c>
      <c r="G38" s="87">
        <f t="shared" si="0"/>
        <v>0</v>
      </c>
      <c r="H38" s="87">
        <v>17300</v>
      </c>
      <c r="I38" s="87">
        <f t="shared" si="1"/>
        <v>0</v>
      </c>
      <c r="J38" s="86" t="e" cm="1">
        <f t="array" ref="J38">[1]!'TXYN07P17300.TF-ID,Name,Price,TotalVolume,InOutRatio'</f>
        <v>#N/A</v>
      </c>
    </row>
    <row r="39" spans="2:10" x14ac:dyDescent="0.25">
      <c r="B39" s="86" t="e" cm="1">
        <f t="array" ref="B39">[1]!'TXYN07C17350.TF-ID,Name,Price,TotalVolume,InOutRatio'</f>
        <v>#N/A</v>
      </c>
      <c r="G39" s="87">
        <f t="shared" si="0"/>
        <v>0</v>
      </c>
      <c r="H39" s="87">
        <v>17350</v>
      </c>
      <c r="I39" s="87">
        <f t="shared" si="1"/>
        <v>0</v>
      </c>
      <c r="J39" s="86" t="e" cm="1">
        <f t="array" ref="J39">[1]!'TXYN07P17350.TF-ID,Name,Price,TotalVolume,InOutRatio'</f>
        <v>#N/A</v>
      </c>
    </row>
    <row r="40" spans="2:10" x14ac:dyDescent="0.25">
      <c r="B40" s="86" t="e" cm="1">
        <f t="array" ref="B40">[1]!'TXYN07C17400.TF-ID,Name,Price,TotalVolume,InOutRatio'</f>
        <v>#N/A</v>
      </c>
      <c r="G40" s="87">
        <f t="shared" si="0"/>
        <v>0</v>
      </c>
      <c r="H40" s="87">
        <v>17400</v>
      </c>
      <c r="I40" s="87">
        <f t="shared" si="1"/>
        <v>0</v>
      </c>
      <c r="J40" s="86" t="e" cm="1">
        <f t="array" ref="J40">[1]!'TXYN07P17400.TF-ID,Name,Price,TotalVolume,InOutRatio'</f>
        <v>#N/A</v>
      </c>
    </row>
    <row r="41" spans="2:10" x14ac:dyDescent="0.25">
      <c r="B41" s="86" t="e" cm="1">
        <f t="array" ref="B41">[1]!'TXYN07C17450.TF-ID,Name,Price,TotalVolume,InOutRatio'</f>
        <v>#N/A</v>
      </c>
      <c r="G41" s="87">
        <f t="shared" si="0"/>
        <v>0</v>
      </c>
      <c r="H41" s="87">
        <v>17450</v>
      </c>
      <c r="I41" s="87">
        <f t="shared" si="1"/>
        <v>0</v>
      </c>
      <c r="J41" s="86" t="e" cm="1">
        <f t="array" ref="J41">[1]!'TXYN07P17450.TF-ID,Name,Price,TotalVolume,InOutRatio'</f>
        <v>#N/A</v>
      </c>
    </row>
    <row r="42" spans="2:10" x14ac:dyDescent="0.25">
      <c r="B42" s="86" t="e" cm="1">
        <f t="array" ref="B42">[1]!'TXYN07C17500.TF-ID,Name,Price,TotalVolume,InOutRatio'</f>
        <v>#N/A</v>
      </c>
      <c r="G42" s="87">
        <f t="shared" si="0"/>
        <v>0</v>
      </c>
      <c r="H42" s="87">
        <v>17500</v>
      </c>
      <c r="I42" s="87">
        <f t="shared" si="1"/>
        <v>0</v>
      </c>
      <c r="J42" s="86" t="e" cm="1">
        <f t="array" ref="J42">[1]!'TXYN07P17500.TF-ID,Name,Price,TotalVolume,InOutRatio'</f>
        <v>#N/A</v>
      </c>
    </row>
    <row r="43" spans="2:10" x14ac:dyDescent="0.25">
      <c r="B43" s="86" t="e" cm="1">
        <f t="array" ref="B43">[1]!'TXYN07C17550.TF-ID,Name,Price,TotalVolume,InOutRatio'</f>
        <v>#N/A</v>
      </c>
      <c r="G43" s="87">
        <f t="shared" si="0"/>
        <v>0</v>
      </c>
      <c r="H43" s="87">
        <v>17550</v>
      </c>
      <c r="I43" s="87">
        <f t="shared" si="1"/>
        <v>0</v>
      </c>
      <c r="J43" s="86" t="e" cm="1">
        <f t="array" ref="J43">[1]!'TXYN07P17550.TF-ID,Name,Price,TotalVolume,InOutRatio'</f>
        <v>#N/A</v>
      </c>
    </row>
    <row r="44" spans="2:10" x14ac:dyDescent="0.25">
      <c r="B44" s="86" t="e" cm="1">
        <f t="array" ref="B44">[1]!'TXYN07C17600.TF-ID,Name,Price,TotalVolume,InOutRatio'</f>
        <v>#N/A</v>
      </c>
      <c r="G44" s="87">
        <f t="shared" si="0"/>
        <v>0</v>
      </c>
      <c r="H44" s="87">
        <v>17600</v>
      </c>
      <c r="I44" s="87">
        <f t="shared" si="1"/>
        <v>0</v>
      </c>
      <c r="J44" s="86" t="e" cm="1">
        <f t="array" ref="J44">[1]!'TXYN07P17600.TF-ID,Name,Price,TotalVolume,InOutRatio'</f>
        <v>#N/A</v>
      </c>
    </row>
    <row r="45" spans="2:10" x14ac:dyDescent="0.25">
      <c r="B45" s="86" t="e" cm="1">
        <f t="array" ref="B45">[1]!'TXYN07C17650.TF-ID,Name,Price,TotalVolume,InOutRatio'</f>
        <v>#N/A</v>
      </c>
      <c r="G45" s="87">
        <f t="shared" si="0"/>
        <v>0</v>
      </c>
      <c r="H45" s="87">
        <v>17650</v>
      </c>
      <c r="I45" s="87">
        <f t="shared" si="1"/>
        <v>0</v>
      </c>
      <c r="J45" s="86" t="e" cm="1">
        <f t="array" ref="J45">[1]!'TXYN07P17650.TF-ID,Name,Price,TotalVolume,InOutRatio'</f>
        <v>#N/A</v>
      </c>
    </row>
    <row r="46" spans="2:10" x14ac:dyDescent="0.25">
      <c r="B46" s="86" t="e" cm="1">
        <f t="array" ref="B46">[1]!'TXYN07C17700.TF-ID,Name,Price,TotalVolume,InOutRatio'</f>
        <v>#N/A</v>
      </c>
      <c r="G46" s="87">
        <f t="shared" si="0"/>
        <v>0</v>
      </c>
      <c r="H46" s="87">
        <v>17700</v>
      </c>
      <c r="I46" s="87">
        <f t="shared" si="1"/>
        <v>0</v>
      </c>
      <c r="J46" s="86" t="e" cm="1">
        <f t="array" ref="J46">[1]!'TXYN07P17700.TF-ID,Name,Price,TotalVolume,InOutRatio'</f>
        <v>#N/A</v>
      </c>
    </row>
    <row r="47" spans="2:10" x14ac:dyDescent="0.25">
      <c r="B47" s="86" t="e" cm="1">
        <f t="array" ref="B47">[1]!'TXYN07C17750.TF-ID,Name,Price,TotalVolume,InOutRatio'</f>
        <v>#N/A</v>
      </c>
      <c r="G47" s="87">
        <f t="shared" si="0"/>
        <v>0</v>
      </c>
      <c r="H47" s="87">
        <v>17750</v>
      </c>
      <c r="I47" s="87">
        <f t="shared" si="1"/>
        <v>0</v>
      </c>
      <c r="J47" s="86" t="e" cm="1">
        <f t="array" ref="J47">[1]!'TXYN07P17750.TF-ID,Name,Price,TotalVolume,InOutRatio'</f>
        <v>#N/A</v>
      </c>
    </row>
    <row r="48" spans="2:10" x14ac:dyDescent="0.25">
      <c r="B48" s="86" t="e" cm="1">
        <f t="array" ref="B48">[1]!'TXYN07C17800.TF-ID,Name,Price,TotalVolume,InOutRatio'</f>
        <v>#N/A</v>
      </c>
      <c r="G48" s="87">
        <f t="shared" si="0"/>
        <v>0</v>
      </c>
      <c r="H48" s="87">
        <v>17800</v>
      </c>
      <c r="I48" s="87">
        <f t="shared" si="1"/>
        <v>0</v>
      </c>
      <c r="J48" s="86" t="e" cm="1">
        <f t="array" ref="J48">[1]!'TXYN07P17800.TF-ID,Name,Price,TotalVolume,InOutRatio'</f>
        <v>#N/A</v>
      </c>
    </row>
    <row r="49" spans="2:10" x14ac:dyDescent="0.25">
      <c r="B49" s="86" t="e" cm="1">
        <f t="array" ref="B49">[1]!'TXYN07C17850.TF-ID,Name,Price,TotalVolume,InOutRatio'</f>
        <v>#N/A</v>
      </c>
      <c r="G49" s="87">
        <f t="shared" si="0"/>
        <v>0</v>
      </c>
      <c r="H49" s="87">
        <v>17850</v>
      </c>
      <c r="I49" s="87">
        <f t="shared" si="1"/>
        <v>0</v>
      </c>
      <c r="J49" s="86" t="e" cm="1">
        <f t="array" ref="J49">[1]!'TXYN07P17850.TF-ID,Name,Price,TotalVolume,InOutRatio'</f>
        <v>#N/A</v>
      </c>
    </row>
    <row r="50" spans="2:10" x14ac:dyDescent="0.25">
      <c r="B50" s="86" t="e" cm="1">
        <f t="array" ref="B50">[1]!'TXYN07C17900.TF-ID,Name,Price,TotalVolume,InOutRatio'</f>
        <v>#N/A</v>
      </c>
      <c r="G50" s="87">
        <f t="shared" si="0"/>
        <v>0</v>
      </c>
      <c r="H50" s="87">
        <v>17900</v>
      </c>
      <c r="I50" s="87">
        <f t="shared" si="1"/>
        <v>0</v>
      </c>
      <c r="J50" s="86" t="e" cm="1">
        <f t="array" ref="J50">[1]!'TXYN07P17900.TF-ID,Name,Price,TotalVolume,InOutRatio'</f>
        <v>#N/A</v>
      </c>
    </row>
    <row r="51" spans="2:10" x14ac:dyDescent="0.25">
      <c r="B51" s="86" t="e" cm="1">
        <f t="array" ref="B51">[1]!'TXYN07C17950.TF-ID,Name,Price,TotalVolume,InOutRatio'</f>
        <v>#N/A</v>
      </c>
      <c r="G51" s="87">
        <f t="shared" si="0"/>
        <v>0</v>
      </c>
      <c r="H51" s="87">
        <v>17950</v>
      </c>
      <c r="I51" s="87">
        <f t="shared" si="1"/>
        <v>0</v>
      </c>
      <c r="J51" s="86" t="e" cm="1">
        <f t="array" ref="J51">[1]!'TXYN07P17950.TF-ID,Name,Price,TotalVolume,InOutRatio'</f>
        <v>#N/A</v>
      </c>
    </row>
    <row r="52" spans="2:10" x14ac:dyDescent="0.25">
      <c r="B52" s="86" t="e" cm="1">
        <f t="array" ref="B52">[1]!'TXYN07C18000.TF-ID,Name,Price,TotalVolume,InOutRatio'</f>
        <v>#N/A</v>
      </c>
      <c r="G52" s="87">
        <f t="shared" si="0"/>
        <v>0</v>
      </c>
      <c r="H52" s="87">
        <v>18000</v>
      </c>
      <c r="I52" s="87">
        <f t="shared" si="1"/>
        <v>0</v>
      </c>
      <c r="J52" s="86" t="e" cm="1">
        <f t="array" ref="J52">[1]!'TXYN07P18000.TF-ID,Name,Price,TotalVolume,InOutRatio'</f>
        <v>#N/A</v>
      </c>
    </row>
    <row r="53" spans="2:10" x14ac:dyDescent="0.25">
      <c r="B53" s="86" t="e" cm="1">
        <f t="array" ref="B53">[1]!'TXYN07C18050.TF-ID,Name,Price,TotalVolume,InOutRatio'</f>
        <v>#N/A</v>
      </c>
      <c r="G53" s="87">
        <f t="shared" si="0"/>
        <v>0</v>
      </c>
      <c r="H53" s="87">
        <v>18050</v>
      </c>
      <c r="I53" s="87">
        <f t="shared" si="1"/>
        <v>0</v>
      </c>
      <c r="J53" s="86" t="e" cm="1">
        <f t="array" ref="J53">[1]!'TXYN07P18050.TF-ID,Name,Price,TotalVolume,InOutRatio'</f>
        <v>#N/A</v>
      </c>
    </row>
    <row r="54" spans="2:10" x14ac:dyDescent="0.25">
      <c r="B54" s="86" t="e" cm="1">
        <f t="array" ref="B54">[1]!'TXYN07C18100.TF-ID,Name,Price,TotalVolume,InOutRatio'</f>
        <v>#N/A</v>
      </c>
      <c r="G54" s="87">
        <f t="shared" si="0"/>
        <v>0</v>
      </c>
      <c r="H54" s="87">
        <v>18100</v>
      </c>
      <c r="I54" s="87">
        <f t="shared" si="1"/>
        <v>0</v>
      </c>
      <c r="J54" s="86" t="e" cm="1">
        <f t="array" ref="J54">[1]!'TXYN07P18100.TF-ID,Name,Price,TotalVolume,InOutRatio'</f>
        <v>#N/A</v>
      </c>
    </row>
    <row r="55" spans="2:10" x14ac:dyDescent="0.25">
      <c r="B55" s="86" t="e" cm="1">
        <f t="array" ref="B55">[1]!'TXYN07C18150.TF-ID,Name,Price,TotalVolume,InOutRatio'</f>
        <v>#N/A</v>
      </c>
      <c r="G55" s="87">
        <f t="shared" si="0"/>
        <v>0</v>
      </c>
      <c r="H55" s="87">
        <v>18150</v>
      </c>
      <c r="I55" s="87">
        <f t="shared" si="1"/>
        <v>0</v>
      </c>
      <c r="J55" s="86" t="e" cm="1">
        <f t="array" ref="J55">[1]!'TXYN07P18150.TF-ID,Name,Price,TotalVolume,InOutRatio'</f>
        <v>#N/A</v>
      </c>
    </row>
    <row r="56" spans="2:10" x14ac:dyDescent="0.25">
      <c r="B56" s="86" t="e" cm="1">
        <f t="array" ref="B56">[1]!'TXYN07C18200.TF-ID,Name,Price,TotalVolume,InOutRatio'</f>
        <v>#N/A</v>
      </c>
      <c r="G56" s="87">
        <f t="shared" si="0"/>
        <v>0</v>
      </c>
      <c r="H56" s="87">
        <v>18200</v>
      </c>
      <c r="I56" s="87">
        <f t="shared" si="1"/>
        <v>0</v>
      </c>
      <c r="J56" s="86" t="e" cm="1">
        <f t="array" ref="J56">[1]!'TXYN07P18200.TF-ID,Name,Price,TotalVolume,InOutRatio'</f>
        <v>#N/A</v>
      </c>
    </row>
    <row r="57" spans="2:10" x14ac:dyDescent="0.25">
      <c r="B57" s="86" t="e" cm="1">
        <f t="array" ref="B57">[1]!'TXYN07C18250.TF-ID,Name,Price,TotalVolume,InOutRatio'</f>
        <v>#N/A</v>
      </c>
      <c r="G57" s="87">
        <f t="shared" si="0"/>
        <v>0</v>
      </c>
      <c r="H57" s="87">
        <v>18250</v>
      </c>
      <c r="I57" s="87">
        <f t="shared" si="1"/>
        <v>0</v>
      </c>
      <c r="J57" s="86" t="e" cm="1">
        <f t="array" ref="J57">[1]!'TXYN07P18250.TF-ID,Name,Price,TotalVolume,InOutRatio'</f>
        <v>#N/A</v>
      </c>
    </row>
    <row r="58" spans="2:10" x14ac:dyDescent="0.25">
      <c r="B58" s="86" t="e" cm="1">
        <f t="array" ref="B58">[1]!'TXYN07C18300.TF-ID,Name,Price,TotalVolume,InOutRatio'</f>
        <v>#N/A</v>
      </c>
      <c r="G58" s="87">
        <f t="shared" si="0"/>
        <v>0</v>
      </c>
      <c r="H58" s="87">
        <v>18300</v>
      </c>
      <c r="I58" s="87">
        <f t="shared" si="1"/>
        <v>0</v>
      </c>
      <c r="J58" s="86" t="e" cm="1">
        <f t="array" ref="J58">[1]!'TXYN07P18300.TF-ID,Name,Price,TotalVolume,InOutRatio'</f>
        <v>#N/A</v>
      </c>
    </row>
    <row r="59" spans="2:10" x14ac:dyDescent="0.25">
      <c r="B59" s="86" t="e" cm="1">
        <f t="array" ref="B59">[1]!'TXYN07C18350.TF-ID,Name,Price,TotalVolume,InOutRatio'</f>
        <v>#N/A</v>
      </c>
      <c r="G59" s="87">
        <f t="shared" si="0"/>
        <v>0</v>
      </c>
      <c r="H59" s="87">
        <v>18350</v>
      </c>
      <c r="I59" s="87">
        <f t="shared" si="1"/>
        <v>0</v>
      </c>
      <c r="J59" s="86" t="e" cm="1">
        <f t="array" ref="J59">[1]!'TXYN07P18350.TF-ID,Name,Price,TotalVolume,InOutRatio'</f>
        <v>#N/A</v>
      </c>
    </row>
    <row r="60" spans="2:10" x14ac:dyDescent="0.25">
      <c r="B60" s="86" t="e" cm="1">
        <f t="array" ref="B60">[1]!'TXYN07C18400.TF-ID,Name,Price,TotalVolume,InOutRatio'</f>
        <v>#N/A</v>
      </c>
      <c r="G60" s="87">
        <f t="shared" si="0"/>
        <v>0</v>
      </c>
      <c r="H60" s="87">
        <v>18400</v>
      </c>
      <c r="I60" s="87">
        <f t="shared" si="1"/>
        <v>0</v>
      </c>
      <c r="J60" s="86" t="e" cm="1">
        <f t="array" ref="J60">[1]!'TXYN07P18400.TF-ID,Name,Price,TotalVolume,InOutRatio'</f>
        <v>#N/A</v>
      </c>
    </row>
    <row r="61" spans="2:10" x14ac:dyDescent="0.25">
      <c r="B61" s="86" t="e" cm="1">
        <f t="array" ref="B61">[1]!'TXYN07C18450.TF-ID,Name,Price,TotalVolume,InOutRatio'</f>
        <v>#N/A</v>
      </c>
      <c r="G61" s="87">
        <f t="shared" si="0"/>
        <v>0</v>
      </c>
      <c r="H61" s="87">
        <v>18450</v>
      </c>
      <c r="I61" s="87">
        <f t="shared" si="1"/>
        <v>0</v>
      </c>
      <c r="J61" s="86" t="e" cm="1">
        <f t="array" ref="J61">[1]!'TXYN07P18450.TF-ID,Name,Price,TotalVolume,InOutRatio'</f>
        <v>#N/A</v>
      </c>
    </row>
    <row r="62" spans="2:10" x14ac:dyDescent="0.25">
      <c r="B62" s="86" t="e" cm="1">
        <f t="array" ref="B62">[1]!'TXYN07C18500.TF-ID,Name,Price,TotalVolume,InOutRatio'</f>
        <v>#N/A</v>
      </c>
      <c r="G62" s="87">
        <f t="shared" si="0"/>
        <v>0</v>
      </c>
      <c r="H62" s="87">
        <v>18500</v>
      </c>
      <c r="I62" s="87">
        <f t="shared" si="1"/>
        <v>0</v>
      </c>
      <c r="J62" s="86" t="e" cm="1">
        <f t="array" ref="J62">[1]!'TXYN07P18500.TF-ID,Name,Price,TotalVolume,InOutRatio'</f>
        <v>#N/A</v>
      </c>
    </row>
    <row r="63" spans="2:10" x14ac:dyDescent="0.25">
      <c r="B63" s="86" t="e" cm="1">
        <f t="array" ref="B63">[1]!'TXYN07C18550.TF-ID,Name,Price,TotalVolume,InOutRatio'</f>
        <v>#N/A</v>
      </c>
      <c r="G63" s="87">
        <f t="shared" si="0"/>
        <v>0</v>
      </c>
      <c r="H63" s="87">
        <v>18550</v>
      </c>
      <c r="I63" s="87">
        <f t="shared" si="1"/>
        <v>0</v>
      </c>
      <c r="J63" s="86" t="e" cm="1">
        <f t="array" ref="J63">[1]!'TXYN07P18550.TF-ID,Name,Price,TotalVolume,InOutRatio'</f>
        <v>#N/A</v>
      </c>
    </row>
    <row r="64" spans="2:10" x14ac:dyDescent="0.25">
      <c r="B64" s="86" t="e" cm="1">
        <f t="array" ref="B64">[1]!'TXYN07C18600.TF-ID,Name,Price,TotalVolume,InOutRatio'</f>
        <v>#N/A</v>
      </c>
      <c r="G64" s="87">
        <f t="shared" si="0"/>
        <v>0</v>
      </c>
      <c r="H64" s="87">
        <v>18600</v>
      </c>
      <c r="I64" s="87">
        <f t="shared" si="1"/>
        <v>0</v>
      </c>
      <c r="J64" s="86" t="e" cm="1">
        <f t="array" ref="J64">[1]!'TXYN07P18600.TF-ID,Name,Price,TotalVolume,InOutRatio'</f>
        <v>#N/A</v>
      </c>
    </row>
    <row r="65" spans="2:10" x14ac:dyDescent="0.25">
      <c r="B65" s="86" t="e" cm="1">
        <f t="array" ref="B65">[1]!'TXYN07C18650.TF-ID,Name,Price,TotalVolume,InOutRatio'</f>
        <v>#N/A</v>
      </c>
      <c r="G65" s="87">
        <f t="shared" si="0"/>
        <v>0</v>
      </c>
      <c r="H65" s="87">
        <v>18650</v>
      </c>
      <c r="I65" s="87">
        <f t="shared" si="1"/>
        <v>0</v>
      </c>
      <c r="J65" s="86" t="e" cm="1">
        <f t="array" ref="J65">[1]!'TXYN07P18650.TF-ID,Name,Price,TotalVolume,InOutRatio'</f>
        <v>#N/A</v>
      </c>
    </row>
    <row r="66" spans="2:10" x14ac:dyDescent="0.25">
      <c r="B66" s="86" t="e" cm="1">
        <f t="array" ref="B66">[1]!'TXYN07C18700.TF-ID,Name,Price,TotalVolume,InOutRatio'</f>
        <v>#N/A</v>
      </c>
      <c r="G66" s="87">
        <f t="shared" si="0"/>
        <v>0</v>
      </c>
      <c r="H66" s="87">
        <v>18700</v>
      </c>
      <c r="I66" s="87">
        <f t="shared" si="1"/>
        <v>0</v>
      </c>
      <c r="J66" s="86" t="e" cm="1">
        <f t="array" ref="J66">[1]!'TXYN07P18700.TF-ID,Name,Price,TotalVolume,InOutRatio'</f>
        <v>#N/A</v>
      </c>
    </row>
    <row r="67" spans="2:10" x14ac:dyDescent="0.25">
      <c r="B67" s="86" t="e" cm="1">
        <f t="array" ref="B67">[1]!'TXYN07C18750.TF-ID,Name,Price,TotalVolume,InOutRatio'</f>
        <v>#N/A</v>
      </c>
      <c r="G67" s="87">
        <f t="shared" ref="G67:G130" si="2">+IFERROR((F67-50)/50*E67,0)</f>
        <v>0</v>
      </c>
      <c r="H67" s="87">
        <v>18750</v>
      </c>
      <c r="I67" s="87">
        <f t="shared" ref="I67:I130" si="3">+IFERROR((N67-50)/50*M67,0)</f>
        <v>0</v>
      </c>
      <c r="J67" s="86" t="e" cm="1">
        <f t="array" ref="J67">[1]!'TXYN07P18750.TF-ID,Name,Price,TotalVolume,InOutRatio'</f>
        <v>#N/A</v>
      </c>
    </row>
    <row r="68" spans="2:10" x14ac:dyDescent="0.25">
      <c r="B68" s="86" t="e" cm="1">
        <f t="array" ref="B68">[1]!'TXYN07C18800.TF-ID,Name,Price,TotalVolume,InOutRatio'</f>
        <v>#N/A</v>
      </c>
      <c r="G68" s="87">
        <f t="shared" si="2"/>
        <v>0</v>
      </c>
      <c r="H68" s="87">
        <v>18800</v>
      </c>
      <c r="I68" s="87">
        <f t="shared" si="3"/>
        <v>0</v>
      </c>
      <c r="J68" s="86" t="e" cm="1">
        <f t="array" ref="J68">[1]!'TXYN07P18800.TF-ID,Name,Price,TotalVolume,InOutRatio'</f>
        <v>#N/A</v>
      </c>
    </row>
    <row r="69" spans="2:10" x14ac:dyDescent="0.25">
      <c r="B69" s="86" t="e" cm="1">
        <f t="array" ref="B69">[1]!'TXYN07C18850.TF-ID,Name,Price,TotalVolume,InOutRatio'</f>
        <v>#N/A</v>
      </c>
      <c r="G69" s="87">
        <f t="shared" si="2"/>
        <v>0</v>
      </c>
      <c r="H69" s="87">
        <v>18850</v>
      </c>
      <c r="I69" s="87">
        <f t="shared" si="3"/>
        <v>0</v>
      </c>
      <c r="J69" s="86" t="e" cm="1">
        <f t="array" ref="J69">[1]!'TXYN07P18850.TF-ID,Name,Price,TotalVolume,InOutRatio'</f>
        <v>#N/A</v>
      </c>
    </row>
    <row r="70" spans="2:10" x14ac:dyDescent="0.25">
      <c r="B70" s="86" t="e" cm="1">
        <f t="array" ref="B70">[1]!'TXYN07C18900.TF-ID,Name,Price,TotalVolume,InOutRatio'</f>
        <v>#N/A</v>
      </c>
      <c r="G70" s="87">
        <f t="shared" si="2"/>
        <v>0</v>
      </c>
      <c r="H70" s="87">
        <v>18900</v>
      </c>
      <c r="I70" s="87">
        <f t="shared" si="3"/>
        <v>0</v>
      </c>
      <c r="J70" s="86" t="e" cm="1">
        <f t="array" ref="J70">[1]!'TXYN07P18900.TF-ID,Name,Price,TotalVolume,InOutRatio'</f>
        <v>#N/A</v>
      </c>
    </row>
    <row r="71" spans="2:10" x14ac:dyDescent="0.25">
      <c r="B71" s="86" t="e" cm="1">
        <f t="array" ref="B71">[1]!'TXYN07C18950.TF-ID,Name,Price,TotalVolume,InOutRatio'</f>
        <v>#N/A</v>
      </c>
      <c r="G71" s="87">
        <f t="shared" si="2"/>
        <v>0</v>
      </c>
      <c r="H71" s="87">
        <v>18950</v>
      </c>
      <c r="I71" s="87">
        <f t="shared" si="3"/>
        <v>0</v>
      </c>
      <c r="J71" s="86" t="e" cm="1">
        <f t="array" ref="J71">[1]!'TXYN07P18950.TF-ID,Name,Price,TotalVolume,InOutRatio'</f>
        <v>#N/A</v>
      </c>
    </row>
    <row r="72" spans="2:10" x14ac:dyDescent="0.25">
      <c r="B72" s="86" t="e" cm="1">
        <f t="array" ref="B72">[1]!'TXYN07C19000.TF-ID,Name,Price,TotalVolume,InOutRatio'</f>
        <v>#N/A</v>
      </c>
      <c r="G72" s="87">
        <f t="shared" si="2"/>
        <v>0</v>
      </c>
      <c r="H72" s="87">
        <v>19000</v>
      </c>
      <c r="I72" s="87">
        <f t="shared" si="3"/>
        <v>0</v>
      </c>
      <c r="J72" s="86" t="e" cm="1">
        <f t="array" ref="J72">[1]!'TXYN07P19000.TF-ID,Name,Price,TotalVolume,InOutRatio'</f>
        <v>#N/A</v>
      </c>
    </row>
    <row r="73" spans="2:10" x14ac:dyDescent="0.25">
      <c r="B73" s="86" t="e" cm="1">
        <f t="array" ref="B73">[1]!'TXYN07C19050.TF-ID,Name,Price,TotalVolume,InOutRatio'</f>
        <v>#N/A</v>
      </c>
      <c r="G73" s="87">
        <f t="shared" si="2"/>
        <v>0</v>
      </c>
      <c r="H73" s="87">
        <v>19050</v>
      </c>
      <c r="I73" s="87">
        <f t="shared" si="3"/>
        <v>0</v>
      </c>
      <c r="J73" s="86" t="e" cm="1">
        <f t="array" ref="J73">[1]!'TXYN07P19050.TF-ID,Name,Price,TotalVolume,InOutRatio'</f>
        <v>#N/A</v>
      </c>
    </row>
    <row r="74" spans="2:10" x14ac:dyDescent="0.25">
      <c r="B74" s="86" t="e" cm="1">
        <f t="array" ref="B74">[1]!'TXYN07C19100.TF-ID,Name,Price,TotalVolume,InOutRatio'</f>
        <v>#N/A</v>
      </c>
      <c r="G74" s="87">
        <f t="shared" si="2"/>
        <v>0</v>
      </c>
      <c r="H74" s="87">
        <v>19100</v>
      </c>
      <c r="I74" s="87">
        <f t="shared" si="3"/>
        <v>0</v>
      </c>
      <c r="J74" s="86" t="e" cm="1">
        <f t="array" ref="J74">[1]!'TXYN07P19100.TF-ID,Name,Price,TotalVolume,InOutRatio'</f>
        <v>#N/A</v>
      </c>
    </row>
    <row r="75" spans="2:10" x14ac:dyDescent="0.25">
      <c r="B75" s="86" t="e" cm="1">
        <f t="array" ref="B75">[1]!'TXYN07C19150.TF-ID,Name,Price,TotalVolume,InOutRatio'</f>
        <v>#N/A</v>
      </c>
      <c r="G75" s="87">
        <f t="shared" si="2"/>
        <v>0</v>
      </c>
      <c r="H75" s="87">
        <v>19150</v>
      </c>
      <c r="I75" s="87">
        <f t="shared" si="3"/>
        <v>0</v>
      </c>
      <c r="J75" s="86" t="e" cm="1">
        <f t="array" ref="J75">[1]!'TXYN07P19150.TF-ID,Name,Price,TotalVolume,InOutRatio'</f>
        <v>#N/A</v>
      </c>
    </row>
    <row r="76" spans="2:10" x14ac:dyDescent="0.25">
      <c r="B76" s="86" t="e" cm="1">
        <f t="array" ref="B76">[1]!'TXYN07C19200.TF-ID,Name,Price,TotalVolume,InOutRatio'</f>
        <v>#N/A</v>
      </c>
      <c r="G76" s="87">
        <f t="shared" si="2"/>
        <v>0</v>
      </c>
      <c r="H76" s="87">
        <v>19200</v>
      </c>
      <c r="I76" s="87">
        <f t="shared" si="3"/>
        <v>0</v>
      </c>
      <c r="J76" s="86" t="e" cm="1">
        <f t="array" ref="J76">[1]!'TXYN07P19200.TF-ID,Name,Price,TotalVolume,InOutRatio'</f>
        <v>#N/A</v>
      </c>
    </row>
    <row r="77" spans="2:10" x14ac:dyDescent="0.25">
      <c r="B77" s="86" t="e" cm="1">
        <f t="array" ref="B77">[1]!'TXYN07C19250.TF-ID,Name,Price,TotalVolume,InOutRatio'</f>
        <v>#N/A</v>
      </c>
      <c r="G77" s="87">
        <f t="shared" si="2"/>
        <v>0</v>
      </c>
      <c r="H77" s="87">
        <v>19250</v>
      </c>
      <c r="I77" s="87">
        <f t="shared" si="3"/>
        <v>0</v>
      </c>
      <c r="J77" s="86" t="e" cm="1">
        <f t="array" ref="J77">[1]!'TXYN07P19250.TF-ID,Name,Price,TotalVolume,InOutRatio'</f>
        <v>#N/A</v>
      </c>
    </row>
    <row r="78" spans="2:10" x14ac:dyDescent="0.25">
      <c r="B78" s="86" t="e" cm="1">
        <f t="array" ref="B78">[1]!'TXYN07C19300.TF-ID,Name,Price,TotalVolume,InOutRatio'</f>
        <v>#N/A</v>
      </c>
      <c r="G78" s="87">
        <f t="shared" si="2"/>
        <v>0</v>
      </c>
      <c r="H78" s="87">
        <v>19300</v>
      </c>
      <c r="I78" s="87">
        <f t="shared" si="3"/>
        <v>0</v>
      </c>
      <c r="J78" s="86" t="e" cm="1">
        <f t="array" ref="J78">[1]!'TXYN07P19300.TF-ID,Name,Price,TotalVolume,InOutRatio'</f>
        <v>#N/A</v>
      </c>
    </row>
    <row r="79" spans="2:10" x14ac:dyDescent="0.25">
      <c r="B79" s="86" t="e" cm="1">
        <f t="array" ref="B79">[1]!'TXYN07C19350.TF-ID,Name,Price,TotalVolume,InOutRatio'</f>
        <v>#N/A</v>
      </c>
      <c r="G79" s="87">
        <f t="shared" si="2"/>
        <v>0</v>
      </c>
      <c r="H79" s="87">
        <v>19350</v>
      </c>
      <c r="I79" s="87">
        <f t="shared" si="3"/>
        <v>0</v>
      </c>
      <c r="J79" s="86" t="e" cm="1">
        <f t="array" ref="J79">[1]!'TXYN07P19350.TF-ID,Name,Price,TotalVolume,InOutRatio'</f>
        <v>#N/A</v>
      </c>
    </row>
    <row r="80" spans="2:10" x14ac:dyDescent="0.25">
      <c r="B80" s="86" t="e" cm="1">
        <f t="array" ref="B80">[1]!'TXYN07C19400.TF-ID,Name,Price,TotalVolume,InOutRatio'</f>
        <v>#N/A</v>
      </c>
      <c r="G80" s="87">
        <f t="shared" si="2"/>
        <v>0</v>
      </c>
      <c r="H80" s="87">
        <v>19400</v>
      </c>
      <c r="I80" s="87">
        <f t="shared" si="3"/>
        <v>0</v>
      </c>
      <c r="J80" s="86" t="e" cm="1">
        <f t="array" ref="J80">[1]!'TXYN07P19400.TF-ID,Name,Price,TotalVolume,InOutRatio'</f>
        <v>#N/A</v>
      </c>
    </row>
    <row r="81" spans="2:10" x14ac:dyDescent="0.25">
      <c r="B81" s="86" t="e" cm="1">
        <f t="array" ref="B81">[1]!'TXYN07C19450.TF-ID,Name,Price,TotalVolume,InOutRatio'</f>
        <v>#N/A</v>
      </c>
      <c r="G81" s="87">
        <f t="shared" si="2"/>
        <v>0</v>
      </c>
      <c r="H81" s="87">
        <v>19450</v>
      </c>
      <c r="I81" s="87">
        <f t="shared" si="3"/>
        <v>0</v>
      </c>
      <c r="J81" s="86" t="e" cm="1">
        <f t="array" ref="J81">[1]!'TXYN07P19450.TF-ID,Name,Price,TotalVolume,InOutRatio'</f>
        <v>#N/A</v>
      </c>
    </row>
    <row r="82" spans="2:10" x14ac:dyDescent="0.25">
      <c r="B82" s="86" t="e" cm="1">
        <f t="array" ref="B82">[1]!'TXYN07C19500.TF-ID,Name,Price,TotalVolume,InOutRatio'</f>
        <v>#N/A</v>
      </c>
      <c r="G82" s="87">
        <f t="shared" si="2"/>
        <v>0</v>
      </c>
      <c r="H82" s="87">
        <v>19500</v>
      </c>
      <c r="I82" s="87">
        <f t="shared" si="3"/>
        <v>0</v>
      </c>
      <c r="J82" s="86" t="e" cm="1">
        <f t="array" ref="J82">[1]!'TXYN07P19500.TF-ID,Name,Price,TotalVolume,InOutRatio'</f>
        <v>#N/A</v>
      </c>
    </row>
    <row r="83" spans="2:10" x14ac:dyDescent="0.25">
      <c r="B83" s="86" t="e" cm="1">
        <f t="array" ref="B83">[1]!'TXYN07C19550.TF-ID,Name,Price,TotalVolume,InOutRatio'</f>
        <v>#N/A</v>
      </c>
      <c r="G83" s="87">
        <f t="shared" si="2"/>
        <v>0</v>
      </c>
      <c r="H83" s="87">
        <v>19550</v>
      </c>
      <c r="I83" s="87">
        <f t="shared" si="3"/>
        <v>0</v>
      </c>
      <c r="J83" s="86" t="e" cm="1">
        <f t="array" ref="J83">[1]!'TXYN07P19550.TF-ID,Name,Price,TotalVolume,InOutRatio'</f>
        <v>#N/A</v>
      </c>
    </row>
    <row r="84" spans="2:10" x14ac:dyDescent="0.25">
      <c r="B84" s="86" t="e" cm="1">
        <f t="array" ref="B84">[1]!'TXYN07C19600.TF-ID,Name,Price,TotalVolume,InOutRatio'</f>
        <v>#N/A</v>
      </c>
      <c r="G84" s="87">
        <f t="shared" si="2"/>
        <v>0</v>
      </c>
      <c r="H84" s="87">
        <v>19600</v>
      </c>
      <c r="I84" s="87">
        <f t="shared" si="3"/>
        <v>0</v>
      </c>
      <c r="J84" s="86" t="e" cm="1">
        <f t="array" ref="J84">[1]!'TXYN07P19600.TF-ID,Name,Price,TotalVolume,InOutRatio'</f>
        <v>#N/A</v>
      </c>
    </row>
    <row r="85" spans="2:10" x14ac:dyDescent="0.25">
      <c r="B85" s="86" t="e" cm="1">
        <f t="array" ref="B85">[1]!'TXYN07C19650.TF-ID,Name,Price,TotalVolume,InOutRatio'</f>
        <v>#N/A</v>
      </c>
      <c r="G85" s="87">
        <f t="shared" si="2"/>
        <v>0</v>
      </c>
      <c r="H85" s="87">
        <v>19650</v>
      </c>
      <c r="I85" s="87">
        <f t="shared" si="3"/>
        <v>0</v>
      </c>
      <c r="J85" s="86" t="e" cm="1">
        <f t="array" ref="J85">[1]!'TXYN07P19650.TF-ID,Name,Price,TotalVolume,InOutRatio'</f>
        <v>#N/A</v>
      </c>
    </row>
    <row r="86" spans="2:10" x14ac:dyDescent="0.25">
      <c r="B86" s="86" t="e" cm="1">
        <f t="array" ref="B86">[1]!'TXYN07C19700.TF-ID,Name,Price,TotalVolume,InOutRatio'</f>
        <v>#N/A</v>
      </c>
      <c r="G86" s="87">
        <f t="shared" si="2"/>
        <v>0</v>
      </c>
      <c r="H86" s="87">
        <v>19700</v>
      </c>
      <c r="I86" s="87">
        <f t="shared" si="3"/>
        <v>0</v>
      </c>
      <c r="J86" s="86" t="e" cm="1">
        <f t="array" ref="J86">[1]!'TXYN07P19700.TF-ID,Name,Price,TotalVolume,InOutRatio'</f>
        <v>#N/A</v>
      </c>
    </row>
    <row r="87" spans="2:10" x14ac:dyDescent="0.25">
      <c r="B87" s="86" t="e" cm="1">
        <f t="array" ref="B87">[1]!'TXYN07C19750.TF-ID,Name,Price,TotalVolume,InOutRatio'</f>
        <v>#N/A</v>
      </c>
      <c r="G87" s="87">
        <f t="shared" si="2"/>
        <v>0</v>
      </c>
      <c r="H87" s="87">
        <v>19750</v>
      </c>
      <c r="I87" s="87">
        <f t="shared" si="3"/>
        <v>0</v>
      </c>
      <c r="J87" s="86" t="e" cm="1">
        <f t="array" ref="J87">[1]!'TXYN07P19750.TF-ID,Name,Price,TotalVolume,InOutRatio'</f>
        <v>#N/A</v>
      </c>
    </row>
    <row r="88" spans="2:10" x14ac:dyDescent="0.25">
      <c r="B88" s="86" t="e" cm="1">
        <f t="array" ref="B88">[1]!'TXYN07C19800.TF-ID,Name,Price,TotalVolume,InOutRatio'</f>
        <v>#N/A</v>
      </c>
      <c r="G88" s="87">
        <f t="shared" si="2"/>
        <v>0</v>
      </c>
      <c r="H88" s="87">
        <v>19800</v>
      </c>
      <c r="I88" s="87">
        <f t="shared" si="3"/>
        <v>0</v>
      </c>
      <c r="J88" s="86" t="e" cm="1">
        <f t="array" ref="J88">[1]!'TXYN07P19800.TF-ID,Name,Price,TotalVolume,InOutRatio'</f>
        <v>#N/A</v>
      </c>
    </row>
    <row r="89" spans="2:10" x14ac:dyDescent="0.25">
      <c r="B89" s="86" t="e" cm="1">
        <f t="array" ref="B89">[1]!'TXYN07C19850.TF-ID,Name,Price,TotalVolume,InOutRatio'</f>
        <v>#N/A</v>
      </c>
      <c r="G89" s="87">
        <f t="shared" si="2"/>
        <v>0</v>
      </c>
      <c r="H89" s="87">
        <v>19850</v>
      </c>
      <c r="I89" s="87">
        <f t="shared" si="3"/>
        <v>0</v>
      </c>
      <c r="J89" s="86" t="e" cm="1">
        <f t="array" ref="J89">[1]!'TXYN07P19850.TF-ID,Name,Price,TotalVolume,InOutRatio'</f>
        <v>#N/A</v>
      </c>
    </row>
    <row r="90" spans="2:10" x14ac:dyDescent="0.25">
      <c r="B90" s="86" t="e" cm="1">
        <f t="array" ref="B90">[1]!'TXYN07C19900.TF-ID,Name,Price,TotalVolume,InOutRatio'</f>
        <v>#N/A</v>
      </c>
      <c r="G90" s="87">
        <f t="shared" si="2"/>
        <v>0</v>
      </c>
      <c r="H90" s="87">
        <v>19900</v>
      </c>
      <c r="I90" s="87">
        <f t="shared" si="3"/>
        <v>0</v>
      </c>
      <c r="J90" s="86" t="e" cm="1">
        <f t="array" ref="J90">[1]!'TXYN07P19900.TF-ID,Name,Price,TotalVolume,InOutRatio'</f>
        <v>#N/A</v>
      </c>
    </row>
    <row r="91" spans="2:10" x14ac:dyDescent="0.25">
      <c r="B91" s="86" t="e" cm="1">
        <f t="array" ref="B91">[1]!'TXYN07C19950.TF-ID,Name,Price,TotalVolume,InOutRatio'</f>
        <v>#N/A</v>
      </c>
      <c r="G91" s="87">
        <f t="shared" si="2"/>
        <v>0</v>
      </c>
      <c r="H91" s="87">
        <v>19950</v>
      </c>
      <c r="I91" s="87">
        <f t="shared" si="3"/>
        <v>0</v>
      </c>
      <c r="J91" s="86" t="e" cm="1">
        <f t="array" ref="J91">[1]!'TXYN07P19950.TF-ID,Name,Price,TotalVolume,InOutRatio'</f>
        <v>#N/A</v>
      </c>
    </row>
    <row r="92" spans="2:10" x14ac:dyDescent="0.25">
      <c r="B92" s="86" t="e" cm="1">
        <f t="array" ref="B92">[1]!'TXYN07C20000.TF-ID,Name,Price,TotalVolume,InOutRatio'</f>
        <v>#N/A</v>
      </c>
      <c r="G92" s="87">
        <f t="shared" si="2"/>
        <v>0</v>
      </c>
      <c r="H92" s="87">
        <v>20000</v>
      </c>
      <c r="I92" s="87">
        <f t="shared" si="3"/>
        <v>0</v>
      </c>
      <c r="J92" s="86" t="e" cm="1">
        <f t="array" ref="J92">[1]!'TXYN07P20000.TF-ID,Name,Price,TotalVolume,InOutRatio'</f>
        <v>#N/A</v>
      </c>
    </row>
    <row r="93" spans="2:10" x14ac:dyDescent="0.25">
      <c r="B93" s="86" t="e" cm="1">
        <f t="array" ref="B93">[1]!'TXYN07C20050.TF-ID,Name,Price,TotalVolume,InOutRatio'</f>
        <v>#N/A</v>
      </c>
      <c r="G93" s="87">
        <f t="shared" si="2"/>
        <v>0</v>
      </c>
      <c r="H93" s="87">
        <v>20050</v>
      </c>
      <c r="I93" s="87">
        <f t="shared" si="3"/>
        <v>0</v>
      </c>
      <c r="J93" s="86" t="e" cm="1">
        <f t="array" ref="J93">[1]!'TXYN07P20050.TF-ID,Name,Price,TotalVolume,InOutRatio'</f>
        <v>#N/A</v>
      </c>
    </row>
    <row r="94" spans="2:10" x14ac:dyDescent="0.25">
      <c r="B94" s="86" t="e" cm="1">
        <f t="array" ref="B94">[1]!'TXYN07C20100.TF-ID,Name,Price,TotalVolume,InOutRatio'</f>
        <v>#N/A</v>
      </c>
      <c r="G94" s="87">
        <f t="shared" si="2"/>
        <v>0</v>
      </c>
      <c r="H94" s="87">
        <v>20100</v>
      </c>
      <c r="I94" s="87">
        <f t="shared" si="3"/>
        <v>0</v>
      </c>
      <c r="J94" s="86" t="e" cm="1">
        <f t="array" ref="J94">[1]!'TXYN07P20100.TF-ID,Name,Price,TotalVolume,InOutRatio'</f>
        <v>#N/A</v>
      </c>
    </row>
    <row r="95" spans="2:10" x14ac:dyDescent="0.25">
      <c r="B95" s="86" t="e" cm="1">
        <f t="array" ref="B95">[1]!'TXYN07C20150.TF-ID,Name,Price,TotalVolume,InOutRatio'</f>
        <v>#N/A</v>
      </c>
      <c r="G95" s="87">
        <f t="shared" si="2"/>
        <v>0</v>
      </c>
      <c r="H95" s="87">
        <v>20150</v>
      </c>
      <c r="I95" s="87">
        <f t="shared" si="3"/>
        <v>0</v>
      </c>
      <c r="J95" s="86" t="e" cm="1">
        <f t="array" ref="J95">[1]!'TXYN07P20150.TF-ID,Name,Price,TotalVolume,InOutRatio'</f>
        <v>#N/A</v>
      </c>
    </row>
    <row r="96" spans="2:10" x14ac:dyDescent="0.25">
      <c r="B96" s="86" t="e" cm="1">
        <f t="array" ref="B96">[1]!'TXYN07C20200.TF-ID,Name,Price,TotalVolume,InOutRatio'</f>
        <v>#N/A</v>
      </c>
      <c r="G96" s="87">
        <f t="shared" si="2"/>
        <v>0</v>
      </c>
      <c r="H96" s="87">
        <v>20200</v>
      </c>
      <c r="I96" s="87">
        <f t="shared" si="3"/>
        <v>0</v>
      </c>
      <c r="J96" s="86" t="e" cm="1">
        <f t="array" ref="J96">[1]!'TXYN07P20200.TF-ID,Name,Price,TotalVolume,InOutRatio'</f>
        <v>#N/A</v>
      </c>
    </row>
    <row r="97" spans="2:14" x14ac:dyDescent="0.25">
      <c r="B97" s="86" t="e" cm="1">
        <f t="array" ref="B97">[1]!'TXYN07C20250.TF-ID,Name,Price,TotalVolume,InOutRatio'</f>
        <v>#N/A</v>
      </c>
      <c r="G97" s="87">
        <f t="shared" si="2"/>
        <v>0</v>
      </c>
      <c r="H97" s="87">
        <v>20250</v>
      </c>
      <c r="I97" s="87">
        <f t="shared" si="3"/>
        <v>0</v>
      </c>
      <c r="J97" s="86" t="e" cm="1">
        <f t="array" ref="J97">[1]!'TXYN07P20250.TF-ID,Name,Price,TotalVolume,InOutRatio'</f>
        <v>#N/A</v>
      </c>
    </row>
    <row r="98" spans="2:14" x14ac:dyDescent="0.25">
      <c r="B98" s="86" t="str" cm="1">
        <f t="array" ref="B98:F98">[1]!'TXYN07C20300.TF-ID,Name,Price,TotalVolume,InOutRatio'</f>
        <v>TXYN07C20300</v>
      </c>
      <c r="C98" s="86" t="str">
        <v>台指選07F4 C 20300</v>
      </c>
      <c r="D98" s="86" t="str">
        <v>--</v>
      </c>
      <c r="E98" s="86">
        <v>0</v>
      </c>
      <c r="F98" s="86" t="str">
        <v>--</v>
      </c>
      <c r="G98" s="87">
        <f t="shared" si="2"/>
        <v>0</v>
      </c>
      <c r="H98" s="87">
        <v>20300</v>
      </c>
      <c r="I98" s="87">
        <f t="shared" si="3"/>
        <v>-1.0009999999999994</v>
      </c>
      <c r="J98" s="86" t="str" cm="1">
        <f t="array" ref="J98:N98">[1]!'TXYN07P20300.TF-ID,Name,Price,TotalVolume,InOutRatio'</f>
        <v>TXYN07P20300</v>
      </c>
      <c r="K98" s="86" t="str">
        <v>台指選07F4 P 20300</v>
      </c>
      <c r="L98" s="86">
        <v>3</v>
      </c>
      <c r="M98" s="86">
        <v>11</v>
      </c>
      <c r="N98" s="86">
        <v>45.45</v>
      </c>
    </row>
    <row r="99" spans="2:14" x14ac:dyDescent="0.25">
      <c r="B99" s="86" t="e" cm="1">
        <f t="array" ref="B99">[1]!'TXYN07C20350.TF-ID,Name,Price,TotalVolume,InOutRatio'</f>
        <v>#N/A</v>
      </c>
      <c r="G99" s="87">
        <f t="shared" si="2"/>
        <v>0</v>
      </c>
      <c r="H99" s="87">
        <v>20350</v>
      </c>
      <c r="I99" s="87">
        <f t="shared" si="3"/>
        <v>0</v>
      </c>
      <c r="J99" s="86" t="e" cm="1">
        <f t="array" ref="J99">[1]!'TXYN07P20350.TF-ID,Name,Price,TotalVolume,InOutRatio'</f>
        <v>#N/A</v>
      </c>
    </row>
    <row r="100" spans="2:14" x14ac:dyDescent="0.25">
      <c r="B100" s="86" t="str" cm="1">
        <f t="array" ref="B100:F100">[1]!'TXYN07C20400.TF-ID,Name,Price,TotalVolume,InOutRatio'</f>
        <v>TXYN07C20400</v>
      </c>
      <c r="C100" s="86" t="str">
        <v>台指選07F4 C 20400</v>
      </c>
      <c r="D100" s="86" t="str">
        <v>--</v>
      </c>
      <c r="E100" s="86">
        <v>0</v>
      </c>
      <c r="F100" s="86" t="str">
        <v>--</v>
      </c>
      <c r="G100" s="87">
        <f t="shared" si="2"/>
        <v>0</v>
      </c>
      <c r="H100" s="87">
        <v>20400</v>
      </c>
      <c r="I100" s="87">
        <f t="shared" si="3"/>
        <v>0</v>
      </c>
      <c r="J100" s="86" t="str" cm="1">
        <f t="array" ref="J100:N100">[1]!'TXYN07P20400.TF-ID,Name,Price,TotalVolume,InOutRatio'</f>
        <v>TXYN07P20400</v>
      </c>
      <c r="K100" s="86" t="str">
        <v>台指選07F4 P 20400</v>
      </c>
      <c r="L100" s="86" t="str">
        <v>--</v>
      </c>
      <c r="M100" s="86">
        <v>0</v>
      </c>
      <c r="N100" s="86" t="str">
        <v>--</v>
      </c>
    </row>
    <row r="101" spans="2:14" x14ac:dyDescent="0.25">
      <c r="B101" s="86" t="e" cm="1">
        <f t="array" ref="B101">[1]!'TXYN07C20450.TF-ID,Name,Price,TotalVolume,InOutRatio'</f>
        <v>#N/A</v>
      </c>
      <c r="G101" s="87">
        <f t="shared" si="2"/>
        <v>0</v>
      </c>
      <c r="H101" s="87">
        <v>20450</v>
      </c>
      <c r="I101" s="87">
        <f t="shared" si="3"/>
        <v>0</v>
      </c>
      <c r="J101" s="86" t="e" cm="1">
        <f t="array" ref="J101">[1]!'TXYN07P20450.TF-ID,Name,Price,TotalVolume,InOutRatio'</f>
        <v>#N/A</v>
      </c>
    </row>
    <row r="102" spans="2:14" x14ac:dyDescent="0.25">
      <c r="B102" s="86" t="str" cm="1">
        <f t="array" ref="B102:F102">[1]!'TXYN07C20500.TF-ID,Name,Price,TotalVolume,InOutRatio'</f>
        <v>TXYN07C20500</v>
      </c>
      <c r="C102" s="86" t="str">
        <v>台指選07F4 C 20500</v>
      </c>
      <c r="D102" s="86" t="str">
        <v>--</v>
      </c>
      <c r="E102" s="86">
        <v>0</v>
      </c>
      <c r="F102" s="86" t="str">
        <v>--</v>
      </c>
      <c r="G102" s="87">
        <f t="shared" si="2"/>
        <v>0</v>
      </c>
      <c r="H102" s="87">
        <v>20500</v>
      </c>
      <c r="I102" s="87">
        <f t="shared" si="3"/>
        <v>0</v>
      </c>
      <c r="J102" s="86" t="str" cm="1">
        <f t="array" ref="J102:N102">[1]!'TXYN07P20500.TF-ID,Name,Price,TotalVolume,InOutRatio'</f>
        <v>TXYN07P20500</v>
      </c>
      <c r="K102" s="86" t="str">
        <v>台指選07F4 P 20500</v>
      </c>
      <c r="L102" s="86" t="str">
        <v>--</v>
      </c>
      <c r="M102" s="86">
        <v>0</v>
      </c>
      <c r="N102" s="86" t="str">
        <v>--</v>
      </c>
    </row>
    <row r="103" spans="2:14" x14ac:dyDescent="0.25">
      <c r="B103" s="86" t="e" cm="1">
        <f t="array" ref="B103">[1]!'TXYN07C20550.TF-ID,Name,Price,TotalVolume,InOutRatio'</f>
        <v>#N/A</v>
      </c>
      <c r="G103" s="87">
        <f t="shared" si="2"/>
        <v>0</v>
      </c>
      <c r="H103" s="87">
        <v>20550</v>
      </c>
      <c r="I103" s="87">
        <f t="shared" si="3"/>
        <v>0</v>
      </c>
      <c r="J103" s="86" t="e" cm="1">
        <f t="array" ref="J103">[1]!'TXYN07P20550.TF-ID,Name,Price,TotalVolume,InOutRatio'</f>
        <v>#N/A</v>
      </c>
    </row>
    <row r="104" spans="2:14" x14ac:dyDescent="0.25">
      <c r="B104" s="86" t="str" cm="1">
        <f t="array" ref="B104:F104">[1]!'TXYN07C20600.TF-ID,Name,Price,TotalVolume,InOutRatio'</f>
        <v>TXYN07C20600</v>
      </c>
      <c r="C104" s="86" t="str">
        <v>台指選07F4 C 20600</v>
      </c>
      <c r="D104" s="86" t="str">
        <v>--</v>
      </c>
      <c r="E104" s="86">
        <v>0</v>
      </c>
      <c r="F104" s="86" t="str">
        <v>--</v>
      </c>
      <c r="G104" s="87">
        <f t="shared" si="2"/>
        <v>0</v>
      </c>
      <c r="H104" s="87">
        <v>20600</v>
      </c>
      <c r="I104" s="87">
        <f t="shared" si="3"/>
        <v>0</v>
      </c>
      <c r="J104" s="86" t="str" cm="1">
        <f t="array" ref="J104:N104">[1]!'TXYN07P20600.TF-ID,Name,Price,TotalVolume,InOutRatio'</f>
        <v>TXYN07P20600</v>
      </c>
      <c r="K104" s="86" t="str">
        <v>台指選07F4 P 20600</v>
      </c>
      <c r="L104" s="86" t="str">
        <v>--</v>
      </c>
      <c r="M104" s="86">
        <v>0</v>
      </c>
      <c r="N104" s="86" t="str">
        <v>--</v>
      </c>
    </row>
    <row r="105" spans="2:14" x14ac:dyDescent="0.25">
      <c r="B105" s="86" t="e" cm="1">
        <f t="array" ref="B105">[1]!'TXYN07C20650.TF-ID,Name,Price,TotalVolume,InOutRatio'</f>
        <v>#N/A</v>
      </c>
      <c r="G105" s="87">
        <f t="shared" si="2"/>
        <v>0</v>
      </c>
      <c r="H105" s="87">
        <v>20650</v>
      </c>
      <c r="I105" s="87">
        <f t="shared" si="3"/>
        <v>0</v>
      </c>
      <c r="J105" s="86" t="e" cm="1">
        <f t="array" ref="J105">[1]!'TXYN07P20650.TF-ID,Name,Price,TotalVolume,InOutRatio'</f>
        <v>#N/A</v>
      </c>
    </row>
    <row r="106" spans="2:14" x14ac:dyDescent="0.25">
      <c r="B106" s="86" t="str" cm="1">
        <f t="array" ref="B106:F106">[1]!'TXYN07C20700.TF-ID,Name,Price,TotalVolume,InOutRatio'</f>
        <v>TXYN07C20700</v>
      </c>
      <c r="C106" s="86" t="str">
        <v>台指選07F4 C 20700</v>
      </c>
      <c r="D106" s="86" t="str">
        <v>--</v>
      </c>
      <c r="E106" s="86">
        <v>0</v>
      </c>
      <c r="F106" s="86" t="str">
        <v>--</v>
      </c>
      <c r="G106" s="87">
        <f t="shared" si="2"/>
        <v>0</v>
      </c>
      <c r="H106" s="87">
        <v>20700</v>
      </c>
      <c r="I106" s="87">
        <f t="shared" si="3"/>
        <v>0</v>
      </c>
      <c r="J106" s="86" t="str" cm="1">
        <f t="array" ref="J106:N106">[1]!'TXYN07P20700.TF-ID,Name,Price,TotalVolume,InOutRatio'</f>
        <v>TXYN07P20700</v>
      </c>
      <c r="K106" s="86" t="str">
        <v>台指選07F4 P 20700</v>
      </c>
      <c r="L106" s="86" t="str">
        <v>--</v>
      </c>
      <c r="M106" s="86">
        <v>0</v>
      </c>
      <c r="N106" s="86" t="str">
        <v>--</v>
      </c>
    </row>
    <row r="107" spans="2:14" x14ac:dyDescent="0.25">
      <c r="B107" s="86" t="e" cm="1">
        <f t="array" ref="B107">[1]!'TXYN07C20750.TF-ID,Name,Price,TotalVolume,InOutRatio'</f>
        <v>#N/A</v>
      </c>
      <c r="G107" s="87">
        <f t="shared" si="2"/>
        <v>0</v>
      </c>
      <c r="H107" s="87">
        <v>20750</v>
      </c>
      <c r="I107" s="87">
        <f t="shared" si="3"/>
        <v>0</v>
      </c>
      <c r="J107" s="86" t="e" cm="1">
        <f t="array" ref="J107">[1]!'TXYN07P20750.TF-ID,Name,Price,TotalVolume,InOutRatio'</f>
        <v>#N/A</v>
      </c>
    </row>
    <row r="108" spans="2:14" x14ac:dyDescent="0.25">
      <c r="B108" s="86" t="str" cm="1">
        <f t="array" ref="B108:F108">[1]!'TXYN07C20800.TF-ID,Name,Price,TotalVolume,InOutRatio'</f>
        <v>TXYN07C20800</v>
      </c>
      <c r="C108" s="86" t="str">
        <v>台指選07F4 C 20800</v>
      </c>
      <c r="D108" s="86" t="str">
        <v>--</v>
      </c>
      <c r="E108" s="86">
        <v>0</v>
      </c>
      <c r="F108" s="86" t="str">
        <v>--</v>
      </c>
      <c r="G108" s="87">
        <f t="shared" si="2"/>
        <v>0</v>
      </c>
      <c r="H108" s="87">
        <v>20800</v>
      </c>
      <c r="I108" s="87">
        <f t="shared" si="3"/>
        <v>0</v>
      </c>
      <c r="J108" s="86" t="str" cm="1">
        <f t="array" ref="J108:N108">[1]!'TXYN07P20800.TF-ID,Name,Price,TotalVolume,InOutRatio'</f>
        <v>TXYN07P20800</v>
      </c>
      <c r="K108" s="86" t="str">
        <v>台指選07F4 P 20800</v>
      </c>
      <c r="L108" s="86" t="str">
        <v>--</v>
      </c>
      <c r="M108" s="86">
        <v>0</v>
      </c>
      <c r="N108" s="86" t="str">
        <v>--</v>
      </c>
    </row>
    <row r="109" spans="2:14" x14ac:dyDescent="0.25">
      <c r="B109" s="86" t="e" cm="1">
        <f t="array" ref="B109">[1]!'TXYN07C20850.TF-ID,Name,Price,TotalVolume,InOutRatio'</f>
        <v>#N/A</v>
      </c>
      <c r="G109" s="87">
        <f t="shared" si="2"/>
        <v>0</v>
      </c>
      <c r="H109" s="87">
        <v>20850</v>
      </c>
      <c r="I109" s="87">
        <f t="shared" si="3"/>
        <v>0</v>
      </c>
      <c r="J109" s="86" t="e" cm="1">
        <f t="array" ref="J109">[1]!'TXYN07P20850.TF-ID,Name,Price,TotalVolume,InOutRatio'</f>
        <v>#N/A</v>
      </c>
    </row>
    <row r="110" spans="2:14" x14ac:dyDescent="0.25">
      <c r="B110" s="86" t="str" cm="1">
        <f t="array" ref="B110:F110">[1]!'TXYN07C20900.TF-ID,Name,Price,TotalVolume,InOutRatio'</f>
        <v>TXYN07C20900</v>
      </c>
      <c r="C110" s="86" t="str">
        <v>台指選07F4 C 20900</v>
      </c>
      <c r="D110" s="86" t="str">
        <v>--</v>
      </c>
      <c r="E110" s="86">
        <v>0</v>
      </c>
      <c r="F110" s="86" t="str">
        <v>--</v>
      </c>
      <c r="G110" s="87">
        <f t="shared" si="2"/>
        <v>0</v>
      </c>
      <c r="H110" s="87">
        <v>20900</v>
      </c>
      <c r="I110" s="87">
        <f t="shared" si="3"/>
        <v>0</v>
      </c>
      <c r="J110" s="86" t="str" cm="1">
        <f t="array" ref="J110:N110">[1]!'TXYN07P20900.TF-ID,Name,Price,TotalVolume,InOutRatio'</f>
        <v>TXYN07P20900</v>
      </c>
      <c r="K110" s="86" t="str">
        <v>台指選07F4 P 20900</v>
      </c>
      <c r="L110" s="86" t="str">
        <v>--</v>
      </c>
      <c r="M110" s="86">
        <v>0</v>
      </c>
      <c r="N110" s="86" t="str">
        <v>--</v>
      </c>
    </row>
    <row r="111" spans="2:14" x14ac:dyDescent="0.25">
      <c r="B111" s="86" t="e" cm="1">
        <f t="array" ref="B111">[1]!'TXYN07C20950.TF-ID,Name,Price,TotalVolume,InOutRatio'</f>
        <v>#N/A</v>
      </c>
      <c r="G111" s="87">
        <f t="shared" si="2"/>
        <v>0</v>
      </c>
      <c r="H111" s="87">
        <v>20950</v>
      </c>
      <c r="I111" s="87">
        <f t="shared" si="3"/>
        <v>0</v>
      </c>
      <c r="J111" s="86" t="e" cm="1">
        <f t="array" ref="J111">[1]!'TXYN07P20950.TF-ID,Name,Price,TotalVolume,InOutRatio'</f>
        <v>#N/A</v>
      </c>
    </row>
    <row r="112" spans="2:14" x14ac:dyDescent="0.25">
      <c r="B112" s="86" t="str" cm="1">
        <f t="array" ref="B112:F112">[1]!'TXYN07C21000.TF-ID,Name,Price,TotalVolume,InOutRatio'</f>
        <v>TXYN07C21000</v>
      </c>
      <c r="C112" s="86" t="str">
        <v>台指選07F4 C 21000</v>
      </c>
      <c r="D112" s="86" t="str">
        <v>--</v>
      </c>
      <c r="E112" s="86">
        <v>0</v>
      </c>
      <c r="F112" s="86" t="str">
        <v>--</v>
      </c>
      <c r="G112" s="87">
        <f t="shared" si="2"/>
        <v>0</v>
      </c>
      <c r="H112" s="87">
        <v>21000</v>
      </c>
      <c r="I112" s="87">
        <f t="shared" si="3"/>
        <v>0</v>
      </c>
      <c r="J112" s="86" t="str" cm="1">
        <f t="array" ref="J112:N112">[1]!'TXYN07P21000.TF-ID,Name,Price,TotalVolume,InOutRatio'</f>
        <v>TXYN07P21000</v>
      </c>
      <c r="K112" s="86" t="str">
        <v>台指選07F4 P 21000</v>
      </c>
      <c r="L112" s="86" t="str">
        <v>--</v>
      </c>
      <c r="M112" s="86">
        <v>0</v>
      </c>
      <c r="N112" s="86" t="str">
        <v>--</v>
      </c>
    </row>
    <row r="113" spans="2:14" x14ac:dyDescent="0.25">
      <c r="B113" s="86" t="e" cm="1">
        <f t="array" ref="B113">[1]!'TXYN07C21050.TF-ID,Name,Price,TotalVolume,InOutRatio'</f>
        <v>#N/A</v>
      </c>
      <c r="G113" s="87">
        <f t="shared" si="2"/>
        <v>0</v>
      </c>
      <c r="H113" s="87">
        <v>21050</v>
      </c>
      <c r="I113" s="87">
        <f t="shared" si="3"/>
        <v>0</v>
      </c>
      <c r="J113" s="86" t="e" cm="1">
        <f t="array" ref="J113">[1]!'TXYN07P21050.TF-ID,Name,Price,TotalVolume,InOutRatio'</f>
        <v>#N/A</v>
      </c>
    </row>
    <row r="114" spans="2:14" x14ac:dyDescent="0.25">
      <c r="B114" s="86" t="str" cm="1">
        <f t="array" ref="B114:F114">[1]!'TXYN07C21100.TF-ID,Name,Price,TotalVolume,InOutRatio'</f>
        <v>TXYN07C21100</v>
      </c>
      <c r="C114" s="86" t="str">
        <v>台指選07F4 C 21100</v>
      </c>
      <c r="D114" s="86" t="str">
        <v>--</v>
      </c>
      <c r="E114" s="86">
        <v>0</v>
      </c>
      <c r="F114" s="86" t="str">
        <v>--</v>
      </c>
      <c r="G114" s="87">
        <f t="shared" si="2"/>
        <v>0</v>
      </c>
      <c r="H114" s="87">
        <v>21100</v>
      </c>
      <c r="I114" s="87">
        <f t="shared" si="3"/>
        <v>1</v>
      </c>
      <c r="J114" s="86" t="str" cm="1">
        <f t="array" ref="J114:N114">[1]!'TXYN07P21100.TF-ID,Name,Price,TotalVolume,InOutRatio'</f>
        <v>TXYN07P21100</v>
      </c>
      <c r="K114" s="86" t="str">
        <v>台指選07F4 P 21100</v>
      </c>
      <c r="L114" s="86">
        <v>7.6</v>
      </c>
      <c r="M114" s="86">
        <v>1</v>
      </c>
      <c r="N114" s="86">
        <v>100</v>
      </c>
    </row>
    <row r="115" spans="2:14" x14ac:dyDescent="0.25">
      <c r="B115" s="86" t="e" cm="1">
        <f t="array" ref="B115">[1]!'TXYN07C21150.TF-ID,Name,Price,TotalVolume,InOutRatio'</f>
        <v>#N/A</v>
      </c>
      <c r="G115" s="87">
        <f t="shared" si="2"/>
        <v>0</v>
      </c>
      <c r="H115" s="87">
        <v>21150</v>
      </c>
      <c r="I115" s="87">
        <f t="shared" si="3"/>
        <v>0</v>
      </c>
      <c r="J115" s="86" t="e" cm="1">
        <f t="array" ref="J115">[1]!'TXYN07P21150.TF-ID,Name,Price,TotalVolume,InOutRatio'</f>
        <v>#N/A</v>
      </c>
    </row>
    <row r="116" spans="2:14" x14ac:dyDescent="0.25">
      <c r="B116" s="86" t="str" cm="1">
        <f t="array" ref="B116:F116">[1]!'TXYN07C21200.TF-ID,Name,Price,TotalVolume,InOutRatio'</f>
        <v>TXYN07C21200</v>
      </c>
      <c r="C116" s="86" t="str">
        <v>台指選07F4 C 21200</v>
      </c>
      <c r="D116" s="86" t="str">
        <v>--</v>
      </c>
      <c r="E116" s="86">
        <v>0</v>
      </c>
      <c r="F116" s="86" t="str">
        <v>--</v>
      </c>
      <c r="G116" s="87">
        <f t="shared" si="2"/>
        <v>0</v>
      </c>
      <c r="H116" s="87">
        <v>21200</v>
      </c>
      <c r="I116" s="87">
        <f t="shared" si="3"/>
        <v>3</v>
      </c>
      <c r="J116" s="86" t="str" cm="1">
        <f t="array" ref="J116:N116">[1]!'TXYN07P21200.TF-ID,Name,Price,TotalVolume,InOutRatio'</f>
        <v>TXYN07P21200</v>
      </c>
      <c r="K116" s="86" t="str">
        <v>台指選07F4 P 21200</v>
      </c>
      <c r="L116" s="86">
        <v>6.2</v>
      </c>
      <c r="M116" s="86">
        <v>3</v>
      </c>
      <c r="N116" s="86">
        <v>100</v>
      </c>
    </row>
    <row r="117" spans="2:14" x14ac:dyDescent="0.25">
      <c r="B117" s="86" t="e" cm="1">
        <f t="array" ref="B117">[1]!'TXYN07C21250.TF-ID,Name,Price,TotalVolume,InOutRatio'</f>
        <v>#N/A</v>
      </c>
      <c r="G117" s="87">
        <f t="shared" si="2"/>
        <v>0</v>
      </c>
      <c r="H117" s="87">
        <v>21250</v>
      </c>
      <c r="I117" s="87">
        <f t="shared" si="3"/>
        <v>0</v>
      </c>
      <c r="J117" s="86" t="e" cm="1">
        <f t="array" ref="J117">[1]!'TXYN07P21250.TF-ID,Name,Price,TotalVolume,InOutRatio'</f>
        <v>#N/A</v>
      </c>
    </row>
    <row r="118" spans="2:14" x14ac:dyDescent="0.25">
      <c r="B118" s="86" t="str" cm="1">
        <f t="array" ref="B118:F118">[1]!'TXYN07C21300.TF-ID,Name,Price,TotalVolume,InOutRatio'</f>
        <v>TXYN07C21300</v>
      </c>
      <c r="C118" s="86" t="str">
        <v>台指選07F4 C 21300</v>
      </c>
      <c r="D118" s="86" t="str">
        <v>--</v>
      </c>
      <c r="E118" s="86">
        <v>0</v>
      </c>
      <c r="F118" s="86" t="str">
        <v>--</v>
      </c>
      <c r="G118" s="87">
        <f t="shared" si="2"/>
        <v>0</v>
      </c>
      <c r="H118" s="87">
        <v>21300</v>
      </c>
      <c r="I118" s="87">
        <f t="shared" si="3"/>
        <v>-1</v>
      </c>
      <c r="J118" s="86" t="str" cm="1">
        <f t="array" ref="J118:N118">[1]!'TXYN07P21300.TF-ID,Name,Price,TotalVolume,InOutRatio'</f>
        <v>TXYN07P21300</v>
      </c>
      <c r="K118" s="86" t="str">
        <v>台指選07F4 P 21300</v>
      </c>
      <c r="L118" s="86">
        <v>7</v>
      </c>
      <c r="M118" s="86">
        <v>1</v>
      </c>
      <c r="N118" s="86">
        <v>0</v>
      </c>
    </row>
    <row r="119" spans="2:14" x14ac:dyDescent="0.25">
      <c r="B119" s="86" t="e" cm="1">
        <f t="array" ref="B119">[1]!'TXYN07C21350.TF-ID,Name,Price,TotalVolume,InOutRatio'</f>
        <v>#N/A</v>
      </c>
      <c r="G119" s="87">
        <f t="shared" si="2"/>
        <v>0</v>
      </c>
      <c r="H119" s="87">
        <v>21350</v>
      </c>
      <c r="I119" s="87">
        <f t="shared" si="3"/>
        <v>0</v>
      </c>
      <c r="J119" s="86" t="e" cm="1">
        <f t="array" ref="J119">[1]!'TXYN07P21350.TF-ID,Name,Price,TotalVolume,InOutRatio'</f>
        <v>#N/A</v>
      </c>
    </row>
    <row r="120" spans="2:14" x14ac:dyDescent="0.25">
      <c r="B120" s="86" t="str" cm="1">
        <f t="array" ref="B120:F120">[1]!'TXYN07C21400.TF-ID,Name,Price,TotalVolume,InOutRatio'</f>
        <v>TXYN07C21400</v>
      </c>
      <c r="C120" s="86" t="str">
        <v>台指選07F4 C 21400</v>
      </c>
      <c r="D120" s="86" t="str">
        <v>--</v>
      </c>
      <c r="E120" s="86">
        <v>0</v>
      </c>
      <c r="F120" s="86" t="str">
        <v>--</v>
      </c>
      <c r="G120" s="87">
        <f t="shared" si="2"/>
        <v>0</v>
      </c>
      <c r="H120" s="87">
        <v>21400</v>
      </c>
      <c r="I120" s="87">
        <f t="shared" si="3"/>
        <v>0</v>
      </c>
      <c r="J120" s="86" t="str" cm="1">
        <f t="array" ref="J120:N120">[1]!'TXYN07P21400.TF-ID,Name,Price,TotalVolume,InOutRatio'</f>
        <v>TXYN07P21400</v>
      </c>
      <c r="K120" s="86" t="str">
        <v>台指選07F4 P 21400</v>
      </c>
      <c r="L120" s="86" t="str">
        <v>--</v>
      </c>
      <c r="M120" s="86">
        <v>0</v>
      </c>
      <c r="N120" s="86" t="str">
        <v>--</v>
      </c>
    </row>
    <row r="121" spans="2:14" x14ac:dyDescent="0.25">
      <c r="B121" s="86" t="e" cm="1">
        <f t="array" ref="B121">[1]!'TXYN07C21450.TF-ID,Name,Price,TotalVolume,InOutRatio'</f>
        <v>#N/A</v>
      </c>
      <c r="G121" s="87">
        <f t="shared" si="2"/>
        <v>0</v>
      </c>
      <c r="H121" s="87">
        <v>21450</v>
      </c>
      <c r="I121" s="87">
        <f t="shared" si="3"/>
        <v>0</v>
      </c>
      <c r="J121" s="86" t="e" cm="1">
        <f t="array" ref="J121">[1]!'TXYN07P21450.TF-ID,Name,Price,TotalVolume,InOutRatio'</f>
        <v>#N/A</v>
      </c>
    </row>
    <row r="122" spans="2:14" x14ac:dyDescent="0.25">
      <c r="B122" s="86" t="str" cm="1">
        <f t="array" ref="B122:F122">[1]!'TXYN07C21500.TF-ID,Name,Price,TotalVolume,InOutRatio'</f>
        <v>TXYN07C21500</v>
      </c>
      <c r="C122" s="86" t="str">
        <v>台指選07F4 C 21500</v>
      </c>
      <c r="D122" s="86" t="str">
        <v>--</v>
      </c>
      <c r="E122" s="86">
        <v>0</v>
      </c>
      <c r="F122" s="86" t="str">
        <v>--</v>
      </c>
      <c r="G122" s="87">
        <f t="shared" si="2"/>
        <v>0</v>
      </c>
      <c r="H122" s="87">
        <v>21500</v>
      </c>
      <c r="I122" s="87">
        <f t="shared" si="3"/>
        <v>3</v>
      </c>
      <c r="J122" s="86" t="str" cm="1">
        <f t="array" ref="J122:N122">[1]!'TXYN07P21500.TF-ID,Name,Price,TotalVolume,InOutRatio'</f>
        <v>TXYN07P21500</v>
      </c>
      <c r="K122" s="86" t="str">
        <v>台指選07F4 P 21500</v>
      </c>
      <c r="L122" s="86">
        <v>9.1</v>
      </c>
      <c r="M122" s="86">
        <v>3</v>
      </c>
      <c r="N122" s="86">
        <v>100</v>
      </c>
    </row>
    <row r="123" spans="2:14" x14ac:dyDescent="0.25">
      <c r="B123" s="86" t="e" cm="1">
        <f t="array" ref="B123">[1]!'TXYN07C21550.TF-ID,Name,Price,TotalVolume,InOutRatio'</f>
        <v>#N/A</v>
      </c>
      <c r="G123" s="87">
        <f t="shared" si="2"/>
        <v>0</v>
      </c>
      <c r="H123" s="87">
        <v>21550</v>
      </c>
      <c r="I123" s="87">
        <f t="shared" si="3"/>
        <v>0</v>
      </c>
      <c r="J123" s="86" t="e" cm="1">
        <f t="array" ref="J123">[1]!'TXYN07P21550.TF-ID,Name,Price,TotalVolume,InOutRatio'</f>
        <v>#N/A</v>
      </c>
    </row>
    <row r="124" spans="2:14" x14ac:dyDescent="0.25">
      <c r="B124" s="86" t="str" cm="1">
        <f t="array" ref="B124:F124">[1]!'TXYN07C21600.TF-ID,Name,Price,TotalVolume,InOutRatio'</f>
        <v>TXYN07C21600</v>
      </c>
      <c r="C124" s="86" t="str">
        <v>台指選07F4 C 21600</v>
      </c>
      <c r="D124" s="86" t="str">
        <v>--</v>
      </c>
      <c r="E124" s="86">
        <v>0</v>
      </c>
      <c r="F124" s="86" t="str">
        <v>--</v>
      </c>
      <c r="G124" s="87">
        <f t="shared" si="2"/>
        <v>0</v>
      </c>
      <c r="H124" s="87">
        <v>21600</v>
      </c>
      <c r="I124" s="87">
        <f t="shared" si="3"/>
        <v>10.9976</v>
      </c>
      <c r="J124" s="86" t="str" cm="1">
        <f t="array" ref="J124:N124">[1]!'TXYN07P21600.TF-ID,Name,Price,TotalVolume,InOutRatio'</f>
        <v>TXYN07P21600</v>
      </c>
      <c r="K124" s="86" t="str">
        <v>台指選07F4 P 21600</v>
      </c>
      <c r="L124" s="86">
        <v>7.5</v>
      </c>
      <c r="M124" s="86">
        <v>59</v>
      </c>
      <c r="N124" s="86">
        <v>59.32</v>
      </c>
    </row>
    <row r="125" spans="2:14" x14ac:dyDescent="0.25">
      <c r="B125" s="86" t="e" cm="1">
        <f t="array" ref="B125">[1]!'TXYN07C21650.TF-ID,Name,Price,TotalVolume,InOutRatio'</f>
        <v>#N/A</v>
      </c>
      <c r="G125" s="87">
        <f t="shared" si="2"/>
        <v>0</v>
      </c>
      <c r="H125" s="87">
        <v>21650</v>
      </c>
      <c r="I125" s="87">
        <f t="shared" si="3"/>
        <v>0</v>
      </c>
      <c r="J125" s="86" t="e" cm="1">
        <f t="array" ref="J125">[1]!'TXYN07P21650.TF-ID,Name,Price,TotalVolume,InOutRatio'</f>
        <v>#N/A</v>
      </c>
    </row>
    <row r="126" spans="2:14" x14ac:dyDescent="0.25">
      <c r="B126" s="86" t="str" cm="1">
        <f t="array" ref="B126:F126">[1]!'TXYN07C21700.TF-ID,Name,Price,TotalVolume,InOutRatio'</f>
        <v>TXYN07C21700</v>
      </c>
      <c r="C126" s="86" t="str">
        <v>台指選07F4 C 21700</v>
      </c>
      <c r="D126" s="86" t="str">
        <v>--</v>
      </c>
      <c r="E126" s="86">
        <v>0</v>
      </c>
      <c r="F126" s="86" t="str">
        <v>--</v>
      </c>
      <c r="G126" s="87">
        <f t="shared" si="2"/>
        <v>0</v>
      </c>
      <c r="H126" s="87">
        <v>21700</v>
      </c>
      <c r="I126" s="87">
        <f t="shared" si="3"/>
        <v>4</v>
      </c>
      <c r="J126" s="86" t="str" cm="1">
        <f t="array" ref="J126:N126">[1]!'TXYN07P21700.TF-ID,Name,Price,TotalVolume,InOutRatio'</f>
        <v>TXYN07P21700</v>
      </c>
      <c r="K126" s="86" t="str">
        <v>台指選07F4 P 21700</v>
      </c>
      <c r="L126" s="86">
        <v>10</v>
      </c>
      <c r="M126" s="86">
        <v>8</v>
      </c>
      <c r="N126" s="86">
        <v>75</v>
      </c>
    </row>
    <row r="127" spans="2:14" x14ac:dyDescent="0.25">
      <c r="B127" s="86" t="e" cm="1">
        <f t="array" ref="B127">[1]!'TXYN07C21750.TF-ID,Name,Price,TotalVolume,InOutRatio'</f>
        <v>#N/A</v>
      </c>
      <c r="G127" s="87">
        <f t="shared" si="2"/>
        <v>0</v>
      </c>
      <c r="H127" s="87">
        <v>21750</v>
      </c>
      <c r="I127" s="87">
        <f t="shared" si="3"/>
        <v>0</v>
      </c>
      <c r="J127" s="86" t="e" cm="1">
        <f t="array" ref="J127">[1]!'TXYN07P21750.TF-ID,Name,Price,TotalVolume,InOutRatio'</f>
        <v>#N/A</v>
      </c>
    </row>
    <row r="128" spans="2:14" x14ac:dyDescent="0.25">
      <c r="B128" s="86" t="str" cm="1">
        <f t="array" ref="B128:F128">[1]!'TXYN07C21800.TF-ID,Name,Price,TotalVolume,InOutRatio'</f>
        <v>TXYN07C21800</v>
      </c>
      <c r="C128" s="86" t="str">
        <v>台指選07F4 C 21800</v>
      </c>
      <c r="D128" s="86" t="str">
        <v>--</v>
      </c>
      <c r="E128" s="86">
        <v>0</v>
      </c>
      <c r="F128" s="86" t="str">
        <v>--</v>
      </c>
      <c r="G128" s="87">
        <f t="shared" si="2"/>
        <v>0</v>
      </c>
      <c r="H128" s="87">
        <v>21800</v>
      </c>
      <c r="I128" s="87">
        <f t="shared" si="3"/>
        <v>-133</v>
      </c>
      <c r="J128" s="86" t="str" cm="1">
        <f t="array" ref="J128:N128">[1]!'TXYN07P21800.TF-ID,Name,Price,TotalVolume,InOutRatio'</f>
        <v>TXYN07P21800</v>
      </c>
      <c r="K128" s="86" t="str">
        <v>台指選07F4 P 21800</v>
      </c>
      <c r="L128" s="86">
        <v>13</v>
      </c>
      <c r="M128" s="86">
        <v>133</v>
      </c>
      <c r="N128" s="86">
        <v>0</v>
      </c>
    </row>
    <row r="129" spans="2:14" x14ac:dyDescent="0.25">
      <c r="B129" s="86" t="e" cm="1">
        <f t="array" ref="B129">[1]!'TXYN07C21850.TF-ID,Name,Price,TotalVolume,InOutRatio'</f>
        <v>#N/A</v>
      </c>
      <c r="G129" s="87">
        <f t="shared" si="2"/>
        <v>0</v>
      </c>
      <c r="H129" s="87">
        <v>21850</v>
      </c>
      <c r="I129" s="87">
        <f t="shared" si="3"/>
        <v>0</v>
      </c>
      <c r="J129" s="86" t="e" cm="1">
        <f t="array" ref="J129">[1]!'TXYN07P21850.TF-ID,Name,Price,TotalVolume,InOutRatio'</f>
        <v>#N/A</v>
      </c>
    </row>
    <row r="130" spans="2:14" x14ac:dyDescent="0.25">
      <c r="B130" s="86" t="str" cm="1">
        <f t="array" ref="B130:F130">[1]!'TXYN07C21900.TF-ID,Name,Price,TotalVolume,InOutRatio'</f>
        <v>TXYN07C21900</v>
      </c>
      <c r="C130" s="86" t="str">
        <v>台指選07F4 C 21900</v>
      </c>
      <c r="D130" s="86" t="str">
        <v>--</v>
      </c>
      <c r="E130" s="86">
        <v>0</v>
      </c>
      <c r="F130" s="86" t="str">
        <v>--</v>
      </c>
      <c r="G130" s="87">
        <f t="shared" si="2"/>
        <v>0</v>
      </c>
      <c r="H130" s="87">
        <v>21900</v>
      </c>
      <c r="I130" s="87">
        <f t="shared" si="3"/>
        <v>24.43020000000001</v>
      </c>
      <c r="J130" s="86" t="str" cm="1">
        <f t="array" ref="J130:N130">[1]!'TXYN07P21900.TF-ID,Name,Price,TotalVolume,InOutRatio'</f>
        <v>TXYN07P21900</v>
      </c>
      <c r="K130" s="86" t="str">
        <v>台指選07F4 P 21900</v>
      </c>
      <c r="L130" s="86">
        <v>16</v>
      </c>
      <c r="M130" s="86">
        <v>57</v>
      </c>
      <c r="N130" s="86">
        <v>71.430000000000007</v>
      </c>
    </row>
    <row r="131" spans="2:14" x14ac:dyDescent="0.25">
      <c r="B131" s="86" t="str" cm="1">
        <f t="array" ref="B131:F131">[1]!'TXYN07C21950.TF-ID,Name,Price,TotalVolume,InOutRatio'</f>
        <v>TXYN07C21950</v>
      </c>
      <c r="C131" s="86" t="str">
        <v>台指選07F4 C 21950</v>
      </c>
      <c r="D131" s="86" t="str">
        <v>--</v>
      </c>
      <c r="E131" s="86">
        <v>0</v>
      </c>
      <c r="F131" s="86" t="str">
        <v>--</v>
      </c>
      <c r="G131" s="87">
        <f t="shared" ref="G131:G194" si="4">+IFERROR((F131-50)/50*E131,0)</f>
        <v>0</v>
      </c>
      <c r="H131" s="87">
        <v>21950</v>
      </c>
      <c r="I131" s="87">
        <f t="shared" ref="I131:I194" si="5">+IFERROR((N131-50)/50*M131,0)</f>
        <v>0</v>
      </c>
      <c r="J131" s="86" t="str" cm="1">
        <f t="array" ref="J131:N131">[1]!'TXYN07P21950.TF-ID,Name,Price,TotalVolume,InOutRatio'</f>
        <v>TXYN07P21950</v>
      </c>
      <c r="K131" s="86" t="str">
        <v>台指選07F4 P 21950</v>
      </c>
      <c r="L131" s="86">
        <v>16.5</v>
      </c>
      <c r="M131" s="86">
        <v>2</v>
      </c>
      <c r="N131" s="86">
        <v>50</v>
      </c>
    </row>
    <row r="132" spans="2:14" x14ac:dyDescent="0.25">
      <c r="B132" s="86" t="str" cm="1">
        <f t="array" ref="B132:F132">[1]!'TXYN07C22000.TF-ID,Name,Price,TotalVolume,InOutRatio'</f>
        <v>TXYN07C22000</v>
      </c>
      <c r="C132" s="86" t="str">
        <v>台指選07F4 C 22000</v>
      </c>
      <c r="D132" s="86" t="str">
        <v>--</v>
      </c>
      <c r="E132" s="86">
        <v>0</v>
      </c>
      <c r="F132" s="86" t="str">
        <v>--</v>
      </c>
      <c r="G132" s="87">
        <f t="shared" si="4"/>
        <v>0</v>
      </c>
      <c r="H132" s="87">
        <v>22000</v>
      </c>
      <c r="I132" s="87">
        <f t="shared" si="5"/>
        <v>117.00259999999999</v>
      </c>
      <c r="J132" s="86" t="str" cm="1">
        <f t="array" ref="J132:N132">[1]!'TXYN07P22000.TF-ID,Name,Price,TotalVolume,InOutRatio'</f>
        <v>TXYN07P22000</v>
      </c>
      <c r="K132" s="86" t="str">
        <v>台指選07F4 P 22000</v>
      </c>
      <c r="L132" s="86">
        <v>18</v>
      </c>
      <c r="M132" s="86">
        <v>143</v>
      </c>
      <c r="N132" s="86">
        <v>90.91</v>
      </c>
    </row>
    <row r="133" spans="2:14" x14ac:dyDescent="0.25">
      <c r="B133" s="86" t="str" cm="1">
        <f t="array" ref="B133:F133">[1]!'TXYN07C22050.TF-ID,Name,Price,TotalVolume,InOutRatio'</f>
        <v>TXYN07C22050</v>
      </c>
      <c r="C133" s="86" t="str">
        <v>台指選07F4 C 22050</v>
      </c>
      <c r="D133" s="86" t="str">
        <v>--</v>
      </c>
      <c r="E133" s="86">
        <v>0</v>
      </c>
      <c r="F133" s="86" t="str">
        <v>--</v>
      </c>
      <c r="G133" s="87">
        <f t="shared" si="4"/>
        <v>0</v>
      </c>
      <c r="H133" s="87">
        <v>22050</v>
      </c>
      <c r="I133" s="87">
        <f t="shared" si="5"/>
        <v>0</v>
      </c>
      <c r="J133" s="86" t="str" cm="1">
        <f t="array" ref="J133:N133">[1]!'TXYN07P22050.TF-ID,Name,Price,TotalVolume,InOutRatio'</f>
        <v>TXYN07P22050</v>
      </c>
      <c r="K133" s="86" t="str">
        <v>台指選07F4 P 22050</v>
      </c>
      <c r="L133" s="86" t="str">
        <v>--</v>
      </c>
      <c r="M133" s="86">
        <v>0</v>
      </c>
      <c r="N133" s="86" t="str">
        <v>--</v>
      </c>
    </row>
    <row r="134" spans="2:14" x14ac:dyDescent="0.25">
      <c r="B134" s="86" t="str" cm="1">
        <f t="array" ref="B134:F134">[1]!'TXYN07C22100.TF-ID,Name,Price,TotalVolume,InOutRatio'</f>
        <v>TXYN07C22100</v>
      </c>
      <c r="C134" s="86" t="str">
        <v>台指選07F4 C 22100</v>
      </c>
      <c r="D134" s="86" t="str">
        <v>--</v>
      </c>
      <c r="E134" s="86">
        <v>0</v>
      </c>
      <c r="F134" s="86" t="str">
        <v>--</v>
      </c>
      <c r="G134" s="87">
        <f t="shared" si="4"/>
        <v>0</v>
      </c>
      <c r="H134" s="87">
        <v>22100</v>
      </c>
      <c r="I134" s="87">
        <f t="shared" si="5"/>
        <v>-1.0030000000000057</v>
      </c>
      <c r="J134" s="86" t="str" cm="1">
        <f t="array" ref="J134:N134">[1]!'TXYN07P22100.TF-ID,Name,Price,TotalVolume,InOutRatio'</f>
        <v>TXYN07P22100</v>
      </c>
      <c r="K134" s="86" t="str">
        <v>台指選07F4 P 22100</v>
      </c>
      <c r="L134" s="86">
        <v>19.5</v>
      </c>
      <c r="M134" s="86">
        <v>85</v>
      </c>
      <c r="N134" s="86">
        <v>49.41</v>
      </c>
    </row>
    <row r="135" spans="2:14" x14ac:dyDescent="0.25">
      <c r="B135" s="86" t="str" cm="1">
        <f t="array" ref="B135:F135">[1]!'TXYN07C22150.TF-ID,Name,Price,TotalVolume,InOutRatio'</f>
        <v>TXYN07C22150</v>
      </c>
      <c r="C135" s="86" t="str">
        <v>台指選07F4 C 22150</v>
      </c>
      <c r="D135" s="86" t="str">
        <v>--</v>
      </c>
      <c r="E135" s="86">
        <v>0</v>
      </c>
      <c r="F135" s="86" t="str">
        <v>--</v>
      </c>
      <c r="G135" s="87">
        <f t="shared" si="4"/>
        <v>0</v>
      </c>
      <c r="H135" s="87">
        <v>22150</v>
      </c>
      <c r="I135" s="87">
        <f t="shared" si="5"/>
        <v>58.994</v>
      </c>
      <c r="J135" s="86" t="str" cm="1">
        <f t="array" ref="J135:N135">[1]!'TXYN07P22150.TF-ID,Name,Price,TotalVolume,InOutRatio'</f>
        <v>TXYN07P22150</v>
      </c>
      <c r="K135" s="86" t="str">
        <v>台指選07F4 P 22150</v>
      </c>
      <c r="L135" s="86">
        <v>21.5</v>
      </c>
      <c r="M135" s="86">
        <v>65</v>
      </c>
      <c r="N135" s="86">
        <v>95.38</v>
      </c>
    </row>
    <row r="136" spans="2:14" x14ac:dyDescent="0.25">
      <c r="B136" s="86" t="str" cm="1">
        <f t="array" ref="B136:F136">[1]!'TXYN07C22200.TF-ID,Name,Price,TotalVolume,InOutRatio'</f>
        <v>TXYN07C22200</v>
      </c>
      <c r="C136" s="86" t="str">
        <v>台指選07F4 C 22200</v>
      </c>
      <c r="D136" s="86" t="str">
        <v>--</v>
      </c>
      <c r="E136" s="86">
        <v>0</v>
      </c>
      <c r="F136" s="86" t="str">
        <v>--</v>
      </c>
      <c r="G136" s="87">
        <f t="shared" si="4"/>
        <v>0</v>
      </c>
      <c r="H136" s="87">
        <v>22200</v>
      </c>
      <c r="I136" s="87">
        <f t="shared" si="5"/>
        <v>-19.994799999999994</v>
      </c>
      <c r="J136" s="86" t="str" cm="1">
        <f t="array" ref="J136:N136">[1]!'TXYN07P22200.TF-ID,Name,Price,TotalVolume,InOutRatio'</f>
        <v>TXYN07P22200</v>
      </c>
      <c r="K136" s="86" t="str">
        <v>台指選07F4 P 22200</v>
      </c>
      <c r="L136" s="86">
        <v>21</v>
      </c>
      <c r="M136" s="86">
        <v>74</v>
      </c>
      <c r="N136" s="86">
        <v>36.49</v>
      </c>
    </row>
    <row r="137" spans="2:14" x14ac:dyDescent="0.25">
      <c r="B137" s="86" t="str" cm="1">
        <f t="array" ref="B137:F137">[1]!'TXYN07C22250.TF-ID,Name,Price,TotalVolume,InOutRatio'</f>
        <v>TXYN07C22250</v>
      </c>
      <c r="C137" s="86" t="str">
        <v>台指選07F4 C 22250</v>
      </c>
      <c r="D137" s="86" t="str">
        <v>--</v>
      </c>
      <c r="E137" s="86">
        <v>0</v>
      </c>
      <c r="F137" s="86" t="str">
        <v>--</v>
      </c>
      <c r="G137" s="87">
        <f t="shared" si="4"/>
        <v>0</v>
      </c>
      <c r="H137" s="87">
        <v>22250</v>
      </c>
      <c r="I137" s="87">
        <f t="shared" si="5"/>
        <v>-10.999000000000001</v>
      </c>
      <c r="J137" s="86" t="str" cm="1">
        <f t="array" ref="J137:N137">[1]!'TXYN07P22250.TF-ID,Name,Price,TotalVolume,InOutRatio'</f>
        <v>TXYN07P22250</v>
      </c>
      <c r="K137" s="86" t="str">
        <v>台指選07F4 P 22250</v>
      </c>
      <c r="L137" s="86">
        <v>26</v>
      </c>
      <c r="M137" s="86">
        <v>17</v>
      </c>
      <c r="N137" s="86">
        <v>17.649999999999999</v>
      </c>
    </row>
    <row r="138" spans="2:14" x14ac:dyDescent="0.25">
      <c r="B138" s="86" t="str" cm="1">
        <f t="array" ref="B138:F138">[1]!'TXYN07C22300.TF-ID,Name,Price,TotalVolume,InOutRatio'</f>
        <v>TXYN07C22300</v>
      </c>
      <c r="C138" s="86" t="str">
        <v>台指選07F4 C 22300</v>
      </c>
      <c r="D138" s="86" t="str">
        <v>--</v>
      </c>
      <c r="E138" s="86">
        <v>0</v>
      </c>
      <c r="F138" s="86" t="str">
        <v>--</v>
      </c>
      <c r="G138" s="87">
        <f t="shared" si="4"/>
        <v>0</v>
      </c>
      <c r="H138" s="87">
        <v>22300</v>
      </c>
      <c r="I138" s="87">
        <f t="shared" si="5"/>
        <v>-56.004800000000003</v>
      </c>
      <c r="J138" s="86" t="str" cm="1">
        <f t="array" ref="J138:N138">[1]!'TXYN07P22300.TF-ID,Name,Price,TotalVolume,InOutRatio'</f>
        <v>TXYN07P22300</v>
      </c>
      <c r="K138" s="86" t="str">
        <v>台指選07F4 P 22300</v>
      </c>
      <c r="L138" s="86">
        <v>26.5</v>
      </c>
      <c r="M138" s="86">
        <v>58</v>
      </c>
      <c r="N138" s="86">
        <v>1.72</v>
      </c>
    </row>
    <row r="139" spans="2:14" x14ac:dyDescent="0.25">
      <c r="B139" s="86" t="str" cm="1">
        <f t="array" ref="B139:F139">[1]!'TXYN07C22350.TF-ID,Name,Price,TotalVolume,InOutRatio'</f>
        <v>TXYN07C22350</v>
      </c>
      <c r="C139" s="86" t="str">
        <v>台指選07F4 C 22350</v>
      </c>
      <c r="D139" s="86" t="str">
        <v>--</v>
      </c>
      <c r="E139" s="86">
        <v>0</v>
      </c>
      <c r="F139" s="86" t="str">
        <v>--</v>
      </c>
      <c r="G139" s="87">
        <f t="shared" si="4"/>
        <v>0</v>
      </c>
      <c r="H139" s="87">
        <v>22350</v>
      </c>
      <c r="I139" s="87">
        <f t="shared" si="5"/>
        <v>-59.000999999999998</v>
      </c>
      <c r="J139" s="86" t="str" cm="1">
        <f t="array" ref="J139:N139">[1]!'TXYN07P22350.TF-ID,Name,Price,TotalVolume,InOutRatio'</f>
        <v>TXYN07P22350</v>
      </c>
      <c r="K139" s="86" t="str">
        <v>台指選07F4 P 22350</v>
      </c>
      <c r="L139" s="86">
        <v>25</v>
      </c>
      <c r="M139" s="86">
        <v>71</v>
      </c>
      <c r="N139" s="86">
        <v>8.4499999999999993</v>
      </c>
    </row>
    <row r="140" spans="2:14" x14ac:dyDescent="0.25">
      <c r="B140" s="86" t="str" cm="1">
        <f t="array" ref="B140:F140">[1]!'TXYN07C22400.TF-ID,Name,Price,TotalVolume,InOutRatio'</f>
        <v>TXYN07C22400</v>
      </c>
      <c r="C140" s="86" t="str">
        <v>台指選07F4 C 22400</v>
      </c>
      <c r="D140" s="86">
        <v>975</v>
      </c>
      <c r="E140" s="86">
        <v>1</v>
      </c>
      <c r="F140" s="86">
        <v>100</v>
      </c>
      <c r="G140" s="87">
        <f t="shared" si="4"/>
        <v>1</v>
      </c>
      <c r="H140" s="87">
        <v>22400</v>
      </c>
      <c r="I140" s="87">
        <f t="shared" si="5"/>
        <v>-28.995999999999999</v>
      </c>
      <c r="J140" s="86" t="str" cm="1">
        <f t="array" ref="J140:N140">[1]!'TXYN07P22400.TF-ID,Name,Price,TotalVolume,InOutRatio'</f>
        <v>TXYN07P22400</v>
      </c>
      <c r="K140" s="86" t="str">
        <v>台指選07F4 P 22400</v>
      </c>
      <c r="L140" s="86">
        <v>27</v>
      </c>
      <c r="M140" s="86">
        <v>55</v>
      </c>
      <c r="N140" s="86">
        <v>23.64</v>
      </c>
    </row>
    <row r="141" spans="2:14" x14ac:dyDescent="0.25">
      <c r="B141" s="86" t="str" cm="1">
        <f t="array" ref="B141:F141">[1]!'TXYN07C22450.TF-ID,Name,Price,TotalVolume,InOutRatio'</f>
        <v>TXYN07C22450</v>
      </c>
      <c r="C141" s="86" t="str">
        <v>台指選07F4 C 22450</v>
      </c>
      <c r="D141" s="86" t="str">
        <v>--</v>
      </c>
      <c r="E141" s="86">
        <v>0</v>
      </c>
      <c r="F141" s="86" t="str">
        <v>--</v>
      </c>
      <c r="G141" s="87">
        <f t="shared" si="4"/>
        <v>0</v>
      </c>
      <c r="H141" s="87">
        <v>22450</v>
      </c>
      <c r="I141" s="87">
        <f t="shared" si="5"/>
        <v>-1.9991999999999996</v>
      </c>
      <c r="J141" s="86" t="str" cm="1">
        <f t="array" ref="J141:N141">[1]!'TXYN07P22450.TF-ID,Name,Price,TotalVolume,InOutRatio'</f>
        <v>TXYN07P22450</v>
      </c>
      <c r="K141" s="86" t="str">
        <v>台指選07F4 P 22450</v>
      </c>
      <c r="L141" s="86">
        <v>34.5</v>
      </c>
      <c r="M141" s="86">
        <v>12</v>
      </c>
      <c r="N141" s="86">
        <v>41.67</v>
      </c>
    </row>
    <row r="142" spans="2:14" x14ac:dyDescent="0.25">
      <c r="B142" s="86" t="str" cm="1">
        <f t="array" ref="B142:F142">[1]!'TXYN07C22500.TF-ID,Name,Price,TotalVolume,InOutRatio'</f>
        <v>TXYN07C22500</v>
      </c>
      <c r="C142" s="86" t="str">
        <v>台指選07F4 C 22500</v>
      </c>
      <c r="D142" s="86" t="str">
        <v>--</v>
      </c>
      <c r="E142" s="86">
        <v>0</v>
      </c>
      <c r="F142" s="86" t="str">
        <v>--</v>
      </c>
      <c r="G142" s="87">
        <f t="shared" si="4"/>
        <v>0</v>
      </c>
      <c r="H142" s="87">
        <v>22500</v>
      </c>
      <c r="I142" s="87">
        <f t="shared" si="5"/>
        <v>21.001800000000003</v>
      </c>
      <c r="J142" s="86" t="str" cm="1">
        <f t="array" ref="J142:N142">[1]!'TXYN07P22500.TF-ID,Name,Price,TotalVolume,InOutRatio'</f>
        <v>TXYN07P22500</v>
      </c>
      <c r="K142" s="86" t="str">
        <v>台指選07F4 P 22500</v>
      </c>
      <c r="L142" s="86">
        <v>38</v>
      </c>
      <c r="M142" s="86">
        <v>51</v>
      </c>
      <c r="N142" s="86">
        <v>70.59</v>
      </c>
    </row>
    <row r="143" spans="2:14" x14ac:dyDescent="0.25">
      <c r="B143" s="86" t="str" cm="1">
        <f t="array" ref="B143:F143">[1]!'TXYN07C22550.TF-ID,Name,Price,TotalVolume,InOutRatio'</f>
        <v>TXYN07C22550</v>
      </c>
      <c r="C143" s="86" t="str">
        <v>台指選07F4 C 22550</v>
      </c>
      <c r="D143" s="86" t="str">
        <v>--</v>
      </c>
      <c r="E143" s="86">
        <v>0</v>
      </c>
      <c r="F143" s="86" t="str">
        <v>--</v>
      </c>
      <c r="G143" s="87">
        <f t="shared" si="4"/>
        <v>0</v>
      </c>
      <c r="H143" s="87">
        <v>22550</v>
      </c>
      <c r="I143" s="87">
        <f t="shared" si="5"/>
        <v>30.002400000000002</v>
      </c>
      <c r="J143" s="86" t="str" cm="1">
        <f t="array" ref="J143:N143">[1]!'TXYN07P22550.TF-ID,Name,Price,TotalVolume,InOutRatio'</f>
        <v>TXYN07P22550</v>
      </c>
      <c r="K143" s="86" t="str">
        <v>台指選07F4 P 22550</v>
      </c>
      <c r="L143" s="86">
        <v>40</v>
      </c>
      <c r="M143" s="86">
        <v>36</v>
      </c>
      <c r="N143" s="86">
        <v>91.67</v>
      </c>
    </row>
    <row r="144" spans="2:14" x14ac:dyDescent="0.25">
      <c r="B144" s="86" t="str" cm="1">
        <f t="array" ref="B144:F144">[1]!'TXYN07C22600.TF-ID,Name,Price,TotalVolume,InOutRatio'</f>
        <v>TXYN07C22600</v>
      </c>
      <c r="C144" s="86" t="str">
        <v>台指選07F4 C 22600</v>
      </c>
      <c r="D144" s="86" t="str">
        <v>--</v>
      </c>
      <c r="E144" s="86">
        <v>0</v>
      </c>
      <c r="F144" s="86" t="str">
        <v>--</v>
      </c>
      <c r="G144" s="87">
        <f t="shared" si="4"/>
        <v>0</v>
      </c>
      <c r="H144" s="87">
        <v>22600</v>
      </c>
      <c r="I144" s="87">
        <f t="shared" si="5"/>
        <v>32.174999999999997</v>
      </c>
      <c r="J144" s="86" t="str" cm="1">
        <f t="array" ref="J144:N144">[1]!'TXYN07P22600.TF-ID,Name,Price,TotalVolume,InOutRatio'</f>
        <v>TXYN07P22600</v>
      </c>
      <c r="K144" s="86" t="str">
        <v>台指選07F4 P 22600</v>
      </c>
      <c r="L144" s="86">
        <v>41.5</v>
      </c>
      <c r="M144" s="86">
        <v>55</v>
      </c>
      <c r="N144" s="86">
        <v>79.25</v>
      </c>
    </row>
    <row r="145" spans="2:14" x14ac:dyDescent="0.25">
      <c r="B145" s="86" t="str" cm="1">
        <f t="array" ref="B145:F145">[1]!'TXYN07C22650.TF-ID,Name,Price,TotalVolume,InOutRatio'</f>
        <v>TXYN07C22650</v>
      </c>
      <c r="C145" s="86" t="str">
        <v>台指選07F4 C 22650</v>
      </c>
      <c r="D145" s="86" t="str">
        <v>--</v>
      </c>
      <c r="E145" s="86">
        <v>0</v>
      </c>
      <c r="F145" s="86" t="str">
        <v>--</v>
      </c>
      <c r="G145" s="87">
        <f t="shared" si="4"/>
        <v>0</v>
      </c>
      <c r="H145" s="87">
        <v>22650</v>
      </c>
      <c r="I145" s="87">
        <f t="shared" si="5"/>
        <v>-10.999000000000001</v>
      </c>
      <c r="J145" s="86" t="str" cm="1">
        <f t="array" ref="J145:N145">[1]!'TXYN07P22650.TF-ID,Name,Price,TotalVolume,InOutRatio'</f>
        <v>TXYN07P22650</v>
      </c>
      <c r="K145" s="86" t="str">
        <v>台指選07F4 P 22650</v>
      </c>
      <c r="L145" s="86">
        <v>46</v>
      </c>
      <c r="M145" s="86">
        <v>17</v>
      </c>
      <c r="N145" s="86">
        <v>17.649999999999999</v>
      </c>
    </row>
    <row r="146" spans="2:14" x14ac:dyDescent="0.25">
      <c r="B146" s="86" t="str" cm="1">
        <f t="array" ref="B146:F146">[1]!'TXYN07C22700.TF-ID,Name,Price,TotalVolume,InOutRatio'</f>
        <v>TXYN07C22700</v>
      </c>
      <c r="C146" s="86" t="str">
        <v>台指選07F4 C 22700</v>
      </c>
      <c r="D146" s="86">
        <v>655</v>
      </c>
      <c r="E146" s="86">
        <v>3</v>
      </c>
      <c r="F146" s="86">
        <v>100</v>
      </c>
      <c r="G146" s="87">
        <f t="shared" si="4"/>
        <v>3</v>
      </c>
      <c r="H146" s="87">
        <v>22700</v>
      </c>
      <c r="I146" s="87">
        <f t="shared" si="5"/>
        <v>-105.73</v>
      </c>
      <c r="J146" s="86" t="str" cm="1">
        <f t="array" ref="J146:N146">[1]!'TXYN07P22700.TF-ID,Name,Price,TotalVolume,InOutRatio'</f>
        <v>TXYN07P22700</v>
      </c>
      <c r="K146" s="86" t="str">
        <v>台指選07F4 P 22700</v>
      </c>
      <c r="L146" s="86">
        <v>47.5</v>
      </c>
      <c r="M146" s="86">
        <v>194</v>
      </c>
      <c r="N146" s="86">
        <v>22.75</v>
      </c>
    </row>
    <row r="147" spans="2:14" x14ac:dyDescent="0.25">
      <c r="B147" s="86" t="str" cm="1">
        <f t="array" ref="B147:F147">[1]!'TXYN07C22750.TF-ID,Name,Price,TotalVolume,InOutRatio'</f>
        <v>TXYN07C22750</v>
      </c>
      <c r="C147" s="86" t="str">
        <v>台指選07F4 C 22750</v>
      </c>
      <c r="D147" s="86" t="str">
        <v>--</v>
      </c>
      <c r="E147" s="86">
        <v>0</v>
      </c>
      <c r="F147" s="86" t="str">
        <v>--</v>
      </c>
      <c r="G147" s="87">
        <f t="shared" si="4"/>
        <v>0</v>
      </c>
      <c r="H147" s="87">
        <v>22750</v>
      </c>
      <c r="I147" s="87">
        <f t="shared" si="5"/>
        <v>0</v>
      </c>
      <c r="J147" s="86" t="str" cm="1">
        <f t="array" ref="J147:N147">[1]!'TXYN07P22750.TF-ID,Name,Price,TotalVolume,InOutRatio'</f>
        <v>TXYN07P22750</v>
      </c>
      <c r="K147" s="86" t="str">
        <v>台指選07F4 P 22750</v>
      </c>
      <c r="L147" s="86">
        <v>55</v>
      </c>
      <c r="M147" s="86">
        <v>15</v>
      </c>
      <c r="N147" s="86">
        <v>50</v>
      </c>
    </row>
    <row r="148" spans="2:14" x14ac:dyDescent="0.25">
      <c r="B148" s="86" t="str" cm="1">
        <f t="array" ref="B148:F148">[1]!'TXYN07C22800.TF-ID,Name,Price,TotalVolume,InOutRatio'</f>
        <v>TXYN07C22800</v>
      </c>
      <c r="C148" s="86" t="str">
        <v>台指選07F4 C 22800</v>
      </c>
      <c r="D148" s="86" t="str">
        <v>--</v>
      </c>
      <c r="E148" s="86">
        <v>0</v>
      </c>
      <c r="F148" s="86" t="str">
        <v>--</v>
      </c>
      <c r="G148" s="87">
        <f t="shared" si="4"/>
        <v>0</v>
      </c>
      <c r="H148" s="87">
        <v>22800</v>
      </c>
      <c r="I148" s="87">
        <f t="shared" si="5"/>
        <v>-5.9976000000000012</v>
      </c>
      <c r="J148" s="86" t="str" cm="1">
        <f t="array" ref="J148:N148">[1]!'TXYN07P22800.TF-ID,Name,Price,TotalVolume,InOutRatio'</f>
        <v>TXYN07P22800</v>
      </c>
      <c r="K148" s="86" t="str">
        <v>台指選07F4 P 22800</v>
      </c>
      <c r="L148" s="86">
        <v>69</v>
      </c>
      <c r="M148" s="86">
        <v>28</v>
      </c>
      <c r="N148" s="86">
        <v>39.29</v>
      </c>
    </row>
    <row r="149" spans="2:14" x14ac:dyDescent="0.25">
      <c r="B149" s="86" t="str" cm="1">
        <f t="array" ref="B149:F149">[1]!'TXYN07C22850.TF-ID,Name,Price,TotalVolume,InOutRatio'</f>
        <v>TXYN07C22850</v>
      </c>
      <c r="C149" s="86" t="str">
        <v>台指選07F4 C 22850</v>
      </c>
      <c r="D149" s="86" t="str">
        <v>--</v>
      </c>
      <c r="E149" s="86">
        <v>0</v>
      </c>
      <c r="F149" s="86" t="str">
        <v>--</v>
      </c>
      <c r="G149" s="87">
        <f t="shared" si="4"/>
        <v>0</v>
      </c>
      <c r="H149" s="87">
        <v>22850</v>
      </c>
      <c r="I149" s="87">
        <f t="shared" si="5"/>
        <v>-2</v>
      </c>
      <c r="J149" s="86" t="str" cm="1">
        <f t="array" ref="J149:N149">[1]!'TXYN07P22850.TF-ID,Name,Price,TotalVolume,InOutRatio'</f>
        <v>TXYN07P22850</v>
      </c>
      <c r="K149" s="86" t="str">
        <v>台指選07F4 P 22850</v>
      </c>
      <c r="L149" s="86">
        <v>81</v>
      </c>
      <c r="M149" s="86">
        <v>16</v>
      </c>
      <c r="N149" s="86">
        <v>43.75</v>
      </c>
    </row>
    <row r="150" spans="2:14" x14ac:dyDescent="0.25">
      <c r="B150" s="86" t="str" cm="1">
        <f t="array" ref="B150:F150">[1]!'TXYN07C22900.TF-ID,Name,Price,TotalVolume,InOutRatio'</f>
        <v>TXYN07C22900</v>
      </c>
      <c r="C150" s="86" t="str">
        <v>台指選07F4 C 22900</v>
      </c>
      <c r="D150" s="86">
        <v>515</v>
      </c>
      <c r="E150" s="86">
        <v>5</v>
      </c>
      <c r="F150" s="86">
        <v>0</v>
      </c>
      <c r="G150" s="87">
        <f t="shared" si="4"/>
        <v>-5</v>
      </c>
      <c r="H150" s="87">
        <v>22900</v>
      </c>
      <c r="I150" s="87">
        <f t="shared" si="5"/>
        <v>-5.154399999999999</v>
      </c>
      <c r="J150" s="86" t="str" cm="1">
        <f t="array" ref="J150:N150">[1]!'TXYN07P22900.TF-ID,Name,Price,TotalVolume,InOutRatio'</f>
        <v>TXYN07P22900</v>
      </c>
      <c r="K150" s="86" t="str">
        <v>台指選07F4 P 22900</v>
      </c>
      <c r="L150" s="86">
        <v>82</v>
      </c>
      <c r="M150" s="86">
        <v>34</v>
      </c>
      <c r="N150" s="86">
        <v>42.42</v>
      </c>
    </row>
    <row r="151" spans="2:14" x14ac:dyDescent="0.25">
      <c r="B151" s="86" t="str" cm="1">
        <f t="array" ref="B151:F151">[1]!'TXYN07C22950.TF-ID,Name,Price,TotalVolume,InOutRatio'</f>
        <v>TXYN07C22950</v>
      </c>
      <c r="C151" s="86" t="str">
        <v>台指選07F4 C 22950</v>
      </c>
      <c r="D151" s="86" t="str">
        <v>--</v>
      </c>
      <c r="E151" s="86">
        <v>0</v>
      </c>
      <c r="F151" s="86" t="str">
        <v>--</v>
      </c>
      <c r="G151" s="87">
        <f t="shared" si="4"/>
        <v>0</v>
      </c>
      <c r="H151" s="87">
        <v>22950</v>
      </c>
      <c r="I151" s="87">
        <f t="shared" si="5"/>
        <v>-1.0009999999999994</v>
      </c>
      <c r="J151" s="86" t="str" cm="1">
        <f t="array" ref="J151:N151">[1]!'TXYN07P22950.TF-ID,Name,Price,TotalVolume,InOutRatio'</f>
        <v>TXYN07P22950</v>
      </c>
      <c r="K151" s="86" t="str">
        <v>台指選07F4 P 22950</v>
      </c>
      <c r="L151" s="86">
        <v>103</v>
      </c>
      <c r="M151" s="86">
        <v>11</v>
      </c>
      <c r="N151" s="86">
        <v>45.45</v>
      </c>
    </row>
    <row r="152" spans="2:14" x14ac:dyDescent="0.25">
      <c r="B152" s="86" t="str" cm="1">
        <f t="array" ref="B152:F152">[1]!'TXYN07C23000.TF-ID,Name,Price,TotalVolume,InOutRatio'</f>
        <v>TXYN07C23000</v>
      </c>
      <c r="C152" s="86" t="str">
        <v>台指選07F4 C 23000</v>
      </c>
      <c r="D152" s="86">
        <v>393</v>
      </c>
      <c r="E152" s="86">
        <v>4</v>
      </c>
      <c r="F152" s="86">
        <v>25</v>
      </c>
      <c r="G152" s="87">
        <f t="shared" si="4"/>
        <v>-2</v>
      </c>
      <c r="H152" s="87">
        <v>23000</v>
      </c>
      <c r="I152" s="87">
        <f t="shared" si="5"/>
        <v>-10.003200000000001</v>
      </c>
      <c r="J152" s="86" t="str" cm="1">
        <f t="array" ref="J152:N152">[1]!'TXYN07P23000.TF-ID,Name,Price,TotalVolume,InOutRatio'</f>
        <v>TXYN07P23000</v>
      </c>
      <c r="K152" s="86" t="str">
        <v>台指選07F4 P 23000</v>
      </c>
      <c r="L152" s="86">
        <v>109</v>
      </c>
      <c r="M152" s="86">
        <v>48</v>
      </c>
      <c r="N152" s="86">
        <v>39.58</v>
      </c>
    </row>
    <row r="153" spans="2:14" x14ac:dyDescent="0.25">
      <c r="B153" s="86" t="str" cm="1">
        <f t="array" ref="B153:F153">[1]!'TXYN07C23050.TF-ID,Name,Price,TotalVolume,InOutRatio'</f>
        <v>TXYN07C23050</v>
      </c>
      <c r="C153" s="86" t="str">
        <v>台指選07F4 C 23050</v>
      </c>
      <c r="D153" s="86" t="str">
        <v>--</v>
      </c>
      <c r="E153" s="86">
        <v>0</v>
      </c>
      <c r="F153" s="86" t="str">
        <v>--</v>
      </c>
      <c r="G153" s="87">
        <f t="shared" si="4"/>
        <v>0</v>
      </c>
      <c r="H153" s="87">
        <v>23050</v>
      </c>
      <c r="I153" s="87">
        <f t="shared" si="5"/>
        <v>6</v>
      </c>
      <c r="J153" s="86" t="str" cm="1">
        <f t="array" ref="J153:N153">[1]!'TXYN07P23050.TF-ID,Name,Price,TotalVolume,InOutRatio'</f>
        <v>TXYN07P23050</v>
      </c>
      <c r="K153" s="86" t="str">
        <v>台指選07F4 P 23050</v>
      </c>
      <c r="L153" s="86">
        <v>128</v>
      </c>
      <c r="M153" s="86">
        <v>12</v>
      </c>
      <c r="N153" s="86">
        <v>75</v>
      </c>
    </row>
    <row r="154" spans="2:14" x14ac:dyDescent="0.25">
      <c r="B154" s="86" t="str" cm="1">
        <f t="array" ref="B154:F154">[1]!'TXYN07C23100.TF-ID,Name,Price,TotalVolume,InOutRatio'</f>
        <v>TXYN07C23100</v>
      </c>
      <c r="C154" s="86" t="str">
        <v>台指選07F4 C 23100</v>
      </c>
      <c r="D154" s="86">
        <v>307</v>
      </c>
      <c r="E154" s="86">
        <v>4</v>
      </c>
      <c r="F154" s="86">
        <v>100</v>
      </c>
      <c r="G154" s="87">
        <f t="shared" si="4"/>
        <v>4</v>
      </c>
      <c r="H154" s="87">
        <v>23100</v>
      </c>
      <c r="I154" s="87">
        <f t="shared" si="5"/>
        <v>82.005600000000001</v>
      </c>
      <c r="J154" s="86" t="str" cm="1">
        <f t="array" ref="J154:N154">[1]!'TXYN07P23100.TF-ID,Name,Price,TotalVolume,InOutRatio'</f>
        <v>TXYN07P23100</v>
      </c>
      <c r="K154" s="86" t="str">
        <v>台指選07F4 P 23100</v>
      </c>
      <c r="L154" s="86">
        <v>127</v>
      </c>
      <c r="M154" s="86">
        <v>94</v>
      </c>
      <c r="N154" s="86">
        <v>93.62</v>
      </c>
    </row>
    <row r="155" spans="2:14" x14ac:dyDescent="0.25">
      <c r="B155" s="86" t="str" cm="1">
        <f t="array" ref="B155:F155">[1]!'TXYN07C23150.TF-ID,Name,Price,TotalVolume,InOutRatio'</f>
        <v>TXYN07C23150</v>
      </c>
      <c r="C155" s="86" t="str">
        <v>台指選07F4 C 23150</v>
      </c>
      <c r="D155" s="86">
        <v>280</v>
      </c>
      <c r="E155" s="86">
        <v>3</v>
      </c>
      <c r="F155" s="86">
        <v>66.67</v>
      </c>
      <c r="G155" s="87">
        <f t="shared" si="4"/>
        <v>1.0002</v>
      </c>
      <c r="H155" s="87">
        <v>23150</v>
      </c>
      <c r="I155" s="87">
        <f t="shared" si="5"/>
        <v>0</v>
      </c>
      <c r="J155" s="86" t="str" cm="1">
        <f t="array" ref="J155:N155">[1]!'TXYN07P23150.TF-ID,Name,Price,TotalVolume,InOutRatio'</f>
        <v>TXYN07P23150</v>
      </c>
      <c r="K155" s="86" t="str">
        <v>台指選07F4 P 23150</v>
      </c>
      <c r="L155" s="86">
        <v>150</v>
      </c>
      <c r="M155" s="86">
        <v>6</v>
      </c>
      <c r="N155" s="86">
        <v>50</v>
      </c>
    </row>
    <row r="156" spans="2:14" x14ac:dyDescent="0.25">
      <c r="B156" s="86" t="str" cm="1">
        <f t="array" ref="B156:F156">[1]!'TXYN07C23200.TF-ID,Name,Price,TotalVolume,InOutRatio'</f>
        <v>TXYN07C23200</v>
      </c>
      <c r="C156" s="86" t="str">
        <v>台指選07F4 C 23200</v>
      </c>
      <c r="D156" s="86">
        <v>250</v>
      </c>
      <c r="E156" s="86">
        <v>6</v>
      </c>
      <c r="F156" s="86">
        <v>33.33</v>
      </c>
      <c r="G156" s="87">
        <f t="shared" si="4"/>
        <v>-2.0004</v>
      </c>
      <c r="H156" s="87">
        <v>23200</v>
      </c>
      <c r="I156" s="87">
        <f t="shared" si="5"/>
        <v>17.005199999999991</v>
      </c>
      <c r="J156" s="86" t="str" cm="1">
        <f t="array" ref="J156:N156">[1]!'TXYN07P23200.TF-ID,Name,Price,TotalVolume,InOutRatio'</f>
        <v>TXYN07P23200</v>
      </c>
      <c r="K156" s="86" t="str">
        <v>台指選07F4 P 23200</v>
      </c>
      <c r="L156" s="86">
        <v>178</v>
      </c>
      <c r="M156" s="86">
        <v>111</v>
      </c>
      <c r="N156" s="86">
        <v>57.66</v>
      </c>
    </row>
    <row r="157" spans="2:14" x14ac:dyDescent="0.25">
      <c r="B157" s="86" t="str" cm="1">
        <f t="array" ref="B157:F157">[1]!'TXYN07C23250.TF-ID,Name,Price,TotalVolume,InOutRatio'</f>
        <v>TXYN07C23250</v>
      </c>
      <c r="C157" s="86" t="str">
        <v>台指選07F4 C 23250</v>
      </c>
      <c r="D157" s="86">
        <v>222</v>
      </c>
      <c r="E157" s="86">
        <v>31</v>
      </c>
      <c r="F157" s="86">
        <v>41.94</v>
      </c>
      <c r="G157" s="87">
        <f t="shared" si="4"/>
        <v>-4.9972000000000012</v>
      </c>
      <c r="H157" s="87">
        <v>23250</v>
      </c>
      <c r="I157" s="87">
        <f t="shared" si="5"/>
        <v>55.968799999999987</v>
      </c>
      <c r="J157" s="86" t="str" cm="1">
        <f t="array" ref="J157:N157">[1]!'TXYN07P23250.TF-ID,Name,Price,TotalVolume,InOutRatio'</f>
        <v>TXYN07P23250</v>
      </c>
      <c r="K157" s="86" t="str">
        <v>台指選07F4 P 23250</v>
      </c>
      <c r="L157" s="86">
        <v>186</v>
      </c>
      <c r="M157" s="86">
        <v>172</v>
      </c>
      <c r="N157" s="86">
        <v>66.27</v>
      </c>
    </row>
    <row r="158" spans="2:14" x14ac:dyDescent="0.25">
      <c r="B158" s="86" t="str" cm="1">
        <f t="array" ref="B158:F158">[1]!'TXYN07C23300.TF-ID,Name,Price,TotalVolume,InOutRatio'</f>
        <v>TXYN07C23300</v>
      </c>
      <c r="C158" s="86" t="str">
        <v>台指選07F4 C 23300</v>
      </c>
      <c r="D158" s="86">
        <v>192</v>
      </c>
      <c r="E158" s="86">
        <v>50</v>
      </c>
      <c r="F158" s="86">
        <v>36</v>
      </c>
      <c r="G158" s="87">
        <f t="shared" si="4"/>
        <v>-14.000000000000002</v>
      </c>
      <c r="H158" s="87">
        <v>23300</v>
      </c>
      <c r="I158" s="87">
        <f t="shared" si="5"/>
        <v>-35.001799999999996</v>
      </c>
      <c r="J158" s="86" t="str" cm="1">
        <f t="array" ref="J158:N158">[1]!'TXYN07P23300.TF-ID,Name,Price,TotalVolume,InOutRatio'</f>
        <v>TXYN07P23300</v>
      </c>
      <c r="K158" s="86" t="str">
        <v>台指選07F4 P 23300</v>
      </c>
      <c r="L158" s="86">
        <v>208</v>
      </c>
      <c r="M158" s="86">
        <v>61</v>
      </c>
      <c r="N158" s="86">
        <v>21.31</v>
      </c>
    </row>
    <row r="159" spans="2:14" x14ac:dyDescent="0.25">
      <c r="B159" s="86" t="str" cm="1">
        <f t="array" ref="B159:F159">[1]!'TXYN07C23350.TF-ID,Name,Price,TotalVolume,InOutRatio'</f>
        <v>TXYN07C23350</v>
      </c>
      <c r="C159" s="86" t="str">
        <v>台指選07F4 C 23350</v>
      </c>
      <c r="D159" s="86">
        <v>173</v>
      </c>
      <c r="E159" s="86">
        <v>48</v>
      </c>
      <c r="F159" s="86">
        <v>43.75</v>
      </c>
      <c r="G159" s="87">
        <f t="shared" si="4"/>
        <v>-6</v>
      </c>
      <c r="H159" s="87">
        <v>23350</v>
      </c>
      <c r="I159" s="87">
        <f t="shared" si="5"/>
        <v>-50.999399999999994</v>
      </c>
      <c r="J159" s="86" t="str" cm="1">
        <f t="array" ref="J159:N159">[1]!'TXYN07P23350.TF-ID,Name,Price,TotalVolume,InOutRatio'</f>
        <v>TXYN07P23350</v>
      </c>
      <c r="K159" s="86" t="str">
        <v>台指選07F4 P 23350</v>
      </c>
      <c r="L159" s="86">
        <v>248</v>
      </c>
      <c r="M159" s="86">
        <v>87</v>
      </c>
      <c r="N159" s="86">
        <v>20.69</v>
      </c>
    </row>
    <row r="160" spans="2:14" x14ac:dyDescent="0.25">
      <c r="B160" s="86" t="str" cm="1">
        <f t="array" ref="B160:F160">[1]!'TXYN07C23400.TF-ID,Name,Price,TotalVolume,InOutRatio'</f>
        <v>TXYN07C23400</v>
      </c>
      <c r="C160" s="86" t="str">
        <v>台指選07F4 C 23400</v>
      </c>
      <c r="D160" s="86">
        <v>134</v>
      </c>
      <c r="E160" s="86">
        <v>78</v>
      </c>
      <c r="F160" s="86">
        <v>14.1</v>
      </c>
      <c r="G160" s="87">
        <f t="shared" si="4"/>
        <v>-56.003999999999998</v>
      </c>
      <c r="H160" s="87">
        <v>23400</v>
      </c>
      <c r="I160" s="87">
        <f t="shared" si="5"/>
        <v>-28.001999999999999</v>
      </c>
      <c r="J160" s="86" t="str" cm="1">
        <f t="array" ref="J160:N160">[1]!'TXYN07P23400.TF-ID,Name,Price,TotalVolume,InOutRatio'</f>
        <v>TXYN07P23400</v>
      </c>
      <c r="K160" s="86" t="str">
        <v>台指選07F4 P 23400</v>
      </c>
      <c r="L160" s="86">
        <v>264</v>
      </c>
      <c r="M160" s="86">
        <v>30</v>
      </c>
      <c r="N160" s="86">
        <v>3.33</v>
      </c>
    </row>
    <row r="161" spans="2:14" x14ac:dyDescent="0.25">
      <c r="B161" s="86" t="str" cm="1">
        <f t="array" ref="B161:F161">[1]!'TXYN07C23450.TF-ID,Name,Price,TotalVolume,InOutRatio'</f>
        <v>TXYN07C23450</v>
      </c>
      <c r="C161" s="86" t="str">
        <v>台指選07F4 C 23450</v>
      </c>
      <c r="D161" s="86">
        <v>122</v>
      </c>
      <c r="E161" s="86">
        <v>65</v>
      </c>
      <c r="F161" s="86">
        <v>20</v>
      </c>
      <c r="G161" s="87">
        <f t="shared" si="4"/>
        <v>-39</v>
      </c>
      <c r="H161" s="87">
        <v>23450</v>
      </c>
      <c r="I161" s="87">
        <f t="shared" si="5"/>
        <v>30</v>
      </c>
      <c r="J161" s="86" t="str" cm="1">
        <f t="array" ref="J161:N161">[1]!'TXYN07P23450.TF-ID,Name,Price,TotalVolume,InOutRatio'</f>
        <v>TXYN07P23450</v>
      </c>
      <c r="K161" s="86" t="str">
        <v>台指選07F4 P 23450</v>
      </c>
      <c r="L161" s="86">
        <v>276</v>
      </c>
      <c r="M161" s="86">
        <v>30</v>
      </c>
      <c r="N161" s="86">
        <v>100</v>
      </c>
    </row>
    <row r="162" spans="2:14" x14ac:dyDescent="0.25">
      <c r="B162" s="86" t="str" cm="1">
        <f t="array" ref="B162:F162">[1]!'TXYN07C23500.TF-ID,Name,Price,TotalVolume,InOutRatio'</f>
        <v>TXYN07C23500</v>
      </c>
      <c r="C162" s="86" t="str">
        <v>台指選07F4 C 23500</v>
      </c>
      <c r="D162" s="86">
        <v>96</v>
      </c>
      <c r="E162" s="86">
        <v>139</v>
      </c>
      <c r="F162" s="86">
        <v>42.45</v>
      </c>
      <c r="G162" s="87">
        <f t="shared" si="4"/>
        <v>-20.98899999999999</v>
      </c>
      <c r="H162" s="87">
        <v>23500</v>
      </c>
      <c r="I162" s="87">
        <f t="shared" si="5"/>
        <v>0</v>
      </c>
      <c r="J162" s="86" t="str" cm="1">
        <f t="array" ref="J162:N162">[1]!'TXYN07P23500.TF-ID,Name,Price,TotalVolume,InOutRatio'</f>
        <v>TXYN07P23500</v>
      </c>
      <c r="K162" s="86" t="str">
        <v>台指選07F4 P 23500</v>
      </c>
      <c r="L162" s="86" t="str">
        <v>--</v>
      </c>
      <c r="M162" s="86">
        <v>0</v>
      </c>
      <c r="N162" s="86" t="str">
        <v>--</v>
      </c>
    </row>
    <row r="163" spans="2:14" x14ac:dyDescent="0.25">
      <c r="B163" s="86" t="str" cm="1">
        <f t="array" ref="B163:F163">[1]!'TXYN07C23550.TF-ID,Name,Price,TotalVolume,InOutRatio'</f>
        <v>TXYN07C23550</v>
      </c>
      <c r="C163" s="86" t="str">
        <v>台指選07F4 C 23550</v>
      </c>
      <c r="D163" s="86">
        <v>79</v>
      </c>
      <c r="E163" s="86">
        <v>123</v>
      </c>
      <c r="F163" s="86">
        <v>80.33</v>
      </c>
      <c r="G163" s="87">
        <f t="shared" si="4"/>
        <v>74.611799999999988</v>
      </c>
      <c r="H163" s="87">
        <v>23550</v>
      </c>
      <c r="I163" s="87">
        <f t="shared" si="5"/>
        <v>0</v>
      </c>
      <c r="J163" s="86" t="str" cm="1">
        <f t="array" ref="J163:N163">[1]!'TXYN07P23550.TF-ID,Name,Price,TotalVolume,InOutRatio'</f>
        <v>TXYN07P23550</v>
      </c>
      <c r="K163" s="86" t="str">
        <v>台指選07F4 P 23550</v>
      </c>
      <c r="L163" s="86" t="str">
        <v>--</v>
      </c>
      <c r="M163" s="86">
        <v>0</v>
      </c>
      <c r="N163" s="86" t="str">
        <v>--</v>
      </c>
    </row>
    <row r="164" spans="2:14" x14ac:dyDescent="0.25">
      <c r="B164" s="86" t="str" cm="1">
        <f t="array" ref="B164:F164">[1]!'TXYN07C23600.TF-ID,Name,Price,TotalVolume,InOutRatio'</f>
        <v>TXYN07C23600</v>
      </c>
      <c r="C164" s="86" t="str">
        <v>台指選07F4 C 23600</v>
      </c>
      <c r="D164" s="86">
        <v>63</v>
      </c>
      <c r="E164" s="86">
        <v>101</v>
      </c>
      <c r="F164" s="86">
        <v>11.88</v>
      </c>
      <c r="G164" s="87">
        <f t="shared" si="4"/>
        <v>-77.002399999999994</v>
      </c>
      <c r="H164" s="87">
        <v>23600</v>
      </c>
      <c r="I164" s="87">
        <f t="shared" si="5"/>
        <v>1</v>
      </c>
      <c r="J164" s="86" t="str" cm="1">
        <f t="array" ref="J164:N164">[1]!'TXYN07P23600.TF-ID,Name,Price,TotalVolume,InOutRatio'</f>
        <v>TXYN07P23600</v>
      </c>
      <c r="K164" s="86" t="str">
        <v>台指選07F4 P 23600</v>
      </c>
      <c r="L164" s="86">
        <v>355</v>
      </c>
      <c r="M164" s="86">
        <v>1</v>
      </c>
      <c r="N164" s="86">
        <v>100</v>
      </c>
    </row>
    <row r="165" spans="2:14" x14ac:dyDescent="0.25">
      <c r="B165" s="86" t="str" cm="1">
        <f t="array" ref="B165:F165">[1]!'TXYN07C23650.TF-ID,Name,Price,TotalVolume,InOutRatio'</f>
        <v>TXYN07C23650</v>
      </c>
      <c r="C165" s="86" t="str">
        <v>台指選07F4 C 23650</v>
      </c>
      <c r="D165" s="86">
        <v>48.5</v>
      </c>
      <c r="E165" s="86">
        <v>115</v>
      </c>
      <c r="F165" s="86">
        <v>34.78</v>
      </c>
      <c r="G165" s="87">
        <f t="shared" si="4"/>
        <v>-35.006</v>
      </c>
      <c r="H165" s="87">
        <v>23650</v>
      </c>
      <c r="I165" s="87">
        <f t="shared" si="5"/>
        <v>0</v>
      </c>
      <c r="J165" s="86" t="str" cm="1">
        <f t="array" ref="J165:N165">[1]!'TXYN07P23650.TF-ID,Name,Price,TotalVolume,InOutRatio'</f>
        <v>TXYN07P23650</v>
      </c>
      <c r="K165" s="86" t="str">
        <v>台指選07F4 P 23650</v>
      </c>
      <c r="L165" s="86" t="str">
        <v>--</v>
      </c>
      <c r="M165" s="86">
        <v>0</v>
      </c>
      <c r="N165" s="86" t="str">
        <v>--</v>
      </c>
    </row>
    <row r="166" spans="2:14" x14ac:dyDescent="0.25">
      <c r="B166" s="86" t="str" cm="1">
        <f t="array" ref="B166:F166">[1]!'TXYN07C23700.TF-ID,Name,Price,TotalVolume,InOutRatio'</f>
        <v>TXYN07C23700</v>
      </c>
      <c r="C166" s="86" t="str">
        <v>台指選07F4 C 23700</v>
      </c>
      <c r="D166" s="86">
        <v>45</v>
      </c>
      <c r="E166" s="86">
        <v>90</v>
      </c>
      <c r="F166" s="86">
        <v>27.78</v>
      </c>
      <c r="G166" s="87">
        <f t="shared" si="4"/>
        <v>-39.995999999999995</v>
      </c>
      <c r="H166" s="87">
        <v>23700</v>
      </c>
      <c r="I166" s="87">
        <f t="shared" si="5"/>
        <v>-2</v>
      </c>
      <c r="J166" s="86" t="str" cm="1">
        <f t="array" ref="J166:N166">[1]!'TXYN07P23700.TF-ID,Name,Price,TotalVolume,InOutRatio'</f>
        <v>TXYN07P23700</v>
      </c>
      <c r="K166" s="86" t="str">
        <v>台指選07F4 P 23700</v>
      </c>
      <c r="L166" s="86">
        <v>430</v>
      </c>
      <c r="M166" s="86">
        <v>2</v>
      </c>
      <c r="N166" s="86">
        <v>0</v>
      </c>
    </row>
    <row r="167" spans="2:14" x14ac:dyDescent="0.25">
      <c r="B167" s="86" t="str" cm="1">
        <f t="array" ref="B167:F167">[1]!'TXYN07C23750.TF-ID,Name,Price,TotalVolume,InOutRatio'</f>
        <v>TXYN07C23750</v>
      </c>
      <c r="C167" s="86" t="str">
        <v>台指選07F4 C 23750</v>
      </c>
      <c r="D167" s="86">
        <v>34.5</v>
      </c>
      <c r="E167" s="86">
        <v>166</v>
      </c>
      <c r="F167" s="86">
        <v>12.73</v>
      </c>
      <c r="G167" s="87">
        <f t="shared" si="4"/>
        <v>-123.73639999999999</v>
      </c>
      <c r="H167" s="87">
        <v>23750</v>
      </c>
      <c r="I167" s="87">
        <f t="shared" si="5"/>
        <v>0</v>
      </c>
      <c r="J167" s="86" t="str" cm="1">
        <f t="array" ref="J167:N167">[1]!'TXYN07P23750.TF-ID,Name,Price,TotalVolume,InOutRatio'</f>
        <v>TXYN07P23750</v>
      </c>
      <c r="K167" s="86" t="str">
        <v>台指選07F4 P 23750</v>
      </c>
      <c r="L167" s="86" t="str">
        <v>--</v>
      </c>
      <c r="M167" s="86">
        <v>0</v>
      </c>
      <c r="N167" s="86" t="str">
        <v>--</v>
      </c>
    </row>
    <row r="168" spans="2:14" x14ac:dyDescent="0.25">
      <c r="B168" s="86" t="str" cm="1">
        <f t="array" ref="B168:F168">[1]!'TXYN07C23800.TF-ID,Name,Price,TotalVolume,InOutRatio'</f>
        <v>TXYN07C23800</v>
      </c>
      <c r="C168" s="86" t="str">
        <v>台指選07F4 C 23800</v>
      </c>
      <c r="D168" s="86">
        <v>28</v>
      </c>
      <c r="E168" s="86">
        <v>502</v>
      </c>
      <c r="F168" s="86">
        <v>10.58</v>
      </c>
      <c r="G168" s="87">
        <f t="shared" si="4"/>
        <v>-395.77679999999998</v>
      </c>
      <c r="H168" s="87">
        <v>23800</v>
      </c>
      <c r="I168" s="87">
        <f t="shared" si="5"/>
        <v>0</v>
      </c>
      <c r="J168" s="86" t="str" cm="1">
        <f t="array" ref="J168:N168">[1]!'TXYN07P23800.TF-ID,Name,Price,TotalVolume,InOutRatio'</f>
        <v>TXYN07P23800</v>
      </c>
      <c r="K168" s="86" t="str">
        <v>台指選07F4 P 23800</v>
      </c>
      <c r="L168" s="86" t="str">
        <v>--</v>
      </c>
      <c r="M168" s="86">
        <v>0</v>
      </c>
      <c r="N168" s="86" t="str">
        <v>--</v>
      </c>
    </row>
    <row r="169" spans="2:14" x14ac:dyDescent="0.25">
      <c r="B169" s="86" t="e" cm="1">
        <f t="array" ref="B169">[1]!'TXYN07C23850.TF-ID,Name,Price,TotalVolume,InOutRatio'</f>
        <v>#N/A</v>
      </c>
      <c r="G169" s="87">
        <f t="shared" si="4"/>
        <v>0</v>
      </c>
      <c r="H169" s="87">
        <v>23850</v>
      </c>
      <c r="I169" s="87">
        <f t="shared" si="5"/>
        <v>0</v>
      </c>
      <c r="J169" s="86" t="e" cm="1">
        <f t="array" ref="J169">[1]!'TXYN07P23850.TF-ID,Name,Price,TotalVolume,InOutRatio'</f>
        <v>#N/A</v>
      </c>
    </row>
    <row r="170" spans="2:14" x14ac:dyDescent="0.25">
      <c r="B170" s="86" t="str" cm="1">
        <f t="array" ref="B170:F170">[1]!'TXYN07C23900.TF-ID,Name,Price,TotalVolume,InOutRatio'</f>
        <v>TXYN07C23900</v>
      </c>
      <c r="C170" s="86" t="str">
        <v>台指選07F4 C 23900</v>
      </c>
      <c r="D170" s="86">
        <v>18.5</v>
      </c>
      <c r="E170" s="86">
        <v>438</v>
      </c>
      <c r="F170" s="86">
        <v>14.38</v>
      </c>
      <c r="G170" s="87">
        <f t="shared" si="4"/>
        <v>-312.03119999999996</v>
      </c>
      <c r="H170" s="87">
        <v>23900</v>
      </c>
      <c r="I170" s="87">
        <f t="shared" si="5"/>
        <v>0</v>
      </c>
      <c r="J170" s="86" t="str" cm="1">
        <f t="array" ref="J170:N170">[1]!'TXYN07P23900.TF-ID,Name,Price,TotalVolume,InOutRatio'</f>
        <v>TXYN07P23900</v>
      </c>
      <c r="K170" s="86" t="str">
        <v>台指選07F4 P 23900</v>
      </c>
      <c r="L170" s="86" t="str">
        <v>--</v>
      </c>
      <c r="M170" s="86">
        <v>0</v>
      </c>
      <c r="N170" s="86" t="str">
        <v>--</v>
      </c>
    </row>
    <row r="171" spans="2:14" x14ac:dyDescent="0.25">
      <c r="B171" s="86" t="e" cm="1">
        <f t="array" ref="B171">[1]!'TXYN07C23950.TF-ID,Name,Price,TotalVolume,InOutRatio'</f>
        <v>#N/A</v>
      </c>
      <c r="G171" s="87">
        <f t="shared" si="4"/>
        <v>0</v>
      </c>
      <c r="H171" s="87">
        <v>23950</v>
      </c>
      <c r="I171" s="87">
        <f t="shared" si="5"/>
        <v>0</v>
      </c>
      <c r="J171" s="86" t="e" cm="1">
        <f t="array" ref="J171">[1]!'TXYN07P23950.TF-ID,Name,Price,TotalVolume,InOutRatio'</f>
        <v>#N/A</v>
      </c>
    </row>
    <row r="172" spans="2:14" x14ac:dyDescent="0.25">
      <c r="B172" s="86" t="str" cm="1">
        <f t="array" ref="B172:F172">[1]!'TXYN07C24000.TF-ID,Name,Price,TotalVolume,InOutRatio'</f>
        <v>TXYN07C24000</v>
      </c>
      <c r="C172" s="86" t="str">
        <v>台指選07F4 C 24000</v>
      </c>
      <c r="D172" s="86">
        <v>15</v>
      </c>
      <c r="E172" s="86">
        <v>234</v>
      </c>
      <c r="F172" s="86">
        <v>68.8</v>
      </c>
      <c r="G172" s="87">
        <f t="shared" si="4"/>
        <v>87.98399999999998</v>
      </c>
      <c r="H172" s="87">
        <v>24000</v>
      </c>
      <c r="I172" s="87">
        <f t="shared" si="5"/>
        <v>0</v>
      </c>
      <c r="J172" s="86" t="str" cm="1">
        <f t="array" ref="J172:N172">[1]!'TXYN07P24000.TF-ID,Name,Price,TotalVolume,InOutRatio'</f>
        <v>TXYN07P24000</v>
      </c>
      <c r="K172" s="86" t="str">
        <v>台指選07F4 P 24000</v>
      </c>
      <c r="L172" s="86" t="str">
        <v>--</v>
      </c>
      <c r="M172" s="86">
        <v>0</v>
      </c>
      <c r="N172" s="86" t="str">
        <v>--</v>
      </c>
    </row>
    <row r="173" spans="2:14" x14ac:dyDescent="0.25">
      <c r="B173" s="86" t="e" cm="1">
        <f t="array" ref="B173">[1]!'TXYN07C24050.TF-ID,Name,Price,TotalVolume,InOutRatio'</f>
        <v>#N/A</v>
      </c>
      <c r="G173" s="87">
        <f t="shared" si="4"/>
        <v>0</v>
      </c>
      <c r="H173" s="87">
        <v>24050</v>
      </c>
      <c r="I173" s="87">
        <f t="shared" si="5"/>
        <v>0</v>
      </c>
      <c r="J173" s="86" t="e" cm="1">
        <f t="array" ref="J173">[1]!'TXYN07P24050.TF-ID,Name,Price,TotalVolume,InOutRatio'</f>
        <v>#N/A</v>
      </c>
    </row>
    <row r="174" spans="2:14" x14ac:dyDescent="0.25">
      <c r="B174" s="86" t="str" cm="1">
        <f t="array" ref="B174:F174">[1]!'TXYN07C24100.TF-ID,Name,Price,TotalVolume,InOutRatio'</f>
        <v>TXYN07C24100</v>
      </c>
      <c r="C174" s="86" t="str">
        <v>台指選07F4 C 24100</v>
      </c>
      <c r="D174" s="86">
        <v>8</v>
      </c>
      <c r="E174" s="86">
        <v>87</v>
      </c>
      <c r="F174" s="86">
        <v>36.78</v>
      </c>
      <c r="G174" s="87">
        <f t="shared" si="4"/>
        <v>-23.002799999999997</v>
      </c>
      <c r="H174" s="87">
        <v>24100</v>
      </c>
      <c r="I174" s="87">
        <f t="shared" si="5"/>
        <v>0</v>
      </c>
      <c r="J174" s="86" t="str" cm="1">
        <f t="array" ref="J174:N174">[1]!'TXYN07P24100.TF-ID,Name,Price,TotalVolume,InOutRatio'</f>
        <v>TXYN07P24100</v>
      </c>
      <c r="K174" s="86" t="str">
        <v>台指選07F4 P 24100</v>
      </c>
      <c r="L174" s="86" t="str">
        <v>--</v>
      </c>
      <c r="M174" s="86">
        <v>0</v>
      </c>
      <c r="N174" s="86" t="str">
        <v>--</v>
      </c>
    </row>
    <row r="175" spans="2:14" x14ac:dyDescent="0.25">
      <c r="B175" s="86" t="e" cm="1">
        <f t="array" ref="B175">[1]!'TXYN07C24150.TF-ID,Name,Price,TotalVolume,InOutRatio'</f>
        <v>#N/A</v>
      </c>
      <c r="G175" s="87">
        <f t="shared" si="4"/>
        <v>0</v>
      </c>
      <c r="H175" s="87">
        <v>24150</v>
      </c>
      <c r="I175" s="87">
        <f t="shared" si="5"/>
        <v>0</v>
      </c>
      <c r="J175" s="86" t="e" cm="1">
        <f t="array" ref="J175">[1]!'TXYN07P24150.TF-ID,Name,Price,TotalVolume,InOutRatio'</f>
        <v>#N/A</v>
      </c>
    </row>
    <row r="176" spans="2:14" x14ac:dyDescent="0.25">
      <c r="B176" s="86" t="str" cm="1">
        <f t="array" ref="B176:F176">[1]!'TXYN07C24200.TF-ID,Name,Price,TotalVolume,InOutRatio'</f>
        <v>TXYN07C24200</v>
      </c>
      <c r="C176" s="86" t="str">
        <v>台指選07F4 C 24200</v>
      </c>
      <c r="D176" s="86">
        <v>4.5</v>
      </c>
      <c r="E176" s="86">
        <v>117</v>
      </c>
      <c r="F176" s="86">
        <v>34.86</v>
      </c>
      <c r="G176" s="87">
        <f t="shared" si="4"/>
        <v>-35.427599999999998</v>
      </c>
      <c r="H176" s="87">
        <v>24200</v>
      </c>
      <c r="I176" s="87">
        <f t="shared" si="5"/>
        <v>0</v>
      </c>
      <c r="J176" s="86" t="str" cm="1">
        <f t="array" ref="J176:N176">[1]!'TXYN07P24200.TF-ID,Name,Price,TotalVolume,InOutRatio'</f>
        <v>TXYN07P24200</v>
      </c>
      <c r="K176" s="86" t="str">
        <v>台指選07F4 P 24200</v>
      </c>
      <c r="L176" s="86" t="str">
        <v>--</v>
      </c>
      <c r="M176" s="86">
        <v>0</v>
      </c>
      <c r="N176" s="86" t="str">
        <v>--</v>
      </c>
    </row>
    <row r="177" spans="2:14" x14ac:dyDescent="0.25">
      <c r="B177" s="86" t="e" cm="1">
        <f t="array" ref="B177">[1]!'TXYN07C24250.TF-ID,Name,Price,TotalVolume,InOutRatio'</f>
        <v>#N/A</v>
      </c>
      <c r="G177" s="87">
        <f t="shared" si="4"/>
        <v>0</v>
      </c>
      <c r="H177" s="87">
        <v>24250</v>
      </c>
      <c r="I177" s="87">
        <f t="shared" si="5"/>
        <v>0</v>
      </c>
      <c r="J177" s="86" t="e" cm="1">
        <f t="array" ref="J177">[1]!'TXYN07P24250.TF-ID,Name,Price,TotalVolume,InOutRatio'</f>
        <v>#N/A</v>
      </c>
    </row>
    <row r="178" spans="2:14" x14ac:dyDescent="0.25">
      <c r="B178" s="86" t="str" cm="1">
        <f t="array" ref="B178:F178">[1]!'TXYN07C24300.TF-ID,Name,Price,TotalVolume,InOutRatio'</f>
        <v>TXYN07C24300</v>
      </c>
      <c r="C178" s="86" t="str">
        <v>台指選07F4 C 24300</v>
      </c>
      <c r="D178" s="86">
        <v>4.5</v>
      </c>
      <c r="E178" s="86">
        <v>22</v>
      </c>
      <c r="F178" s="86">
        <v>63.64</v>
      </c>
      <c r="G178" s="87">
        <f t="shared" si="4"/>
        <v>6.0015999999999998</v>
      </c>
      <c r="H178" s="87">
        <v>24300</v>
      </c>
      <c r="I178" s="87">
        <f t="shared" si="5"/>
        <v>0</v>
      </c>
      <c r="J178" s="86" t="str" cm="1">
        <f t="array" ref="J178:N178">[1]!'TXYN07P24300.TF-ID,Name,Price,TotalVolume,InOutRatio'</f>
        <v>TXYN07P24300</v>
      </c>
      <c r="K178" s="86" t="str">
        <v>台指選07F4 P 24300</v>
      </c>
      <c r="L178" s="86" t="str">
        <v>--</v>
      </c>
      <c r="M178" s="86">
        <v>0</v>
      </c>
      <c r="N178" s="86" t="str">
        <v>--</v>
      </c>
    </row>
    <row r="179" spans="2:14" x14ac:dyDescent="0.25">
      <c r="B179" s="86" t="e" cm="1">
        <f t="array" ref="B179">[1]!'TXYN07C24350.TF-ID,Name,Price,TotalVolume,InOutRatio'</f>
        <v>#N/A</v>
      </c>
      <c r="G179" s="87">
        <f t="shared" si="4"/>
        <v>0</v>
      </c>
      <c r="H179" s="87">
        <v>24350</v>
      </c>
      <c r="I179" s="87">
        <f t="shared" si="5"/>
        <v>0</v>
      </c>
      <c r="J179" s="86" t="e" cm="1">
        <f t="array" ref="J179">[1]!'TXYN07P24350.TF-ID,Name,Price,TotalVolume,InOutRatio'</f>
        <v>#N/A</v>
      </c>
    </row>
    <row r="180" spans="2:14" x14ac:dyDescent="0.25">
      <c r="B180" s="86" t="str" cm="1">
        <f t="array" ref="B180:F180">[1]!'TXYN07C24400.TF-ID,Name,Price,TotalVolume,InOutRatio'</f>
        <v>TXYN07C24400</v>
      </c>
      <c r="C180" s="86" t="str">
        <v>台指選07F4 C 24400</v>
      </c>
      <c r="D180" s="86">
        <v>3</v>
      </c>
      <c r="E180" s="86">
        <v>8</v>
      </c>
      <c r="F180" s="86">
        <v>62.5</v>
      </c>
      <c r="G180" s="87">
        <f t="shared" si="4"/>
        <v>2</v>
      </c>
      <c r="H180" s="87">
        <v>24400</v>
      </c>
      <c r="I180" s="87">
        <f t="shared" si="5"/>
        <v>0</v>
      </c>
      <c r="J180" s="86" t="str" cm="1">
        <f t="array" ref="J180:N180">[1]!'TXYN07P24400.TF-ID,Name,Price,TotalVolume,InOutRatio'</f>
        <v>TXYN07P24400</v>
      </c>
      <c r="K180" s="86" t="str">
        <v>台指選07F4 P 24400</v>
      </c>
      <c r="L180" s="86" t="str">
        <v>--</v>
      </c>
      <c r="M180" s="86">
        <v>0</v>
      </c>
      <c r="N180" s="86" t="str">
        <v>--</v>
      </c>
    </row>
    <row r="181" spans="2:14" x14ac:dyDescent="0.25">
      <c r="B181" s="86" t="e" cm="1">
        <f t="array" ref="B181">[1]!'TXYN07C24450.TF-ID,Name,Price,TotalVolume,InOutRatio'</f>
        <v>#N/A</v>
      </c>
      <c r="G181" s="87">
        <f t="shared" si="4"/>
        <v>0</v>
      </c>
      <c r="H181" s="87">
        <v>24450</v>
      </c>
      <c r="I181" s="87">
        <f t="shared" si="5"/>
        <v>0</v>
      </c>
      <c r="J181" s="86" t="e" cm="1">
        <f t="array" ref="J181">[1]!'TXYN07P24450.TF-ID,Name,Price,TotalVolume,InOutRatio'</f>
        <v>#N/A</v>
      </c>
    </row>
    <row r="182" spans="2:14" x14ac:dyDescent="0.25">
      <c r="B182" s="86" t="str" cm="1">
        <f t="array" ref="B182:F182">[1]!'TXYN07C24500.TF-ID,Name,Price,TotalVolume,InOutRatio'</f>
        <v>TXYN07C24500</v>
      </c>
      <c r="C182" s="86" t="str">
        <v>台指選07F4 C 24500</v>
      </c>
      <c r="D182" s="86">
        <v>5.8</v>
      </c>
      <c r="E182" s="86">
        <v>1</v>
      </c>
      <c r="F182" s="86">
        <v>100</v>
      </c>
      <c r="G182" s="87">
        <f t="shared" si="4"/>
        <v>1</v>
      </c>
      <c r="H182" s="87">
        <v>24500</v>
      </c>
      <c r="I182" s="87">
        <f t="shared" si="5"/>
        <v>0</v>
      </c>
      <c r="J182" s="86" t="str" cm="1">
        <f t="array" ref="J182:N182">[1]!'TXYN07P24500.TF-ID,Name,Price,TotalVolume,InOutRatio'</f>
        <v>TXYN07P24500</v>
      </c>
      <c r="K182" s="86" t="str">
        <v>台指選07F4 P 24500</v>
      </c>
      <c r="L182" s="86" t="str">
        <v>--</v>
      </c>
      <c r="M182" s="86">
        <v>0</v>
      </c>
      <c r="N182" s="86" t="str">
        <v>--</v>
      </c>
    </row>
    <row r="183" spans="2:14" x14ac:dyDescent="0.25">
      <c r="B183" s="86" t="e" cm="1">
        <f t="array" ref="B183">[1]!'TXYN07C24550.TF-ID,Name,Price,TotalVolume,InOutRatio'</f>
        <v>#N/A</v>
      </c>
      <c r="G183" s="87">
        <f t="shared" si="4"/>
        <v>0</v>
      </c>
      <c r="H183" s="87">
        <v>24550</v>
      </c>
      <c r="I183" s="87">
        <f t="shared" si="5"/>
        <v>0</v>
      </c>
      <c r="J183" s="86" t="e" cm="1">
        <f t="array" ref="J183">[1]!'TXYN07P24550.TF-ID,Name,Price,TotalVolume,InOutRatio'</f>
        <v>#N/A</v>
      </c>
    </row>
    <row r="184" spans="2:14" x14ac:dyDescent="0.25">
      <c r="B184" s="86" t="str" cm="1">
        <f t="array" ref="B184:F184">[1]!'TXYN07C24600.TF-ID,Name,Price,TotalVolume,InOutRatio'</f>
        <v>TXYN07C24600</v>
      </c>
      <c r="C184" s="86" t="str">
        <v>台指選07F4 C 24600</v>
      </c>
      <c r="D184" s="86">
        <v>3</v>
      </c>
      <c r="E184" s="86">
        <v>27</v>
      </c>
      <c r="F184" s="86">
        <v>30.77</v>
      </c>
      <c r="G184" s="87">
        <f t="shared" si="4"/>
        <v>-10.3842</v>
      </c>
      <c r="H184" s="87">
        <v>24600</v>
      </c>
      <c r="I184" s="87">
        <f t="shared" si="5"/>
        <v>0</v>
      </c>
      <c r="J184" s="86" t="str" cm="1">
        <f t="array" ref="J184:N184">[1]!'TXYN07P24600.TF-ID,Name,Price,TotalVolume,InOutRatio'</f>
        <v>TXYN07P24600</v>
      </c>
      <c r="K184" s="86" t="str">
        <v>台指選07F4 P 24600</v>
      </c>
      <c r="L184" s="86" t="str">
        <v>--</v>
      </c>
      <c r="M184" s="86">
        <v>0</v>
      </c>
      <c r="N184" s="86" t="str">
        <v>--</v>
      </c>
    </row>
    <row r="185" spans="2:14" x14ac:dyDescent="0.25">
      <c r="B185" s="86" t="e" cm="1">
        <f t="array" ref="B185">[1]!'TXYN07C24650.TF-ID,Name,Price,TotalVolume,InOutRatio'</f>
        <v>#N/A</v>
      </c>
      <c r="G185" s="87">
        <f t="shared" si="4"/>
        <v>0</v>
      </c>
      <c r="H185" s="87">
        <v>24650</v>
      </c>
      <c r="I185" s="87">
        <f t="shared" si="5"/>
        <v>0</v>
      </c>
      <c r="J185" s="86" t="e" cm="1">
        <f t="array" ref="J185">[1]!'TXYN07P24650.TF-ID,Name,Price,TotalVolume,InOutRatio'</f>
        <v>#N/A</v>
      </c>
    </row>
    <row r="186" spans="2:14" x14ac:dyDescent="0.25">
      <c r="B186" s="86" t="str" cm="1">
        <f t="array" ref="B186:F186">[1]!'TXYN07C24700.TF-ID,Name,Price,TotalVolume,InOutRatio'</f>
        <v>TXYN07C24700</v>
      </c>
      <c r="C186" s="86" t="str">
        <v>台指選07F4 C 24700</v>
      </c>
      <c r="D186" s="86">
        <v>1.3</v>
      </c>
      <c r="E186" s="86">
        <v>24</v>
      </c>
      <c r="F186" s="86">
        <v>100</v>
      </c>
      <c r="G186" s="87">
        <f t="shared" si="4"/>
        <v>24</v>
      </c>
      <c r="H186" s="87">
        <v>24700</v>
      </c>
      <c r="I186" s="87">
        <f t="shared" si="5"/>
        <v>0</v>
      </c>
      <c r="J186" s="86" t="str" cm="1">
        <f t="array" ref="J186:N186">[1]!'TXYN07P24700.TF-ID,Name,Price,TotalVolume,InOutRatio'</f>
        <v>TXYN07P24700</v>
      </c>
      <c r="K186" s="86" t="str">
        <v>台指選07F4 P 24700</v>
      </c>
      <c r="L186" s="86" t="str">
        <v>--</v>
      </c>
      <c r="M186" s="86">
        <v>0</v>
      </c>
      <c r="N186" s="86" t="str">
        <v>--</v>
      </c>
    </row>
    <row r="187" spans="2:14" x14ac:dyDescent="0.25">
      <c r="B187" s="86" t="e" cm="1">
        <f t="array" ref="B187">[1]!'TXYN07C24750.TF-ID,Name,Price,TotalVolume,InOutRatio'</f>
        <v>#N/A</v>
      </c>
      <c r="G187" s="87">
        <f t="shared" si="4"/>
        <v>0</v>
      </c>
      <c r="H187" s="87">
        <v>24750</v>
      </c>
      <c r="I187" s="87">
        <f t="shared" si="5"/>
        <v>0</v>
      </c>
      <c r="J187" s="86" t="e" cm="1">
        <f t="array" ref="J187">[1]!'TXYN07P24750.TF-ID,Name,Price,TotalVolume,InOutRatio'</f>
        <v>#N/A</v>
      </c>
    </row>
    <row r="188" spans="2:14" x14ac:dyDescent="0.25">
      <c r="B188" s="86" t="str" cm="1">
        <f t="array" ref="B188:F188">[1]!'TXYN07C24800.TF-ID,Name,Price,TotalVolume,InOutRatio'</f>
        <v>TXYN07C24800</v>
      </c>
      <c r="C188" s="86" t="str">
        <v>台指選07F4 C 24800</v>
      </c>
      <c r="D188" s="86">
        <v>1.1000000000000001</v>
      </c>
      <c r="E188" s="86">
        <v>3</v>
      </c>
      <c r="F188" s="86">
        <v>100</v>
      </c>
      <c r="G188" s="87">
        <f t="shared" si="4"/>
        <v>3</v>
      </c>
      <c r="H188" s="87">
        <v>24800</v>
      </c>
      <c r="I188" s="87">
        <f t="shared" si="5"/>
        <v>0</v>
      </c>
      <c r="J188" s="86" t="str" cm="1">
        <f t="array" ref="J188:N188">[1]!'TXYN07P24800.TF-ID,Name,Price,TotalVolume,InOutRatio'</f>
        <v>TXYN07P24800</v>
      </c>
      <c r="K188" s="86" t="str">
        <v>台指選07F4 P 24800</v>
      </c>
      <c r="L188" s="86" t="str">
        <v>--</v>
      </c>
      <c r="M188" s="86">
        <v>0</v>
      </c>
      <c r="N188" s="86" t="str">
        <v>--</v>
      </c>
    </row>
    <row r="189" spans="2:14" x14ac:dyDescent="0.25">
      <c r="B189" s="86" t="e" cm="1">
        <f t="array" ref="B189">[1]!'TXYN07C24850.TF-ID,Name,Price,TotalVolume,InOutRatio'</f>
        <v>#N/A</v>
      </c>
      <c r="G189" s="87">
        <f t="shared" si="4"/>
        <v>0</v>
      </c>
      <c r="H189" s="87">
        <v>24850</v>
      </c>
      <c r="I189" s="87">
        <f t="shared" si="5"/>
        <v>0</v>
      </c>
      <c r="J189" s="86" t="e" cm="1">
        <f t="array" ref="J189">[1]!'TXYN07P24850.TF-ID,Name,Price,TotalVolume,InOutRatio'</f>
        <v>#N/A</v>
      </c>
    </row>
    <row r="190" spans="2:14" x14ac:dyDescent="0.25">
      <c r="B190" s="86" t="str" cm="1">
        <f t="array" ref="B190:F190">[1]!'TXYN07C24900.TF-ID,Name,Price,TotalVolume,InOutRatio'</f>
        <v>TXYN07C24900</v>
      </c>
      <c r="C190" s="86" t="str">
        <v>台指選07F4 C 24900</v>
      </c>
      <c r="D190" s="86">
        <v>1</v>
      </c>
      <c r="E190" s="86">
        <v>5</v>
      </c>
      <c r="F190" s="86">
        <v>80</v>
      </c>
      <c r="G190" s="87">
        <f t="shared" si="4"/>
        <v>3</v>
      </c>
      <c r="H190" s="87">
        <v>24900</v>
      </c>
      <c r="I190" s="87">
        <f t="shared" si="5"/>
        <v>0</v>
      </c>
      <c r="J190" s="86" t="str" cm="1">
        <f t="array" ref="J190:N190">[1]!'TXYN07P24900.TF-ID,Name,Price,TotalVolume,InOutRatio'</f>
        <v>TXYN07P24900</v>
      </c>
      <c r="K190" s="86" t="str">
        <v>台指選07F4 P 24900</v>
      </c>
      <c r="L190" s="86" t="str">
        <v>--</v>
      </c>
      <c r="M190" s="86">
        <v>0</v>
      </c>
      <c r="N190" s="86" t="str">
        <v>--</v>
      </c>
    </row>
    <row r="191" spans="2:14" x14ac:dyDescent="0.25">
      <c r="B191" s="86" t="e" cm="1">
        <f t="array" ref="B191">[1]!'TXYN07C24950.TF-ID,Name,Price,TotalVolume,InOutRatio'</f>
        <v>#N/A</v>
      </c>
      <c r="G191" s="87">
        <f t="shared" si="4"/>
        <v>0</v>
      </c>
      <c r="H191" s="87">
        <v>24950</v>
      </c>
      <c r="I191" s="87">
        <f t="shared" si="5"/>
        <v>0</v>
      </c>
      <c r="J191" s="86" t="e" cm="1">
        <f t="array" ref="J191">[1]!'TXYN07P24950.TF-ID,Name,Price,TotalVolume,InOutRatio'</f>
        <v>#N/A</v>
      </c>
    </row>
    <row r="192" spans="2:14" x14ac:dyDescent="0.25">
      <c r="B192" s="86" t="str" cm="1">
        <f t="array" ref="B192:F192">[1]!'TXYN07C25000.TF-ID,Name,Price,TotalVolume,InOutRatio'</f>
        <v>TXYN07C25000</v>
      </c>
      <c r="C192" s="86" t="str">
        <v>台指選07F4 C 25000</v>
      </c>
      <c r="D192" s="86" t="str">
        <v>--</v>
      </c>
      <c r="E192" s="86">
        <v>0</v>
      </c>
      <c r="F192" s="86" t="str">
        <v>--</v>
      </c>
      <c r="G192" s="87">
        <f t="shared" si="4"/>
        <v>0</v>
      </c>
      <c r="H192" s="87">
        <v>25000</v>
      </c>
      <c r="I192" s="87">
        <f t="shared" si="5"/>
        <v>0</v>
      </c>
      <c r="J192" s="86" t="str" cm="1">
        <f t="array" ref="J192:N192">[1]!'TXYN07P25000.TF-ID,Name,Price,TotalVolume,InOutRatio'</f>
        <v>TXYN07P25000</v>
      </c>
      <c r="K192" s="86" t="str">
        <v>台指選07F4 P 25000</v>
      </c>
      <c r="L192" s="86" t="str">
        <v>--</v>
      </c>
      <c r="M192" s="86">
        <v>0</v>
      </c>
      <c r="N192" s="86" t="str">
        <v>--</v>
      </c>
    </row>
    <row r="193" spans="2:14" x14ac:dyDescent="0.25">
      <c r="B193" s="86" t="e" cm="1">
        <f t="array" ref="B193">[1]!'TXYN07C25050.TF-ID,Name,Price,TotalVolume,InOutRatio'</f>
        <v>#N/A</v>
      </c>
      <c r="G193" s="87">
        <f t="shared" si="4"/>
        <v>0</v>
      </c>
      <c r="H193" s="87">
        <v>25050</v>
      </c>
      <c r="I193" s="87">
        <f t="shared" si="5"/>
        <v>0</v>
      </c>
      <c r="J193" s="86" t="e" cm="1">
        <f t="array" ref="J193">[1]!'TXYN07P25050.TF-ID,Name,Price,TotalVolume,InOutRatio'</f>
        <v>#N/A</v>
      </c>
    </row>
    <row r="194" spans="2:14" x14ac:dyDescent="0.25">
      <c r="B194" s="86" t="str" cm="1">
        <f t="array" ref="B194:F194">[1]!'TXYN07C25100.TF-ID,Name,Price,TotalVolume,InOutRatio'</f>
        <v>TXYN07C25100</v>
      </c>
      <c r="C194" s="86" t="str">
        <v>台指選07F4 C 25100</v>
      </c>
      <c r="D194" s="86" t="str">
        <v>--</v>
      </c>
      <c r="E194" s="86">
        <v>0</v>
      </c>
      <c r="F194" s="86" t="str">
        <v>--</v>
      </c>
      <c r="G194" s="87">
        <f t="shared" si="4"/>
        <v>0</v>
      </c>
      <c r="H194" s="87">
        <v>25100</v>
      </c>
      <c r="I194" s="87">
        <f t="shared" si="5"/>
        <v>0</v>
      </c>
      <c r="J194" s="86" t="str" cm="1">
        <f t="array" ref="J194:N194">[1]!'TXYN07P25100.TF-ID,Name,Price,TotalVolume,InOutRatio'</f>
        <v>TXYN07P25100</v>
      </c>
      <c r="K194" s="86" t="str">
        <v>台指選07F4 P 25100</v>
      </c>
      <c r="L194" s="86" t="str">
        <v>--</v>
      </c>
      <c r="M194" s="86">
        <v>0</v>
      </c>
      <c r="N194" s="86" t="str">
        <v>--</v>
      </c>
    </row>
    <row r="195" spans="2:14" x14ac:dyDescent="0.25">
      <c r="B195" s="86" t="e" cm="1">
        <f t="array" ref="B195">[1]!'TXYN07C25150.TF-ID,Name,Price,TotalVolume,InOutRatio'</f>
        <v>#N/A</v>
      </c>
      <c r="G195" s="87">
        <f t="shared" ref="G195:G258" si="6">+IFERROR((F195-50)/50*E195,0)</f>
        <v>0</v>
      </c>
      <c r="H195" s="87">
        <v>25150</v>
      </c>
      <c r="I195" s="87">
        <f t="shared" ref="I195:I258" si="7">+IFERROR((N195-50)/50*M195,0)</f>
        <v>0</v>
      </c>
      <c r="J195" s="86" t="e" cm="1">
        <f t="array" ref="J195">[1]!'TXYN07P25150.TF-ID,Name,Price,TotalVolume,InOutRatio'</f>
        <v>#N/A</v>
      </c>
    </row>
    <row r="196" spans="2:14" x14ac:dyDescent="0.25">
      <c r="B196" s="86" t="str" cm="1">
        <f t="array" ref="B196:F196">[1]!'TXYN07C25200.TF-ID,Name,Price,TotalVolume,InOutRatio'</f>
        <v>TXYN07C25200</v>
      </c>
      <c r="C196" s="86" t="str">
        <v>台指選07F4 C 25200</v>
      </c>
      <c r="D196" s="86" t="str">
        <v>--</v>
      </c>
      <c r="E196" s="86">
        <v>0</v>
      </c>
      <c r="F196" s="86" t="str">
        <v>--</v>
      </c>
      <c r="G196" s="87">
        <f t="shared" si="6"/>
        <v>0</v>
      </c>
      <c r="H196" s="87">
        <v>25200</v>
      </c>
      <c r="I196" s="87">
        <f t="shared" si="7"/>
        <v>0</v>
      </c>
      <c r="J196" s="86" t="str" cm="1">
        <f t="array" ref="J196:N196">[1]!'TXYN07P25200.TF-ID,Name,Price,TotalVolume,InOutRatio'</f>
        <v>TXYN07P25200</v>
      </c>
      <c r="K196" s="86" t="str">
        <v>台指選07F4 P 25200</v>
      </c>
      <c r="L196" s="86" t="str">
        <v>--</v>
      </c>
      <c r="M196" s="86">
        <v>0</v>
      </c>
      <c r="N196" s="86" t="str">
        <v>--</v>
      </c>
    </row>
    <row r="197" spans="2:14" x14ac:dyDescent="0.25">
      <c r="B197" s="86" t="e" cm="1">
        <f t="array" ref="B197">[1]!'TXYN07C25250.TF-ID,Name,Price,TotalVolume,InOutRatio'</f>
        <v>#N/A</v>
      </c>
      <c r="G197" s="87">
        <f t="shared" si="6"/>
        <v>0</v>
      </c>
      <c r="H197" s="87">
        <v>25250</v>
      </c>
      <c r="I197" s="87">
        <f t="shared" si="7"/>
        <v>0</v>
      </c>
      <c r="J197" s="86" t="e" cm="1">
        <f t="array" ref="J197">[1]!'TXYN07P25250.TF-ID,Name,Price,TotalVolume,InOutRatio'</f>
        <v>#N/A</v>
      </c>
    </row>
    <row r="198" spans="2:14" x14ac:dyDescent="0.25">
      <c r="B198" s="86" t="str" cm="1">
        <f t="array" ref="B198:F198">[1]!'TXYN07C25300.TF-ID,Name,Price,TotalVolume,InOutRatio'</f>
        <v>TXYN07C25300</v>
      </c>
      <c r="C198" s="86" t="str">
        <v>台指選07F4 C 25300</v>
      </c>
      <c r="D198" s="86" t="str">
        <v>--</v>
      </c>
      <c r="E198" s="86">
        <v>0</v>
      </c>
      <c r="F198" s="86" t="str">
        <v>--</v>
      </c>
      <c r="G198" s="87">
        <f t="shared" si="6"/>
        <v>0</v>
      </c>
      <c r="H198" s="87">
        <v>25300</v>
      </c>
      <c r="I198" s="87">
        <f t="shared" si="7"/>
        <v>0</v>
      </c>
      <c r="J198" s="86" t="str" cm="1">
        <f t="array" ref="J198:N198">[1]!'TXYN07P25300.TF-ID,Name,Price,TotalVolume,InOutRatio'</f>
        <v>TXYN07P25300</v>
      </c>
      <c r="K198" s="86" t="str">
        <v>台指選07F4 P 25300</v>
      </c>
      <c r="L198" s="86" t="str">
        <v>--</v>
      </c>
      <c r="M198" s="86">
        <v>0</v>
      </c>
      <c r="N198" s="86" t="str">
        <v>--</v>
      </c>
    </row>
    <row r="199" spans="2:14" x14ac:dyDescent="0.25">
      <c r="B199" s="86" t="e" cm="1">
        <f t="array" ref="B199">[1]!'TXYN07C25350.TF-ID,Name,Price,TotalVolume,InOutRatio'</f>
        <v>#N/A</v>
      </c>
      <c r="G199" s="87">
        <f t="shared" si="6"/>
        <v>0</v>
      </c>
      <c r="H199" s="87">
        <v>25350</v>
      </c>
      <c r="I199" s="87">
        <f t="shared" si="7"/>
        <v>0</v>
      </c>
      <c r="J199" s="86" t="e" cm="1">
        <f t="array" ref="J199">[1]!'TXYN07P25350.TF-ID,Name,Price,TotalVolume,InOutRatio'</f>
        <v>#N/A</v>
      </c>
    </row>
    <row r="200" spans="2:14" x14ac:dyDescent="0.25">
      <c r="B200" s="86" t="str" cm="1">
        <f t="array" ref="B200:F200">[1]!'TXYN07C25400.TF-ID,Name,Price,TotalVolume,InOutRatio'</f>
        <v>TXYN07C25400</v>
      </c>
      <c r="C200" s="86" t="str">
        <v>台指選07F4 C 25400</v>
      </c>
      <c r="D200" s="86">
        <v>0.1</v>
      </c>
      <c r="E200" s="86">
        <v>2</v>
      </c>
      <c r="F200" s="86">
        <v>0</v>
      </c>
      <c r="G200" s="87">
        <f t="shared" si="6"/>
        <v>-2</v>
      </c>
      <c r="H200" s="87">
        <v>25400</v>
      </c>
      <c r="I200" s="87">
        <f t="shared" si="7"/>
        <v>0</v>
      </c>
      <c r="J200" s="86" t="str" cm="1">
        <f t="array" ref="J200:N200">[1]!'TXYN07P25400.TF-ID,Name,Price,TotalVolume,InOutRatio'</f>
        <v>TXYN07P25400</v>
      </c>
      <c r="K200" s="86" t="str">
        <v>台指選07F4 P 25400</v>
      </c>
      <c r="L200" s="86" t="str">
        <v>--</v>
      </c>
      <c r="M200" s="86">
        <v>0</v>
      </c>
      <c r="N200" s="86" t="str">
        <v>--</v>
      </c>
    </row>
    <row r="201" spans="2:14" x14ac:dyDescent="0.25">
      <c r="B201" s="86" t="e" cm="1">
        <f t="array" ref="B201">[1]!'TXYN07C25450.TF-ID,Name,Price,TotalVolume,InOutRatio'</f>
        <v>#N/A</v>
      </c>
      <c r="G201" s="87">
        <f t="shared" si="6"/>
        <v>0</v>
      </c>
      <c r="H201" s="87">
        <v>25450</v>
      </c>
      <c r="I201" s="87">
        <f t="shared" si="7"/>
        <v>0</v>
      </c>
      <c r="J201" s="86" t="e" cm="1">
        <f t="array" ref="J201">[1]!'TXYN07P25450.TF-ID,Name,Price,TotalVolume,InOutRatio'</f>
        <v>#N/A</v>
      </c>
    </row>
    <row r="202" spans="2:14" x14ac:dyDescent="0.25">
      <c r="B202" s="86" t="str" cm="1">
        <f t="array" ref="B202:F202">[1]!'TXYN07C25500.TF-ID,Name,Price,TotalVolume,InOutRatio'</f>
        <v>TXYN07C25500</v>
      </c>
      <c r="C202" s="86" t="str">
        <v>台指選07F4 C 25500</v>
      </c>
      <c r="D202" s="86">
        <v>0.2</v>
      </c>
      <c r="E202" s="86">
        <v>6</v>
      </c>
      <c r="F202" s="86">
        <v>0</v>
      </c>
      <c r="G202" s="87">
        <f t="shared" si="6"/>
        <v>-6</v>
      </c>
      <c r="H202" s="87">
        <v>25500</v>
      </c>
      <c r="I202" s="87">
        <f t="shared" si="7"/>
        <v>0</v>
      </c>
      <c r="J202" s="86" t="str" cm="1">
        <f t="array" ref="J202:N202">[1]!'TXYN07P25500.TF-ID,Name,Price,TotalVolume,InOutRatio'</f>
        <v>TXYN07P25500</v>
      </c>
      <c r="K202" s="86" t="str">
        <v>台指選07F4 P 25500</v>
      </c>
      <c r="L202" s="86" t="str">
        <v>--</v>
      </c>
      <c r="M202" s="86">
        <v>0</v>
      </c>
      <c r="N202" s="86" t="str">
        <v>--</v>
      </c>
    </row>
    <row r="203" spans="2:14" x14ac:dyDescent="0.25">
      <c r="B203" s="86" t="e" cm="1">
        <f t="array" ref="B203">[1]!'TXYN07C25550.TF-ID,Name,Price,TotalVolume,InOutRatio'</f>
        <v>#N/A</v>
      </c>
      <c r="G203" s="87">
        <f t="shared" si="6"/>
        <v>0</v>
      </c>
      <c r="H203" s="87">
        <v>25550</v>
      </c>
      <c r="I203" s="87">
        <f t="shared" si="7"/>
        <v>0</v>
      </c>
      <c r="J203" s="86" t="e" cm="1">
        <f t="array" ref="J203">[1]!'TXYN07P25550.TF-ID,Name,Price,TotalVolume,InOutRatio'</f>
        <v>#N/A</v>
      </c>
    </row>
    <row r="204" spans="2:14" x14ac:dyDescent="0.25">
      <c r="B204" s="86" t="e" cm="1">
        <f t="array" ref="B204">[1]!'TXYN07C25600.TF-ID,Name,Price,TotalVolume,InOutRatio'</f>
        <v>#N/A</v>
      </c>
      <c r="G204" s="87">
        <f t="shared" si="6"/>
        <v>0</v>
      </c>
      <c r="H204" s="87">
        <v>25600</v>
      </c>
      <c r="I204" s="87">
        <f t="shared" si="7"/>
        <v>0</v>
      </c>
      <c r="J204" s="86" t="e" cm="1">
        <f t="array" ref="J204">[1]!'TXYN07P25600.TF-ID,Name,Price,TotalVolume,InOutRatio'</f>
        <v>#N/A</v>
      </c>
    </row>
    <row r="205" spans="2:14" x14ac:dyDescent="0.25">
      <c r="B205" s="86" t="e" cm="1">
        <f t="array" ref="B205">[1]!'TXYN07C25650.TF-ID,Name,Price,TotalVolume,InOutRatio'</f>
        <v>#N/A</v>
      </c>
      <c r="G205" s="87">
        <f t="shared" si="6"/>
        <v>0</v>
      </c>
      <c r="H205" s="87">
        <v>25650</v>
      </c>
      <c r="I205" s="87">
        <f t="shared" si="7"/>
        <v>0</v>
      </c>
      <c r="J205" s="86" t="e" cm="1">
        <f t="array" ref="J205">[1]!'TXYN07P25650.TF-ID,Name,Price,TotalVolume,InOutRatio'</f>
        <v>#N/A</v>
      </c>
    </row>
    <row r="206" spans="2:14" x14ac:dyDescent="0.25">
      <c r="B206" s="86" t="e" cm="1">
        <f t="array" ref="B206">[1]!'TXYN07C25700.TF-ID,Name,Price,TotalVolume,InOutRatio'</f>
        <v>#N/A</v>
      </c>
      <c r="G206" s="87">
        <f t="shared" si="6"/>
        <v>0</v>
      </c>
      <c r="H206" s="87">
        <v>25700</v>
      </c>
      <c r="I206" s="87">
        <f t="shared" si="7"/>
        <v>0</v>
      </c>
      <c r="J206" s="86" t="e" cm="1">
        <f t="array" ref="J206">[1]!'TXYN07P25700.TF-ID,Name,Price,TotalVolume,InOutRatio'</f>
        <v>#N/A</v>
      </c>
    </row>
    <row r="207" spans="2:14" x14ac:dyDescent="0.25">
      <c r="B207" s="86" t="e" cm="1">
        <f t="array" ref="B207">[1]!'TXYN07C25750.TF-ID,Name,Price,TotalVolume,InOutRatio'</f>
        <v>#N/A</v>
      </c>
      <c r="G207" s="87">
        <f t="shared" si="6"/>
        <v>0</v>
      </c>
      <c r="H207" s="87">
        <v>25750</v>
      </c>
      <c r="I207" s="87">
        <f t="shared" si="7"/>
        <v>0</v>
      </c>
      <c r="J207" s="86" t="e" cm="1">
        <f t="array" ref="J207">[1]!'TXYN07P25750.TF-ID,Name,Price,TotalVolume,InOutRatio'</f>
        <v>#N/A</v>
      </c>
    </row>
    <row r="208" spans="2:14" x14ac:dyDescent="0.25">
      <c r="B208" s="86" t="e" cm="1">
        <f t="array" ref="B208">[1]!'TXYN07C25800.TF-ID,Name,Price,TotalVolume,InOutRatio'</f>
        <v>#N/A</v>
      </c>
      <c r="G208" s="87">
        <f t="shared" si="6"/>
        <v>0</v>
      </c>
      <c r="H208" s="87">
        <v>25800</v>
      </c>
      <c r="I208" s="87">
        <f t="shared" si="7"/>
        <v>0</v>
      </c>
      <c r="J208" s="86" t="e" cm="1">
        <f t="array" ref="J208">[1]!'TXYN07P25800.TF-ID,Name,Price,TotalVolume,InOutRatio'</f>
        <v>#N/A</v>
      </c>
    </row>
    <row r="209" spans="2:10" x14ac:dyDescent="0.25">
      <c r="B209" s="86" t="e" cm="1">
        <f t="array" ref="B209">[1]!'TXYN07C25850.TF-ID,Name,Price,TotalVolume,InOutRatio'</f>
        <v>#N/A</v>
      </c>
      <c r="G209" s="87">
        <f t="shared" si="6"/>
        <v>0</v>
      </c>
      <c r="H209" s="87">
        <v>25850</v>
      </c>
      <c r="I209" s="87">
        <f t="shared" si="7"/>
        <v>0</v>
      </c>
      <c r="J209" s="86" t="e" cm="1">
        <f t="array" ref="J209">[1]!'TXYN07P25850.TF-ID,Name,Price,TotalVolume,InOutRatio'</f>
        <v>#N/A</v>
      </c>
    </row>
    <row r="210" spans="2:10" x14ac:dyDescent="0.25">
      <c r="B210" s="86" t="e" cm="1">
        <f t="array" ref="B210">[1]!'TXYN07C25900.TF-ID,Name,Price,TotalVolume,InOutRatio'</f>
        <v>#N/A</v>
      </c>
      <c r="G210" s="87">
        <f t="shared" si="6"/>
        <v>0</v>
      </c>
      <c r="H210" s="87">
        <v>25900</v>
      </c>
      <c r="I210" s="87">
        <f t="shared" si="7"/>
        <v>0</v>
      </c>
      <c r="J210" s="86" t="e" cm="1">
        <f t="array" ref="J210">[1]!'TXYN07P25900.TF-ID,Name,Price,TotalVolume,InOutRatio'</f>
        <v>#N/A</v>
      </c>
    </row>
    <row r="211" spans="2:10" x14ac:dyDescent="0.25">
      <c r="B211" s="86" t="e" cm="1">
        <f t="array" ref="B211">[1]!'TXYN07C25950.TF-ID,Name,Price,TotalVolume,InOutRatio'</f>
        <v>#N/A</v>
      </c>
      <c r="G211" s="87">
        <f t="shared" si="6"/>
        <v>0</v>
      </c>
      <c r="H211" s="87">
        <v>25950</v>
      </c>
      <c r="I211" s="87">
        <f t="shared" si="7"/>
        <v>0</v>
      </c>
      <c r="J211" s="86" t="e" cm="1">
        <f t="array" ref="J211">[1]!'TXYN07P25950.TF-ID,Name,Price,TotalVolume,InOutRatio'</f>
        <v>#N/A</v>
      </c>
    </row>
    <row r="212" spans="2:10" x14ac:dyDescent="0.25">
      <c r="B212" s="86" t="e" cm="1">
        <f t="array" ref="B212">[1]!'TXYN07C26000.TF-ID,Name,Price,TotalVolume,InOutRatio'</f>
        <v>#N/A</v>
      </c>
      <c r="G212" s="87">
        <f t="shared" si="6"/>
        <v>0</v>
      </c>
      <c r="H212" s="87">
        <v>26000</v>
      </c>
      <c r="I212" s="87">
        <f t="shared" si="7"/>
        <v>0</v>
      </c>
      <c r="J212" s="86" t="e" cm="1">
        <f t="array" ref="J212">[1]!'TXYN07P26000.TF-ID,Name,Price,TotalVolume,InOutRatio'</f>
        <v>#N/A</v>
      </c>
    </row>
    <row r="213" spans="2:10" x14ac:dyDescent="0.25">
      <c r="B213" s="86" t="e" cm="1">
        <f t="array" ref="B213">[1]!'TXYN07C26050.TF-ID,Name,Price,TotalVolume,InOutRatio'</f>
        <v>#N/A</v>
      </c>
      <c r="G213" s="87">
        <f t="shared" si="6"/>
        <v>0</v>
      </c>
      <c r="H213" s="87">
        <v>26050</v>
      </c>
      <c r="I213" s="87">
        <f t="shared" si="7"/>
        <v>0</v>
      </c>
      <c r="J213" s="86" t="e" cm="1">
        <f t="array" ref="J213">[1]!'TXYN07P26050.TF-ID,Name,Price,TotalVolume,InOutRatio'</f>
        <v>#N/A</v>
      </c>
    </row>
    <row r="214" spans="2:10" x14ac:dyDescent="0.25">
      <c r="B214" s="86" t="e" cm="1">
        <f t="array" ref="B214">[1]!'TXYN07C26100.TF-ID,Name,Price,TotalVolume,InOutRatio'</f>
        <v>#N/A</v>
      </c>
      <c r="G214" s="87">
        <f t="shared" si="6"/>
        <v>0</v>
      </c>
      <c r="H214" s="87">
        <v>26100</v>
      </c>
      <c r="I214" s="87">
        <f t="shared" si="7"/>
        <v>0</v>
      </c>
      <c r="J214" s="86" t="e" cm="1">
        <f t="array" ref="J214">[1]!'TXYN07P26100.TF-ID,Name,Price,TotalVolume,InOutRatio'</f>
        <v>#N/A</v>
      </c>
    </row>
    <row r="215" spans="2:10" x14ac:dyDescent="0.25">
      <c r="B215" s="86" t="e" cm="1">
        <f t="array" ref="B215">[1]!'TXYN07C26150.TF-ID,Name,Price,TotalVolume,InOutRatio'</f>
        <v>#N/A</v>
      </c>
      <c r="G215" s="87">
        <f t="shared" si="6"/>
        <v>0</v>
      </c>
      <c r="H215" s="87">
        <v>26150</v>
      </c>
      <c r="I215" s="87">
        <f t="shared" si="7"/>
        <v>0</v>
      </c>
      <c r="J215" s="86" t="e" cm="1">
        <f t="array" ref="J215">[1]!'TXYN07P26150.TF-ID,Name,Price,TotalVolume,InOutRatio'</f>
        <v>#N/A</v>
      </c>
    </row>
    <row r="216" spans="2:10" x14ac:dyDescent="0.25">
      <c r="B216" s="86" t="e" cm="1">
        <f t="array" ref="B216">[1]!'TXYN07C26200.TF-ID,Name,Price,TotalVolume,InOutRatio'</f>
        <v>#N/A</v>
      </c>
      <c r="G216" s="87">
        <f t="shared" si="6"/>
        <v>0</v>
      </c>
      <c r="H216" s="87">
        <v>26200</v>
      </c>
      <c r="I216" s="87">
        <f t="shared" si="7"/>
        <v>0</v>
      </c>
      <c r="J216" s="86" t="e" cm="1">
        <f t="array" ref="J216">[1]!'TXYN07P26200.TF-ID,Name,Price,TotalVolume,InOutRatio'</f>
        <v>#N/A</v>
      </c>
    </row>
    <row r="217" spans="2:10" x14ac:dyDescent="0.25">
      <c r="B217" s="86" t="e" cm="1">
        <f t="array" ref="B217">[1]!'TXYN07C26250.TF-ID,Name,Price,TotalVolume,InOutRatio'</f>
        <v>#N/A</v>
      </c>
      <c r="G217" s="87">
        <f t="shared" si="6"/>
        <v>0</v>
      </c>
      <c r="H217" s="87">
        <v>26250</v>
      </c>
      <c r="I217" s="87">
        <f t="shared" si="7"/>
        <v>0</v>
      </c>
      <c r="J217" s="86" t="e" cm="1">
        <f t="array" ref="J217">[1]!'TXYN07P26250.TF-ID,Name,Price,TotalVolume,InOutRatio'</f>
        <v>#N/A</v>
      </c>
    </row>
    <row r="218" spans="2:10" x14ac:dyDescent="0.25">
      <c r="B218" s="86" t="e" cm="1">
        <f t="array" ref="B218">[1]!'TXYN07C26300.TF-ID,Name,Price,TotalVolume,InOutRatio'</f>
        <v>#N/A</v>
      </c>
      <c r="G218" s="87">
        <f t="shared" si="6"/>
        <v>0</v>
      </c>
      <c r="H218" s="87">
        <v>26300</v>
      </c>
      <c r="I218" s="87">
        <f t="shared" si="7"/>
        <v>0</v>
      </c>
      <c r="J218" s="86" t="e" cm="1">
        <f t="array" ref="J218">[1]!'TXYN07P26300.TF-ID,Name,Price,TotalVolume,InOutRatio'</f>
        <v>#N/A</v>
      </c>
    </row>
    <row r="219" spans="2:10" x14ac:dyDescent="0.25">
      <c r="B219" s="86" t="e" cm="1">
        <f t="array" ref="B219">[1]!'TXYN07C26350.TF-ID,Name,Price,TotalVolume,InOutRatio'</f>
        <v>#N/A</v>
      </c>
      <c r="G219" s="87">
        <f t="shared" si="6"/>
        <v>0</v>
      </c>
      <c r="H219" s="87">
        <v>26350</v>
      </c>
      <c r="I219" s="87">
        <f t="shared" si="7"/>
        <v>0</v>
      </c>
      <c r="J219" s="86" t="e" cm="1">
        <f t="array" ref="J219">[1]!'TXYN07P26350.TF-ID,Name,Price,TotalVolume,InOutRatio'</f>
        <v>#N/A</v>
      </c>
    </row>
    <row r="220" spans="2:10" x14ac:dyDescent="0.25">
      <c r="B220" s="86" t="e" cm="1">
        <f t="array" ref="B220">[1]!'TXYN07C26400.TF-ID,Name,Price,TotalVolume,InOutRatio'</f>
        <v>#N/A</v>
      </c>
      <c r="G220" s="87">
        <f t="shared" si="6"/>
        <v>0</v>
      </c>
      <c r="H220" s="87">
        <v>26400</v>
      </c>
      <c r="I220" s="87">
        <f t="shared" si="7"/>
        <v>0</v>
      </c>
      <c r="J220" s="86" t="e" cm="1">
        <f t="array" ref="J220">[1]!'TXYN07P26400.TF-ID,Name,Price,TotalVolume,InOutRatio'</f>
        <v>#N/A</v>
      </c>
    </row>
    <row r="221" spans="2:10" x14ac:dyDescent="0.25">
      <c r="B221" s="86" t="e" cm="1">
        <f t="array" ref="B221">[1]!'TXYN07C26450.TF-ID,Name,Price,TotalVolume,InOutRatio'</f>
        <v>#N/A</v>
      </c>
      <c r="G221" s="87">
        <f t="shared" si="6"/>
        <v>0</v>
      </c>
      <c r="H221" s="87">
        <v>26450</v>
      </c>
      <c r="I221" s="87">
        <f t="shared" si="7"/>
        <v>0</v>
      </c>
      <c r="J221" s="86" t="e" cm="1">
        <f t="array" ref="J221">[1]!'TXYN07P26450.TF-ID,Name,Price,TotalVolume,InOutRatio'</f>
        <v>#N/A</v>
      </c>
    </row>
    <row r="222" spans="2:10" x14ac:dyDescent="0.25">
      <c r="B222" s="86" t="e" cm="1">
        <f t="array" ref="B222">[1]!'TXYN07C26500.TF-ID,Name,Price,TotalVolume,InOutRatio'</f>
        <v>#N/A</v>
      </c>
      <c r="G222" s="87">
        <f t="shared" si="6"/>
        <v>0</v>
      </c>
      <c r="H222" s="87">
        <v>26500</v>
      </c>
      <c r="I222" s="87">
        <f t="shared" si="7"/>
        <v>0</v>
      </c>
      <c r="J222" s="86" t="e" cm="1">
        <f t="array" ref="J222">[1]!'TXYN07P26500.TF-ID,Name,Price,TotalVolume,InOutRatio'</f>
        <v>#N/A</v>
      </c>
    </row>
    <row r="223" spans="2:10" x14ac:dyDescent="0.25">
      <c r="B223" s="86" t="e" cm="1">
        <f t="array" ref="B223">[1]!'TXYN07C26550.TF-ID,Name,Price,TotalVolume,InOutRatio'</f>
        <v>#N/A</v>
      </c>
      <c r="G223" s="87">
        <f t="shared" si="6"/>
        <v>0</v>
      </c>
      <c r="H223" s="87">
        <v>26550</v>
      </c>
      <c r="I223" s="87">
        <f t="shared" si="7"/>
        <v>0</v>
      </c>
      <c r="J223" s="86" t="e" cm="1">
        <f t="array" ref="J223">[1]!'TXYN07P26550.TF-ID,Name,Price,TotalVolume,InOutRatio'</f>
        <v>#N/A</v>
      </c>
    </row>
    <row r="224" spans="2:10" x14ac:dyDescent="0.25">
      <c r="B224" s="86" t="e" cm="1">
        <f t="array" ref="B224">[1]!'TXYN07C26600.TF-ID,Name,Price,TotalVolume,InOutRatio'</f>
        <v>#N/A</v>
      </c>
      <c r="G224" s="87">
        <f t="shared" si="6"/>
        <v>0</v>
      </c>
      <c r="H224" s="87">
        <v>26600</v>
      </c>
      <c r="I224" s="87">
        <f t="shared" si="7"/>
        <v>0</v>
      </c>
      <c r="J224" s="86" t="e" cm="1">
        <f t="array" ref="J224">[1]!'TXYN07P26600.TF-ID,Name,Price,TotalVolume,InOutRatio'</f>
        <v>#N/A</v>
      </c>
    </row>
    <row r="225" spans="2:10" x14ac:dyDescent="0.25">
      <c r="B225" s="86" t="e" cm="1">
        <f t="array" ref="B225">[1]!'TXYN07C26650.TF-ID,Name,Price,TotalVolume,InOutRatio'</f>
        <v>#N/A</v>
      </c>
      <c r="G225" s="87">
        <f t="shared" si="6"/>
        <v>0</v>
      </c>
      <c r="H225" s="87">
        <v>26650</v>
      </c>
      <c r="I225" s="87">
        <f t="shared" si="7"/>
        <v>0</v>
      </c>
      <c r="J225" s="86" t="e" cm="1">
        <f t="array" ref="J225">[1]!'TXYN07P26650.TF-ID,Name,Price,TotalVolume,InOutRatio'</f>
        <v>#N/A</v>
      </c>
    </row>
    <row r="226" spans="2:10" x14ac:dyDescent="0.25">
      <c r="B226" s="86" t="e" cm="1">
        <f t="array" ref="B226">[1]!'TXYN07C26700.TF-ID,Name,Price,TotalVolume,InOutRatio'</f>
        <v>#N/A</v>
      </c>
      <c r="G226" s="87">
        <f t="shared" si="6"/>
        <v>0</v>
      </c>
      <c r="H226" s="87">
        <v>26700</v>
      </c>
      <c r="I226" s="87">
        <f t="shared" si="7"/>
        <v>0</v>
      </c>
      <c r="J226" s="86" t="e" cm="1">
        <f t="array" ref="J226">[1]!'TXYN07P26700.TF-ID,Name,Price,TotalVolume,InOutRatio'</f>
        <v>#N/A</v>
      </c>
    </row>
    <row r="227" spans="2:10" x14ac:dyDescent="0.25">
      <c r="B227" s="86" t="e" cm="1">
        <f t="array" ref="B227">[1]!'TXYN07C26750.TF-ID,Name,Price,TotalVolume,InOutRatio'</f>
        <v>#N/A</v>
      </c>
      <c r="G227" s="87">
        <f t="shared" si="6"/>
        <v>0</v>
      </c>
      <c r="H227" s="87">
        <v>26750</v>
      </c>
      <c r="I227" s="87">
        <f t="shared" si="7"/>
        <v>0</v>
      </c>
      <c r="J227" s="86" t="e" cm="1">
        <f t="array" ref="J227">[1]!'TXYN07P26750.TF-ID,Name,Price,TotalVolume,InOutRatio'</f>
        <v>#N/A</v>
      </c>
    </row>
    <row r="228" spans="2:10" x14ac:dyDescent="0.25">
      <c r="B228" s="86" t="e" cm="1">
        <f t="array" ref="B228">[1]!'TXYN07C26800.TF-ID,Name,Price,TotalVolume,InOutRatio'</f>
        <v>#N/A</v>
      </c>
      <c r="G228" s="87">
        <f t="shared" si="6"/>
        <v>0</v>
      </c>
      <c r="H228" s="87">
        <v>26800</v>
      </c>
      <c r="I228" s="87">
        <f t="shared" si="7"/>
        <v>0</v>
      </c>
      <c r="J228" s="86" t="e" cm="1">
        <f t="array" ref="J228">[1]!'TXYN07P26800.TF-ID,Name,Price,TotalVolume,InOutRatio'</f>
        <v>#N/A</v>
      </c>
    </row>
    <row r="229" spans="2:10" x14ac:dyDescent="0.25">
      <c r="B229" s="86" t="e" cm="1">
        <f t="array" ref="B229">[1]!'TXYN07C26850.TF-ID,Name,Price,TotalVolume,InOutRatio'</f>
        <v>#N/A</v>
      </c>
      <c r="G229" s="87">
        <f t="shared" si="6"/>
        <v>0</v>
      </c>
      <c r="H229" s="87">
        <v>26850</v>
      </c>
      <c r="I229" s="87">
        <f t="shared" si="7"/>
        <v>0</v>
      </c>
      <c r="J229" s="86" t="e" cm="1">
        <f t="array" ref="J229">[1]!'TXYN07P26850.TF-ID,Name,Price,TotalVolume,InOutRatio'</f>
        <v>#N/A</v>
      </c>
    </row>
    <row r="230" spans="2:10" x14ac:dyDescent="0.25">
      <c r="B230" s="86" t="e" cm="1">
        <f t="array" ref="B230">[1]!'TXYN07C26900.TF-ID,Name,Price,TotalVolume,InOutRatio'</f>
        <v>#N/A</v>
      </c>
      <c r="G230" s="87">
        <f t="shared" si="6"/>
        <v>0</v>
      </c>
      <c r="H230" s="87">
        <v>26900</v>
      </c>
      <c r="I230" s="87">
        <f t="shared" si="7"/>
        <v>0</v>
      </c>
      <c r="J230" s="86" t="e" cm="1">
        <f t="array" ref="J230">[1]!'TXYN07P26900.TF-ID,Name,Price,TotalVolume,InOutRatio'</f>
        <v>#N/A</v>
      </c>
    </row>
    <row r="231" spans="2:10" x14ac:dyDescent="0.25">
      <c r="B231" s="86" t="e" cm="1">
        <f t="array" ref="B231">[1]!'TXYN07C26950.TF-ID,Name,Price,TotalVolume,InOutRatio'</f>
        <v>#N/A</v>
      </c>
      <c r="G231" s="87">
        <f t="shared" si="6"/>
        <v>0</v>
      </c>
      <c r="H231" s="87">
        <v>26950</v>
      </c>
      <c r="I231" s="87">
        <f t="shared" si="7"/>
        <v>0</v>
      </c>
      <c r="J231" s="86" t="e" cm="1">
        <f t="array" ref="J231">[1]!'TXYN07P26950.TF-ID,Name,Price,TotalVolume,InOutRatio'</f>
        <v>#N/A</v>
      </c>
    </row>
    <row r="232" spans="2:10" x14ac:dyDescent="0.25">
      <c r="B232" s="86" t="e" cm="1">
        <f t="array" ref="B232">[1]!'TXYN07C27000.TF-ID,Name,Price,TotalVolume,InOutRatio'</f>
        <v>#N/A</v>
      </c>
      <c r="G232" s="87">
        <f t="shared" si="6"/>
        <v>0</v>
      </c>
      <c r="H232" s="87">
        <v>27000</v>
      </c>
      <c r="I232" s="87">
        <f t="shared" si="7"/>
        <v>0</v>
      </c>
      <c r="J232" s="86" t="e" cm="1">
        <f t="array" ref="J232">[1]!'TXYN07P27000.TF-ID,Name,Price,TotalVolume,InOutRatio'</f>
        <v>#N/A</v>
      </c>
    </row>
    <row r="233" spans="2:10" x14ac:dyDescent="0.25">
      <c r="B233" s="86" t="e" cm="1">
        <f t="array" ref="B233">[1]!'TXYN07C27050.TF-ID,Name,Price,TotalVolume,InOutRatio'</f>
        <v>#N/A</v>
      </c>
      <c r="G233" s="87">
        <f t="shared" si="6"/>
        <v>0</v>
      </c>
      <c r="H233" s="87">
        <v>27050</v>
      </c>
      <c r="I233" s="87">
        <f t="shared" si="7"/>
        <v>0</v>
      </c>
      <c r="J233" s="86" t="e" cm="1">
        <f t="array" ref="J233">[1]!'TXYN07P27050.TF-ID,Name,Price,TotalVolume,InOutRatio'</f>
        <v>#N/A</v>
      </c>
    </row>
    <row r="234" spans="2:10" x14ac:dyDescent="0.25">
      <c r="B234" s="86" t="e" cm="1">
        <f t="array" ref="B234">[1]!'TXYN07C27100.TF-ID,Name,Price,TotalVolume,InOutRatio'</f>
        <v>#N/A</v>
      </c>
      <c r="G234" s="87">
        <f t="shared" si="6"/>
        <v>0</v>
      </c>
      <c r="H234" s="87">
        <v>27100</v>
      </c>
      <c r="I234" s="87">
        <f t="shared" si="7"/>
        <v>0</v>
      </c>
      <c r="J234" s="86" t="e" cm="1">
        <f t="array" ref="J234">[1]!'TXYN07P27100.TF-ID,Name,Price,TotalVolume,InOutRatio'</f>
        <v>#N/A</v>
      </c>
    </row>
    <row r="235" spans="2:10" x14ac:dyDescent="0.25">
      <c r="B235" s="86" t="e" cm="1">
        <f t="array" ref="B235">[1]!'TXYN07C27150.TF-ID,Name,Price,TotalVolume,InOutRatio'</f>
        <v>#N/A</v>
      </c>
      <c r="G235" s="87">
        <f t="shared" si="6"/>
        <v>0</v>
      </c>
      <c r="H235" s="87">
        <v>27150</v>
      </c>
      <c r="I235" s="87">
        <f t="shared" si="7"/>
        <v>0</v>
      </c>
      <c r="J235" s="86" t="e" cm="1">
        <f t="array" ref="J235">[1]!'TXYN07P27150.TF-ID,Name,Price,TotalVolume,InOutRatio'</f>
        <v>#N/A</v>
      </c>
    </row>
    <row r="236" spans="2:10" x14ac:dyDescent="0.25">
      <c r="B236" s="86" t="e" cm="1">
        <f t="array" ref="B236">[1]!'TXYN07C27200.TF-ID,Name,Price,TotalVolume,InOutRatio'</f>
        <v>#N/A</v>
      </c>
      <c r="G236" s="87">
        <f t="shared" si="6"/>
        <v>0</v>
      </c>
      <c r="H236" s="87">
        <v>27200</v>
      </c>
      <c r="I236" s="87">
        <f t="shared" si="7"/>
        <v>0</v>
      </c>
      <c r="J236" s="86" t="e" cm="1">
        <f t="array" ref="J236">[1]!'TXYN07P27200.TF-ID,Name,Price,TotalVolume,InOutRatio'</f>
        <v>#N/A</v>
      </c>
    </row>
    <row r="237" spans="2:10" x14ac:dyDescent="0.25">
      <c r="B237" s="86" t="e" cm="1">
        <f t="array" ref="B237">[1]!'TXYN07C27250.TF-ID,Name,Price,TotalVolume,InOutRatio'</f>
        <v>#N/A</v>
      </c>
      <c r="G237" s="87">
        <f t="shared" si="6"/>
        <v>0</v>
      </c>
      <c r="H237" s="87">
        <v>27250</v>
      </c>
      <c r="I237" s="87">
        <f t="shared" si="7"/>
        <v>0</v>
      </c>
      <c r="J237" s="86" t="e" cm="1">
        <f t="array" ref="J237">[1]!'TXYN07P27250.TF-ID,Name,Price,TotalVolume,InOutRatio'</f>
        <v>#N/A</v>
      </c>
    </row>
    <row r="238" spans="2:10" x14ac:dyDescent="0.25">
      <c r="B238" s="86" t="e" cm="1">
        <f t="array" ref="B238">[1]!'TXYN07C27300.TF-ID,Name,Price,TotalVolume,InOutRatio'</f>
        <v>#N/A</v>
      </c>
      <c r="G238" s="87">
        <f t="shared" si="6"/>
        <v>0</v>
      </c>
      <c r="H238" s="87">
        <v>27300</v>
      </c>
      <c r="I238" s="87">
        <f t="shared" si="7"/>
        <v>0</v>
      </c>
      <c r="J238" s="86" t="e" cm="1">
        <f t="array" ref="J238">[1]!'TXYN07P27300.TF-ID,Name,Price,TotalVolume,InOutRatio'</f>
        <v>#N/A</v>
      </c>
    </row>
    <row r="239" spans="2:10" x14ac:dyDescent="0.25">
      <c r="B239" s="86" t="e" cm="1">
        <f t="array" ref="B239">[1]!'TXYN07C27350.TF-ID,Name,Price,TotalVolume,InOutRatio'</f>
        <v>#N/A</v>
      </c>
      <c r="G239" s="87">
        <f t="shared" si="6"/>
        <v>0</v>
      </c>
      <c r="H239" s="87">
        <v>27350</v>
      </c>
      <c r="I239" s="87">
        <f t="shared" si="7"/>
        <v>0</v>
      </c>
      <c r="J239" s="86" t="e" cm="1">
        <f t="array" ref="J239">[1]!'TXYN07P27350.TF-ID,Name,Price,TotalVolume,InOutRatio'</f>
        <v>#N/A</v>
      </c>
    </row>
    <row r="240" spans="2:10" x14ac:dyDescent="0.25">
      <c r="B240" s="86" t="e" cm="1">
        <f t="array" ref="B240">[1]!'TXYN07C27400.TF-ID,Name,Price,TotalVolume,InOutRatio'</f>
        <v>#N/A</v>
      </c>
      <c r="G240" s="87">
        <f t="shared" si="6"/>
        <v>0</v>
      </c>
      <c r="H240" s="87">
        <v>27400</v>
      </c>
      <c r="I240" s="87">
        <f t="shared" si="7"/>
        <v>0</v>
      </c>
      <c r="J240" s="86" t="e" cm="1">
        <f t="array" ref="J240">[1]!'TXYN07P27400.TF-ID,Name,Price,TotalVolume,InOutRatio'</f>
        <v>#N/A</v>
      </c>
    </row>
    <row r="241" spans="2:10" x14ac:dyDescent="0.25">
      <c r="B241" s="86" t="e" cm="1">
        <f t="array" ref="B241">[1]!'TXYN07C27450.TF-ID,Name,Price,TotalVolume,InOutRatio'</f>
        <v>#N/A</v>
      </c>
      <c r="G241" s="87">
        <f t="shared" si="6"/>
        <v>0</v>
      </c>
      <c r="H241" s="87">
        <v>27450</v>
      </c>
      <c r="I241" s="87">
        <f t="shared" si="7"/>
        <v>0</v>
      </c>
      <c r="J241" s="86" t="e" cm="1">
        <f t="array" ref="J241">[1]!'TXYN07P27450.TF-ID,Name,Price,TotalVolume,InOutRatio'</f>
        <v>#N/A</v>
      </c>
    </row>
    <row r="242" spans="2:10" x14ac:dyDescent="0.25">
      <c r="B242" s="86" t="e" cm="1">
        <f t="array" ref="B242">[1]!'TXYN07C27500.TF-ID,Name,Price,TotalVolume,InOutRatio'</f>
        <v>#N/A</v>
      </c>
      <c r="G242" s="87">
        <f t="shared" si="6"/>
        <v>0</v>
      </c>
      <c r="H242" s="87">
        <v>27500</v>
      </c>
      <c r="I242" s="87">
        <f t="shared" si="7"/>
        <v>0</v>
      </c>
      <c r="J242" s="86" t="e" cm="1">
        <f t="array" ref="J242">[1]!'TXYN07P27500.TF-ID,Name,Price,TotalVolume,InOutRatio'</f>
        <v>#N/A</v>
      </c>
    </row>
    <row r="243" spans="2:10" x14ac:dyDescent="0.25">
      <c r="B243" s="86" t="e" cm="1">
        <f t="array" ref="B243">[1]!'TXYN07C27550.TF-ID,Name,Price,TotalVolume,InOutRatio'</f>
        <v>#N/A</v>
      </c>
      <c r="G243" s="87">
        <f t="shared" si="6"/>
        <v>0</v>
      </c>
      <c r="H243" s="87">
        <v>27550</v>
      </c>
      <c r="I243" s="87">
        <f t="shared" si="7"/>
        <v>0</v>
      </c>
      <c r="J243" s="86" t="e" cm="1">
        <f t="array" ref="J243">[1]!'TXYN07P27550.TF-ID,Name,Price,TotalVolume,InOutRatio'</f>
        <v>#N/A</v>
      </c>
    </row>
    <row r="244" spans="2:10" x14ac:dyDescent="0.25">
      <c r="B244" s="86" t="e" cm="1">
        <f t="array" ref="B244">[1]!'TXYN07C27600.TF-ID,Name,Price,TotalVolume,InOutRatio'</f>
        <v>#N/A</v>
      </c>
      <c r="G244" s="87">
        <f t="shared" si="6"/>
        <v>0</v>
      </c>
      <c r="H244" s="87">
        <v>27600</v>
      </c>
      <c r="I244" s="87">
        <f t="shared" si="7"/>
        <v>0</v>
      </c>
      <c r="J244" s="86" t="e" cm="1">
        <f t="array" ref="J244">[1]!'TXYN07P27600.TF-ID,Name,Price,TotalVolume,InOutRatio'</f>
        <v>#N/A</v>
      </c>
    </row>
    <row r="245" spans="2:10" x14ac:dyDescent="0.25">
      <c r="B245" s="86" t="e" cm="1">
        <f t="array" ref="B245">[1]!'TXYN07C27650.TF-ID,Name,Price,TotalVolume,InOutRatio'</f>
        <v>#N/A</v>
      </c>
      <c r="G245" s="87">
        <f t="shared" si="6"/>
        <v>0</v>
      </c>
      <c r="H245" s="87">
        <v>27650</v>
      </c>
      <c r="I245" s="87">
        <f t="shared" si="7"/>
        <v>0</v>
      </c>
      <c r="J245" s="86" t="e" cm="1">
        <f t="array" ref="J245">[1]!'TXYN07P27650.TF-ID,Name,Price,TotalVolume,InOutRatio'</f>
        <v>#N/A</v>
      </c>
    </row>
    <row r="246" spans="2:10" x14ac:dyDescent="0.25">
      <c r="B246" s="86" t="e" cm="1">
        <f t="array" ref="B246">[1]!'TXYN07C27700.TF-ID,Name,Price,TotalVolume,InOutRatio'</f>
        <v>#N/A</v>
      </c>
      <c r="G246" s="87">
        <f t="shared" si="6"/>
        <v>0</v>
      </c>
      <c r="H246" s="87">
        <v>27700</v>
      </c>
      <c r="I246" s="87">
        <f t="shared" si="7"/>
        <v>0</v>
      </c>
      <c r="J246" s="86" t="e" cm="1">
        <f t="array" ref="J246">[1]!'TXYN07P27700.TF-ID,Name,Price,TotalVolume,InOutRatio'</f>
        <v>#N/A</v>
      </c>
    </row>
    <row r="247" spans="2:10" x14ac:dyDescent="0.25">
      <c r="B247" s="86" t="e" cm="1">
        <f t="array" ref="B247">[1]!'TXYN07C27750.TF-ID,Name,Price,TotalVolume,InOutRatio'</f>
        <v>#N/A</v>
      </c>
      <c r="G247" s="87">
        <f t="shared" si="6"/>
        <v>0</v>
      </c>
      <c r="H247" s="87">
        <v>27750</v>
      </c>
      <c r="I247" s="87">
        <f t="shared" si="7"/>
        <v>0</v>
      </c>
      <c r="J247" s="86" t="e" cm="1">
        <f t="array" ref="J247">[1]!'TXYN07P27750.TF-ID,Name,Price,TotalVolume,InOutRatio'</f>
        <v>#N/A</v>
      </c>
    </row>
    <row r="248" spans="2:10" x14ac:dyDescent="0.25">
      <c r="B248" s="86" t="e" cm="1">
        <f t="array" ref="B248">[1]!'TXYN07C27800.TF-ID,Name,Price,TotalVolume,InOutRatio'</f>
        <v>#N/A</v>
      </c>
      <c r="G248" s="87">
        <f t="shared" si="6"/>
        <v>0</v>
      </c>
      <c r="H248" s="87">
        <v>27800</v>
      </c>
      <c r="I248" s="87">
        <f t="shared" si="7"/>
        <v>0</v>
      </c>
      <c r="J248" s="86" t="e" cm="1">
        <f t="array" ref="J248">[1]!'TXYN07P27800.TF-ID,Name,Price,TotalVolume,InOutRatio'</f>
        <v>#N/A</v>
      </c>
    </row>
    <row r="249" spans="2:10" x14ac:dyDescent="0.25">
      <c r="B249" s="86" t="e" cm="1">
        <f t="array" ref="B249">[1]!'TXYN07C27850.TF-ID,Name,Price,TotalVolume,InOutRatio'</f>
        <v>#N/A</v>
      </c>
      <c r="G249" s="87">
        <f t="shared" si="6"/>
        <v>0</v>
      </c>
      <c r="H249" s="87">
        <v>27850</v>
      </c>
      <c r="I249" s="87">
        <f t="shared" si="7"/>
        <v>0</v>
      </c>
      <c r="J249" s="86" t="e" cm="1">
        <f t="array" ref="J249">[1]!'TXYN07P27850.TF-ID,Name,Price,TotalVolume,InOutRatio'</f>
        <v>#N/A</v>
      </c>
    </row>
    <row r="250" spans="2:10" x14ac:dyDescent="0.25">
      <c r="B250" s="86" t="e" cm="1">
        <f t="array" ref="B250">[1]!'TXYN07C27900.TF-ID,Name,Price,TotalVolume,InOutRatio'</f>
        <v>#N/A</v>
      </c>
      <c r="G250" s="87">
        <f t="shared" si="6"/>
        <v>0</v>
      </c>
      <c r="H250" s="87">
        <v>27900</v>
      </c>
      <c r="I250" s="87">
        <f t="shared" si="7"/>
        <v>0</v>
      </c>
      <c r="J250" s="86" t="e" cm="1">
        <f t="array" ref="J250">[1]!'TXYN07P27900.TF-ID,Name,Price,TotalVolume,InOutRatio'</f>
        <v>#N/A</v>
      </c>
    </row>
    <row r="251" spans="2:10" x14ac:dyDescent="0.25">
      <c r="B251" s="86" t="e" cm="1">
        <f t="array" ref="B251">[1]!'TXYN07C27950.TF-ID,Name,Price,TotalVolume,InOutRatio'</f>
        <v>#N/A</v>
      </c>
      <c r="G251" s="87">
        <f t="shared" si="6"/>
        <v>0</v>
      </c>
      <c r="H251" s="87">
        <v>27950</v>
      </c>
      <c r="I251" s="87">
        <f t="shared" si="7"/>
        <v>0</v>
      </c>
      <c r="J251" s="86" t="e" cm="1">
        <f t="array" ref="J251">[1]!'TXYN07P27950.TF-ID,Name,Price,TotalVolume,InOutRatio'</f>
        <v>#N/A</v>
      </c>
    </row>
    <row r="252" spans="2:10" x14ac:dyDescent="0.25">
      <c r="B252" s="86" t="e" cm="1">
        <f t="array" ref="B252">[1]!'TXYN07C28000.TF-ID,Name,Price,TotalVolume,InOutRatio'</f>
        <v>#N/A</v>
      </c>
      <c r="G252" s="87">
        <f t="shared" si="6"/>
        <v>0</v>
      </c>
      <c r="H252" s="87">
        <v>28000</v>
      </c>
      <c r="I252" s="87">
        <f t="shared" si="7"/>
        <v>0</v>
      </c>
      <c r="J252" s="86" t="e" cm="1">
        <f t="array" ref="J252">[1]!'TXYN07P28000.TF-ID,Name,Price,TotalVolume,InOutRatio'</f>
        <v>#N/A</v>
      </c>
    </row>
    <row r="253" spans="2:10" x14ac:dyDescent="0.25">
      <c r="B253" s="86" t="e" cm="1">
        <f t="array" ref="B253">[1]!'TXYN07C28050.TF-ID,Name,Price,TotalVolume,InOutRatio'</f>
        <v>#N/A</v>
      </c>
      <c r="G253" s="87">
        <f t="shared" si="6"/>
        <v>0</v>
      </c>
      <c r="H253" s="87">
        <v>28050</v>
      </c>
      <c r="I253" s="87">
        <f t="shared" si="7"/>
        <v>0</v>
      </c>
      <c r="J253" s="86" t="e" cm="1">
        <f t="array" ref="J253">[1]!'TXYN07P28050.TF-ID,Name,Price,TotalVolume,InOutRatio'</f>
        <v>#N/A</v>
      </c>
    </row>
    <row r="254" spans="2:10" x14ac:dyDescent="0.25">
      <c r="B254" s="86" t="e" cm="1">
        <f t="array" ref="B254">[1]!'TXYN07C28100.TF-ID,Name,Price,TotalVolume,InOutRatio'</f>
        <v>#N/A</v>
      </c>
      <c r="G254" s="87">
        <f t="shared" si="6"/>
        <v>0</v>
      </c>
      <c r="H254" s="87">
        <v>28100</v>
      </c>
      <c r="I254" s="87">
        <f t="shared" si="7"/>
        <v>0</v>
      </c>
      <c r="J254" s="86" t="e" cm="1">
        <f t="array" ref="J254">[1]!'TXYN07P28100.TF-ID,Name,Price,TotalVolume,InOutRatio'</f>
        <v>#N/A</v>
      </c>
    </row>
    <row r="255" spans="2:10" x14ac:dyDescent="0.25">
      <c r="B255" s="86" t="e" cm="1">
        <f t="array" ref="B255">[1]!'TXYN07C28150.TF-ID,Name,Price,TotalVolume,InOutRatio'</f>
        <v>#N/A</v>
      </c>
      <c r="G255" s="87">
        <f t="shared" si="6"/>
        <v>0</v>
      </c>
      <c r="H255" s="87">
        <v>28150</v>
      </c>
      <c r="I255" s="87">
        <f t="shared" si="7"/>
        <v>0</v>
      </c>
      <c r="J255" s="86" t="e" cm="1">
        <f t="array" ref="J255">[1]!'TXYN07P28150.TF-ID,Name,Price,TotalVolume,InOutRatio'</f>
        <v>#N/A</v>
      </c>
    </row>
    <row r="256" spans="2:10" x14ac:dyDescent="0.25">
      <c r="B256" s="86" t="e" cm="1">
        <f t="array" ref="B256">[1]!'TXYN07C28200.TF-ID,Name,Price,TotalVolume,InOutRatio'</f>
        <v>#N/A</v>
      </c>
      <c r="G256" s="87">
        <f t="shared" si="6"/>
        <v>0</v>
      </c>
      <c r="H256" s="87">
        <v>28200</v>
      </c>
      <c r="I256" s="87">
        <f t="shared" si="7"/>
        <v>0</v>
      </c>
      <c r="J256" s="86" t="e" cm="1">
        <f t="array" ref="J256">[1]!'TXYN07P28200.TF-ID,Name,Price,TotalVolume,InOutRatio'</f>
        <v>#N/A</v>
      </c>
    </row>
    <row r="257" spans="2:10" x14ac:dyDescent="0.25">
      <c r="B257" s="86" t="e" cm="1">
        <f t="array" ref="B257">[1]!'TXYN07C28250.TF-ID,Name,Price,TotalVolume,InOutRatio'</f>
        <v>#N/A</v>
      </c>
      <c r="G257" s="87">
        <f t="shared" si="6"/>
        <v>0</v>
      </c>
      <c r="H257" s="87">
        <v>28250</v>
      </c>
      <c r="I257" s="87">
        <f t="shared" si="7"/>
        <v>0</v>
      </c>
      <c r="J257" s="86" t="e" cm="1">
        <f t="array" ref="J257">[1]!'TXYN07P28250.TF-ID,Name,Price,TotalVolume,InOutRatio'</f>
        <v>#N/A</v>
      </c>
    </row>
    <row r="258" spans="2:10" x14ac:dyDescent="0.25">
      <c r="B258" s="86" t="e" cm="1">
        <f t="array" ref="B258">[1]!'TXYN07C28300.TF-ID,Name,Price,TotalVolume,InOutRatio'</f>
        <v>#N/A</v>
      </c>
      <c r="G258" s="87">
        <f t="shared" si="6"/>
        <v>0</v>
      </c>
      <c r="H258" s="87">
        <v>28300</v>
      </c>
      <c r="I258" s="87">
        <f t="shared" si="7"/>
        <v>0</v>
      </c>
      <c r="J258" s="86" t="e" cm="1">
        <f t="array" ref="J258">[1]!'TXYN07P28300.TF-ID,Name,Price,TotalVolume,InOutRatio'</f>
        <v>#N/A</v>
      </c>
    </row>
    <row r="259" spans="2:10" x14ac:dyDescent="0.25">
      <c r="B259" s="86" t="e" cm="1">
        <f t="array" ref="B259">[1]!'TXYN07C28350.TF-ID,Name,Price,TotalVolume,InOutRatio'</f>
        <v>#N/A</v>
      </c>
      <c r="G259" s="87">
        <f t="shared" ref="G259:G292" si="8">+IFERROR((F259-50)/50*E259,0)</f>
        <v>0</v>
      </c>
      <c r="H259" s="87">
        <v>28350</v>
      </c>
      <c r="I259" s="87">
        <f t="shared" ref="I259:I292" si="9">+IFERROR((N259-50)/50*M259,0)</f>
        <v>0</v>
      </c>
      <c r="J259" s="86" t="e" cm="1">
        <f t="array" ref="J259">[1]!'TXYN07P28350.TF-ID,Name,Price,TotalVolume,InOutRatio'</f>
        <v>#N/A</v>
      </c>
    </row>
    <row r="260" spans="2:10" x14ac:dyDescent="0.25">
      <c r="B260" s="86" t="e" cm="1">
        <f t="array" ref="B260">[1]!'TXYN07C28400.TF-ID,Name,Price,TotalVolume,InOutRatio'</f>
        <v>#N/A</v>
      </c>
      <c r="G260" s="87">
        <f t="shared" si="8"/>
        <v>0</v>
      </c>
      <c r="H260" s="87">
        <v>28400</v>
      </c>
      <c r="I260" s="87">
        <f t="shared" si="9"/>
        <v>0</v>
      </c>
      <c r="J260" s="86" t="e" cm="1">
        <f t="array" ref="J260">[1]!'TXYN07P28400.TF-ID,Name,Price,TotalVolume,InOutRatio'</f>
        <v>#N/A</v>
      </c>
    </row>
    <row r="261" spans="2:10" x14ac:dyDescent="0.25">
      <c r="B261" s="86" t="e" cm="1">
        <f t="array" ref="B261">[1]!'TXYN07C28450.TF-ID,Name,Price,TotalVolume,InOutRatio'</f>
        <v>#N/A</v>
      </c>
      <c r="G261" s="87">
        <f t="shared" si="8"/>
        <v>0</v>
      </c>
      <c r="H261" s="87">
        <v>28450</v>
      </c>
      <c r="I261" s="87">
        <f t="shared" si="9"/>
        <v>0</v>
      </c>
      <c r="J261" s="86" t="e" cm="1">
        <f t="array" ref="J261">[1]!'TXYN07P28450.TF-ID,Name,Price,TotalVolume,InOutRatio'</f>
        <v>#N/A</v>
      </c>
    </row>
    <row r="262" spans="2:10" x14ac:dyDescent="0.25">
      <c r="B262" s="86" t="e" cm="1">
        <f t="array" ref="B262">[1]!'TXYN07C28500.TF-ID,Name,Price,TotalVolume,InOutRatio'</f>
        <v>#N/A</v>
      </c>
      <c r="G262" s="87">
        <f t="shared" si="8"/>
        <v>0</v>
      </c>
      <c r="H262" s="87">
        <v>28500</v>
      </c>
      <c r="I262" s="87">
        <f t="shared" si="9"/>
        <v>0</v>
      </c>
      <c r="J262" s="86" t="e" cm="1">
        <f t="array" ref="J262">[1]!'TXYN07P28500.TF-ID,Name,Price,TotalVolume,InOutRatio'</f>
        <v>#N/A</v>
      </c>
    </row>
    <row r="263" spans="2:10" x14ac:dyDescent="0.25">
      <c r="B263" s="86" t="e" cm="1">
        <f t="array" ref="B263">[1]!'TXYN07C28550.TF-ID,Name,Price,TotalVolume,InOutRatio'</f>
        <v>#N/A</v>
      </c>
      <c r="G263" s="87">
        <f t="shared" si="8"/>
        <v>0</v>
      </c>
      <c r="H263" s="87">
        <v>28550</v>
      </c>
      <c r="I263" s="87">
        <f t="shared" si="9"/>
        <v>0</v>
      </c>
      <c r="J263" s="86" t="e" cm="1">
        <f t="array" ref="J263">[1]!'TXYN07P28550.TF-ID,Name,Price,TotalVolume,InOutRatio'</f>
        <v>#N/A</v>
      </c>
    </row>
    <row r="264" spans="2:10" x14ac:dyDescent="0.25">
      <c r="B264" s="86" t="e" cm="1">
        <f t="array" ref="B264">[1]!'TXYN07C28600.TF-ID,Name,Price,TotalVolume,InOutRatio'</f>
        <v>#N/A</v>
      </c>
      <c r="G264" s="87">
        <f t="shared" si="8"/>
        <v>0</v>
      </c>
      <c r="H264" s="87">
        <v>28600</v>
      </c>
      <c r="I264" s="87">
        <f t="shared" si="9"/>
        <v>0</v>
      </c>
      <c r="J264" s="86" t="e" cm="1">
        <f t="array" ref="J264">[1]!'TXYN07P28600.TF-ID,Name,Price,TotalVolume,InOutRatio'</f>
        <v>#N/A</v>
      </c>
    </row>
    <row r="265" spans="2:10" x14ac:dyDescent="0.25">
      <c r="B265" s="86" t="e" cm="1">
        <f t="array" ref="B265">[1]!'TXYN07C28650.TF-ID,Name,Price,TotalVolume,InOutRatio'</f>
        <v>#N/A</v>
      </c>
      <c r="G265" s="87">
        <f t="shared" si="8"/>
        <v>0</v>
      </c>
      <c r="H265" s="87">
        <v>28650</v>
      </c>
      <c r="I265" s="87">
        <f t="shared" si="9"/>
        <v>0</v>
      </c>
      <c r="J265" s="86" t="e" cm="1">
        <f t="array" ref="J265">[1]!'TXYN07P28650.TF-ID,Name,Price,TotalVolume,InOutRatio'</f>
        <v>#N/A</v>
      </c>
    </row>
    <row r="266" spans="2:10" x14ac:dyDescent="0.25">
      <c r="B266" s="86" t="e" cm="1">
        <f t="array" ref="B266">[1]!'TXYN07C28700.TF-ID,Name,Price,TotalVolume,InOutRatio'</f>
        <v>#N/A</v>
      </c>
      <c r="G266" s="87">
        <f t="shared" si="8"/>
        <v>0</v>
      </c>
      <c r="H266" s="87">
        <v>28700</v>
      </c>
      <c r="I266" s="87">
        <f t="shared" si="9"/>
        <v>0</v>
      </c>
      <c r="J266" s="86" t="e" cm="1">
        <f t="array" ref="J266">[1]!'TXYN07P28700.TF-ID,Name,Price,TotalVolume,InOutRatio'</f>
        <v>#N/A</v>
      </c>
    </row>
    <row r="267" spans="2:10" x14ac:dyDescent="0.25">
      <c r="B267" s="86" t="e" cm="1">
        <f t="array" ref="B267">[1]!'TXYN07C28750.TF-ID,Name,Price,TotalVolume,InOutRatio'</f>
        <v>#N/A</v>
      </c>
      <c r="G267" s="87">
        <f t="shared" si="8"/>
        <v>0</v>
      </c>
      <c r="H267" s="87">
        <v>28750</v>
      </c>
      <c r="I267" s="87">
        <f t="shared" si="9"/>
        <v>0</v>
      </c>
      <c r="J267" s="86" t="e" cm="1">
        <f t="array" ref="J267">[1]!'TXYN07P28750.TF-ID,Name,Price,TotalVolume,InOutRatio'</f>
        <v>#N/A</v>
      </c>
    </row>
    <row r="268" spans="2:10" x14ac:dyDescent="0.25">
      <c r="B268" s="86" t="e" cm="1">
        <f t="array" ref="B268">[1]!'TXYN07C28800.TF-ID,Name,Price,TotalVolume,InOutRatio'</f>
        <v>#N/A</v>
      </c>
      <c r="G268" s="87">
        <f t="shared" si="8"/>
        <v>0</v>
      </c>
      <c r="H268" s="87">
        <v>28800</v>
      </c>
      <c r="I268" s="87">
        <f t="shared" si="9"/>
        <v>0</v>
      </c>
      <c r="J268" s="86" t="e" cm="1">
        <f t="array" ref="J268">[1]!'TXYN07P28800.TF-ID,Name,Price,TotalVolume,InOutRatio'</f>
        <v>#N/A</v>
      </c>
    </row>
    <row r="269" spans="2:10" x14ac:dyDescent="0.25">
      <c r="B269" s="86" t="e" cm="1">
        <f t="array" ref="B269">[1]!'TXYN07C28850.TF-ID,Name,Price,TotalVolume,InOutRatio'</f>
        <v>#N/A</v>
      </c>
      <c r="G269" s="87">
        <f t="shared" si="8"/>
        <v>0</v>
      </c>
      <c r="H269" s="87">
        <v>28850</v>
      </c>
      <c r="I269" s="87">
        <f t="shared" si="9"/>
        <v>0</v>
      </c>
      <c r="J269" s="86" t="e" cm="1">
        <f t="array" ref="J269">[1]!'TXYN07P28850.TF-ID,Name,Price,TotalVolume,InOutRatio'</f>
        <v>#N/A</v>
      </c>
    </row>
    <row r="270" spans="2:10" x14ac:dyDescent="0.25">
      <c r="B270" s="86" t="e" cm="1">
        <f t="array" ref="B270">[1]!'TXYN07C28900.TF-ID,Name,Price,TotalVolume,InOutRatio'</f>
        <v>#N/A</v>
      </c>
      <c r="G270" s="87">
        <f t="shared" si="8"/>
        <v>0</v>
      </c>
      <c r="H270" s="87">
        <v>28900</v>
      </c>
      <c r="I270" s="87">
        <f t="shared" si="9"/>
        <v>0</v>
      </c>
      <c r="J270" s="86" t="e" cm="1">
        <f t="array" ref="J270">[1]!'TXYN07P28900.TF-ID,Name,Price,TotalVolume,InOutRatio'</f>
        <v>#N/A</v>
      </c>
    </row>
    <row r="271" spans="2:10" x14ac:dyDescent="0.25">
      <c r="B271" s="86" t="e" cm="1">
        <f t="array" ref="B271">[1]!'TXYN07C28950.TF-ID,Name,Price,TotalVolume,InOutRatio'</f>
        <v>#N/A</v>
      </c>
      <c r="G271" s="87">
        <f t="shared" si="8"/>
        <v>0</v>
      </c>
      <c r="H271" s="87">
        <v>28950</v>
      </c>
      <c r="I271" s="87">
        <f t="shared" si="9"/>
        <v>0</v>
      </c>
      <c r="J271" s="86" t="e" cm="1">
        <f t="array" ref="J271">[1]!'TXYN07P28950.TF-ID,Name,Price,TotalVolume,InOutRatio'</f>
        <v>#N/A</v>
      </c>
    </row>
    <row r="272" spans="2:10" x14ac:dyDescent="0.25">
      <c r="B272" s="86" t="e" cm="1">
        <f t="array" ref="B272">[1]!'TXYN07C29000.TF-ID,Name,Price,TotalVolume,InOutRatio'</f>
        <v>#N/A</v>
      </c>
      <c r="G272" s="87">
        <f t="shared" si="8"/>
        <v>0</v>
      </c>
      <c r="H272" s="87">
        <v>29000</v>
      </c>
      <c r="I272" s="87">
        <f t="shared" si="9"/>
        <v>0</v>
      </c>
      <c r="J272" s="86" t="e" cm="1">
        <f t="array" ref="J272">[1]!'TXYN07P29000.TF-ID,Name,Price,TotalVolume,InOutRatio'</f>
        <v>#N/A</v>
      </c>
    </row>
    <row r="273" spans="2:10" x14ac:dyDescent="0.25">
      <c r="B273" s="86" t="e" cm="1">
        <f t="array" ref="B273">[1]!'TXYN07C29050.TF-ID,Name,Price,TotalVolume,InOutRatio'</f>
        <v>#N/A</v>
      </c>
      <c r="G273" s="87">
        <f t="shared" si="8"/>
        <v>0</v>
      </c>
      <c r="H273" s="87">
        <v>29050</v>
      </c>
      <c r="I273" s="87">
        <f t="shared" si="9"/>
        <v>0</v>
      </c>
      <c r="J273" s="86" t="e" cm="1">
        <f t="array" ref="J273">[1]!'TXYN07P29050.TF-ID,Name,Price,TotalVolume,InOutRatio'</f>
        <v>#N/A</v>
      </c>
    </row>
    <row r="274" spans="2:10" x14ac:dyDescent="0.25">
      <c r="B274" s="86" t="e" cm="1">
        <f t="array" ref="B274">[1]!'TXYN07C29100.TF-ID,Name,Price,TotalVolume,InOutRatio'</f>
        <v>#N/A</v>
      </c>
      <c r="G274" s="87">
        <f t="shared" si="8"/>
        <v>0</v>
      </c>
      <c r="H274" s="87">
        <v>29100</v>
      </c>
      <c r="I274" s="87">
        <f t="shared" si="9"/>
        <v>0</v>
      </c>
      <c r="J274" s="86" t="e" cm="1">
        <f t="array" ref="J274">[1]!'TXYN07P29100.TF-ID,Name,Price,TotalVolume,InOutRatio'</f>
        <v>#N/A</v>
      </c>
    </row>
    <row r="275" spans="2:10" x14ac:dyDescent="0.25">
      <c r="B275" s="86" t="e" cm="1">
        <f t="array" ref="B275">[1]!'TXYN07C29150.TF-ID,Name,Price,TotalVolume,InOutRatio'</f>
        <v>#N/A</v>
      </c>
      <c r="G275" s="87">
        <f t="shared" si="8"/>
        <v>0</v>
      </c>
      <c r="H275" s="87">
        <v>29150</v>
      </c>
      <c r="I275" s="87">
        <f t="shared" si="9"/>
        <v>0</v>
      </c>
      <c r="J275" s="86" t="e" cm="1">
        <f t="array" ref="J275">[1]!'TXYN07P29150.TF-ID,Name,Price,TotalVolume,InOutRatio'</f>
        <v>#N/A</v>
      </c>
    </row>
    <row r="276" spans="2:10" x14ac:dyDescent="0.25">
      <c r="B276" s="86" t="e" cm="1">
        <f t="array" ref="B276">[1]!'TXYN07C29200.TF-ID,Name,Price,TotalVolume,InOutRatio'</f>
        <v>#N/A</v>
      </c>
      <c r="G276" s="87">
        <f t="shared" si="8"/>
        <v>0</v>
      </c>
      <c r="H276" s="87">
        <v>29200</v>
      </c>
      <c r="I276" s="87">
        <f t="shared" si="9"/>
        <v>0</v>
      </c>
      <c r="J276" s="86" t="e" cm="1">
        <f t="array" ref="J276">[1]!'TXYN07P29200.TF-ID,Name,Price,TotalVolume,InOutRatio'</f>
        <v>#N/A</v>
      </c>
    </row>
    <row r="277" spans="2:10" x14ac:dyDescent="0.25">
      <c r="B277" s="86" t="e" cm="1">
        <f t="array" ref="B277">[1]!'TXYN07C29250.TF-ID,Name,Price,TotalVolume,InOutRatio'</f>
        <v>#N/A</v>
      </c>
      <c r="G277" s="87">
        <f t="shared" si="8"/>
        <v>0</v>
      </c>
      <c r="H277" s="87">
        <v>29250</v>
      </c>
      <c r="I277" s="87">
        <f t="shared" si="9"/>
        <v>0</v>
      </c>
      <c r="J277" s="86" t="e" cm="1">
        <f t="array" ref="J277">[1]!'TXYN07P29250.TF-ID,Name,Price,TotalVolume,InOutRatio'</f>
        <v>#N/A</v>
      </c>
    </row>
    <row r="278" spans="2:10" x14ac:dyDescent="0.25">
      <c r="B278" s="86" t="e" cm="1">
        <f t="array" ref="B278">[1]!'TXYN07C29300.TF-ID,Name,Price,TotalVolume,InOutRatio'</f>
        <v>#N/A</v>
      </c>
      <c r="G278" s="87">
        <f t="shared" si="8"/>
        <v>0</v>
      </c>
      <c r="H278" s="87">
        <v>29300</v>
      </c>
      <c r="I278" s="87">
        <f t="shared" si="9"/>
        <v>0</v>
      </c>
      <c r="J278" s="86" t="e" cm="1">
        <f t="array" ref="J278">[1]!'TXYN07P29300.TF-ID,Name,Price,TotalVolume,InOutRatio'</f>
        <v>#N/A</v>
      </c>
    </row>
    <row r="279" spans="2:10" x14ac:dyDescent="0.25">
      <c r="B279" s="86" t="e" cm="1">
        <f t="array" ref="B279">[1]!'TXYN07C29350.TF-ID,Name,Price,TotalVolume,InOutRatio'</f>
        <v>#N/A</v>
      </c>
      <c r="G279" s="87">
        <f t="shared" si="8"/>
        <v>0</v>
      </c>
      <c r="H279" s="87">
        <v>29350</v>
      </c>
      <c r="I279" s="87">
        <f t="shared" si="9"/>
        <v>0</v>
      </c>
      <c r="J279" s="86" t="e" cm="1">
        <f t="array" ref="J279">[1]!'TXYN07P29350.TF-ID,Name,Price,TotalVolume,InOutRatio'</f>
        <v>#N/A</v>
      </c>
    </row>
    <row r="280" spans="2:10" x14ac:dyDescent="0.25">
      <c r="B280" s="86" t="e" cm="1">
        <f t="array" ref="B280">[1]!'TXYN07C29400.TF-ID,Name,Price,TotalVolume,InOutRatio'</f>
        <v>#N/A</v>
      </c>
      <c r="G280" s="87">
        <f t="shared" si="8"/>
        <v>0</v>
      </c>
      <c r="H280" s="87">
        <v>29400</v>
      </c>
      <c r="I280" s="87">
        <f t="shared" si="9"/>
        <v>0</v>
      </c>
      <c r="J280" s="86" t="e" cm="1">
        <f t="array" ref="J280">[1]!'TXYN07P29400.TF-ID,Name,Price,TotalVolume,InOutRatio'</f>
        <v>#N/A</v>
      </c>
    </row>
    <row r="281" spans="2:10" x14ac:dyDescent="0.25">
      <c r="B281" s="86" t="e" cm="1">
        <f t="array" ref="B281">[1]!'TXYN07C29450.TF-ID,Name,Price,TotalVolume,InOutRatio'</f>
        <v>#N/A</v>
      </c>
      <c r="G281" s="87">
        <f t="shared" si="8"/>
        <v>0</v>
      </c>
      <c r="H281" s="87">
        <v>29450</v>
      </c>
      <c r="I281" s="87">
        <f t="shared" si="9"/>
        <v>0</v>
      </c>
      <c r="J281" s="86" t="e" cm="1">
        <f t="array" ref="J281">[1]!'TXYN07P29450.TF-ID,Name,Price,TotalVolume,InOutRatio'</f>
        <v>#N/A</v>
      </c>
    </row>
    <row r="282" spans="2:10" x14ac:dyDescent="0.25">
      <c r="B282" s="86" t="e" cm="1">
        <f t="array" ref="B282">[1]!'TXYN07C29500.TF-ID,Name,Price,TotalVolume,InOutRatio'</f>
        <v>#N/A</v>
      </c>
      <c r="G282" s="87">
        <f t="shared" si="8"/>
        <v>0</v>
      </c>
      <c r="H282" s="87">
        <v>29500</v>
      </c>
      <c r="I282" s="87">
        <f t="shared" si="9"/>
        <v>0</v>
      </c>
      <c r="J282" s="86" t="e" cm="1">
        <f t="array" ref="J282">[1]!'TXYN07P29500.TF-ID,Name,Price,TotalVolume,InOutRatio'</f>
        <v>#N/A</v>
      </c>
    </row>
    <row r="283" spans="2:10" x14ac:dyDescent="0.25">
      <c r="B283" s="86" t="e" cm="1">
        <f t="array" ref="B283">[1]!'TXYN07C29550.TF-ID,Name,Price,TotalVolume,InOutRatio'</f>
        <v>#N/A</v>
      </c>
      <c r="G283" s="87">
        <f t="shared" si="8"/>
        <v>0</v>
      </c>
      <c r="H283" s="87">
        <v>29550</v>
      </c>
      <c r="I283" s="87">
        <f t="shared" si="9"/>
        <v>0</v>
      </c>
      <c r="J283" s="86" t="e" cm="1">
        <f t="array" ref="J283">[1]!'TXYN07P29550.TF-ID,Name,Price,TotalVolume,InOutRatio'</f>
        <v>#N/A</v>
      </c>
    </row>
    <row r="284" spans="2:10" x14ac:dyDescent="0.25">
      <c r="B284" s="86" t="e" cm="1">
        <f t="array" ref="B284">[1]!'TXYN07C29600.TF-ID,Name,Price,TotalVolume,InOutRatio'</f>
        <v>#N/A</v>
      </c>
      <c r="G284" s="87">
        <f t="shared" si="8"/>
        <v>0</v>
      </c>
      <c r="H284" s="87">
        <v>29600</v>
      </c>
      <c r="I284" s="87">
        <f t="shared" si="9"/>
        <v>0</v>
      </c>
      <c r="J284" s="86" t="e" cm="1">
        <f t="array" ref="J284">[1]!'TXYN07P29600.TF-ID,Name,Price,TotalVolume,InOutRatio'</f>
        <v>#N/A</v>
      </c>
    </row>
    <row r="285" spans="2:10" x14ac:dyDescent="0.25">
      <c r="B285" s="86" t="e" cm="1">
        <f t="array" ref="B285">[1]!'TXYN07C29650.TF-ID,Name,Price,TotalVolume,InOutRatio'</f>
        <v>#N/A</v>
      </c>
      <c r="G285" s="87">
        <f t="shared" si="8"/>
        <v>0</v>
      </c>
      <c r="H285" s="87">
        <v>29650</v>
      </c>
      <c r="I285" s="87">
        <f t="shared" si="9"/>
        <v>0</v>
      </c>
      <c r="J285" s="86" t="e" cm="1">
        <f t="array" ref="J285">[1]!'TXYN07P29650.TF-ID,Name,Price,TotalVolume,InOutRatio'</f>
        <v>#N/A</v>
      </c>
    </row>
    <row r="286" spans="2:10" x14ac:dyDescent="0.25">
      <c r="B286" s="86" t="e" cm="1">
        <f t="array" ref="B286">[1]!'TXYN07C29700.TF-ID,Name,Price,TotalVolume,InOutRatio'</f>
        <v>#N/A</v>
      </c>
      <c r="G286" s="87">
        <f t="shared" si="8"/>
        <v>0</v>
      </c>
      <c r="H286" s="87">
        <v>29700</v>
      </c>
      <c r="I286" s="87">
        <f t="shared" si="9"/>
        <v>0</v>
      </c>
      <c r="J286" s="86" t="e" cm="1">
        <f t="array" ref="J286">[1]!'TXYN07P29700.TF-ID,Name,Price,TotalVolume,InOutRatio'</f>
        <v>#N/A</v>
      </c>
    </row>
    <row r="287" spans="2:10" x14ac:dyDescent="0.25">
      <c r="B287" s="86" t="e" cm="1">
        <f t="array" ref="B287">[1]!'TXYN07C29750.TF-ID,Name,Price,TotalVolume,InOutRatio'</f>
        <v>#N/A</v>
      </c>
      <c r="G287" s="87">
        <f t="shared" si="8"/>
        <v>0</v>
      </c>
      <c r="H287" s="87">
        <v>29750</v>
      </c>
      <c r="I287" s="87">
        <f t="shared" si="9"/>
        <v>0</v>
      </c>
      <c r="J287" s="86" t="e" cm="1">
        <f t="array" ref="J287">[1]!'TXYN07P29750.TF-ID,Name,Price,TotalVolume,InOutRatio'</f>
        <v>#N/A</v>
      </c>
    </row>
    <row r="288" spans="2:10" x14ac:dyDescent="0.25">
      <c r="B288" s="86" t="e" cm="1">
        <f t="array" ref="B288">[1]!'TXYN07C29800.TF-ID,Name,Price,TotalVolume,InOutRatio'</f>
        <v>#N/A</v>
      </c>
      <c r="G288" s="87">
        <f t="shared" si="8"/>
        <v>0</v>
      </c>
      <c r="H288" s="87">
        <v>29800</v>
      </c>
      <c r="I288" s="87">
        <f t="shared" si="9"/>
        <v>0</v>
      </c>
      <c r="J288" s="86" t="e" cm="1">
        <f t="array" ref="J288">[1]!'TXYN07P29800.TF-ID,Name,Price,TotalVolume,InOutRatio'</f>
        <v>#N/A</v>
      </c>
    </row>
    <row r="289" spans="2:10" x14ac:dyDescent="0.25">
      <c r="B289" s="86" t="e" cm="1">
        <f t="array" ref="B289">[1]!'TXYN07C29850.TF-ID,Name,Price,TotalVolume,InOutRatio'</f>
        <v>#N/A</v>
      </c>
      <c r="G289" s="87">
        <f t="shared" si="8"/>
        <v>0</v>
      </c>
      <c r="H289" s="87">
        <v>29850</v>
      </c>
      <c r="I289" s="87">
        <f t="shared" si="9"/>
        <v>0</v>
      </c>
      <c r="J289" s="86" t="e" cm="1">
        <f t="array" ref="J289">[1]!'TXYN07P29850.TF-ID,Name,Price,TotalVolume,InOutRatio'</f>
        <v>#N/A</v>
      </c>
    </row>
    <row r="290" spans="2:10" x14ac:dyDescent="0.25">
      <c r="B290" s="86" t="e" cm="1">
        <f t="array" ref="B290">[1]!'TXYN07C29900.TF-ID,Name,Price,TotalVolume,InOutRatio'</f>
        <v>#N/A</v>
      </c>
      <c r="G290" s="87">
        <f t="shared" si="8"/>
        <v>0</v>
      </c>
      <c r="H290" s="87">
        <v>29900</v>
      </c>
      <c r="I290" s="87">
        <f t="shared" si="9"/>
        <v>0</v>
      </c>
      <c r="J290" s="86" t="e" cm="1">
        <f t="array" ref="J290">[1]!'TXYN07P29900.TF-ID,Name,Price,TotalVolume,InOutRatio'</f>
        <v>#N/A</v>
      </c>
    </row>
    <row r="291" spans="2:10" x14ac:dyDescent="0.25">
      <c r="B291" s="86" t="e" cm="1">
        <f t="array" ref="B291">[1]!'TXYN07C29950.TF-ID,Name,Price,TotalVolume,InOutRatio'</f>
        <v>#N/A</v>
      </c>
      <c r="G291" s="87">
        <f t="shared" si="8"/>
        <v>0</v>
      </c>
      <c r="H291" s="87">
        <v>29950</v>
      </c>
      <c r="I291" s="87">
        <f t="shared" si="9"/>
        <v>0</v>
      </c>
      <c r="J291" s="86" t="e" cm="1">
        <f t="array" ref="J291">[1]!'TXYN07P29950.TF-ID,Name,Price,TotalVolume,InOutRatio'</f>
        <v>#N/A</v>
      </c>
    </row>
    <row r="292" spans="2:10" x14ac:dyDescent="0.25">
      <c r="B292" s="86" t="e" cm="1">
        <f t="array" ref="B292">[1]!'TXYN07C30000.TF-ID,Name,Price,TotalVolume,InOutRatio'</f>
        <v>#N/A</v>
      </c>
      <c r="G292" s="87">
        <f t="shared" si="8"/>
        <v>0</v>
      </c>
      <c r="H292" s="87">
        <v>30000</v>
      </c>
      <c r="I292" s="87">
        <f t="shared" si="9"/>
        <v>0</v>
      </c>
      <c r="J292" s="86" t="e" cm="1">
        <f t="array" ref="J292">[1]!'TXYN07P30000.TF-ID,Name,Price,TotalVolume,InOutRatio'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223B-50D5-480A-BBDA-6FC333D4D7C9}">
  <sheetPr codeName="工作表10">
    <tabColor theme="8" tint="0.79998168889431442"/>
    <pageSetUpPr fitToPage="1"/>
  </sheetPr>
  <dimension ref="B1:O295"/>
  <sheetViews>
    <sheetView view="pageBreakPreview" zoomScale="190" zoomScaleNormal="124" zoomScaleSheetLayoutView="190" workbookViewId="0">
      <pane xSplit="1" ySplit="3" topLeftCell="B153" activePane="bottomRight" state="frozen"/>
      <selection pane="topRight" activeCell="B1" sqref="B1"/>
      <selection pane="bottomLeft" activeCell="A3" sqref="A3"/>
      <selection pane="bottomRight" activeCell="E1" sqref="E1:E1048576"/>
    </sheetView>
  </sheetViews>
  <sheetFormatPr defaultColWidth="7.875" defaultRowHeight="15.75" customHeight="1" x14ac:dyDescent="0.25"/>
  <cols>
    <col min="1" max="1" width="2.125" style="94" customWidth="1"/>
    <col min="2" max="8" width="8.75" style="97" customWidth="1"/>
    <col min="9" max="9" width="1.375" style="94" customWidth="1"/>
    <col min="10" max="10" width="5.125" style="94" bestFit="1" customWidth="1"/>
    <col min="11" max="11" width="11.375" style="94" customWidth="1"/>
    <col min="12" max="12" width="10.5" style="94" customWidth="1"/>
    <col min="13" max="13" width="9.625" style="98" bestFit="1" customWidth="1"/>
    <col min="14" max="14" width="9.25" style="98" bestFit="1" customWidth="1"/>
    <col min="15" max="15" width="7.875" style="98"/>
    <col min="16" max="16384" width="7.875" style="94"/>
  </cols>
  <sheetData>
    <row r="1" spans="2:14" ht="20.25" customHeight="1" x14ac:dyDescent="0.25">
      <c r="B1" s="94"/>
      <c r="C1" s="94"/>
      <c r="D1" s="94"/>
      <c r="E1" s="94"/>
      <c r="F1" s="94"/>
      <c r="G1" s="94"/>
      <c r="H1" s="94"/>
      <c r="J1" s="102"/>
      <c r="K1" s="102" t="s">
        <v>134</v>
      </c>
      <c r="L1" s="102" t="s">
        <v>135</v>
      </c>
      <c r="M1" s="102" t="s">
        <v>157</v>
      </c>
      <c r="N1" s="102" t="s">
        <v>158</v>
      </c>
    </row>
    <row r="2" spans="2:14" ht="20.25" customHeight="1" x14ac:dyDescent="0.25">
      <c r="B2" s="95" t="s">
        <v>124</v>
      </c>
      <c r="C2" s="95" t="s">
        <v>125</v>
      </c>
      <c r="D2" s="95" t="s">
        <v>126</v>
      </c>
      <c r="E2" s="95"/>
      <c r="F2" s="95" t="s">
        <v>126</v>
      </c>
      <c r="G2" s="95" t="s">
        <v>124</v>
      </c>
      <c r="H2" s="95" t="s">
        <v>125</v>
      </c>
      <c r="J2" s="102" t="s">
        <v>132</v>
      </c>
      <c r="K2" s="103" t="str">
        <f ca="1">MID(_xlfn.FORMULATEXT('callPut（W）'!B152),15,6)</f>
        <v>TX4N07</v>
      </c>
      <c r="L2" s="104" t="s">
        <v>155</v>
      </c>
      <c r="M2" s="103">
        <f>B295</f>
        <v>-3758.416999999999</v>
      </c>
      <c r="N2" s="103">
        <f>G295</f>
        <v>-853.32560000000001</v>
      </c>
    </row>
    <row r="3" spans="2:14" ht="20.25" customHeight="1" x14ac:dyDescent="0.25">
      <c r="B3" s="136" t="s">
        <v>11</v>
      </c>
      <c r="C3" s="137"/>
      <c r="D3" s="138"/>
      <c r="E3" s="96" t="s">
        <v>6</v>
      </c>
      <c r="F3" s="139" t="s">
        <v>12</v>
      </c>
      <c r="G3" s="140"/>
      <c r="H3" s="141"/>
      <c r="J3" s="102" t="s">
        <v>133</v>
      </c>
      <c r="K3" s="103" t="str">
        <f ca="1">MID(_xlfn.FORMULATEXT('callPut（F）'!B152),15,6)</f>
        <v>TXYN07</v>
      </c>
      <c r="L3" s="104" t="s">
        <v>156</v>
      </c>
      <c r="M3" s="103">
        <f>C295</f>
        <v>-999.75639999999976</v>
      </c>
      <c r="N3" s="103">
        <f>H295</f>
        <v>-72.304000000000016</v>
      </c>
    </row>
    <row r="4" spans="2:14" ht="15.75" customHeight="1" x14ac:dyDescent="0.25">
      <c r="B4" s="96">
        <f>'callPut（W）'!G2</f>
        <v>0</v>
      </c>
      <c r="C4" s="96">
        <f>'callPut（F）'!G2</f>
        <v>0</v>
      </c>
      <c r="D4" s="46">
        <f>B4+C4</f>
        <v>0</v>
      </c>
      <c r="E4" s="96">
        <v>15500</v>
      </c>
      <c r="F4" s="46">
        <f>G4+H4</f>
        <v>0</v>
      </c>
      <c r="G4" s="96">
        <f>'callPut（W）'!I2</f>
        <v>0</v>
      </c>
      <c r="H4" s="96">
        <f>'callPut（F）'!I2</f>
        <v>0</v>
      </c>
      <c r="J4" s="99"/>
      <c r="K4" s="99"/>
      <c r="L4" s="99"/>
      <c r="M4" s="100"/>
      <c r="N4" s="100"/>
    </row>
    <row r="5" spans="2:14" ht="15.75" customHeight="1" x14ac:dyDescent="0.25">
      <c r="B5" s="96">
        <f>'callPut（W）'!G3</f>
        <v>0</v>
      </c>
      <c r="C5" s="96">
        <f>'callPut（F）'!G3</f>
        <v>0</v>
      </c>
      <c r="D5" s="46">
        <f t="shared" ref="D5:D68" si="0">B5+C5</f>
        <v>0</v>
      </c>
      <c r="E5" s="96">
        <v>15550</v>
      </c>
      <c r="F5" s="46">
        <f t="shared" ref="F5:F68" si="1">G5+H5</f>
        <v>0</v>
      </c>
      <c r="G5" s="96">
        <f>'callPut（W）'!I3</f>
        <v>0</v>
      </c>
      <c r="H5" s="96">
        <f>'callPut（F）'!I3</f>
        <v>0</v>
      </c>
      <c r="J5" s="99"/>
      <c r="K5" s="99"/>
      <c r="L5" s="99"/>
      <c r="M5" s="101"/>
      <c r="N5" s="101"/>
    </row>
    <row r="6" spans="2:14" ht="15.75" customHeight="1" x14ac:dyDescent="0.25">
      <c r="B6" s="96">
        <f>'callPut（W）'!G4</f>
        <v>0</v>
      </c>
      <c r="C6" s="96">
        <f>'callPut（F）'!G4</f>
        <v>0</v>
      </c>
      <c r="D6" s="46">
        <f t="shared" si="0"/>
        <v>0</v>
      </c>
      <c r="E6" s="96">
        <v>15600</v>
      </c>
      <c r="F6" s="46">
        <f t="shared" si="1"/>
        <v>0</v>
      </c>
      <c r="G6" s="96">
        <f>'callPut（W）'!I4</f>
        <v>0</v>
      </c>
      <c r="H6" s="96">
        <f>'callPut（F）'!I4</f>
        <v>0</v>
      </c>
      <c r="J6" s="99"/>
      <c r="K6" s="99"/>
      <c r="L6" s="99"/>
      <c r="M6" s="101"/>
      <c r="N6" s="101"/>
    </row>
    <row r="7" spans="2:14" ht="15.75" customHeight="1" x14ac:dyDescent="0.25">
      <c r="B7" s="96">
        <f>'callPut（W）'!G5</f>
        <v>0</v>
      </c>
      <c r="C7" s="96">
        <f>'callPut（F）'!G5</f>
        <v>0</v>
      </c>
      <c r="D7" s="46">
        <f t="shared" si="0"/>
        <v>0</v>
      </c>
      <c r="E7" s="96">
        <v>15650</v>
      </c>
      <c r="F7" s="46">
        <f t="shared" si="1"/>
        <v>0</v>
      </c>
      <c r="G7" s="96">
        <f>'callPut（W）'!I5</f>
        <v>0</v>
      </c>
      <c r="H7" s="96">
        <f>'callPut（F）'!I5</f>
        <v>0</v>
      </c>
      <c r="J7" s="99"/>
      <c r="K7" s="99"/>
      <c r="L7" s="99"/>
      <c r="M7" s="101"/>
      <c r="N7" s="101"/>
    </row>
    <row r="8" spans="2:14" ht="15.75" customHeight="1" x14ac:dyDescent="0.25">
      <c r="B8" s="96">
        <f>'callPut（W）'!G6</f>
        <v>0</v>
      </c>
      <c r="C8" s="96">
        <f>'callPut（F）'!G6</f>
        <v>0</v>
      </c>
      <c r="D8" s="46">
        <f t="shared" si="0"/>
        <v>0</v>
      </c>
      <c r="E8" s="96">
        <v>15700</v>
      </c>
      <c r="F8" s="46">
        <f t="shared" si="1"/>
        <v>0</v>
      </c>
      <c r="G8" s="96">
        <f>'callPut（W）'!I6</f>
        <v>0</v>
      </c>
      <c r="H8" s="96">
        <f>'callPut（F）'!I6</f>
        <v>0</v>
      </c>
      <c r="J8" s="99"/>
      <c r="K8" s="99"/>
      <c r="L8" s="99"/>
      <c r="M8" s="101"/>
      <c r="N8" s="101"/>
    </row>
    <row r="9" spans="2:14" ht="15.75" customHeight="1" x14ac:dyDescent="0.25">
      <c r="B9" s="96">
        <f>'callPut（W）'!G7</f>
        <v>0</v>
      </c>
      <c r="C9" s="96">
        <f>'callPut（F）'!G7</f>
        <v>0</v>
      </c>
      <c r="D9" s="46">
        <f t="shared" si="0"/>
        <v>0</v>
      </c>
      <c r="E9" s="96">
        <v>15750</v>
      </c>
      <c r="F9" s="46">
        <f t="shared" si="1"/>
        <v>0</v>
      </c>
      <c r="G9" s="96">
        <f>'callPut（W）'!I7</f>
        <v>0</v>
      </c>
      <c r="H9" s="96">
        <f>'callPut（F）'!I7</f>
        <v>0</v>
      </c>
      <c r="J9" s="99"/>
      <c r="K9" s="99"/>
      <c r="L9" s="99"/>
      <c r="M9" s="101"/>
      <c r="N9" s="101"/>
    </row>
    <row r="10" spans="2:14" ht="15.75" customHeight="1" x14ac:dyDescent="0.25">
      <c r="B10" s="96">
        <f>'callPut（W）'!G8</f>
        <v>0</v>
      </c>
      <c r="C10" s="96">
        <f>'callPut（F）'!G8</f>
        <v>0</v>
      </c>
      <c r="D10" s="46">
        <f t="shared" si="0"/>
        <v>0</v>
      </c>
      <c r="E10" s="96">
        <v>15800</v>
      </c>
      <c r="F10" s="46">
        <f t="shared" si="1"/>
        <v>0</v>
      </c>
      <c r="G10" s="96">
        <f>'callPut（W）'!I8</f>
        <v>0</v>
      </c>
      <c r="H10" s="96">
        <f>'callPut（F）'!I8</f>
        <v>0</v>
      </c>
      <c r="J10" s="99"/>
      <c r="K10" s="99"/>
      <c r="L10" s="99"/>
      <c r="M10" s="101"/>
      <c r="N10" s="101"/>
    </row>
    <row r="11" spans="2:14" ht="15.75" customHeight="1" x14ac:dyDescent="0.25">
      <c r="B11" s="96">
        <f>'callPut（W）'!G9</f>
        <v>0</v>
      </c>
      <c r="C11" s="96">
        <f>'callPut（F）'!G9</f>
        <v>0</v>
      </c>
      <c r="D11" s="46">
        <f t="shared" si="0"/>
        <v>0</v>
      </c>
      <c r="E11" s="96">
        <v>15850</v>
      </c>
      <c r="F11" s="46">
        <f t="shared" si="1"/>
        <v>0</v>
      </c>
      <c r="G11" s="96">
        <f>'callPut（W）'!I9</f>
        <v>0</v>
      </c>
      <c r="H11" s="96">
        <f>'callPut（F）'!I9</f>
        <v>0</v>
      </c>
      <c r="J11" s="99"/>
      <c r="K11" s="99"/>
      <c r="L11" s="99"/>
      <c r="M11" s="101"/>
      <c r="N11" s="101"/>
    </row>
    <row r="12" spans="2:14" ht="15.75" customHeight="1" x14ac:dyDescent="0.25">
      <c r="B12" s="96">
        <f>'callPut（W）'!G10</f>
        <v>0</v>
      </c>
      <c r="C12" s="96">
        <f>'callPut（F）'!G10</f>
        <v>0</v>
      </c>
      <c r="D12" s="46">
        <f t="shared" si="0"/>
        <v>0</v>
      </c>
      <c r="E12" s="96">
        <v>15900</v>
      </c>
      <c r="F12" s="46">
        <f t="shared" si="1"/>
        <v>0</v>
      </c>
      <c r="G12" s="96">
        <f>'callPut（W）'!I10</f>
        <v>0</v>
      </c>
      <c r="H12" s="96">
        <f>'callPut（F）'!I10</f>
        <v>0</v>
      </c>
      <c r="J12" s="99"/>
      <c r="K12" s="99"/>
      <c r="L12" s="99"/>
      <c r="M12" s="101"/>
      <c r="N12" s="101"/>
    </row>
    <row r="13" spans="2:14" ht="15.75" customHeight="1" x14ac:dyDescent="0.25">
      <c r="B13" s="96">
        <f>'callPut（W）'!G11</f>
        <v>0</v>
      </c>
      <c r="C13" s="96">
        <f>'callPut（F）'!G11</f>
        <v>0</v>
      </c>
      <c r="D13" s="46">
        <f t="shared" si="0"/>
        <v>0</v>
      </c>
      <c r="E13" s="96">
        <v>15950</v>
      </c>
      <c r="F13" s="46">
        <f t="shared" si="1"/>
        <v>0</v>
      </c>
      <c r="G13" s="96">
        <f>'callPut（W）'!I11</f>
        <v>0</v>
      </c>
      <c r="H13" s="96">
        <f>'callPut（F）'!I11</f>
        <v>0</v>
      </c>
      <c r="J13" s="99"/>
      <c r="K13" s="99"/>
      <c r="L13" s="99"/>
      <c r="M13" s="101"/>
      <c r="N13" s="101"/>
    </row>
    <row r="14" spans="2:14" ht="15.75" customHeight="1" x14ac:dyDescent="0.25">
      <c r="B14" s="96">
        <f>'callPut（W）'!G12</f>
        <v>0</v>
      </c>
      <c r="C14" s="96">
        <f>'callPut（F）'!G12</f>
        <v>0</v>
      </c>
      <c r="D14" s="46">
        <f t="shared" si="0"/>
        <v>0</v>
      </c>
      <c r="E14" s="96">
        <v>16000</v>
      </c>
      <c r="F14" s="46">
        <f t="shared" si="1"/>
        <v>0</v>
      </c>
      <c r="G14" s="96">
        <f>'callPut（W）'!I12</f>
        <v>0</v>
      </c>
      <c r="H14" s="96">
        <f>'callPut（F）'!I12</f>
        <v>0</v>
      </c>
      <c r="J14" s="99"/>
      <c r="K14" s="99"/>
      <c r="L14" s="99"/>
      <c r="M14" s="101"/>
      <c r="N14" s="101"/>
    </row>
    <row r="15" spans="2:14" ht="15.75" customHeight="1" x14ac:dyDescent="0.25">
      <c r="B15" s="96">
        <f>'callPut（W）'!G13</f>
        <v>0</v>
      </c>
      <c r="C15" s="96">
        <f>'callPut（F）'!G13</f>
        <v>0</v>
      </c>
      <c r="D15" s="46">
        <f t="shared" si="0"/>
        <v>0</v>
      </c>
      <c r="E15" s="96">
        <v>16050</v>
      </c>
      <c r="F15" s="46">
        <f t="shared" si="1"/>
        <v>0</v>
      </c>
      <c r="G15" s="96">
        <f>'callPut（W）'!I13</f>
        <v>0</v>
      </c>
      <c r="H15" s="96">
        <f>'callPut（F）'!I13</f>
        <v>0</v>
      </c>
      <c r="J15" s="99"/>
      <c r="K15" s="99"/>
      <c r="L15" s="99"/>
      <c r="M15" s="101"/>
      <c r="N15" s="101"/>
    </row>
    <row r="16" spans="2:14" ht="15.75" customHeight="1" x14ac:dyDescent="0.25">
      <c r="B16" s="96">
        <f>'callPut（W）'!G14</f>
        <v>0</v>
      </c>
      <c r="C16" s="96">
        <f>'callPut（F）'!G14</f>
        <v>0</v>
      </c>
      <c r="D16" s="46">
        <f t="shared" si="0"/>
        <v>0</v>
      </c>
      <c r="E16" s="96">
        <v>16100</v>
      </c>
      <c r="F16" s="46">
        <f t="shared" si="1"/>
        <v>0</v>
      </c>
      <c r="G16" s="96">
        <f>'callPut（W）'!I14</f>
        <v>0</v>
      </c>
      <c r="H16" s="96">
        <f>'callPut（F）'!I14</f>
        <v>0</v>
      </c>
      <c r="J16" s="99"/>
      <c r="K16" s="99"/>
      <c r="L16" s="99"/>
      <c r="M16" s="101"/>
      <c r="N16" s="101"/>
    </row>
    <row r="17" spans="2:14" ht="15.75" customHeight="1" x14ac:dyDescent="0.25">
      <c r="B17" s="96">
        <f>'callPut（W）'!G15</f>
        <v>0</v>
      </c>
      <c r="C17" s="96">
        <f>'callPut（F）'!G15</f>
        <v>0</v>
      </c>
      <c r="D17" s="46">
        <f t="shared" si="0"/>
        <v>0</v>
      </c>
      <c r="E17" s="96">
        <v>16150</v>
      </c>
      <c r="F17" s="46">
        <f t="shared" si="1"/>
        <v>0</v>
      </c>
      <c r="G17" s="96">
        <f>'callPut（W）'!I15</f>
        <v>0</v>
      </c>
      <c r="H17" s="96">
        <f>'callPut（F）'!I15</f>
        <v>0</v>
      </c>
      <c r="J17" s="99"/>
      <c r="K17" s="99"/>
      <c r="L17" s="99"/>
      <c r="M17" s="101"/>
      <c r="N17" s="101"/>
    </row>
    <row r="18" spans="2:14" ht="15.75" customHeight="1" x14ac:dyDescent="0.25">
      <c r="B18" s="96">
        <f>'callPut（W）'!G16</f>
        <v>0</v>
      </c>
      <c r="C18" s="96">
        <f>'callPut（F）'!G16</f>
        <v>0</v>
      </c>
      <c r="D18" s="46">
        <f t="shared" si="0"/>
        <v>0</v>
      </c>
      <c r="E18" s="96">
        <v>16200</v>
      </c>
      <c r="F18" s="46">
        <f t="shared" si="1"/>
        <v>0</v>
      </c>
      <c r="G18" s="96">
        <f>'callPut（W）'!I16</f>
        <v>0</v>
      </c>
      <c r="H18" s="96">
        <f>'callPut（F）'!I16</f>
        <v>0</v>
      </c>
      <c r="J18" s="99"/>
      <c r="K18" s="99"/>
      <c r="L18" s="99"/>
      <c r="M18" s="101"/>
      <c r="N18" s="101"/>
    </row>
    <row r="19" spans="2:14" ht="15.75" customHeight="1" x14ac:dyDescent="0.25">
      <c r="B19" s="96">
        <f>'callPut（W）'!G17</f>
        <v>0</v>
      </c>
      <c r="C19" s="96">
        <f>'callPut（F）'!G17</f>
        <v>0</v>
      </c>
      <c r="D19" s="46">
        <f t="shared" si="0"/>
        <v>0</v>
      </c>
      <c r="E19" s="96">
        <v>16250</v>
      </c>
      <c r="F19" s="46">
        <f t="shared" si="1"/>
        <v>0</v>
      </c>
      <c r="G19" s="96">
        <f>'callPut（W）'!I17</f>
        <v>0</v>
      </c>
      <c r="H19" s="96">
        <f>'callPut（F）'!I17</f>
        <v>0</v>
      </c>
      <c r="J19" s="99"/>
      <c r="K19" s="99"/>
      <c r="L19" s="99"/>
      <c r="M19" s="101"/>
      <c r="N19" s="101"/>
    </row>
    <row r="20" spans="2:14" ht="15.75" customHeight="1" x14ac:dyDescent="0.25">
      <c r="B20" s="96">
        <f>'callPut（W）'!G18</f>
        <v>0</v>
      </c>
      <c r="C20" s="96">
        <f>'callPut（F）'!G18</f>
        <v>0</v>
      </c>
      <c r="D20" s="46">
        <f t="shared" si="0"/>
        <v>0</v>
      </c>
      <c r="E20" s="96">
        <v>16300</v>
      </c>
      <c r="F20" s="46">
        <f t="shared" si="1"/>
        <v>0</v>
      </c>
      <c r="G20" s="96">
        <f>'callPut（W）'!I18</f>
        <v>0</v>
      </c>
      <c r="H20" s="96">
        <f>'callPut（F）'!I18</f>
        <v>0</v>
      </c>
      <c r="J20" s="99"/>
      <c r="K20" s="99"/>
      <c r="L20" s="99"/>
      <c r="M20" s="101"/>
      <c r="N20" s="101"/>
    </row>
    <row r="21" spans="2:14" ht="15.75" customHeight="1" x14ac:dyDescent="0.25">
      <c r="B21" s="96">
        <f>'callPut（W）'!G19</f>
        <v>0</v>
      </c>
      <c r="C21" s="96">
        <f>'callPut（F）'!G19</f>
        <v>0</v>
      </c>
      <c r="D21" s="46">
        <f t="shared" si="0"/>
        <v>0</v>
      </c>
      <c r="E21" s="96">
        <v>16350</v>
      </c>
      <c r="F21" s="46">
        <f t="shared" si="1"/>
        <v>0</v>
      </c>
      <c r="G21" s="96">
        <f>'callPut（W）'!I19</f>
        <v>0</v>
      </c>
      <c r="H21" s="96">
        <f>'callPut（F）'!I19</f>
        <v>0</v>
      </c>
      <c r="J21" s="99"/>
      <c r="K21" s="99"/>
      <c r="L21" s="99"/>
      <c r="M21" s="101"/>
      <c r="N21" s="101"/>
    </row>
    <row r="22" spans="2:14" ht="15.75" customHeight="1" x14ac:dyDescent="0.25">
      <c r="B22" s="96">
        <f>'callPut（W）'!G20</f>
        <v>0</v>
      </c>
      <c r="C22" s="96">
        <f>'callPut（F）'!G20</f>
        <v>0</v>
      </c>
      <c r="D22" s="46">
        <f t="shared" si="0"/>
        <v>0</v>
      </c>
      <c r="E22" s="96">
        <v>16400</v>
      </c>
      <c r="F22" s="46">
        <f t="shared" si="1"/>
        <v>0</v>
      </c>
      <c r="G22" s="96">
        <f>'callPut（W）'!I20</f>
        <v>0</v>
      </c>
      <c r="H22" s="96">
        <f>'callPut（F）'!I20</f>
        <v>0</v>
      </c>
      <c r="J22" s="99"/>
      <c r="K22" s="99"/>
      <c r="L22" s="99"/>
      <c r="M22" s="101"/>
      <c r="N22" s="101"/>
    </row>
    <row r="23" spans="2:14" ht="15.75" customHeight="1" x14ac:dyDescent="0.25">
      <c r="B23" s="96">
        <f>'callPut（W）'!G21</f>
        <v>0</v>
      </c>
      <c r="C23" s="96">
        <f>'callPut（F）'!G21</f>
        <v>0</v>
      </c>
      <c r="D23" s="46">
        <f t="shared" si="0"/>
        <v>0</v>
      </c>
      <c r="E23" s="96">
        <v>16450</v>
      </c>
      <c r="F23" s="46">
        <f t="shared" si="1"/>
        <v>0</v>
      </c>
      <c r="G23" s="96">
        <f>'callPut（W）'!I21</f>
        <v>0</v>
      </c>
      <c r="H23" s="96">
        <f>'callPut（F）'!I21</f>
        <v>0</v>
      </c>
      <c r="J23" s="99"/>
      <c r="K23" s="99"/>
      <c r="L23" s="99"/>
      <c r="M23" s="101"/>
      <c r="N23" s="101"/>
    </row>
    <row r="24" spans="2:14" ht="15.75" customHeight="1" x14ac:dyDescent="0.25">
      <c r="B24" s="96">
        <f>'callPut（W）'!G22</f>
        <v>0</v>
      </c>
      <c r="C24" s="96">
        <f>'callPut（F）'!G22</f>
        <v>0</v>
      </c>
      <c r="D24" s="46">
        <f t="shared" si="0"/>
        <v>0</v>
      </c>
      <c r="E24" s="96">
        <v>16500</v>
      </c>
      <c r="F24" s="46">
        <f t="shared" si="1"/>
        <v>0</v>
      </c>
      <c r="G24" s="96">
        <f>'callPut（W）'!I22</f>
        <v>0</v>
      </c>
      <c r="H24" s="96">
        <f>'callPut（F）'!I22</f>
        <v>0</v>
      </c>
      <c r="J24" s="99"/>
      <c r="K24" s="99"/>
      <c r="L24" s="99"/>
      <c r="M24" s="101"/>
      <c r="N24" s="101"/>
    </row>
    <row r="25" spans="2:14" ht="15.75" customHeight="1" x14ac:dyDescent="0.25">
      <c r="B25" s="96">
        <f>'callPut（W）'!G23</f>
        <v>0</v>
      </c>
      <c r="C25" s="96">
        <f>'callPut（F）'!G23</f>
        <v>0</v>
      </c>
      <c r="D25" s="46">
        <f t="shared" si="0"/>
        <v>0</v>
      </c>
      <c r="E25" s="96">
        <v>16550</v>
      </c>
      <c r="F25" s="46">
        <f t="shared" si="1"/>
        <v>0</v>
      </c>
      <c r="G25" s="96">
        <f>'callPut（W）'!I23</f>
        <v>0</v>
      </c>
      <c r="H25" s="96">
        <f>'callPut（F）'!I23</f>
        <v>0</v>
      </c>
      <c r="J25" s="99"/>
      <c r="K25" s="99"/>
      <c r="L25" s="99"/>
      <c r="M25" s="101"/>
      <c r="N25" s="101"/>
    </row>
    <row r="26" spans="2:14" ht="15.75" customHeight="1" x14ac:dyDescent="0.25">
      <c r="B26" s="96">
        <f>'callPut（W）'!G24</f>
        <v>0</v>
      </c>
      <c r="C26" s="96">
        <f>'callPut（F）'!G24</f>
        <v>0</v>
      </c>
      <c r="D26" s="46">
        <f t="shared" si="0"/>
        <v>0</v>
      </c>
      <c r="E26" s="96">
        <v>16600</v>
      </c>
      <c r="F26" s="46">
        <f t="shared" si="1"/>
        <v>0</v>
      </c>
      <c r="G26" s="96">
        <f>'callPut（W）'!I24</f>
        <v>0</v>
      </c>
      <c r="H26" s="96">
        <f>'callPut（F）'!I24</f>
        <v>0</v>
      </c>
      <c r="J26" s="99"/>
      <c r="K26" s="99"/>
      <c r="L26" s="99"/>
      <c r="M26" s="101"/>
      <c r="N26" s="101"/>
    </row>
    <row r="27" spans="2:14" ht="15.75" customHeight="1" x14ac:dyDescent="0.25">
      <c r="B27" s="96">
        <f>'callPut（W）'!G25</f>
        <v>0</v>
      </c>
      <c r="C27" s="96">
        <f>'callPut（F）'!G25</f>
        <v>0</v>
      </c>
      <c r="D27" s="46">
        <f t="shared" si="0"/>
        <v>0</v>
      </c>
      <c r="E27" s="96">
        <v>16650</v>
      </c>
      <c r="F27" s="46">
        <f t="shared" si="1"/>
        <v>0</v>
      </c>
      <c r="G27" s="96">
        <f>'callPut（W）'!I25</f>
        <v>0</v>
      </c>
      <c r="H27" s="96">
        <f>'callPut（F）'!I25</f>
        <v>0</v>
      </c>
      <c r="J27" s="99"/>
      <c r="K27" s="99"/>
      <c r="L27" s="99"/>
      <c r="M27" s="101"/>
      <c r="N27" s="101"/>
    </row>
    <row r="28" spans="2:14" ht="15.75" customHeight="1" x14ac:dyDescent="0.25">
      <c r="B28" s="96">
        <f>'callPut（W）'!G26</f>
        <v>0</v>
      </c>
      <c r="C28" s="96">
        <f>'callPut（F）'!G26</f>
        <v>0</v>
      </c>
      <c r="D28" s="46">
        <f t="shared" si="0"/>
        <v>0</v>
      </c>
      <c r="E28" s="96">
        <v>16700</v>
      </c>
      <c r="F28" s="46">
        <f t="shared" si="1"/>
        <v>0</v>
      </c>
      <c r="G28" s="96">
        <f>'callPut（W）'!I26</f>
        <v>0</v>
      </c>
      <c r="H28" s="96">
        <f>'callPut（F）'!I26</f>
        <v>0</v>
      </c>
      <c r="J28" s="99"/>
      <c r="K28" s="99"/>
      <c r="L28" s="99"/>
      <c r="M28" s="101"/>
      <c r="N28" s="101"/>
    </row>
    <row r="29" spans="2:14" ht="15.75" customHeight="1" x14ac:dyDescent="0.25">
      <c r="B29" s="96">
        <f>'callPut（W）'!G27</f>
        <v>0</v>
      </c>
      <c r="C29" s="96">
        <f>'callPut（F）'!G27</f>
        <v>0</v>
      </c>
      <c r="D29" s="46">
        <f t="shared" si="0"/>
        <v>0</v>
      </c>
      <c r="E29" s="96">
        <v>16750</v>
      </c>
      <c r="F29" s="46">
        <f t="shared" si="1"/>
        <v>0</v>
      </c>
      <c r="G29" s="96">
        <f>'callPut（W）'!I27</f>
        <v>0</v>
      </c>
      <c r="H29" s="96">
        <f>'callPut（F）'!I27</f>
        <v>0</v>
      </c>
      <c r="J29" s="99"/>
      <c r="K29" s="99"/>
      <c r="L29" s="99"/>
      <c r="M29" s="101"/>
      <c r="N29" s="101"/>
    </row>
    <row r="30" spans="2:14" ht="15.75" customHeight="1" x14ac:dyDescent="0.25">
      <c r="B30" s="96">
        <f>'callPut（W）'!G28</f>
        <v>0</v>
      </c>
      <c r="C30" s="96">
        <f>'callPut（F）'!G28</f>
        <v>0</v>
      </c>
      <c r="D30" s="46">
        <f t="shared" si="0"/>
        <v>0</v>
      </c>
      <c r="E30" s="96">
        <v>16800</v>
      </c>
      <c r="F30" s="46">
        <f t="shared" si="1"/>
        <v>0</v>
      </c>
      <c r="G30" s="96">
        <f>'callPut（W）'!I28</f>
        <v>0</v>
      </c>
      <c r="H30" s="96">
        <f>'callPut（F）'!I28</f>
        <v>0</v>
      </c>
      <c r="J30" s="99"/>
      <c r="K30" s="99"/>
      <c r="L30" s="99"/>
      <c r="M30" s="101"/>
      <c r="N30" s="101"/>
    </row>
    <row r="31" spans="2:14" ht="15.75" customHeight="1" x14ac:dyDescent="0.25">
      <c r="B31" s="96">
        <f>'callPut（W）'!G29</f>
        <v>0</v>
      </c>
      <c r="C31" s="96">
        <f>'callPut（F）'!G29</f>
        <v>0</v>
      </c>
      <c r="D31" s="46">
        <f t="shared" si="0"/>
        <v>0</v>
      </c>
      <c r="E31" s="96">
        <v>16850</v>
      </c>
      <c r="F31" s="46">
        <f t="shared" si="1"/>
        <v>0</v>
      </c>
      <c r="G31" s="96">
        <f>'callPut（W）'!I29</f>
        <v>0</v>
      </c>
      <c r="H31" s="96">
        <f>'callPut（F）'!I29</f>
        <v>0</v>
      </c>
      <c r="J31" s="99"/>
      <c r="K31" s="99"/>
      <c r="L31" s="99"/>
      <c r="M31" s="101"/>
      <c r="N31" s="101"/>
    </row>
    <row r="32" spans="2:14" ht="15.75" customHeight="1" x14ac:dyDescent="0.25">
      <c r="B32" s="96">
        <f>'callPut（W）'!G30</f>
        <v>0</v>
      </c>
      <c r="C32" s="96">
        <f>'callPut（F）'!G30</f>
        <v>0</v>
      </c>
      <c r="D32" s="46">
        <f t="shared" si="0"/>
        <v>0</v>
      </c>
      <c r="E32" s="96">
        <v>16900</v>
      </c>
      <c r="F32" s="46">
        <f t="shared" si="1"/>
        <v>0</v>
      </c>
      <c r="G32" s="96">
        <f>'callPut（W）'!I30</f>
        <v>0</v>
      </c>
      <c r="H32" s="96">
        <f>'callPut（F）'!I30</f>
        <v>0</v>
      </c>
      <c r="J32" s="99"/>
      <c r="K32" s="99"/>
      <c r="L32" s="99"/>
      <c r="M32" s="101"/>
      <c r="N32" s="101"/>
    </row>
    <row r="33" spans="2:14" ht="15.75" customHeight="1" x14ac:dyDescent="0.25">
      <c r="B33" s="96">
        <f>'callPut（W）'!G31</f>
        <v>0</v>
      </c>
      <c r="C33" s="96">
        <f>'callPut（F）'!G31</f>
        <v>0</v>
      </c>
      <c r="D33" s="46">
        <f t="shared" si="0"/>
        <v>0</v>
      </c>
      <c r="E33" s="96">
        <v>16950</v>
      </c>
      <c r="F33" s="46">
        <f t="shared" si="1"/>
        <v>0</v>
      </c>
      <c r="G33" s="96">
        <f>'callPut（W）'!I31</f>
        <v>0</v>
      </c>
      <c r="H33" s="96">
        <f>'callPut（F）'!I31</f>
        <v>0</v>
      </c>
      <c r="J33" s="99"/>
      <c r="K33" s="99"/>
      <c r="L33" s="99"/>
      <c r="M33" s="101"/>
      <c r="N33" s="101"/>
    </row>
    <row r="34" spans="2:14" ht="15.75" customHeight="1" x14ac:dyDescent="0.25">
      <c r="B34" s="96">
        <f>'callPut（W）'!G32</f>
        <v>0</v>
      </c>
      <c r="C34" s="96">
        <f>'callPut（F）'!G32</f>
        <v>0</v>
      </c>
      <c r="D34" s="46">
        <f t="shared" si="0"/>
        <v>0</v>
      </c>
      <c r="E34" s="96">
        <v>17000</v>
      </c>
      <c r="F34" s="46">
        <f t="shared" si="1"/>
        <v>0</v>
      </c>
      <c r="G34" s="96">
        <f>'callPut（W）'!I32</f>
        <v>0</v>
      </c>
      <c r="H34" s="96">
        <f>'callPut（F）'!I32</f>
        <v>0</v>
      </c>
      <c r="J34" s="99"/>
      <c r="K34" s="99"/>
      <c r="L34" s="99"/>
      <c r="M34" s="101"/>
      <c r="N34" s="101"/>
    </row>
    <row r="35" spans="2:14" ht="15.75" customHeight="1" x14ac:dyDescent="0.25">
      <c r="B35" s="96">
        <f>'callPut（W）'!G33</f>
        <v>0</v>
      </c>
      <c r="C35" s="96">
        <f>'callPut（F）'!G33</f>
        <v>0</v>
      </c>
      <c r="D35" s="46">
        <f t="shared" si="0"/>
        <v>0</v>
      </c>
      <c r="E35" s="96">
        <v>17050</v>
      </c>
      <c r="F35" s="46">
        <f t="shared" si="1"/>
        <v>0</v>
      </c>
      <c r="G35" s="96">
        <f>'callPut（W）'!I33</f>
        <v>0</v>
      </c>
      <c r="H35" s="96">
        <f>'callPut（F）'!I33</f>
        <v>0</v>
      </c>
      <c r="J35" s="99"/>
      <c r="K35" s="99"/>
      <c r="L35" s="99"/>
      <c r="M35" s="101"/>
      <c r="N35" s="101"/>
    </row>
    <row r="36" spans="2:14" ht="15.75" customHeight="1" x14ac:dyDescent="0.25">
      <c r="B36" s="96">
        <f>'callPut（W）'!G34</f>
        <v>0</v>
      </c>
      <c r="C36" s="96">
        <f>'callPut（F）'!G34</f>
        <v>0</v>
      </c>
      <c r="D36" s="46">
        <f t="shared" si="0"/>
        <v>0</v>
      </c>
      <c r="E36" s="96">
        <v>17100</v>
      </c>
      <c r="F36" s="46">
        <f t="shared" si="1"/>
        <v>0</v>
      </c>
      <c r="G36" s="96">
        <f>'callPut（W）'!I34</f>
        <v>0</v>
      </c>
      <c r="H36" s="96">
        <f>'callPut（F）'!I34</f>
        <v>0</v>
      </c>
      <c r="J36" s="99"/>
      <c r="K36" s="99"/>
      <c r="L36" s="99"/>
      <c r="M36" s="101"/>
      <c r="N36" s="101"/>
    </row>
    <row r="37" spans="2:14" ht="15.75" customHeight="1" x14ac:dyDescent="0.25">
      <c r="B37" s="96">
        <f>'callPut（W）'!G35</f>
        <v>0</v>
      </c>
      <c r="C37" s="96">
        <f>'callPut（F）'!G35</f>
        <v>0</v>
      </c>
      <c r="D37" s="46">
        <f t="shared" si="0"/>
        <v>0</v>
      </c>
      <c r="E37" s="96">
        <v>17150</v>
      </c>
      <c r="F37" s="46">
        <f t="shared" si="1"/>
        <v>0</v>
      </c>
      <c r="G37" s="96">
        <f>'callPut（W）'!I35</f>
        <v>0</v>
      </c>
      <c r="H37" s="96">
        <f>'callPut（F）'!I35</f>
        <v>0</v>
      </c>
      <c r="J37" s="99"/>
      <c r="K37" s="99"/>
      <c r="L37" s="99"/>
      <c r="M37" s="101"/>
      <c r="N37" s="101"/>
    </row>
    <row r="38" spans="2:14" ht="15.75" customHeight="1" x14ac:dyDescent="0.25">
      <c r="B38" s="96">
        <f>'callPut（W）'!G36</f>
        <v>0</v>
      </c>
      <c r="C38" s="96">
        <f>'callPut（F）'!G36</f>
        <v>0</v>
      </c>
      <c r="D38" s="46">
        <f t="shared" si="0"/>
        <v>0</v>
      </c>
      <c r="E38" s="96">
        <v>17200</v>
      </c>
      <c r="F38" s="46">
        <f t="shared" si="1"/>
        <v>0</v>
      </c>
      <c r="G38" s="96">
        <f>'callPut（W）'!I36</f>
        <v>0</v>
      </c>
      <c r="H38" s="96">
        <f>'callPut（F）'!I36</f>
        <v>0</v>
      </c>
      <c r="J38" s="99"/>
      <c r="K38" s="99"/>
      <c r="L38" s="99"/>
      <c r="M38" s="101"/>
      <c r="N38" s="101"/>
    </row>
    <row r="39" spans="2:14" ht="15.75" customHeight="1" x14ac:dyDescent="0.25">
      <c r="B39" s="96">
        <f>'callPut（W）'!G37</f>
        <v>0</v>
      </c>
      <c r="C39" s="96">
        <f>'callPut（F）'!G37</f>
        <v>0</v>
      </c>
      <c r="D39" s="46">
        <f t="shared" si="0"/>
        <v>0</v>
      </c>
      <c r="E39" s="96">
        <v>17250</v>
      </c>
      <c r="F39" s="46">
        <f t="shared" si="1"/>
        <v>0</v>
      </c>
      <c r="G39" s="96">
        <f>'callPut（W）'!I37</f>
        <v>0</v>
      </c>
      <c r="H39" s="96">
        <f>'callPut（F）'!I37</f>
        <v>0</v>
      </c>
      <c r="J39" s="99"/>
      <c r="K39" s="99"/>
      <c r="L39" s="99"/>
      <c r="M39" s="101"/>
      <c r="N39" s="101"/>
    </row>
    <row r="40" spans="2:14" ht="15.75" customHeight="1" x14ac:dyDescent="0.25">
      <c r="B40" s="96">
        <f>'callPut（W）'!G38</f>
        <v>0</v>
      </c>
      <c r="C40" s="96">
        <f>'callPut（F）'!G38</f>
        <v>0</v>
      </c>
      <c r="D40" s="46">
        <f t="shared" si="0"/>
        <v>0</v>
      </c>
      <c r="E40" s="96">
        <v>17300</v>
      </c>
      <c r="F40" s="46">
        <f t="shared" si="1"/>
        <v>0</v>
      </c>
      <c r="G40" s="96">
        <f>'callPut（W）'!I38</f>
        <v>0</v>
      </c>
      <c r="H40" s="96">
        <f>'callPut（F）'!I38</f>
        <v>0</v>
      </c>
      <c r="J40" s="99"/>
      <c r="K40" s="99"/>
      <c r="L40" s="99"/>
      <c r="M40" s="101"/>
      <c r="N40" s="101"/>
    </row>
    <row r="41" spans="2:14" ht="15.75" customHeight="1" x14ac:dyDescent="0.25">
      <c r="B41" s="96">
        <f>'callPut（W）'!G39</f>
        <v>0</v>
      </c>
      <c r="C41" s="96">
        <f>'callPut（F）'!G39</f>
        <v>0</v>
      </c>
      <c r="D41" s="46">
        <f t="shared" si="0"/>
        <v>0</v>
      </c>
      <c r="E41" s="96">
        <v>17350</v>
      </c>
      <c r="F41" s="46">
        <f t="shared" si="1"/>
        <v>0</v>
      </c>
      <c r="G41" s="96">
        <f>'callPut（W）'!I39</f>
        <v>0</v>
      </c>
      <c r="H41" s="96">
        <f>'callPut（F）'!I39</f>
        <v>0</v>
      </c>
      <c r="J41" s="99"/>
      <c r="K41" s="99"/>
      <c r="L41" s="99"/>
      <c r="M41" s="101"/>
      <c r="N41" s="101"/>
    </row>
    <row r="42" spans="2:14" ht="15.75" customHeight="1" x14ac:dyDescent="0.25">
      <c r="B42" s="96">
        <f>'callPut（W）'!G40</f>
        <v>0</v>
      </c>
      <c r="C42" s="96">
        <f>'callPut（F）'!G40</f>
        <v>0</v>
      </c>
      <c r="D42" s="46">
        <f t="shared" si="0"/>
        <v>0</v>
      </c>
      <c r="E42" s="96">
        <v>17400</v>
      </c>
      <c r="F42" s="46">
        <f t="shared" si="1"/>
        <v>0</v>
      </c>
      <c r="G42" s="96">
        <f>'callPut（W）'!I40</f>
        <v>0</v>
      </c>
      <c r="H42" s="96">
        <f>'callPut（F）'!I40</f>
        <v>0</v>
      </c>
      <c r="J42" s="99"/>
      <c r="K42" s="99"/>
      <c r="L42" s="99"/>
      <c r="M42" s="101"/>
      <c r="N42" s="101"/>
    </row>
    <row r="43" spans="2:14" ht="15.75" customHeight="1" x14ac:dyDescent="0.25">
      <c r="B43" s="96">
        <f>'callPut（W）'!G41</f>
        <v>0</v>
      </c>
      <c r="C43" s="96">
        <f>'callPut（F）'!G41</f>
        <v>0</v>
      </c>
      <c r="D43" s="46">
        <f t="shared" si="0"/>
        <v>0</v>
      </c>
      <c r="E43" s="96">
        <v>17450</v>
      </c>
      <c r="F43" s="46">
        <f t="shared" si="1"/>
        <v>0</v>
      </c>
      <c r="G43" s="96">
        <f>'callPut（W）'!I41</f>
        <v>0</v>
      </c>
      <c r="H43" s="96">
        <f>'callPut（F）'!I41</f>
        <v>0</v>
      </c>
      <c r="J43" s="99"/>
      <c r="K43" s="99"/>
      <c r="L43" s="99"/>
      <c r="M43" s="101"/>
      <c r="N43" s="101"/>
    </row>
    <row r="44" spans="2:14" ht="15.75" customHeight="1" x14ac:dyDescent="0.25">
      <c r="B44" s="96">
        <f>'callPut（W）'!G42</f>
        <v>0</v>
      </c>
      <c r="C44" s="96">
        <f>'callPut（F）'!G42</f>
        <v>0</v>
      </c>
      <c r="D44" s="46">
        <f t="shared" si="0"/>
        <v>0</v>
      </c>
      <c r="E44" s="96">
        <v>17500</v>
      </c>
      <c r="F44" s="46">
        <f t="shared" si="1"/>
        <v>0</v>
      </c>
      <c r="G44" s="96">
        <f>'callPut（W）'!I42</f>
        <v>0</v>
      </c>
      <c r="H44" s="96">
        <f>'callPut（F）'!I42</f>
        <v>0</v>
      </c>
      <c r="J44" s="99"/>
      <c r="K44" s="99"/>
      <c r="L44" s="99"/>
      <c r="M44" s="101"/>
      <c r="N44" s="101"/>
    </row>
    <row r="45" spans="2:14" ht="15.75" customHeight="1" x14ac:dyDescent="0.25">
      <c r="B45" s="96">
        <f>'callPut（W）'!G43</f>
        <v>0</v>
      </c>
      <c r="C45" s="96">
        <f>'callPut（F）'!G43</f>
        <v>0</v>
      </c>
      <c r="D45" s="46">
        <f t="shared" si="0"/>
        <v>0</v>
      </c>
      <c r="E45" s="96">
        <v>17550</v>
      </c>
      <c r="F45" s="46">
        <f t="shared" si="1"/>
        <v>0</v>
      </c>
      <c r="G45" s="96">
        <f>'callPut（W）'!I43</f>
        <v>0</v>
      </c>
      <c r="H45" s="96">
        <f>'callPut（F）'!I43</f>
        <v>0</v>
      </c>
      <c r="J45" s="99"/>
      <c r="K45" s="99"/>
      <c r="L45" s="99"/>
      <c r="M45" s="101"/>
      <c r="N45" s="101"/>
    </row>
    <row r="46" spans="2:14" ht="15.75" customHeight="1" x14ac:dyDescent="0.25">
      <c r="B46" s="96">
        <f>'callPut（W）'!G44</f>
        <v>0</v>
      </c>
      <c r="C46" s="96">
        <f>'callPut（F）'!G44</f>
        <v>0</v>
      </c>
      <c r="D46" s="46">
        <f t="shared" si="0"/>
        <v>0</v>
      </c>
      <c r="E46" s="96">
        <v>17600</v>
      </c>
      <c r="F46" s="46">
        <f t="shared" si="1"/>
        <v>0</v>
      </c>
      <c r="G46" s="96">
        <f>'callPut（W）'!I44</f>
        <v>0</v>
      </c>
      <c r="H46" s="96">
        <f>'callPut（F）'!I44</f>
        <v>0</v>
      </c>
      <c r="J46" s="99"/>
      <c r="K46" s="99"/>
      <c r="L46" s="99"/>
      <c r="M46" s="101"/>
      <c r="N46" s="101"/>
    </row>
    <row r="47" spans="2:14" ht="15.75" customHeight="1" x14ac:dyDescent="0.25">
      <c r="B47" s="96">
        <f>'callPut（W）'!G45</f>
        <v>0</v>
      </c>
      <c r="C47" s="96">
        <f>'callPut（F）'!G45</f>
        <v>0</v>
      </c>
      <c r="D47" s="46">
        <f t="shared" si="0"/>
        <v>0</v>
      </c>
      <c r="E47" s="96">
        <v>17650</v>
      </c>
      <c r="F47" s="46">
        <f t="shared" si="1"/>
        <v>0</v>
      </c>
      <c r="G47" s="96">
        <f>'callPut（W）'!I45</f>
        <v>0</v>
      </c>
      <c r="H47" s="96">
        <f>'callPut（F）'!I45</f>
        <v>0</v>
      </c>
      <c r="J47" s="99"/>
      <c r="K47" s="99"/>
      <c r="L47" s="99"/>
      <c r="M47" s="101"/>
      <c r="N47" s="101"/>
    </row>
    <row r="48" spans="2:14" ht="15.75" customHeight="1" x14ac:dyDescent="0.25">
      <c r="B48" s="96">
        <f>'callPut（W）'!G46</f>
        <v>0</v>
      </c>
      <c r="C48" s="96">
        <f>'callPut（F）'!G46</f>
        <v>0</v>
      </c>
      <c r="D48" s="46">
        <f t="shared" si="0"/>
        <v>0</v>
      </c>
      <c r="E48" s="96">
        <v>17700</v>
      </c>
      <c r="F48" s="46">
        <f t="shared" si="1"/>
        <v>0</v>
      </c>
      <c r="G48" s="96">
        <f>'callPut（W）'!I46</f>
        <v>0</v>
      </c>
      <c r="H48" s="96">
        <f>'callPut（F）'!I46</f>
        <v>0</v>
      </c>
      <c r="J48" s="99"/>
      <c r="K48" s="99"/>
      <c r="L48" s="99"/>
      <c r="M48" s="101"/>
      <c r="N48" s="101"/>
    </row>
    <row r="49" spans="2:14" ht="15.75" customHeight="1" x14ac:dyDescent="0.25">
      <c r="B49" s="96">
        <f>'callPut（W）'!G47</f>
        <v>0</v>
      </c>
      <c r="C49" s="96">
        <f>'callPut（F）'!G47</f>
        <v>0</v>
      </c>
      <c r="D49" s="46">
        <f t="shared" si="0"/>
        <v>0</v>
      </c>
      <c r="E49" s="96">
        <v>17750</v>
      </c>
      <c r="F49" s="46">
        <f t="shared" si="1"/>
        <v>0</v>
      </c>
      <c r="G49" s="96">
        <f>'callPut（W）'!I47</f>
        <v>0</v>
      </c>
      <c r="H49" s="96">
        <f>'callPut（F）'!I47</f>
        <v>0</v>
      </c>
      <c r="J49" s="99"/>
      <c r="K49" s="99"/>
      <c r="L49" s="99"/>
      <c r="M49" s="101"/>
      <c r="N49" s="101"/>
    </row>
    <row r="50" spans="2:14" ht="15.75" customHeight="1" x14ac:dyDescent="0.25">
      <c r="B50" s="96">
        <f>'callPut（W）'!G48</f>
        <v>0</v>
      </c>
      <c r="C50" s="96">
        <f>'callPut（F）'!G48</f>
        <v>0</v>
      </c>
      <c r="D50" s="46">
        <f t="shared" si="0"/>
        <v>0</v>
      </c>
      <c r="E50" s="96">
        <v>17800</v>
      </c>
      <c r="F50" s="46">
        <f t="shared" si="1"/>
        <v>0</v>
      </c>
      <c r="G50" s="96">
        <f>'callPut（W）'!I48</f>
        <v>0</v>
      </c>
      <c r="H50" s="96">
        <f>'callPut（F）'!I48</f>
        <v>0</v>
      </c>
      <c r="J50" s="99"/>
      <c r="K50" s="99"/>
      <c r="L50" s="99"/>
      <c r="M50" s="101"/>
      <c r="N50" s="101"/>
    </row>
    <row r="51" spans="2:14" ht="15.75" customHeight="1" x14ac:dyDescent="0.25">
      <c r="B51" s="96">
        <f>'callPut（W）'!G49</f>
        <v>0</v>
      </c>
      <c r="C51" s="96">
        <f>'callPut（F）'!G49</f>
        <v>0</v>
      </c>
      <c r="D51" s="46">
        <f t="shared" si="0"/>
        <v>0</v>
      </c>
      <c r="E51" s="96">
        <v>17850</v>
      </c>
      <c r="F51" s="46">
        <f t="shared" si="1"/>
        <v>0</v>
      </c>
      <c r="G51" s="96">
        <f>'callPut（W）'!I49</f>
        <v>0</v>
      </c>
      <c r="H51" s="96">
        <f>'callPut（F）'!I49</f>
        <v>0</v>
      </c>
      <c r="J51" s="99"/>
      <c r="K51" s="99"/>
      <c r="L51" s="99"/>
      <c r="M51" s="101"/>
      <c r="N51" s="101"/>
    </row>
    <row r="52" spans="2:14" ht="15.75" customHeight="1" x14ac:dyDescent="0.25">
      <c r="B52" s="96">
        <f>'callPut（W）'!G50</f>
        <v>0</v>
      </c>
      <c r="C52" s="96">
        <f>'callPut（F）'!G50</f>
        <v>0</v>
      </c>
      <c r="D52" s="46">
        <f t="shared" si="0"/>
        <v>0</v>
      </c>
      <c r="E52" s="96">
        <v>17900</v>
      </c>
      <c r="F52" s="46">
        <f t="shared" si="1"/>
        <v>0</v>
      </c>
      <c r="G52" s="96">
        <f>'callPut（W）'!I50</f>
        <v>0</v>
      </c>
      <c r="H52" s="96">
        <f>'callPut（F）'!I50</f>
        <v>0</v>
      </c>
      <c r="J52" s="99"/>
      <c r="K52" s="99"/>
      <c r="L52" s="99"/>
      <c r="M52" s="101"/>
      <c r="N52" s="101"/>
    </row>
    <row r="53" spans="2:14" ht="15.75" customHeight="1" x14ac:dyDescent="0.25">
      <c r="B53" s="96">
        <f>'callPut（W）'!G51</f>
        <v>0</v>
      </c>
      <c r="C53" s="96">
        <f>'callPut（F）'!G51</f>
        <v>0</v>
      </c>
      <c r="D53" s="46">
        <f t="shared" si="0"/>
        <v>0</v>
      </c>
      <c r="E53" s="96">
        <v>17950</v>
      </c>
      <c r="F53" s="46">
        <f t="shared" si="1"/>
        <v>0</v>
      </c>
      <c r="G53" s="96">
        <f>'callPut（W）'!I51</f>
        <v>0</v>
      </c>
      <c r="H53" s="96">
        <f>'callPut（F）'!I51</f>
        <v>0</v>
      </c>
      <c r="J53" s="99"/>
      <c r="K53" s="99"/>
      <c r="L53" s="99"/>
      <c r="M53" s="101"/>
      <c r="N53" s="101"/>
    </row>
    <row r="54" spans="2:14" ht="15.75" customHeight="1" x14ac:dyDescent="0.25">
      <c r="B54" s="96">
        <f>'callPut（W）'!G52</f>
        <v>0</v>
      </c>
      <c r="C54" s="96">
        <f>'callPut（F）'!G52</f>
        <v>0</v>
      </c>
      <c r="D54" s="46">
        <f t="shared" si="0"/>
        <v>0</v>
      </c>
      <c r="E54" s="96">
        <v>18000</v>
      </c>
      <c r="F54" s="46">
        <f t="shared" si="1"/>
        <v>0</v>
      </c>
      <c r="G54" s="96">
        <f>'callPut（W）'!I52</f>
        <v>0</v>
      </c>
      <c r="H54" s="96">
        <f>'callPut（F）'!I52</f>
        <v>0</v>
      </c>
      <c r="J54" s="99"/>
      <c r="K54" s="99"/>
      <c r="L54" s="99"/>
      <c r="M54" s="101"/>
      <c r="N54" s="101"/>
    </row>
    <row r="55" spans="2:14" ht="15.75" customHeight="1" x14ac:dyDescent="0.25">
      <c r="B55" s="96">
        <f>'callPut（W）'!G53</f>
        <v>0</v>
      </c>
      <c r="C55" s="96">
        <f>'callPut（F）'!G53</f>
        <v>0</v>
      </c>
      <c r="D55" s="46">
        <f t="shared" si="0"/>
        <v>0</v>
      </c>
      <c r="E55" s="96">
        <v>18050</v>
      </c>
      <c r="F55" s="46">
        <f t="shared" si="1"/>
        <v>0</v>
      </c>
      <c r="G55" s="96">
        <f>'callPut（W）'!I53</f>
        <v>0</v>
      </c>
      <c r="H55" s="96">
        <f>'callPut（F）'!I53</f>
        <v>0</v>
      </c>
      <c r="J55" s="99"/>
      <c r="K55" s="99"/>
      <c r="L55" s="99"/>
      <c r="M55" s="101"/>
      <c r="N55" s="101"/>
    </row>
    <row r="56" spans="2:14" ht="15.75" customHeight="1" x14ac:dyDescent="0.25">
      <c r="B56" s="96">
        <f>'callPut（W）'!G54</f>
        <v>0</v>
      </c>
      <c r="C56" s="96">
        <f>'callPut（F）'!G54</f>
        <v>0</v>
      </c>
      <c r="D56" s="46">
        <f t="shared" si="0"/>
        <v>0</v>
      </c>
      <c r="E56" s="96">
        <v>18100</v>
      </c>
      <c r="F56" s="46">
        <f t="shared" si="1"/>
        <v>0</v>
      </c>
      <c r="G56" s="96">
        <f>'callPut（W）'!I54</f>
        <v>0</v>
      </c>
      <c r="H56" s="96">
        <f>'callPut（F）'!I54</f>
        <v>0</v>
      </c>
      <c r="J56" s="99"/>
      <c r="K56" s="99"/>
      <c r="L56" s="99"/>
      <c r="M56" s="101"/>
      <c r="N56" s="101"/>
    </row>
    <row r="57" spans="2:14" ht="15.75" customHeight="1" x14ac:dyDescent="0.25">
      <c r="B57" s="96">
        <f>'callPut（W）'!G55</f>
        <v>0</v>
      </c>
      <c r="C57" s="96">
        <f>'callPut（F）'!G55</f>
        <v>0</v>
      </c>
      <c r="D57" s="46">
        <f t="shared" si="0"/>
        <v>0</v>
      </c>
      <c r="E57" s="96">
        <v>18150</v>
      </c>
      <c r="F57" s="46">
        <f t="shared" si="1"/>
        <v>0</v>
      </c>
      <c r="G57" s="96">
        <f>'callPut（W）'!I55</f>
        <v>0</v>
      </c>
      <c r="H57" s="96">
        <f>'callPut（F）'!I55</f>
        <v>0</v>
      </c>
      <c r="J57" s="99"/>
      <c r="K57" s="99"/>
      <c r="L57" s="99"/>
      <c r="M57" s="101"/>
      <c r="N57" s="101"/>
    </row>
    <row r="58" spans="2:14" ht="15.75" customHeight="1" x14ac:dyDescent="0.25">
      <c r="B58" s="96">
        <f>'callPut（W）'!G56</f>
        <v>0</v>
      </c>
      <c r="C58" s="96">
        <f>'callPut（F）'!G56</f>
        <v>0</v>
      </c>
      <c r="D58" s="46">
        <f t="shared" si="0"/>
        <v>0</v>
      </c>
      <c r="E58" s="96">
        <v>18200</v>
      </c>
      <c r="F58" s="46">
        <f t="shared" si="1"/>
        <v>0</v>
      </c>
      <c r="G58" s="96">
        <f>'callPut（W）'!I56</f>
        <v>0</v>
      </c>
      <c r="H58" s="96">
        <f>'callPut（F）'!I56</f>
        <v>0</v>
      </c>
      <c r="J58" s="99"/>
      <c r="K58" s="99"/>
      <c r="L58" s="99"/>
      <c r="M58" s="101"/>
      <c r="N58" s="101"/>
    </row>
    <row r="59" spans="2:14" ht="15.75" customHeight="1" x14ac:dyDescent="0.25">
      <c r="B59" s="96">
        <f>'callPut（W）'!G57</f>
        <v>0</v>
      </c>
      <c r="C59" s="96">
        <f>'callPut（F）'!G57</f>
        <v>0</v>
      </c>
      <c r="D59" s="46">
        <f t="shared" si="0"/>
        <v>0</v>
      </c>
      <c r="E59" s="96">
        <v>18250</v>
      </c>
      <c r="F59" s="46">
        <f t="shared" si="1"/>
        <v>0</v>
      </c>
      <c r="G59" s="96">
        <f>'callPut（W）'!I57</f>
        <v>0</v>
      </c>
      <c r="H59" s="96">
        <f>'callPut（F）'!I57</f>
        <v>0</v>
      </c>
      <c r="J59" s="99"/>
      <c r="K59" s="99"/>
      <c r="L59" s="99"/>
      <c r="M59" s="101"/>
      <c r="N59" s="101"/>
    </row>
    <row r="60" spans="2:14" ht="15.75" customHeight="1" x14ac:dyDescent="0.25">
      <c r="B60" s="96">
        <f>'callPut（W）'!G58</f>
        <v>0</v>
      </c>
      <c r="C60" s="96">
        <f>'callPut（F）'!G58</f>
        <v>0</v>
      </c>
      <c r="D60" s="46">
        <f t="shared" si="0"/>
        <v>0</v>
      </c>
      <c r="E60" s="96">
        <v>18300</v>
      </c>
      <c r="F60" s="46">
        <f t="shared" si="1"/>
        <v>0</v>
      </c>
      <c r="G60" s="96">
        <f>'callPut（W）'!I58</f>
        <v>0</v>
      </c>
      <c r="H60" s="96">
        <f>'callPut（F）'!I58</f>
        <v>0</v>
      </c>
      <c r="J60" s="99"/>
      <c r="K60" s="99"/>
      <c r="L60" s="99"/>
      <c r="M60" s="101"/>
      <c r="N60" s="101"/>
    </row>
    <row r="61" spans="2:14" ht="15.75" customHeight="1" x14ac:dyDescent="0.25">
      <c r="B61" s="96">
        <f>'callPut（W）'!G59</f>
        <v>0</v>
      </c>
      <c r="C61" s="96">
        <f>'callPut（F）'!G59</f>
        <v>0</v>
      </c>
      <c r="D61" s="46">
        <f t="shared" si="0"/>
        <v>0</v>
      </c>
      <c r="E61" s="96">
        <v>18350</v>
      </c>
      <c r="F61" s="46">
        <f t="shared" si="1"/>
        <v>0</v>
      </c>
      <c r="G61" s="96">
        <f>'callPut（W）'!I59</f>
        <v>0</v>
      </c>
      <c r="H61" s="96">
        <f>'callPut（F）'!I59</f>
        <v>0</v>
      </c>
      <c r="J61" s="99"/>
      <c r="K61" s="99"/>
      <c r="L61" s="99"/>
      <c r="M61" s="101"/>
      <c r="N61" s="101"/>
    </row>
    <row r="62" spans="2:14" ht="15.75" customHeight="1" x14ac:dyDescent="0.25">
      <c r="B62" s="96">
        <f>'callPut（W）'!G60</f>
        <v>0</v>
      </c>
      <c r="C62" s="96">
        <f>'callPut（F）'!G60</f>
        <v>0</v>
      </c>
      <c r="D62" s="46">
        <f t="shared" si="0"/>
        <v>0</v>
      </c>
      <c r="E62" s="96">
        <v>18400</v>
      </c>
      <c r="F62" s="46">
        <f t="shared" si="1"/>
        <v>0</v>
      </c>
      <c r="G62" s="96">
        <f>'callPut（W）'!I60</f>
        <v>0</v>
      </c>
      <c r="H62" s="96">
        <f>'callPut（F）'!I60</f>
        <v>0</v>
      </c>
      <c r="J62" s="99"/>
      <c r="K62" s="99"/>
      <c r="L62" s="99"/>
      <c r="M62" s="101"/>
      <c r="N62" s="101"/>
    </row>
    <row r="63" spans="2:14" ht="15.75" customHeight="1" x14ac:dyDescent="0.25">
      <c r="B63" s="96">
        <f>'callPut（W）'!G61</f>
        <v>0</v>
      </c>
      <c r="C63" s="96">
        <f>'callPut（F）'!G61</f>
        <v>0</v>
      </c>
      <c r="D63" s="46">
        <f t="shared" si="0"/>
        <v>0</v>
      </c>
      <c r="E63" s="96">
        <v>18450</v>
      </c>
      <c r="F63" s="46">
        <f t="shared" si="1"/>
        <v>0</v>
      </c>
      <c r="G63" s="96">
        <f>'callPut（W）'!I61</f>
        <v>0</v>
      </c>
      <c r="H63" s="96">
        <f>'callPut（F）'!I61</f>
        <v>0</v>
      </c>
      <c r="J63" s="99"/>
      <c r="K63" s="99"/>
      <c r="L63" s="99"/>
      <c r="M63" s="101"/>
      <c r="N63" s="101"/>
    </row>
    <row r="64" spans="2:14" ht="15.75" customHeight="1" x14ac:dyDescent="0.25">
      <c r="B64" s="96">
        <f>'callPut（W）'!G62</f>
        <v>0</v>
      </c>
      <c r="C64" s="96">
        <f>'callPut（F）'!G62</f>
        <v>0</v>
      </c>
      <c r="D64" s="46">
        <f t="shared" si="0"/>
        <v>0</v>
      </c>
      <c r="E64" s="96">
        <v>18500</v>
      </c>
      <c r="F64" s="46">
        <f t="shared" si="1"/>
        <v>0</v>
      </c>
      <c r="G64" s="96">
        <f>'callPut（W）'!I62</f>
        <v>0</v>
      </c>
      <c r="H64" s="96">
        <f>'callPut（F）'!I62</f>
        <v>0</v>
      </c>
      <c r="J64" s="99"/>
      <c r="K64" s="99"/>
      <c r="L64" s="99"/>
      <c r="M64" s="101"/>
      <c r="N64" s="101"/>
    </row>
    <row r="65" spans="2:14" ht="15.75" customHeight="1" x14ac:dyDescent="0.25">
      <c r="B65" s="96">
        <f>'callPut（W）'!G63</f>
        <v>0</v>
      </c>
      <c r="C65" s="96">
        <f>'callPut（F）'!G63</f>
        <v>0</v>
      </c>
      <c r="D65" s="46">
        <f t="shared" si="0"/>
        <v>0</v>
      </c>
      <c r="E65" s="96">
        <v>18550</v>
      </c>
      <c r="F65" s="46">
        <f t="shared" si="1"/>
        <v>0</v>
      </c>
      <c r="G65" s="96">
        <f>'callPut（W）'!I63</f>
        <v>0</v>
      </c>
      <c r="H65" s="96">
        <f>'callPut（F）'!I63</f>
        <v>0</v>
      </c>
      <c r="J65" s="99"/>
      <c r="K65" s="99"/>
      <c r="L65" s="99"/>
      <c r="M65" s="101"/>
      <c r="N65" s="101"/>
    </row>
    <row r="66" spans="2:14" ht="15.75" customHeight="1" x14ac:dyDescent="0.25">
      <c r="B66" s="96">
        <f>'callPut（W）'!G64</f>
        <v>0</v>
      </c>
      <c r="C66" s="96">
        <f>'callPut（F）'!G64</f>
        <v>0</v>
      </c>
      <c r="D66" s="46">
        <f t="shared" si="0"/>
        <v>0</v>
      </c>
      <c r="E66" s="96">
        <v>18600</v>
      </c>
      <c r="F66" s="46">
        <f t="shared" si="1"/>
        <v>0</v>
      </c>
      <c r="G66" s="96">
        <f>'callPut（W）'!I64</f>
        <v>0</v>
      </c>
      <c r="H66" s="96">
        <f>'callPut（F）'!I64</f>
        <v>0</v>
      </c>
      <c r="J66" s="99"/>
      <c r="K66" s="99"/>
      <c r="L66" s="99"/>
      <c r="M66" s="101"/>
      <c r="N66" s="101"/>
    </row>
    <row r="67" spans="2:14" ht="15.75" customHeight="1" x14ac:dyDescent="0.25">
      <c r="B67" s="96">
        <f>'callPut（W）'!G65</f>
        <v>0</v>
      </c>
      <c r="C67" s="96">
        <f>'callPut（F）'!G65</f>
        <v>0</v>
      </c>
      <c r="D67" s="46">
        <f t="shared" si="0"/>
        <v>0</v>
      </c>
      <c r="E67" s="96">
        <v>18650</v>
      </c>
      <c r="F67" s="46">
        <f t="shared" si="1"/>
        <v>0</v>
      </c>
      <c r="G67" s="96">
        <f>'callPut（W）'!I65</f>
        <v>0</v>
      </c>
      <c r="H67" s="96">
        <f>'callPut（F）'!I65</f>
        <v>0</v>
      </c>
      <c r="J67" s="99"/>
      <c r="K67" s="99"/>
      <c r="L67" s="99"/>
      <c r="M67" s="101"/>
      <c r="N67" s="101"/>
    </row>
    <row r="68" spans="2:14" ht="15.75" customHeight="1" x14ac:dyDescent="0.25">
      <c r="B68" s="96">
        <f>'callPut（W）'!G66</f>
        <v>0</v>
      </c>
      <c r="C68" s="96">
        <f>'callPut（F）'!G66</f>
        <v>0</v>
      </c>
      <c r="D68" s="46">
        <f t="shared" si="0"/>
        <v>0</v>
      </c>
      <c r="E68" s="96">
        <v>18700</v>
      </c>
      <c r="F68" s="46">
        <f t="shared" si="1"/>
        <v>0</v>
      </c>
      <c r="G68" s="96">
        <f>'callPut（W）'!I66</f>
        <v>0</v>
      </c>
      <c r="H68" s="96">
        <f>'callPut（F）'!I66</f>
        <v>0</v>
      </c>
      <c r="J68" s="99"/>
      <c r="K68" s="99"/>
      <c r="L68" s="99"/>
      <c r="M68" s="101"/>
      <c r="N68" s="101"/>
    </row>
    <row r="69" spans="2:14" ht="15.75" customHeight="1" x14ac:dyDescent="0.25">
      <c r="B69" s="96">
        <f>'callPut（W）'!G67</f>
        <v>0</v>
      </c>
      <c r="C69" s="96">
        <f>'callPut（F）'!G67</f>
        <v>0</v>
      </c>
      <c r="D69" s="46">
        <f t="shared" ref="D69:D132" si="2">B69+C69</f>
        <v>0</v>
      </c>
      <c r="E69" s="96">
        <v>18750</v>
      </c>
      <c r="F69" s="46">
        <f t="shared" ref="F69:F132" si="3">G69+H69</f>
        <v>0</v>
      </c>
      <c r="G69" s="96">
        <f>'callPut（W）'!I67</f>
        <v>0</v>
      </c>
      <c r="H69" s="96">
        <f>'callPut（F）'!I67</f>
        <v>0</v>
      </c>
      <c r="J69" s="99"/>
      <c r="K69" s="99"/>
      <c r="L69" s="99"/>
      <c r="M69" s="101"/>
      <c r="N69" s="101"/>
    </row>
    <row r="70" spans="2:14" ht="15.75" customHeight="1" x14ac:dyDescent="0.25">
      <c r="B70" s="96">
        <f>'callPut（W）'!G68</f>
        <v>0</v>
      </c>
      <c r="C70" s="96">
        <f>'callPut（F）'!G68</f>
        <v>0</v>
      </c>
      <c r="D70" s="46">
        <f t="shared" si="2"/>
        <v>0</v>
      </c>
      <c r="E70" s="96">
        <v>18800</v>
      </c>
      <c r="F70" s="46">
        <f t="shared" si="3"/>
        <v>0</v>
      </c>
      <c r="G70" s="96">
        <f>'callPut（W）'!I68</f>
        <v>0</v>
      </c>
      <c r="H70" s="96">
        <f>'callPut（F）'!I68</f>
        <v>0</v>
      </c>
      <c r="J70" s="99"/>
      <c r="K70" s="99"/>
      <c r="L70" s="99"/>
      <c r="M70" s="101"/>
      <c r="N70" s="101"/>
    </row>
    <row r="71" spans="2:14" ht="15.75" customHeight="1" x14ac:dyDescent="0.25">
      <c r="B71" s="96">
        <f>'callPut（W）'!G69</f>
        <v>0</v>
      </c>
      <c r="C71" s="96">
        <f>'callPut（F）'!G69</f>
        <v>0</v>
      </c>
      <c r="D71" s="46">
        <f t="shared" si="2"/>
        <v>0</v>
      </c>
      <c r="E71" s="96">
        <v>18850</v>
      </c>
      <c r="F71" s="46">
        <f t="shared" si="3"/>
        <v>0</v>
      </c>
      <c r="G71" s="96">
        <f>'callPut（W）'!I69</f>
        <v>0</v>
      </c>
      <c r="H71" s="96">
        <f>'callPut（F）'!I69</f>
        <v>0</v>
      </c>
      <c r="J71" s="99"/>
      <c r="K71" s="99"/>
      <c r="L71" s="99"/>
      <c r="M71" s="101"/>
      <c r="N71" s="101"/>
    </row>
    <row r="72" spans="2:14" ht="15.75" customHeight="1" x14ac:dyDescent="0.25">
      <c r="B72" s="96">
        <f>'callPut（W）'!G70</f>
        <v>0</v>
      </c>
      <c r="C72" s="96">
        <f>'callPut（F）'!G70</f>
        <v>0</v>
      </c>
      <c r="D72" s="46">
        <f t="shared" si="2"/>
        <v>0</v>
      </c>
      <c r="E72" s="96">
        <v>18900</v>
      </c>
      <c r="F72" s="46">
        <f t="shared" si="3"/>
        <v>0</v>
      </c>
      <c r="G72" s="96">
        <f>'callPut（W）'!I70</f>
        <v>0</v>
      </c>
      <c r="H72" s="96">
        <f>'callPut（F）'!I70</f>
        <v>0</v>
      </c>
      <c r="J72" s="99"/>
      <c r="K72" s="99"/>
      <c r="L72" s="99"/>
      <c r="M72" s="101"/>
      <c r="N72" s="101"/>
    </row>
    <row r="73" spans="2:14" ht="15.75" customHeight="1" x14ac:dyDescent="0.25">
      <c r="B73" s="96">
        <f>'callPut（W）'!G71</f>
        <v>0</v>
      </c>
      <c r="C73" s="96">
        <f>'callPut（F）'!G71</f>
        <v>0</v>
      </c>
      <c r="D73" s="46">
        <f t="shared" si="2"/>
        <v>0</v>
      </c>
      <c r="E73" s="96">
        <v>18950</v>
      </c>
      <c r="F73" s="46">
        <f t="shared" si="3"/>
        <v>0</v>
      </c>
      <c r="G73" s="96">
        <f>'callPut（W）'!I71</f>
        <v>0</v>
      </c>
      <c r="H73" s="96">
        <f>'callPut（F）'!I71</f>
        <v>0</v>
      </c>
      <c r="J73" s="99"/>
      <c r="K73" s="99"/>
      <c r="L73" s="99"/>
      <c r="M73" s="101"/>
      <c r="N73" s="101"/>
    </row>
    <row r="74" spans="2:14" ht="15.75" customHeight="1" x14ac:dyDescent="0.25">
      <c r="B74" s="96">
        <f>'callPut（W）'!G72</f>
        <v>0</v>
      </c>
      <c r="C74" s="96">
        <f>'callPut（F）'!G72</f>
        <v>0</v>
      </c>
      <c r="D74" s="46">
        <f t="shared" si="2"/>
        <v>0</v>
      </c>
      <c r="E74" s="96">
        <v>19000</v>
      </c>
      <c r="F74" s="46">
        <f t="shared" si="3"/>
        <v>0</v>
      </c>
      <c r="G74" s="96">
        <f>'callPut（W）'!I72</f>
        <v>0</v>
      </c>
      <c r="H74" s="96">
        <f>'callPut（F）'!I72</f>
        <v>0</v>
      </c>
      <c r="J74" s="99"/>
      <c r="K74" s="99"/>
      <c r="L74" s="99"/>
      <c r="M74" s="101"/>
      <c r="N74" s="101"/>
    </row>
    <row r="75" spans="2:14" ht="15.75" customHeight="1" x14ac:dyDescent="0.25">
      <c r="B75" s="96">
        <f>'callPut（W）'!G73</f>
        <v>0</v>
      </c>
      <c r="C75" s="96">
        <f>'callPut（F）'!G73</f>
        <v>0</v>
      </c>
      <c r="D75" s="46">
        <f t="shared" si="2"/>
        <v>0</v>
      </c>
      <c r="E75" s="96">
        <v>19050</v>
      </c>
      <c r="F75" s="46">
        <f t="shared" si="3"/>
        <v>0</v>
      </c>
      <c r="G75" s="96">
        <f>'callPut（W）'!I73</f>
        <v>0</v>
      </c>
      <c r="H75" s="96">
        <f>'callPut（F）'!I73</f>
        <v>0</v>
      </c>
      <c r="J75" s="99"/>
      <c r="K75" s="99"/>
      <c r="L75" s="99"/>
      <c r="M75" s="101"/>
      <c r="N75" s="101"/>
    </row>
    <row r="76" spans="2:14" ht="15.75" customHeight="1" x14ac:dyDescent="0.25">
      <c r="B76" s="96">
        <f>'callPut（W）'!G74</f>
        <v>0</v>
      </c>
      <c r="C76" s="96">
        <f>'callPut（F）'!G74</f>
        <v>0</v>
      </c>
      <c r="D76" s="46">
        <f t="shared" si="2"/>
        <v>0</v>
      </c>
      <c r="E76" s="96">
        <v>19100</v>
      </c>
      <c r="F76" s="46">
        <f t="shared" si="3"/>
        <v>0</v>
      </c>
      <c r="G76" s="96">
        <f>'callPut（W）'!I74</f>
        <v>0</v>
      </c>
      <c r="H76" s="96">
        <f>'callPut（F）'!I74</f>
        <v>0</v>
      </c>
      <c r="J76" s="99"/>
      <c r="K76" s="99"/>
      <c r="L76" s="99"/>
      <c r="M76" s="101"/>
      <c r="N76" s="101"/>
    </row>
    <row r="77" spans="2:14" ht="15.75" customHeight="1" x14ac:dyDescent="0.25">
      <c r="B77" s="96">
        <f>'callPut（W）'!G75</f>
        <v>0</v>
      </c>
      <c r="C77" s="96">
        <f>'callPut（F）'!G75</f>
        <v>0</v>
      </c>
      <c r="D77" s="46">
        <f t="shared" si="2"/>
        <v>0</v>
      </c>
      <c r="E77" s="96">
        <v>19150</v>
      </c>
      <c r="F77" s="46">
        <f t="shared" si="3"/>
        <v>0</v>
      </c>
      <c r="G77" s="96">
        <f>'callPut（W）'!I75</f>
        <v>0</v>
      </c>
      <c r="H77" s="96">
        <f>'callPut（F）'!I75</f>
        <v>0</v>
      </c>
      <c r="J77" s="99"/>
      <c r="K77" s="99"/>
      <c r="L77" s="99"/>
      <c r="M77" s="101"/>
      <c r="N77" s="101"/>
    </row>
    <row r="78" spans="2:14" ht="15.75" customHeight="1" x14ac:dyDescent="0.25">
      <c r="B78" s="96">
        <f>'callPut（W）'!G76</f>
        <v>0</v>
      </c>
      <c r="C78" s="96">
        <f>'callPut（F）'!G76</f>
        <v>0</v>
      </c>
      <c r="D78" s="46">
        <f t="shared" si="2"/>
        <v>0</v>
      </c>
      <c r="E78" s="96">
        <v>19200</v>
      </c>
      <c r="F78" s="46">
        <f t="shared" si="3"/>
        <v>0</v>
      </c>
      <c r="G78" s="96">
        <f>'callPut（W）'!I76</f>
        <v>0</v>
      </c>
      <c r="H78" s="96">
        <f>'callPut（F）'!I76</f>
        <v>0</v>
      </c>
      <c r="J78" s="99"/>
      <c r="K78" s="99"/>
      <c r="L78" s="99"/>
      <c r="M78" s="101"/>
      <c r="N78" s="101"/>
    </row>
    <row r="79" spans="2:14" ht="15.75" customHeight="1" x14ac:dyDescent="0.25">
      <c r="B79" s="96">
        <f>'callPut（W）'!G77</f>
        <v>0</v>
      </c>
      <c r="C79" s="96">
        <f>'callPut（F）'!G77</f>
        <v>0</v>
      </c>
      <c r="D79" s="46">
        <f t="shared" si="2"/>
        <v>0</v>
      </c>
      <c r="E79" s="96">
        <v>19250</v>
      </c>
      <c r="F79" s="46">
        <f t="shared" si="3"/>
        <v>0</v>
      </c>
      <c r="G79" s="96">
        <f>'callPut（W）'!I77</f>
        <v>0</v>
      </c>
      <c r="H79" s="96">
        <f>'callPut（F）'!I77</f>
        <v>0</v>
      </c>
      <c r="J79" s="99"/>
      <c r="K79" s="99"/>
      <c r="L79" s="99"/>
      <c r="M79" s="101"/>
      <c r="N79" s="101"/>
    </row>
    <row r="80" spans="2:14" ht="15.75" customHeight="1" x14ac:dyDescent="0.25">
      <c r="B80" s="96">
        <f>'callPut（W）'!G78</f>
        <v>0</v>
      </c>
      <c r="C80" s="96">
        <f>'callPut（F）'!G78</f>
        <v>0</v>
      </c>
      <c r="D80" s="46">
        <f t="shared" si="2"/>
        <v>0</v>
      </c>
      <c r="E80" s="96">
        <v>19300</v>
      </c>
      <c r="F80" s="46">
        <f t="shared" si="3"/>
        <v>0</v>
      </c>
      <c r="G80" s="96">
        <f>'callPut（W）'!I78</f>
        <v>0</v>
      </c>
      <c r="H80" s="96">
        <f>'callPut（F）'!I78</f>
        <v>0</v>
      </c>
      <c r="J80" s="99"/>
      <c r="K80" s="99"/>
      <c r="L80" s="99"/>
      <c r="M80" s="101"/>
      <c r="N80" s="101"/>
    </row>
    <row r="81" spans="2:14" ht="15.75" customHeight="1" x14ac:dyDescent="0.25">
      <c r="B81" s="96">
        <f>'callPut（W）'!G79</f>
        <v>0</v>
      </c>
      <c r="C81" s="96">
        <f>'callPut（F）'!G79</f>
        <v>0</v>
      </c>
      <c r="D81" s="46">
        <f t="shared" si="2"/>
        <v>0</v>
      </c>
      <c r="E81" s="96">
        <v>19350</v>
      </c>
      <c r="F81" s="46">
        <f t="shared" si="3"/>
        <v>0</v>
      </c>
      <c r="G81" s="96">
        <f>'callPut（W）'!I79</f>
        <v>0</v>
      </c>
      <c r="H81" s="96">
        <f>'callPut（F）'!I79</f>
        <v>0</v>
      </c>
      <c r="J81" s="99"/>
      <c r="K81" s="99"/>
      <c r="L81" s="99"/>
      <c r="M81" s="101"/>
      <c r="N81" s="101"/>
    </row>
    <row r="82" spans="2:14" ht="15.75" customHeight="1" x14ac:dyDescent="0.25">
      <c r="B82" s="96">
        <f>'callPut（W）'!G80</f>
        <v>0</v>
      </c>
      <c r="C82" s="96">
        <f>'callPut（F）'!G80</f>
        <v>0</v>
      </c>
      <c r="D82" s="46">
        <f t="shared" si="2"/>
        <v>0</v>
      </c>
      <c r="E82" s="96">
        <v>19400</v>
      </c>
      <c r="F82" s="46">
        <f t="shared" si="3"/>
        <v>0</v>
      </c>
      <c r="G82" s="96">
        <f>'callPut（W）'!I80</f>
        <v>0</v>
      </c>
      <c r="H82" s="96">
        <f>'callPut（F）'!I80</f>
        <v>0</v>
      </c>
      <c r="J82" s="99"/>
      <c r="K82" s="99"/>
      <c r="L82" s="99"/>
      <c r="M82" s="101"/>
      <c r="N82" s="101"/>
    </row>
    <row r="83" spans="2:14" ht="15.75" customHeight="1" x14ac:dyDescent="0.25">
      <c r="B83" s="96">
        <f>'callPut（W）'!G81</f>
        <v>0</v>
      </c>
      <c r="C83" s="96">
        <f>'callPut（F）'!G81</f>
        <v>0</v>
      </c>
      <c r="D83" s="46">
        <f t="shared" si="2"/>
        <v>0</v>
      </c>
      <c r="E83" s="96">
        <v>19450</v>
      </c>
      <c r="F83" s="46">
        <f t="shared" si="3"/>
        <v>0</v>
      </c>
      <c r="G83" s="96">
        <f>'callPut（W）'!I81</f>
        <v>0</v>
      </c>
      <c r="H83" s="96">
        <f>'callPut（F）'!I81</f>
        <v>0</v>
      </c>
      <c r="J83" s="99"/>
      <c r="K83" s="99"/>
      <c r="L83" s="99"/>
      <c r="M83" s="101"/>
      <c r="N83" s="101"/>
    </row>
    <row r="84" spans="2:14" ht="15.75" customHeight="1" x14ac:dyDescent="0.25">
      <c r="B84" s="96">
        <f>'callPut（W）'!G82</f>
        <v>0</v>
      </c>
      <c r="C84" s="96">
        <f>'callPut（F）'!G82</f>
        <v>0</v>
      </c>
      <c r="D84" s="46">
        <f t="shared" si="2"/>
        <v>0</v>
      </c>
      <c r="E84" s="96">
        <v>19500</v>
      </c>
      <c r="F84" s="46">
        <f t="shared" si="3"/>
        <v>0</v>
      </c>
      <c r="G84" s="96">
        <f>'callPut（W）'!I82</f>
        <v>0</v>
      </c>
      <c r="H84" s="96">
        <f>'callPut（F）'!I82</f>
        <v>0</v>
      </c>
      <c r="J84" s="99"/>
      <c r="K84" s="99"/>
      <c r="L84" s="99"/>
      <c r="M84" s="101"/>
      <c r="N84" s="101"/>
    </row>
    <row r="85" spans="2:14" ht="15.75" customHeight="1" x14ac:dyDescent="0.25">
      <c r="B85" s="96">
        <f>'callPut（W）'!G83</f>
        <v>0</v>
      </c>
      <c r="C85" s="96">
        <f>'callPut（F）'!G83</f>
        <v>0</v>
      </c>
      <c r="D85" s="46">
        <f t="shared" si="2"/>
        <v>0</v>
      </c>
      <c r="E85" s="96">
        <v>19550</v>
      </c>
      <c r="F85" s="46">
        <f t="shared" si="3"/>
        <v>0</v>
      </c>
      <c r="G85" s="96">
        <f>'callPut（W）'!I83</f>
        <v>0</v>
      </c>
      <c r="H85" s="96">
        <f>'callPut（F）'!I83</f>
        <v>0</v>
      </c>
      <c r="J85" s="99"/>
      <c r="K85" s="99"/>
      <c r="L85" s="99"/>
      <c r="M85" s="101"/>
      <c r="N85" s="101"/>
    </row>
    <row r="86" spans="2:14" ht="15.75" customHeight="1" x14ac:dyDescent="0.25">
      <c r="B86" s="96">
        <f>'callPut（W）'!G84</f>
        <v>0</v>
      </c>
      <c r="C86" s="96">
        <f>'callPut（F）'!G84</f>
        <v>0</v>
      </c>
      <c r="D86" s="46">
        <f t="shared" si="2"/>
        <v>0</v>
      </c>
      <c r="E86" s="96">
        <v>19600</v>
      </c>
      <c r="F86" s="46">
        <f t="shared" si="3"/>
        <v>0</v>
      </c>
      <c r="G86" s="96">
        <f>'callPut（W）'!I84</f>
        <v>0</v>
      </c>
      <c r="H86" s="96">
        <f>'callPut（F）'!I84</f>
        <v>0</v>
      </c>
      <c r="J86" s="99"/>
      <c r="K86" s="99"/>
      <c r="L86" s="99"/>
      <c r="M86" s="101"/>
      <c r="N86" s="101"/>
    </row>
    <row r="87" spans="2:14" ht="15.75" customHeight="1" x14ac:dyDescent="0.25">
      <c r="B87" s="96">
        <f>'callPut（W）'!G85</f>
        <v>0</v>
      </c>
      <c r="C87" s="96">
        <f>'callPut（F）'!G85</f>
        <v>0</v>
      </c>
      <c r="D87" s="46">
        <f t="shared" si="2"/>
        <v>0</v>
      </c>
      <c r="E87" s="96">
        <v>19650</v>
      </c>
      <c r="F87" s="46">
        <f t="shared" si="3"/>
        <v>0</v>
      </c>
      <c r="G87" s="96">
        <f>'callPut（W）'!I85</f>
        <v>0</v>
      </c>
      <c r="H87" s="96">
        <f>'callPut（F）'!I85</f>
        <v>0</v>
      </c>
      <c r="J87" s="99"/>
      <c r="K87" s="99"/>
      <c r="L87" s="99"/>
      <c r="M87" s="101"/>
      <c r="N87" s="101"/>
    </row>
    <row r="88" spans="2:14" ht="15.75" customHeight="1" x14ac:dyDescent="0.25">
      <c r="B88" s="96">
        <f>'callPut（W）'!G86</f>
        <v>0</v>
      </c>
      <c r="C88" s="96">
        <f>'callPut（F）'!G86</f>
        <v>0</v>
      </c>
      <c r="D88" s="46">
        <f t="shared" si="2"/>
        <v>0</v>
      </c>
      <c r="E88" s="96">
        <v>19700</v>
      </c>
      <c r="F88" s="46">
        <f t="shared" si="3"/>
        <v>0</v>
      </c>
      <c r="G88" s="96">
        <f>'callPut（W）'!I86</f>
        <v>0</v>
      </c>
      <c r="H88" s="96">
        <f>'callPut（F）'!I86</f>
        <v>0</v>
      </c>
      <c r="J88" s="99"/>
      <c r="K88" s="99"/>
      <c r="L88" s="99"/>
      <c r="M88" s="101"/>
      <c r="N88" s="101"/>
    </row>
    <row r="89" spans="2:14" ht="15.75" customHeight="1" x14ac:dyDescent="0.25">
      <c r="B89" s="96">
        <f>'callPut（W）'!G87</f>
        <v>0</v>
      </c>
      <c r="C89" s="96">
        <f>'callPut（F）'!G87</f>
        <v>0</v>
      </c>
      <c r="D89" s="46">
        <f t="shared" si="2"/>
        <v>0</v>
      </c>
      <c r="E89" s="96">
        <v>19750</v>
      </c>
      <c r="F89" s="46">
        <f t="shared" si="3"/>
        <v>0</v>
      </c>
      <c r="G89" s="96">
        <f>'callPut（W）'!I87</f>
        <v>0</v>
      </c>
      <c r="H89" s="96">
        <f>'callPut（F）'!I87</f>
        <v>0</v>
      </c>
      <c r="J89" s="99"/>
      <c r="K89" s="99"/>
      <c r="L89" s="99"/>
      <c r="M89" s="101"/>
      <c r="N89" s="101"/>
    </row>
    <row r="90" spans="2:14" ht="15.75" customHeight="1" x14ac:dyDescent="0.25">
      <c r="B90" s="96">
        <f>'callPut（W）'!G88</f>
        <v>0</v>
      </c>
      <c r="C90" s="96">
        <f>'callPut（F）'!G88</f>
        <v>0</v>
      </c>
      <c r="D90" s="46">
        <f t="shared" si="2"/>
        <v>0</v>
      </c>
      <c r="E90" s="96">
        <v>19800</v>
      </c>
      <c r="F90" s="46">
        <f t="shared" si="3"/>
        <v>0</v>
      </c>
      <c r="G90" s="96">
        <f>'callPut（W）'!I88</f>
        <v>0</v>
      </c>
      <c r="H90" s="96">
        <f>'callPut（F）'!I88</f>
        <v>0</v>
      </c>
      <c r="J90" s="99"/>
      <c r="K90" s="99"/>
      <c r="L90" s="99"/>
      <c r="M90" s="101"/>
      <c r="N90" s="101"/>
    </row>
    <row r="91" spans="2:14" ht="15.75" customHeight="1" x14ac:dyDescent="0.25">
      <c r="B91" s="96">
        <f>'callPut（W）'!G89</f>
        <v>0</v>
      </c>
      <c r="C91" s="96">
        <f>'callPut（F）'!G89</f>
        <v>0</v>
      </c>
      <c r="D91" s="46">
        <f t="shared" si="2"/>
        <v>0</v>
      </c>
      <c r="E91" s="96">
        <v>19850</v>
      </c>
      <c r="F91" s="46">
        <f t="shared" si="3"/>
        <v>0</v>
      </c>
      <c r="G91" s="96">
        <f>'callPut（W）'!I89</f>
        <v>0</v>
      </c>
      <c r="H91" s="96">
        <f>'callPut（F）'!I89</f>
        <v>0</v>
      </c>
      <c r="J91" s="99"/>
      <c r="K91" s="99"/>
      <c r="L91" s="99"/>
      <c r="M91" s="101"/>
      <c r="N91" s="101"/>
    </row>
    <row r="92" spans="2:14" ht="15.75" customHeight="1" x14ac:dyDescent="0.25">
      <c r="B92" s="96">
        <f>'callPut（W）'!G90</f>
        <v>0</v>
      </c>
      <c r="C92" s="96">
        <f>'callPut（F）'!G90</f>
        <v>0</v>
      </c>
      <c r="D92" s="46">
        <f t="shared" si="2"/>
        <v>0</v>
      </c>
      <c r="E92" s="96">
        <v>19900</v>
      </c>
      <c r="F92" s="46">
        <f t="shared" si="3"/>
        <v>0</v>
      </c>
      <c r="G92" s="96">
        <f>'callPut（W）'!I90</f>
        <v>0</v>
      </c>
      <c r="H92" s="96">
        <f>'callPut（F）'!I90</f>
        <v>0</v>
      </c>
      <c r="J92" s="99"/>
      <c r="K92" s="99"/>
      <c r="L92" s="99"/>
      <c r="M92" s="101"/>
      <c r="N92" s="101"/>
    </row>
    <row r="93" spans="2:14" ht="15.75" customHeight="1" x14ac:dyDescent="0.25">
      <c r="B93" s="96">
        <f>'callPut（W）'!G91</f>
        <v>0</v>
      </c>
      <c r="C93" s="96">
        <f>'callPut（F）'!G91</f>
        <v>0</v>
      </c>
      <c r="D93" s="46">
        <f t="shared" si="2"/>
        <v>0</v>
      </c>
      <c r="E93" s="96">
        <v>19950</v>
      </c>
      <c r="F93" s="46">
        <f t="shared" si="3"/>
        <v>0</v>
      </c>
      <c r="G93" s="96">
        <f>'callPut（W）'!I91</f>
        <v>0</v>
      </c>
      <c r="H93" s="96">
        <f>'callPut（F）'!I91</f>
        <v>0</v>
      </c>
      <c r="J93" s="99"/>
      <c r="K93" s="99"/>
      <c r="L93" s="99"/>
      <c r="M93" s="101"/>
      <c r="N93" s="101"/>
    </row>
    <row r="94" spans="2:14" ht="15.75" customHeight="1" x14ac:dyDescent="0.25">
      <c r="B94" s="96">
        <f>'callPut（W）'!G92</f>
        <v>0</v>
      </c>
      <c r="C94" s="96">
        <f>'callPut（F）'!G92</f>
        <v>0</v>
      </c>
      <c r="D94" s="46">
        <f t="shared" si="2"/>
        <v>0</v>
      </c>
      <c r="E94" s="96">
        <v>20000</v>
      </c>
      <c r="F94" s="46">
        <f t="shared" si="3"/>
        <v>0</v>
      </c>
      <c r="G94" s="96">
        <f>'callPut（W）'!I92</f>
        <v>0</v>
      </c>
      <c r="H94" s="96">
        <f>'callPut（F）'!I92</f>
        <v>0</v>
      </c>
      <c r="J94" s="99"/>
      <c r="K94" s="99"/>
      <c r="L94" s="99"/>
      <c r="M94" s="101"/>
      <c r="N94" s="101"/>
    </row>
    <row r="95" spans="2:14" ht="15.75" customHeight="1" x14ac:dyDescent="0.25">
      <c r="B95" s="96">
        <f>'callPut（W）'!G93</f>
        <v>0</v>
      </c>
      <c r="C95" s="96">
        <f>'callPut（F）'!G93</f>
        <v>0</v>
      </c>
      <c r="D95" s="46">
        <f t="shared" si="2"/>
        <v>0</v>
      </c>
      <c r="E95" s="96">
        <v>20050</v>
      </c>
      <c r="F95" s="46">
        <f t="shared" si="3"/>
        <v>0</v>
      </c>
      <c r="G95" s="96">
        <f>'callPut（W）'!I93</f>
        <v>0</v>
      </c>
      <c r="H95" s="96">
        <f>'callPut（F）'!I93</f>
        <v>0</v>
      </c>
      <c r="J95" s="99"/>
      <c r="K95" s="99"/>
      <c r="L95" s="99"/>
      <c r="M95" s="101"/>
      <c r="N95" s="101"/>
    </row>
    <row r="96" spans="2:14" ht="15.75" customHeight="1" x14ac:dyDescent="0.25">
      <c r="B96" s="96">
        <f>'callPut（W）'!G94</f>
        <v>0</v>
      </c>
      <c r="C96" s="96">
        <f>'callPut（F）'!G94</f>
        <v>0</v>
      </c>
      <c r="D96" s="46">
        <f t="shared" si="2"/>
        <v>0</v>
      </c>
      <c r="E96" s="96">
        <v>20100</v>
      </c>
      <c r="F96" s="46">
        <f t="shared" si="3"/>
        <v>-193.61199999999997</v>
      </c>
      <c r="G96" s="96">
        <f>'callPut（W）'!I94</f>
        <v>-193.61199999999997</v>
      </c>
      <c r="H96" s="96">
        <f>'callPut（F）'!I94</f>
        <v>0</v>
      </c>
      <c r="J96" s="99"/>
      <c r="K96" s="99"/>
      <c r="L96" s="99"/>
      <c r="M96" s="101"/>
      <c r="N96" s="101"/>
    </row>
    <row r="97" spans="2:14" ht="15.75" customHeight="1" x14ac:dyDescent="0.25">
      <c r="B97" s="96">
        <f>'callPut（W）'!G95</f>
        <v>0</v>
      </c>
      <c r="C97" s="96">
        <f>'callPut（F）'!G95</f>
        <v>0</v>
      </c>
      <c r="D97" s="46">
        <f t="shared" si="2"/>
        <v>0</v>
      </c>
      <c r="E97" s="96">
        <v>20150</v>
      </c>
      <c r="F97" s="46">
        <f t="shared" si="3"/>
        <v>0</v>
      </c>
      <c r="G97" s="96">
        <f>'callPut（W）'!I95</f>
        <v>0</v>
      </c>
      <c r="H97" s="96">
        <f>'callPut（F）'!I95</f>
        <v>0</v>
      </c>
      <c r="J97" s="99"/>
      <c r="K97" s="99"/>
      <c r="L97" s="99"/>
      <c r="M97" s="101"/>
      <c r="N97" s="101"/>
    </row>
    <row r="98" spans="2:14" ht="15.75" customHeight="1" x14ac:dyDescent="0.25">
      <c r="B98" s="96">
        <f>'callPut（W）'!G96</f>
        <v>0</v>
      </c>
      <c r="C98" s="96">
        <f>'callPut（F）'!G96</f>
        <v>0</v>
      </c>
      <c r="D98" s="46">
        <f t="shared" si="2"/>
        <v>0</v>
      </c>
      <c r="E98" s="96">
        <v>20200</v>
      </c>
      <c r="F98" s="46">
        <f t="shared" si="3"/>
        <v>-4.9994000000000005</v>
      </c>
      <c r="G98" s="96">
        <f>'callPut（W）'!I96</f>
        <v>-4.9994000000000005</v>
      </c>
      <c r="H98" s="96">
        <f>'callPut（F）'!I96</f>
        <v>0</v>
      </c>
      <c r="J98" s="99"/>
      <c r="K98" s="99"/>
      <c r="L98" s="99"/>
      <c r="M98" s="101"/>
      <c r="N98" s="101"/>
    </row>
    <row r="99" spans="2:14" ht="15.75" customHeight="1" x14ac:dyDescent="0.25">
      <c r="B99" s="96">
        <f>'callPut（W）'!G97</f>
        <v>0</v>
      </c>
      <c r="C99" s="96">
        <f>'callPut（F）'!G97</f>
        <v>0</v>
      </c>
      <c r="D99" s="46">
        <f t="shared" si="2"/>
        <v>0</v>
      </c>
      <c r="E99" s="96">
        <v>20250</v>
      </c>
      <c r="F99" s="46">
        <f t="shared" si="3"/>
        <v>0</v>
      </c>
      <c r="G99" s="96">
        <f>'callPut（W）'!I97</f>
        <v>0</v>
      </c>
      <c r="H99" s="96">
        <f>'callPut（F）'!I97</f>
        <v>0</v>
      </c>
      <c r="J99" s="99"/>
      <c r="K99" s="99"/>
      <c r="L99" s="99"/>
      <c r="M99" s="101"/>
      <c r="N99" s="101"/>
    </row>
    <row r="100" spans="2:14" ht="15.75" customHeight="1" x14ac:dyDescent="0.25">
      <c r="B100" s="96">
        <f>'callPut（W）'!G98</f>
        <v>0</v>
      </c>
      <c r="C100" s="96">
        <f>'callPut（F）'!G98</f>
        <v>0</v>
      </c>
      <c r="D100" s="46">
        <f t="shared" si="2"/>
        <v>0</v>
      </c>
      <c r="E100" s="96">
        <v>20300</v>
      </c>
      <c r="F100" s="46">
        <f t="shared" si="3"/>
        <v>-1.0009999999999994</v>
      </c>
      <c r="G100" s="96">
        <f>'callPut（W）'!I98</f>
        <v>0</v>
      </c>
      <c r="H100" s="96">
        <f>'callPut（F）'!I98</f>
        <v>-1.0009999999999994</v>
      </c>
      <c r="J100" s="99"/>
      <c r="K100" s="99"/>
      <c r="L100" s="99"/>
      <c r="M100" s="101"/>
      <c r="N100" s="101"/>
    </row>
    <row r="101" spans="2:14" ht="15.75" customHeight="1" x14ac:dyDescent="0.25">
      <c r="B101" s="96">
        <f>'callPut（W）'!G99</f>
        <v>0</v>
      </c>
      <c r="C101" s="96">
        <f>'callPut（F）'!G99</f>
        <v>0</v>
      </c>
      <c r="D101" s="46">
        <f t="shared" si="2"/>
        <v>0</v>
      </c>
      <c r="E101" s="96">
        <v>20350</v>
      </c>
      <c r="F101" s="46">
        <f t="shared" si="3"/>
        <v>0</v>
      </c>
      <c r="G101" s="96">
        <f>'callPut（W）'!I99</f>
        <v>0</v>
      </c>
      <c r="H101" s="96">
        <f>'callPut（F）'!I99</f>
        <v>0</v>
      </c>
      <c r="J101" s="99"/>
      <c r="K101" s="99"/>
      <c r="L101" s="99"/>
      <c r="M101" s="101"/>
      <c r="N101" s="101"/>
    </row>
    <row r="102" spans="2:14" ht="15.75" customHeight="1" x14ac:dyDescent="0.25">
      <c r="B102" s="96">
        <f>'callPut（W）'!G100</f>
        <v>0</v>
      </c>
      <c r="C102" s="96">
        <f>'callPut（F）'!G100</f>
        <v>0</v>
      </c>
      <c r="D102" s="46">
        <f t="shared" si="2"/>
        <v>0</v>
      </c>
      <c r="E102" s="96">
        <v>20400</v>
      </c>
      <c r="F102" s="46">
        <f t="shared" si="3"/>
        <v>-5</v>
      </c>
      <c r="G102" s="96">
        <f>'callPut（W）'!I100</f>
        <v>-5</v>
      </c>
      <c r="H102" s="96">
        <f>'callPut（F）'!I100</f>
        <v>0</v>
      </c>
      <c r="J102" s="99"/>
      <c r="K102" s="99"/>
      <c r="L102" s="99"/>
      <c r="M102" s="101"/>
      <c r="N102" s="101"/>
    </row>
    <row r="103" spans="2:14" ht="15.75" customHeight="1" x14ac:dyDescent="0.25">
      <c r="B103" s="96">
        <f>'callPut（W）'!G101</f>
        <v>0</v>
      </c>
      <c r="C103" s="96">
        <f>'callPut（F）'!G101</f>
        <v>0</v>
      </c>
      <c r="D103" s="46">
        <f t="shared" si="2"/>
        <v>0</v>
      </c>
      <c r="E103" s="96">
        <v>20450</v>
      </c>
      <c r="F103" s="46">
        <f t="shared" si="3"/>
        <v>0</v>
      </c>
      <c r="G103" s="96">
        <f>'callPut（W）'!I101</f>
        <v>0</v>
      </c>
      <c r="H103" s="96">
        <f>'callPut（F）'!I101</f>
        <v>0</v>
      </c>
      <c r="J103" s="99"/>
      <c r="K103" s="99"/>
      <c r="L103" s="99"/>
      <c r="M103" s="101"/>
      <c r="N103" s="101"/>
    </row>
    <row r="104" spans="2:14" ht="15.75" customHeight="1" x14ac:dyDescent="0.25">
      <c r="B104" s="96">
        <f>'callPut（W）'!G102</f>
        <v>0</v>
      </c>
      <c r="C104" s="96">
        <f>'callPut（F）'!G102</f>
        <v>0</v>
      </c>
      <c r="D104" s="46">
        <f t="shared" si="2"/>
        <v>0</v>
      </c>
      <c r="E104" s="96">
        <v>20500</v>
      </c>
      <c r="F104" s="46">
        <f t="shared" si="3"/>
        <v>3</v>
      </c>
      <c r="G104" s="96">
        <f>'callPut（W）'!I102</f>
        <v>3</v>
      </c>
      <c r="H104" s="96">
        <f>'callPut（F）'!I102</f>
        <v>0</v>
      </c>
      <c r="J104" s="99"/>
      <c r="K104" s="99"/>
      <c r="L104" s="99"/>
      <c r="M104" s="101"/>
      <c r="N104" s="101"/>
    </row>
    <row r="105" spans="2:14" ht="15.75" customHeight="1" x14ac:dyDescent="0.25">
      <c r="B105" s="96">
        <f>'callPut（W）'!G103</f>
        <v>0</v>
      </c>
      <c r="C105" s="96">
        <f>'callPut（F）'!G103</f>
        <v>0</v>
      </c>
      <c r="D105" s="46">
        <f t="shared" si="2"/>
        <v>0</v>
      </c>
      <c r="E105" s="96">
        <v>20550</v>
      </c>
      <c r="F105" s="46">
        <f t="shared" si="3"/>
        <v>0</v>
      </c>
      <c r="G105" s="96">
        <f>'callPut（W）'!I103</f>
        <v>0</v>
      </c>
      <c r="H105" s="96">
        <f>'callPut（F）'!I103</f>
        <v>0</v>
      </c>
      <c r="J105" s="99"/>
      <c r="K105" s="99"/>
      <c r="L105" s="99"/>
      <c r="M105" s="101"/>
      <c r="N105" s="101"/>
    </row>
    <row r="106" spans="2:14" ht="15.75" customHeight="1" x14ac:dyDescent="0.25">
      <c r="B106" s="96">
        <f>'callPut（W）'!G104</f>
        <v>0</v>
      </c>
      <c r="C106" s="96">
        <f>'callPut（F）'!G104</f>
        <v>0</v>
      </c>
      <c r="D106" s="46">
        <f t="shared" si="2"/>
        <v>0</v>
      </c>
      <c r="E106" s="96">
        <v>20600</v>
      </c>
      <c r="F106" s="46">
        <f t="shared" si="3"/>
        <v>-1.0002</v>
      </c>
      <c r="G106" s="96">
        <f>'callPut（W）'!I104</f>
        <v>-1.0002</v>
      </c>
      <c r="H106" s="96">
        <f>'callPut（F）'!I104</f>
        <v>0</v>
      </c>
      <c r="J106" s="99"/>
      <c r="K106" s="99"/>
      <c r="L106" s="99"/>
      <c r="M106" s="101"/>
      <c r="N106" s="101"/>
    </row>
    <row r="107" spans="2:14" ht="15.75" customHeight="1" x14ac:dyDescent="0.25">
      <c r="B107" s="96">
        <f>'callPut（W）'!G105</f>
        <v>0</v>
      </c>
      <c r="C107" s="96">
        <f>'callPut（F）'!G105</f>
        <v>0</v>
      </c>
      <c r="D107" s="46">
        <f t="shared" si="2"/>
        <v>0</v>
      </c>
      <c r="E107" s="96">
        <v>20650</v>
      </c>
      <c r="F107" s="46">
        <f t="shared" si="3"/>
        <v>0</v>
      </c>
      <c r="G107" s="96">
        <f>'callPut（W）'!I105</f>
        <v>0</v>
      </c>
      <c r="H107" s="96">
        <f>'callPut（F）'!I105</f>
        <v>0</v>
      </c>
      <c r="J107" s="99"/>
      <c r="K107" s="99"/>
      <c r="L107" s="99"/>
      <c r="M107" s="101"/>
      <c r="N107" s="101"/>
    </row>
    <row r="108" spans="2:14" ht="15.75" customHeight="1" x14ac:dyDescent="0.25">
      <c r="B108" s="96">
        <f>'callPut（W）'!G106</f>
        <v>0</v>
      </c>
      <c r="C108" s="96">
        <f>'callPut（F）'!G106</f>
        <v>0</v>
      </c>
      <c r="D108" s="46">
        <f t="shared" si="2"/>
        <v>0</v>
      </c>
      <c r="E108" s="96">
        <v>20700</v>
      </c>
      <c r="F108" s="46">
        <f t="shared" si="3"/>
        <v>-2</v>
      </c>
      <c r="G108" s="96">
        <f>'callPut（W）'!I106</f>
        <v>-2</v>
      </c>
      <c r="H108" s="96">
        <f>'callPut（F）'!I106</f>
        <v>0</v>
      </c>
      <c r="J108" s="99"/>
      <c r="K108" s="99"/>
      <c r="L108" s="99"/>
      <c r="M108" s="101"/>
      <c r="N108" s="101"/>
    </row>
    <row r="109" spans="2:14" ht="15.75" customHeight="1" x14ac:dyDescent="0.25">
      <c r="B109" s="96">
        <f>'callPut（W）'!G107</f>
        <v>0</v>
      </c>
      <c r="C109" s="96">
        <f>'callPut（F）'!G107</f>
        <v>0</v>
      </c>
      <c r="D109" s="46">
        <f t="shared" si="2"/>
        <v>0</v>
      </c>
      <c r="E109" s="96">
        <v>20750</v>
      </c>
      <c r="F109" s="46">
        <f t="shared" si="3"/>
        <v>0</v>
      </c>
      <c r="G109" s="96">
        <f>'callPut（W）'!I107</f>
        <v>0</v>
      </c>
      <c r="H109" s="96">
        <f>'callPut（F）'!I107</f>
        <v>0</v>
      </c>
      <c r="J109" s="99"/>
      <c r="K109" s="99"/>
      <c r="L109" s="99"/>
      <c r="M109" s="101"/>
      <c r="N109" s="101"/>
    </row>
    <row r="110" spans="2:14" ht="15.75" customHeight="1" x14ac:dyDescent="0.25">
      <c r="B110" s="96">
        <f>'callPut（W）'!G108</f>
        <v>0</v>
      </c>
      <c r="C110" s="96">
        <f>'callPut（F）'!G108</f>
        <v>0</v>
      </c>
      <c r="D110" s="46">
        <f t="shared" si="2"/>
        <v>0</v>
      </c>
      <c r="E110" s="96">
        <v>20800</v>
      </c>
      <c r="F110" s="46">
        <f t="shared" si="3"/>
        <v>0</v>
      </c>
      <c r="G110" s="96">
        <f>'callPut（W）'!I108</f>
        <v>0</v>
      </c>
      <c r="H110" s="96">
        <f>'callPut（F）'!I108</f>
        <v>0</v>
      </c>
      <c r="J110" s="99"/>
      <c r="K110" s="99"/>
      <c r="L110" s="99"/>
      <c r="M110" s="101"/>
      <c r="N110" s="101"/>
    </row>
    <row r="111" spans="2:14" ht="15.75" customHeight="1" x14ac:dyDescent="0.25">
      <c r="B111" s="96">
        <f>'callPut（W）'!G109</f>
        <v>0</v>
      </c>
      <c r="C111" s="96">
        <f>'callPut（F）'!G109</f>
        <v>0</v>
      </c>
      <c r="D111" s="46">
        <f t="shared" si="2"/>
        <v>0</v>
      </c>
      <c r="E111" s="96">
        <v>20850</v>
      </c>
      <c r="F111" s="46">
        <f t="shared" si="3"/>
        <v>0</v>
      </c>
      <c r="G111" s="96">
        <f>'callPut（W）'!I109</f>
        <v>0</v>
      </c>
      <c r="H111" s="96">
        <f>'callPut（F）'!I109</f>
        <v>0</v>
      </c>
      <c r="J111" s="99"/>
      <c r="K111" s="99"/>
      <c r="L111" s="99"/>
      <c r="M111" s="101"/>
      <c r="N111" s="101"/>
    </row>
    <row r="112" spans="2:14" ht="15.75" customHeight="1" x14ac:dyDescent="0.25">
      <c r="B112" s="96">
        <f>'callPut（W）'!G110</f>
        <v>0</v>
      </c>
      <c r="C112" s="96">
        <f>'callPut（F）'!G110</f>
        <v>0</v>
      </c>
      <c r="D112" s="46">
        <f t="shared" si="2"/>
        <v>0</v>
      </c>
      <c r="E112" s="96">
        <v>20900</v>
      </c>
      <c r="F112" s="46">
        <f t="shared" si="3"/>
        <v>21</v>
      </c>
      <c r="G112" s="96">
        <f>'callPut（W）'!I110</f>
        <v>21</v>
      </c>
      <c r="H112" s="96">
        <f>'callPut（F）'!I110</f>
        <v>0</v>
      </c>
      <c r="J112" s="99"/>
      <c r="K112" s="99"/>
      <c r="L112" s="99"/>
      <c r="M112" s="101"/>
      <c r="N112" s="101"/>
    </row>
    <row r="113" spans="2:14" ht="15.75" customHeight="1" x14ac:dyDescent="0.25">
      <c r="B113" s="96">
        <f>'callPut（W）'!G111</f>
        <v>0</v>
      </c>
      <c r="C113" s="96">
        <f>'callPut（F）'!G111</f>
        <v>0</v>
      </c>
      <c r="D113" s="46">
        <f t="shared" si="2"/>
        <v>0</v>
      </c>
      <c r="E113" s="96">
        <v>20950</v>
      </c>
      <c r="F113" s="46">
        <f t="shared" si="3"/>
        <v>0</v>
      </c>
      <c r="G113" s="96">
        <f>'callPut（W）'!I111</f>
        <v>0</v>
      </c>
      <c r="H113" s="96">
        <f>'callPut（F）'!I111</f>
        <v>0</v>
      </c>
      <c r="J113" s="99"/>
      <c r="K113" s="99"/>
      <c r="L113" s="99"/>
      <c r="M113" s="101"/>
      <c r="N113" s="101"/>
    </row>
    <row r="114" spans="2:14" ht="15.75" customHeight="1" x14ac:dyDescent="0.25">
      <c r="B114" s="96">
        <f>'callPut（W）'!G112</f>
        <v>1</v>
      </c>
      <c r="C114" s="96">
        <f>'callPut（F）'!G112</f>
        <v>0</v>
      </c>
      <c r="D114" s="46">
        <f t="shared" si="2"/>
        <v>1</v>
      </c>
      <c r="E114" s="96">
        <v>21000</v>
      </c>
      <c r="F114" s="46">
        <f t="shared" si="3"/>
        <v>27.007399999999997</v>
      </c>
      <c r="G114" s="96">
        <f>'callPut（W）'!I112</f>
        <v>27.007399999999997</v>
      </c>
      <c r="H114" s="96">
        <f>'callPut（F）'!I112</f>
        <v>0</v>
      </c>
      <c r="J114" s="99"/>
      <c r="K114" s="99"/>
      <c r="L114" s="99"/>
      <c r="M114" s="101"/>
      <c r="N114" s="101"/>
    </row>
    <row r="115" spans="2:14" ht="15.75" customHeight="1" x14ac:dyDescent="0.25">
      <c r="B115" s="96">
        <f>'callPut（W）'!G113</f>
        <v>0</v>
      </c>
      <c r="C115" s="96">
        <f>'callPut（F）'!G113</f>
        <v>0</v>
      </c>
      <c r="D115" s="46">
        <f t="shared" si="2"/>
        <v>0</v>
      </c>
      <c r="E115" s="96">
        <v>21050</v>
      </c>
      <c r="F115" s="46">
        <f t="shared" si="3"/>
        <v>0</v>
      </c>
      <c r="G115" s="96">
        <f>'callPut（W）'!I113</f>
        <v>0</v>
      </c>
      <c r="H115" s="96">
        <f>'callPut（F）'!I113</f>
        <v>0</v>
      </c>
      <c r="J115" s="99"/>
      <c r="K115" s="99"/>
      <c r="L115" s="99"/>
      <c r="M115" s="101"/>
      <c r="N115" s="101"/>
    </row>
    <row r="116" spans="2:14" ht="15.75" customHeight="1" x14ac:dyDescent="0.25">
      <c r="B116" s="96">
        <f>'callPut（W）'!G114</f>
        <v>0</v>
      </c>
      <c r="C116" s="96">
        <f>'callPut（F）'!G114</f>
        <v>0</v>
      </c>
      <c r="D116" s="46">
        <f t="shared" si="2"/>
        <v>0</v>
      </c>
      <c r="E116" s="96">
        <v>21100</v>
      </c>
      <c r="F116" s="46">
        <f t="shared" si="3"/>
        <v>0</v>
      </c>
      <c r="G116" s="96">
        <f>'callPut（W）'!I114</f>
        <v>-1</v>
      </c>
      <c r="H116" s="96">
        <f>'callPut（F）'!I114</f>
        <v>1</v>
      </c>
      <c r="J116" s="99"/>
      <c r="K116" s="99"/>
      <c r="L116" s="99"/>
      <c r="M116" s="101"/>
      <c r="N116" s="101"/>
    </row>
    <row r="117" spans="2:14" ht="15.75" customHeight="1" x14ac:dyDescent="0.25">
      <c r="B117" s="96">
        <f>'callPut（W）'!G115</f>
        <v>0</v>
      </c>
      <c r="C117" s="96">
        <f>'callPut（F）'!G115</f>
        <v>0</v>
      </c>
      <c r="D117" s="46">
        <f t="shared" si="2"/>
        <v>0</v>
      </c>
      <c r="E117" s="96">
        <v>21150</v>
      </c>
      <c r="F117" s="46">
        <f t="shared" si="3"/>
        <v>0</v>
      </c>
      <c r="G117" s="96">
        <f>'callPut（W）'!I115</f>
        <v>0</v>
      </c>
      <c r="H117" s="96">
        <f>'callPut（F）'!I115</f>
        <v>0</v>
      </c>
      <c r="J117" s="99"/>
      <c r="K117" s="99"/>
      <c r="L117" s="99"/>
      <c r="M117" s="101"/>
      <c r="N117" s="101"/>
    </row>
    <row r="118" spans="2:14" ht="15.75" customHeight="1" x14ac:dyDescent="0.25">
      <c r="B118" s="96">
        <f>'callPut（W）'!G116</f>
        <v>0</v>
      </c>
      <c r="C118" s="96">
        <f>'callPut（F）'!G116</f>
        <v>0</v>
      </c>
      <c r="D118" s="46">
        <f t="shared" si="2"/>
        <v>0</v>
      </c>
      <c r="E118" s="96">
        <v>21200</v>
      </c>
      <c r="F118" s="46">
        <f t="shared" si="3"/>
        <v>1.6663999999999999</v>
      </c>
      <c r="G118" s="96">
        <f>'callPut（W）'!I116</f>
        <v>-1.3336000000000001</v>
      </c>
      <c r="H118" s="96">
        <f>'callPut（F）'!I116</f>
        <v>3</v>
      </c>
      <c r="J118" s="99"/>
      <c r="K118" s="99"/>
      <c r="L118" s="99"/>
      <c r="M118" s="101"/>
      <c r="N118" s="101"/>
    </row>
    <row r="119" spans="2:14" ht="15.75" customHeight="1" x14ac:dyDescent="0.25">
      <c r="B119" s="96">
        <f>'callPut（W）'!G117</f>
        <v>0</v>
      </c>
      <c r="C119" s="96">
        <f>'callPut（F）'!G117</f>
        <v>0</v>
      </c>
      <c r="D119" s="46">
        <f t="shared" si="2"/>
        <v>0</v>
      </c>
      <c r="E119" s="96">
        <v>21250</v>
      </c>
      <c r="F119" s="46">
        <f t="shared" si="3"/>
        <v>0</v>
      </c>
      <c r="G119" s="96">
        <f>'callPut（W）'!I117</f>
        <v>0</v>
      </c>
      <c r="H119" s="96">
        <f>'callPut（F）'!I117</f>
        <v>0</v>
      </c>
      <c r="J119" s="99"/>
      <c r="K119" s="99"/>
      <c r="L119" s="99"/>
      <c r="M119" s="101"/>
      <c r="N119" s="101"/>
    </row>
    <row r="120" spans="2:14" ht="15.75" customHeight="1" x14ac:dyDescent="0.25">
      <c r="B120" s="96">
        <f>'callPut（W）'!G118</f>
        <v>0</v>
      </c>
      <c r="C120" s="96">
        <f>'callPut（F）'!G118</f>
        <v>0</v>
      </c>
      <c r="D120" s="46">
        <f t="shared" si="2"/>
        <v>0</v>
      </c>
      <c r="E120" s="96">
        <v>21300</v>
      </c>
      <c r="F120" s="46">
        <f t="shared" si="3"/>
        <v>-93</v>
      </c>
      <c r="G120" s="96">
        <f>'callPut（W）'!I118</f>
        <v>-92</v>
      </c>
      <c r="H120" s="96">
        <f>'callPut（F）'!I118</f>
        <v>-1</v>
      </c>
      <c r="J120" s="99"/>
      <c r="K120" s="99"/>
      <c r="L120" s="99"/>
      <c r="M120" s="101"/>
      <c r="N120" s="101"/>
    </row>
    <row r="121" spans="2:14" ht="15.75" customHeight="1" x14ac:dyDescent="0.25">
      <c r="B121" s="96">
        <f>'callPut（W）'!G119</f>
        <v>0</v>
      </c>
      <c r="C121" s="96">
        <f>'callPut（F）'!G119</f>
        <v>0</v>
      </c>
      <c r="D121" s="46">
        <f t="shared" si="2"/>
        <v>0</v>
      </c>
      <c r="E121" s="96">
        <v>21350</v>
      </c>
      <c r="F121" s="46">
        <f t="shared" si="3"/>
        <v>0</v>
      </c>
      <c r="G121" s="96">
        <f>'callPut（W）'!I119</f>
        <v>0</v>
      </c>
      <c r="H121" s="96">
        <f>'callPut（F）'!I119</f>
        <v>0</v>
      </c>
      <c r="J121" s="99"/>
      <c r="K121" s="99"/>
      <c r="L121" s="99"/>
      <c r="M121" s="101"/>
      <c r="N121" s="101"/>
    </row>
    <row r="122" spans="2:14" ht="15.75" customHeight="1" x14ac:dyDescent="0.25">
      <c r="B122" s="96">
        <f>'callPut（W）'!G120</f>
        <v>0</v>
      </c>
      <c r="C122" s="96">
        <f>'callPut（F）'!G120</f>
        <v>0</v>
      </c>
      <c r="D122" s="46">
        <f t="shared" si="2"/>
        <v>0</v>
      </c>
      <c r="E122" s="96">
        <v>21400</v>
      </c>
      <c r="F122" s="46">
        <f t="shared" si="3"/>
        <v>-13.0032</v>
      </c>
      <c r="G122" s="96">
        <f>'callPut（W）'!I120</f>
        <v>-13.0032</v>
      </c>
      <c r="H122" s="96">
        <f>'callPut（F）'!I120</f>
        <v>0</v>
      </c>
      <c r="J122" s="99"/>
      <c r="K122" s="99"/>
      <c r="L122" s="99"/>
      <c r="M122" s="101"/>
      <c r="N122" s="101"/>
    </row>
    <row r="123" spans="2:14" ht="15.75" customHeight="1" x14ac:dyDescent="0.25">
      <c r="B123" s="96">
        <f>'callPut（W）'!G121</f>
        <v>0</v>
      </c>
      <c r="C123" s="96">
        <f>'callPut（F）'!G121</f>
        <v>0</v>
      </c>
      <c r="D123" s="46">
        <f t="shared" si="2"/>
        <v>0</v>
      </c>
      <c r="E123" s="96">
        <v>21450</v>
      </c>
      <c r="F123" s="46">
        <f t="shared" si="3"/>
        <v>0</v>
      </c>
      <c r="G123" s="96">
        <f>'callPut（W）'!I121</f>
        <v>0</v>
      </c>
      <c r="H123" s="96">
        <f>'callPut（F）'!I121</f>
        <v>0</v>
      </c>
      <c r="J123" s="99"/>
      <c r="K123" s="99"/>
      <c r="L123" s="99"/>
      <c r="M123" s="101"/>
      <c r="N123" s="101"/>
    </row>
    <row r="124" spans="2:14" ht="15.75" customHeight="1" x14ac:dyDescent="0.25">
      <c r="B124" s="96">
        <f>'callPut（W）'!G122</f>
        <v>0</v>
      </c>
      <c r="C124" s="96">
        <f>'callPut（F）'!G122</f>
        <v>0</v>
      </c>
      <c r="D124" s="46">
        <f t="shared" si="2"/>
        <v>0</v>
      </c>
      <c r="E124" s="96">
        <v>21500</v>
      </c>
      <c r="F124" s="46">
        <f t="shared" si="3"/>
        <v>6.996000000000004</v>
      </c>
      <c r="G124" s="96">
        <f>'callPut（W）'!I122</f>
        <v>3.996000000000004</v>
      </c>
      <c r="H124" s="96">
        <f>'callPut（F）'!I122</f>
        <v>3</v>
      </c>
      <c r="J124" s="99"/>
      <c r="K124" s="99"/>
      <c r="L124" s="99"/>
      <c r="M124" s="101"/>
      <c r="N124" s="101"/>
    </row>
    <row r="125" spans="2:14" ht="15.75" customHeight="1" x14ac:dyDescent="0.25">
      <c r="B125" s="96">
        <f>'callPut（W）'!G123</f>
        <v>0</v>
      </c>
      <c r="C125" s="96">
        <f>'callPut（F）'!G123</f>
        <v>0</v>
      </c>
      <c r="D125" s="46">
        <f t="shared" si="2"/>
        <v>0</v>
      </c>
      <c r="E125" s="96">
        <v>21550</v>
      </c>
      <c r="F125" s="46">
        <f t="shared" si="3"/>
        <v>0</v>
      </c>
      <c r="G125" s="96">
        <f>'callPut（W）'!I123</f>
        <v>0</v>
      </c>
      <c r="H125" s="96">
        <f>'callPut（F）'!I123</f>
        <v>0</v>
      </c>
      <c r="J125" s="99"/>
      <c r="K125" s="99"/>
      <c r="L125" s="99"/>
      <c r="M125" s="101"/>
      <c r="N125" s="101"/>
    </row>
    <row r="126" spans="2:14" ht="15.75" customHeight="1" x14ac:dyDescent="0.25">
      <c r="B126" s="96">
        <f>'callPut（W）'!G124</f>
        <v>0</v>
      </c>
      <c r="C126" s="96">
        <f>'callPut（F）'!G124</f>
        <v>0</v>
      </c>
      <c r="D126" s="46">
        <f t="shared" si="2"/>
        <v>0</v>
      </c>
      <c r="E126" s="96">
        <v>21600</v>
      </c>
      <c r="F126" s="46">
        <f t="shared" si="3"/>
        <v>36.993199999999995</v>
      </c>
      <c r="G126" s="96">
        <f>'callPut（W）'!I124</f>
        <v>25.995599999999992</v>
      </c>
      <c r="H126" s="96">
        <f>'callPut（F）'!I124</f>
        <v>10.9976</v>
      </c>
      <c r="J126" s="99"/>
      <c r="K126" s="99"/>
      <c r="L126" s="99"/>
      <c r="M126" s="101"/>
      <c r="N126" s="101"/>
    </row>
    <row r="127" spans="2:14" ht="15.75" customHeight="1" x14ac:dyDescent="0.25">
      <c r="B127" s="96">
        <f>'callPut（W）'!G125</f>
        <v>0</v>
      </c>
      <c r="C127" s="96">
        <f>'callPut（F）'!G125</f>
        <v>0</v>
      </c>
      <c r="D127" s="46">
        <f t="shared" si="2"/>
        <v>0</v>
      </c>
      <c r="E127" s="96">
        <v>21650</v>
      </c>
      <c r="F127" s="46">
        <f t="shared" si="3"/>
        <v>0</v>
      </c>
      <c r="G127" s="96">
        <f>'callPut（W）'!I125</f>
        <v>0</v>
      </c>
      <c r="H127" s="96">
        <f>'callPut（F）'!I125</f>
        <v>0</v>
      </c>
      <c r="J127" s="99"/>
      <c r="K127" s="99"/>
      <c r="L127" s="99"/>
      <c r="M127" s="101"/>
      <c r="N127" s="101"/>
    </row>
    <row r="128" spans="2:14" ht="15.75" customHeight="1" x14ac:dyDescent="0.25">
      <c r="B128" s="96">
        <f>'callPut（W）'!G126</f>
        <v>0</v>
      </c>
      <c r="C128" s="96">
        <f>'callPut（F）'!G126</f>
        <v>0</v>
      </c>
      <c r="D128" s="46">
        <f t="shared" si="2"/>
        <v>0</v>
      </c>
      <c r="E128" s="96">
        <v>21700</v>
      </c>
      <c r="F128" s="46">
        <f t="shared" si="3"/>
        <v>7.0002000000000013</v>
      </c>
      <c r="G128" s="96">
        <f>'callPut（W）'!I126</f>
        <v>3.0002000000000009</v>
      </c>
      <c r="H128" s="96">
        <f>'callPut（F）'!I126</f>
        <v>4</v>
      </c>
      <c r="J128" s="99"/>
      <c r="K128" s="99"/>
      <c r="L128" s="99"/>
      <c r="M128" s="101"/>
      <c r="N128" s="101"/>
    </row>
    <row r="129" spans="2:14" ht="15.75" customHeight="1" x14ac:dyDescent="0.25">
      <c r="B129" s="96">
        <f>'callPut（W）'!G127</f>
        <v>0</v>
      </c>
      <c r="C129" s="96">
        <f>'callPut（F）'!G127</f>
        <v>0</v>
      </c>
      <c r="D129" s="46">
        <f t="shared" si="2"/>
        <v>0</v>
      </c>
      <c r="E129" s="96">
        <v>21750</v>
      </c>
      <c r="F129" s="46">
        <f t="shared" si="3"/>
        <v>0</v>
      </c>
      <c r="G129" s="96">
        <f>'callPut（W）'!I127</f>
        <v>0</v>
      </c>
      <c r="H129" s="96">
        <f>'callPut（F）'!I127</f>
        <v>0</v>
      </c>
      <c r="J129" s="99"/>
      <c r="K129" s="99"/>
      <c r="L129" s="99"/>
      <c r="M129" s="101"/>
      <c r="N129" s="101"/>
    </row>
    <row r="130" spans="2:14" ht="15.75" customHeight="1" x14ac:dyDescent="0.25">
      <c r="B130" s="96">
        <f>'callPut（W）'!G128</f>
        <v>0</v>
      </c>
      <c r="C130" s="96">
        <f>'callPut（F）'!G128</f>
        <v>0</v>
      </c>
      <c r="D130" s="46">
        <f t="shared" si="2"/>
        <v>0</v>
      </c>
      <c r="E130" s="96">
        <v>21800</v>
      </c>
      <c r="F130" s="46">
        <f t="shared" si="3"/>
        <v>-132</v>
      </c>
      <c r="G130" s="96">
        <f>'callPut（W）'!I128</f>
        <v>1</v>
      </c>
      <c r="H130" s="96">
        <f>'callPut（F）'!I128</f>
        <v>-133</v>
      </c>
      <c r="J130" s="99"/>
      <c r="K130" s="99"/>
      <c r="L130" s="99"/>
      <c r="M130" s="101"/>
      <c r="N130" s="101"/>
    </row>
    <row r="131" spans="2:14" ht="15.75" customHeight="1" x14ac:dyDescent="0.25">
      <c r="B131" s="96">
        <f>'callPut（W）'!G129</f>
        <v>0</v>
      </c>
      <c r="C131" s="96">
        <f>'callPut（F）'!G129</f>
        <v>0</v>
      </c>
      <c r="D131" s="46">
        <f t="shared" si="2"/>
        <v>0</v>
      </c>
      <c r="E131" s="96">
        <v>21850</v>
      </c>
      <c r="F131" s="46">
        <f t="shared" si="3"/>
        <v>13.0014</v>
      </c>
      <c r="G131" s="96">
        <f>'callPut（W）'!I129</f>
        <v>13.0014</v>
      </c>
      <c r="H131" s="96">
        <f>'callPut（F）'!I129</f>
        <v>0</v>
      </c>
      <c r="J131" s="99"/>
      <c r="K131" s="99"/>
      <c r="L131" s="99"/>
      <c r="M131" s="101"/>
      <c r="N131" s="101"/>
    </row>
    <row r="132" spans="2:14" ht="15.75" customHeight="1" x14ac:dyDescent="0.25">
      <c r="B132" s="96">
        <f>'callPut（W）'!G130</f>
        <v>0</v>
      </c>
      <c r="C132" s="96">
        <f>'callPut（F）'!G130</f>
        <v>0</v>
      </c>
      <c r="D132" s="46">
        <f t="shared" si="2"/>
        <v>0</v>
      </c>
      <c r="E132" s="96">
        <v>21900</v>
      </c>
      <c r="F132" s="46">
        <f t="shared" si="3"/>
        <v>89.93940000000002</v>
      </c>
      <c r="G132" s="96">
        <f>'callPut（W）'!I130</f>
        <v>65.509200000000007</v>
      </c>
      <c r="H132" s="96">
        <f>'callPut（F）'!I130</f>
        <v>24.43020000000001</v>
      </c>
      <c r="J132" s="99"/>
      <c r="K132" s="99"/>
      <c r="L132" s="99"/>
      <c r="M132" s="101"/>
      <c r="N132" s="101"/>
    </row>
    <row r="133" spans="2:14" ht="15.75" customHeight="1" x14ac:dyDescent="0.25">
      <c r="B133" s="96">
        <f>'callPut（W）'!G131</f>
        <v>0</v>
      </c>
      <c r="C133" s="96">
        <f>'callPut（F）'!G131</f>
        <v>0</v>
      </c>
      <c r="D133" s="46">
        <f t="shared" ref="D133:D196" si="4">B133+C133</f>
        <v>0</v>
      </c>
      <c r="E133" s="96">
        <v>21950</v>
      </c>
      <c r="F133" s="46">
        <f t="shared" ref="F133:F196" si="5">G133+H133</f>
        <v>14.138999999999994</v>
      </c>
      <c r="G133" s="96">
        <f>'callPut（W）'!I131</f>
        <v>14.138999999999994</v>
      </c>
      <c r="H133" s="96">
        <f>'callPut（F）'!I131</f>
        <v>0</v>
      </c>
      <c r="J133" s="99"/>
      <c r="K133" s="99"/>
      <c r="L133" s="99"/>
      <c r="M133" s="101"/>
      <c r="N133" s="101"/>
    </row>
    <row r="134" spans="2:14" ht="15.75" customHeight="1" x14ac:dyDescent="0.25">
      <c r="B134" s="96">
        <f>'callPut（W）'!G132</f>
        <v>0</v>
      </c>
      <c r="C134" s="96">
        <f>'callPut（F）'!G132</f>
        <v>0</v>
      </c>
      <c r="D134" s="46">
        <f t="shared" si="4"/>
        <v>0</v>
      </c>
      <c r="E134" s="96">
        <v>22000</v>
      </c>
      <c r="F134" s="46">
        <f t="shared" si="5"/>
        <v>273.96679999999998</v>
      </c>
      <c r="G134" s="96">
        <f>'callPut（W）'!I132</f>
        <v>156.96420000000001</v>
      </c>
      <c r="H134" s="96">
        <f>'callPut（F）'!I132</f>
        <v>117.00259999999999</v>
      </c>
      <c r="J134" s="99"/>
      <c r="K134" s="99"/>
      <c r="L134" s="99"/>
      <c r="M134" s="101"/>
      <c r="N134" s="101"/>
    </row>
    <row r="135" spans="2:14" ht="15.75" customHeight="1" x14ac:dyDescent="0.25">
      <c r="B135" s="96">
        <f>'callPut（W）'!G133</f>
        <v>0</v>
      </c>
      <c r="C135" s="96">
        <f>'callPut（F）'!G133</f>
        <v>0</v>
      </c>
      <c r="D135" s="46">
        <f t="shared" si="4"/>
        <v>0</v>
      </c>
      <c r="E135" s="96">
        <v>22050</v>
      </c>
      <c r="F135" s="46">
        <f t="shared" si="5"/>
        <v>-6.9996000000000009</v>
      </c>
      <c r="G135" s="96">
        <f>'callPut（W）'!I133</f>
        <v>-6.9996000000000009</v>
      </c>
      <c r="H135" s="96">
        <f>'callPut（F）'!I133</f>
        <v>0</v>
      </c>
      <c r="J135" s="99"/>
      <c r="K135" s="99"/>
      <c r="L135" s="99"/>
      <c r="M135" s="101"/>
      <c r="N135" s="101"/>
    </row>
    <row r="136" spans="2:14" ht="15.75" customHeight="1" x14ac:dyDescent="0.25">
      <c r="B136" s="96">
        <f>'callPut（W）'!G134</f>
        <v>0</v>
      </c>
      <c r="C136" s="96">
        <f>'callPut（F）'!G134</f>
        <v>0</v>
      </c>
      <c r="D136" s="46">
        <f t="shared" si="4"/>
        <v>0</v>
      </c>
      <c r="E136" s="96">
        <v>22100</v>
      </c>
      <c r="F136" s="46">
        <f t="shared" si="5"/>
        <v>-4.0112000000000014</v>
      </c>
      <c r="G136" s="96">
        <f>'callPut（W）'!I134</f>
        <v>-3.008199999999996</v>
      </c>
      <c r="H136" s="96">
        <f>'callPut（F）'!I134</f>
        <v>-1.0030000000000057</v>
      </c>
      <c r="J136" s="99"/>
      <c r="K136" s="99"/>
      <c r="L136" s="99"/>
      <c r="M136" s="101"/>
      <c r="N136" s="101"/>
    </row>
    <row r="137" spans="2:14" ht="15.75" customHeight="1" x14ac:dyDescent="0.25">
      <c r="B137" s="96">
        <f>'callPut（W）'!G135</f>
        <v>0</v>
      </c>
      <c r="C137" s="96">
        <f>'callPut（F）'!G135</f>
        <v>0</v>
      </c>
      <c r="D137" s="46">
        <f t="shared" si="4"/>
        <v>0</v>
      </c>
      <c r="E137" s="96">
        <v>22150</v>
      </c>
      <c r="F137" s="46">
        <f t="shared" si="5"/>
        <v>52.989199999999997</v>
      </c>
      <c r="G137" s="96">
        <f>'callPut（W）'!I135</f>
        <v>-6.004800000000003</v>
      </c>
      <c r="H137" s="96">
        <f>'callPut（F）'!I135</f>
        <v>58.994</v>
      </c>
      <c r="J137" s="99"/>
      <c r="K137" s="99"/>
      <c r="L137" s="99"/>
      <c r="M137" s="101"/>
      <c r="N137" s="101"/>
    </row>
    <row r="138" spans="2:14" ht="15.75" customHeight="1" x14ac:dyDescent="0.25">
      <c r="B138" s="96">
        <f>'callPut（W）'!G136</f>
        <v>0</v>
      </c>
      <c r="C138" s="96">
        <f>'callPut（F）'!G136</f>
        <v>0</v>
      </c>
      <c r="D138" s="46">
        <f t="shared" si="4"/>
        <v>0</v>
      </c>
      <c r="E138" s="96">
        <v>22200</v>
      </c>
      <c r="F138" s="46">
        <f t="shared" si="5"/>
        <v>-5.9651999999999781</v>
      </c>
      <c r="G138" s="96">
        <f>'callPut（W）'!I136</f>
        <v>14.029600000000016</v>
      </c>
      <c r="H138" s="96">
        <f>'callPut（F）'!I136</f>
        <v>-19.994799999999994</v>
      </c>
      <c r="J138" s="99"/>
      <c r="K138" s="99"/>
      <c r="L138" s="99"/>
      <c r="M138" s="101"/>
      <c r="N138" s="101"/>
    </row>
    <row r="139" spans="2:14" ht="15.75" customHeight="1" x14ac:dyDescent="0.25">
      <c r="B139" s="96">
        <f>'callPut（W）'!G137</f>
        <v>0</v>
      </c>
      <c r="C139" s="96">
        <f>'callPut（F）'!G137</f>
        <v>0</v>
      </c>
      <c r="D139" s="46">
        <f t="shared" si="4"/>
        <v>0</v>
      </c>
      <c r="E139" s="96">
        <v>22250</v>
      </c>
      <c r="F139" s="46">
        <f t="shared" si="5"/>
        <v>37.00739999999999</v>
      </c>
      <c r="G139" s="96">
        <f>'callPut（W）'!I137</f>
        <v>48.006399999999992</v>
      </c>
      <c r="H139" s="96">
        <f>'callPut（F）'!I137</f>
        <v>-10.999000000000001</v>
      </c>
      <c r="J139" s="99"/>
      <c r="K139" s="99"/>
      <c r="L139" s="99"/>
      <c r="M139" s="101"/>
      <c r="N139" s="101"/>
    </row>
    <row r="140" spans="2:14" ht="15.75" customHeight="1" x14ac:dyDescent="0.25">
      <c r="B140" s="96">
        <f>'callPut（W）'!G138</f>
        <v>-2</v>
      </c>
      <c r="C140" s="96">
        <f>'callPut（F）'!G138</f>
        <v>0</v>
      </c>
      <c r="D140" s="46">
        <f t="shared" si="4"/>
        <v>-2</v>
      </c>
      <c r="E140" s="96">
        <v>22300</v>
      </c>
      <c r="F140" s="46">
        <f t="shared" si="5"/>
        <v>140.93799999999999</v>
      </c>
      <c r="G140" s="96">
        <f>'callPut（W）'!I138</f>
        <v>196.94280000000001</v>
      </c>
      <c r="H140" s="96">
        <f>'callPut（F）'!I138</f>
        <v>-56.004800000000003</v>
      </c>
      <c r="J140" s="99"/>
      <c r="K140" s="99"/>
      <c r="L140" s="99"/>
      <c r="M140" s="101"/>
      <c r="N140" s="101"/>
    </row>
    <row r="141" spans="2:14" ht="15.75" customHeight="1" x14ac:dyDescent="0.25">
      <c r="B141" s="96">
        <f>'callPut（W）'!G139</f>
        <v>0</v>
      </c>
      <c r="C141" s="96">
        <f>'callPut（F）'!G139</f>
        <v>0</v>
      </c>
      <c r="D141" s="46">
        <f t="shared" si="4"/>
        <v>0</v>
      </c>
      <c r="E141" s="96">
        <v>22350</v>
      </c>
      <c r="F141" s="46">
        <f t="shared" si="5"/>
        <v>-37.000999999999998</v>
      </c>
      <c r="G141" s="96">
        <f>'callPut（W）'!I139</f>
        <v>22</v>
      </c>
      <c r="H141" s="96">
        <f>'callPut（F）'!I139</f>
        <v>-59.000999999999998</v>
      </c>
      <c r="J141" s="99"/>
      <c r="K141" s="99"/>
      <c r="L141" s="99"/>
      <c r="M141" s="101"/>
      <c r="N141" s="101"/>
    </row>
    <row r="142" spans="2:14" ht="15.75" customHeight="1" x14ac:dyDescent="0.25">
      <c r="B142" s="96">
        <f>'callPut（W）'!G140</f>
        <v>0</v>
      </c>
      <c r="C142" s="96">
        <f>'callPut（F）'!G140</f>
        <v>1</v>
      </c>
      <c r="D142" s="46">
        <f t="shared" si="4"/>
        <v>1</v>
      </c>
      <c r="E142" s="96">
        <v>22400</v>
      </c>
      <c r="F142" s="46">
        <f t="shared" si="5"/>
        <v>5.9152000000000093</v>
      </c>
      <c r="G142" s="96">
        <f>'callPut（W）'!I140</f>
        <v>34.911200000000008</v>
      </c>
      <c r="H142" s="96">
        <f>'callPut（F）'!I140</f>
        <v>-28.995999999999999</v>
      </c>
      <c r="J142" s="99"/>
      <c r="K142" s="99"/>
      <c r="L142" s="99"/>
      <c r="M142" s="101"/>
      <c r="N142" s="101"/>
    </row>
    <row r="143" spans="2:14" ht="15.75" customHeight="1" x14ac:dyDescent="0.25">
      <c r="B143" s="96">
        <f>'callPut（W）'!G141</f>
        <v>0</v>
      </c>
      <c r="C143" s="96">
        <f>'callPut（F）'!G141</f>
        <v>0</v>
      </c>
      <c r="D143" s="46">
        <f t="shared" si="4"/>
        <v>0</v>
      </c>
      <c r="E143" s="96">
        <v>22450</v>
      </c>
      <c r="F143" s="46">
        <f t="shared" si="5"/>
        <v>77.487199999999987</v>
      </c>
      <c r="G143" s="96">
        <f>'callPut（W）'!I141</f>
        <v>79.486399999999989</v>
      </c>
      <c r="H143" s="96">
        <f>'callPut（F）'!I141</f>
        <v>-1.9991999999999996</v>
      </c>
      <c r="J143" s="99"/>
      <c r="K143" s="99"/>
      <c r="L143" s="99"/>
      <c r="M143" s="101"/>
      <c r="N143" s="101"/>
    </row>
    <row r="144" spans="2:14" ht="15.75" customHeight="1" x14ac:dyDescent="0.25">
      <c r="B144" s="96">
        <f>'callPut（W）'!G142</f>
        <v>-5.0004</v>
      </c>
      <c r="C144" s="96">
        <f>'callPut（F）'!G142</f>
        <v>0</v>
      </c>
      <c r="D144" s="46">
        <f t="shared" si="4"/>
        <v>-5.0004</v>
      </c>
      <c r="E144" s="96">
        <v>22500</v>
      </c>
      <c r="F144" s="46">
        <f t="shared" si="5"/>
        <v>423.99179999999996</v>
      </c>
      <c r="G144" s="96">
        <f>'callPut（W）'!I142</f>
        <v>402.98999999999995</v>
      </c>
      <c r="H144" s="96">
        <f>'callPut（F）'!I142</f>
        <v>21.001800000000003</v>
      </c>
      <c r="J144" s="99"/>
      <c r="K144" s="99"/>
      <c r="L144" s="99"/>
      <c r="M144" s="101"/>
      <c r="N144" s="101"/>
    </row>
    <row r="145" spans="2:14" ht="15.75" customHeight="1" x14ac:dyDescent="0.25">
      <c r="B145" s="96">
        <f>'callPut（W）'!G143</f>
        <v>-1</v>
      </c>
      <c r="C145" s="96">
        <f>'callPut（F）'!G143</f>
        <v>0</v>
      </c>
      <c r="D145" s="46">
        <f t="shared" si="4"/>
        <v>-1</v>
      </c>
      <c r="E145" s="96">
        <v>22550</v>
      </c>
      <c r="F145" s="46">
        <f t="shared" si="5"/>
        <v>255.01039999999995</v>
      </c>
      <c r="G145" s="96">
        <f>'callPut（W）'!I143</f>
        <v>225.00799999999995</v>
      </c>
      <c r="H145" s="96">
        <f>'callPut（F）'!I143</f>
        <v>30.002400000000002</v>
      </c>
      <c r="J145" s="99"/>
      <c r="K145" s="99"/>
      <c r="L145" s="99"/>
      <c r="M145" s="101"/>
      <c r="N145" s="101"/>
    </row>
    <row r="146" spans="2:14" ht="15.75" customHeight="1" x14ac:dyDescent="0.25">
      <c r="B146" s="96">
        <f>'callPut（W）'!G144</f>
        <v>10</v>
      </c>
      <c r="C146" s="96">
        <f>'callPut（F）'!G144</f>
        <v>0</v>
      </c>
      <c r="D146" s="46">
        <f t="shared" si="4"/>
        <v>10</v>
      </c>
      <c r="E146" s="96">
        <v>22600</v>
      </c>
      <c r="F146" s="46">
        <f t="shared" si="5"/>
        <v>159.16560000000004</v>
      </c>
      <c r="G146" s="96">
        <f>'callPut（W）'!I144</f>
        <v>126.99060000000004</v>
      </c>
      <c r="H146" s="96">
        <f>'callPut（F）'!I144</f>
        <v>32.174999999999997</v>
      </c>
      <c r="J146" s="99"/>
      <c r="K146" s="99"/>
      <c r="L146" s="99"/>
      <c r="M146" s="101"/>
      <c r="N146" s="101"/>
    </row>
    <row r="147" spans="2:14" ht="15.75" customHeight="1" x14ac:dyDescent="0.25">
      <c r="B147" s="96">
        <f>'callPut（W）'!G145</f>
        <v>2</v>
      </c>
      <c r="C147" s="96">
        <f>'callPut（F）'!G145</f>
        <v>0</v>
      </c>
      <c r="D147" s="46">
        <f t="shared" si="4"/>
        <v>2</v>
      </c>
      <c r="E147" s="96">
        <v>22650</v>
      </c>
      <c r="F147" s="46">
        <f t="shared" si="5"/>
        <v>85.236200000000053</v>
      </c>
      <c r="G147" s="96">
        <f>'callPut（W）'!I145</f>
        <v>96.235200000000049</v>
      </c>
      <c r="H147" s="96">
        <f>'callPut（F）'!I145</f>
        <v>-10.999000000000001</v>
      </c>
      <c r="J147" s="99"/>
      <c r="K147" s="99"/>
      <c r="L147" s="99"/>
      <c r="M147" s="101"/>
      <c r="N147" s="101"/>
    </row>
    <row r="148" spans="2:14" ht="15.75" customHeight="1" x14ac:dyDescent="0.25">
      <c r="B148" s="96">
        <f>'callPut（W）'!G146</f>
        <v>-9</v>
      </c>
      <c r="C148" s="96">
        <f>'callPut（F）'!G146</f>
        <v>3</v>
      </c>
      <c r="D148" s="46">
        <f t="shared" si="4"/>
        <v>-6</v>
      </c>
      <c r="E148" s="96">
        <v>22700</v>
      </c>
      <c r="F148" s="46">
        <f t="shared" si="5"/>
        <v>99.181199999999947</v>
      </c>
      <c r="G148" s="96">
        <f>'callPut（W）'!I146</f>
        <v>204.91119999999995</v>
      </c>
      <c r="H148" s="96">
        <f>'callPut（F）'!I146</f>
        <v>-105.73</v>
      </c>
      <c r="J148" s="99"/>
      <c r="K148" s="99"/>
      <c r="L148" s="99"/>
      <c r="M148" s="101"/>
      <c r="N148" s="101"/>
    </row>
    <row r="149" spans="2:14" ht="15.75" customHeight="1" x14ac:dyDescent="0.25">
      <c r="B149" s="96">
        <f>'callPut（W）'!G147</f>
        <v>1</v>
      </c>
      <c r="C149" s="96">
        <f>'callPut（F）'!G147</f>
        <v>0</v>
      </c>
      <c r="D149" s="46">
        <f t="shared" si="4"/>
        <v>1</v>
      </c>
      <c r="E149" s="96">
        <v>22750</v>
      </c>
      <c r="F149" s="46">
        <f t="shared" si="5"/>
        <v>-223.49880000000002</v>
      </c>
      <c r="G149" s="96">
        <f>'callPut（W）'!I147</f>
        <v>-223.49880000000002</v>
      </c>
      <c r="H149" s="96">
        <f>'callPut（F）'!I147</f>
        <v>0</v>
      </c>
      <c r="J149" s="99"/>
      <c r="K149" s="99"/>
      <c r="L149" s="99"/>
      <c r="M149" s="101"/>
      <c r="N149" s="101"/>
    </row>
    <row r="150" spans="2:14" ht="15.75" customHeight="1" x14ac:dyDescent="0.25">
      <c r="B150" s="96">
        <f>'callPut（W）'!G148</f>
        <v>1.0008000000000004</v>
      </c>
      <c r="C150" s="96">
        <f>'callPut（F）'!G148</f>
        <v>0</v>
      </c>
      <c r="D150" s="46">
        <f t="shared" si="4"/>
        <v>1.0008000000000004</v>
      </c>
      <c r="E150" s="96">
        <v>22800</v>
      </c>
      <c r="F150" s="46">
        <f t="shared" si="5"/>
        <v>-349.67559999999997</v>
      </c>
      <c r="G150" s="96">
        <f>'callPut（W）'!I148</f>
        <v>-343.678</v>
      </c>
      <c r="H150" s="96">
        <f>'callPut（F）'!I148</f>
        <v>-5.9976000000000012</v>
      </c>
      <c r="J150" s="99"/>
      <c r="K150" s="99"/>
      <c r="L150" s="99"/>
      <c r="M150" s="99"/>
      <c r="N150" s="101"/>
    </row>
    <row r="151" spans="2:14" ht="15.75" customHeight="1" x14ac:dyDescent="0.25">
      <c r="B151" s="96">
        <f>'callPut（W）'!G149</f>
        <v>4</v>
      </c>
      <c r="C151" s="96">
        <f>'callPut（F）'!G149</f>
        <v>0</v>
      </c>
      <c r="D151" s="46">
        <f t="shared" si="4"/>
        <v>4</v>
      </c>
      <c r="E151" s="96">
        <v>22850</v>
      </c>
      <c r="F151" s="46">
        <f t="shared" si="5"/>
        <v>-378.5652</v>
      </c>
      <c r="G151" s="96">
        <f>'callPut（W）'!I149</f>
        <v>-376.5652</v>
      </c>
      <c r="H151" s="96">
        <f>'callPut（F）'!I149</f>
        <v>-2</v>
      </c>
      <c r="J151" s="99"/>
      <c r="K151" s="99"/>
      <c r="L151" s="99"/>
      <c r="M151" s="99"/>
      <c r="N151" s="101"/>
    </row>
    <row r="152" spans="2:14" ht="15.75" customHeight="1" x14ac:dyDescent="0.25">
      <c r="B152" s="96">
        <f>'callPut（W）'!G150</f>
        <v>-21.311199999999999</v>
      </c>
      <c r="C152" s="96">
        <f>'callPut（F）'!G150</f>
        <v>-5</v>
      </c>
      <c r="D152" s="46">
        <f t="shared" si="4"/>
        <v>-26.311199999999999</v>
      </c>
      <c r="E152" s="96">
        <v>22900</v>
      </c>
      <c r="F152" s="46">
        <f t="shared" si="5"/>
        <v>-62.907399999999924</v>
      </c>
      <c r="G152" s="96">
        <f>'callPut（W）'!I150</f>
        <v>-57.752999999999929</v>
      </c>
      <c r="H152" s="96">
        <f>'callPut（F）'!I150</f>
        <v>-5.154399999999999</v>
      </c>
      <c r="J152" s="99"/>
      <c r="K152" s="99"/>
      <c r="L152" s="99"/>
      <c r="M152" s="99"/>
      <c r="N152" s="101"/>
    </row>
    <row r="153" spans="2:14" ht="15.75" customHeight="1" x14ac:dyDescent="0.25">
      <c r="B153" s="96">
        <f>'callPut（W）'!G151</f>
        <v>12.999799999999999</v>
      </c>
      <c r="C153" s="96">
        <f>'callPut（F）'!G151</f>
        <v>0</v>
      </c>
      <c r="D153" s="46">
        <f t="shared" si="4"/>
        <v>12.999799999999999</v>
      </c>
      <c r="E153" s="96">
        <v>22950</v>
      </c>
      <c r="F153" s="46">
        <f t="shared" si="5"/>
        <v>-87.396200000000036</v>
      </c>
      <c r="G153" s="96">
        <f>'callPut（W）'!I151</f>
        <v>-86.395200000000031</v>
      </c>
      <c r="H153" s="96">
        <f>'callPut（F）'!I151</f>
        <v>-1.0009999999999994</v>
      </c>
      <c r="J153" s="99"/>
      <c r="K153" s="99"/>
      <c r="L153" s="99"/>
      <c r="M153" s="99"/>
      <c r="N153" s="101"/>
    </row>
    <row r="154" spans="2:14" ht="15.75" customHeight="1" x14ac:dyDescent="0.25">
      <c r="B154" s="96">
        <f>'callPut（W）'!G152</f>
        <v>-31.643999999999991</v>
      </c>
      <c r="C154" s="96">
        <f>'callPut（F）'!G152</f>
        <v>-2</v>
      </c>
      <c r="D154" s="46">
        <f t="shared" si="4"/>
        <v>-33.643999999999991</v>
      </c>
      <c r="E154" s="96">
        <v>23000</v>
      </c>
      <c r="F154" s="46">
        <f t="shared" si="5"/>
        <v>-185.86720000000008</v>
      </c>
      <c r="G154" s="96">
        <f>'callPut（W）'!I152</f>
        <v>-175.86400000000009</v>
      </c>
      <c r="H154" s="96">
        <f>'callPut（F）'!I152</f>
        <v>-10.003200000000001</v>
      </c>
      <c r="J154" s="99"/>
      <c r="K154" s="99"/>
      <c r="L154" s="99"/>
      <c r="M154" s="99"/>
      <c r="N154" s="101"/>
    </row>
    <row r="155" spans="2:14" ht="15.75" customHeight="1" x14ac:dyDescent="0.25">
      <c r="B155" s="96">
        <f>'callPut（W）'!G153</f>
        <v>63.468000000000025</v>
      </c>
      <c r="C155" s="96">
        <f>'callPut（F）'!G153</f>
        <v>0</v>
      </c>
      <c r="D155" s="46">
        <f t="shared" si="4"/>
        <v>63.468000000000025</v>
      </c>
      <c r="E155" s="96">
        <v>23050</v>
      </c>
      <c r="F155" s="46">
        <f t="shared" si="5"/>
        <v>513.44160000000011</v>
      </c>
      <c r="G155" s="96">
        <f>'callPut（W）'!I153</f>
        <v>507.44160000000005</v>
      </c>
      <c r="H155" s="96">
        <f>'callPut（F）'!I153</f>
        <v>6</v>
      </c>
      <c r="J155" s="99"/>
      <c r="K155" s="99"/>
      <c r="L155" s="99"/>
      <c r="M155" s="99"/>
      <c r="N155" s="101"/>
    </row>
    <row r="156" spans="2:14" ht="15.75" customHeight="1" x14ac:dyDescent="0.25">
      <c r="B156" s="96">
        <f>'callPut（W）'!G154</f>
        <v>-189.01540000000003</v>
      </c>
      <c r="C156" s="96">
        <f>'callPut（F）'!G154</f>
        <v>4</v>
      </c>
      <c r="D156" s="46">
        <f t="shared" si="4"/>
        <v>-185.01540000000003</v>
      </c>
      <c r="E156" s="96">
        <v>23100</v>
      </c>
      <c r="F156" s="46">
        <f t="shared" si="5"/>
        <v>-58.090399999999832</v>
      </c>
      <c r="G156" s="96">
        <f>'callPut（W）'!I154</f>
        <v>-140.09599999999983</v>
      </c>
      <c r="H156" s="96">
        <f>'callPut（F）'!I154</f>
        <v>82.005600000000001</v>
      </c>
      <c r="J156" s="99"/>
      <c r="K156" s="99"/>
      <c r="L156" s="99"/>
      <c r="M156" s="99"/>
      <c r="N156" s="101"/>
    </row>
    <row r="157" spans="2:14" ht="15.75" customHeight="1" x14ac:dyDescent="0.25">
      <c r="B157" s="96">
        <f>'callPut（W）'!G155</f>
        <v>-87.241600000000005</v>
      </c>
      <c r="C157" s="96">
        <f>'callPut（F）'!G155</f>
        <v>1.0002</v>
      </c>
      <c r="D157" s="46">
        <f t="shared" si="4"/>
        <v>-86.241399999999999</v>
      </c>
      <c r="E157" s="96">
        <v>23150</v>
      </c>
      <c r="F157" s="46">
        <f t="shared" si="5"/>
        <v>-140.64959999999985</v>
      </c>
      <c r="G157" s="96">
        <f>'callPut（W）'!I155</f>
        <v>-140.64959999999985</v>
      </c>
      <c r="H157" s="96">
        <f>'callPut（F）'!I155</f>
        <v>0</v>
      </c>
      <c r="J157" s="99"/>
      <c r="K157" s="99"/>
      <c r="L157" s="99"/>
      <c r="M157" s="99"/>
      <c r="N157" s="101"/>
    </row>
    <row r="158" spans="2:14" ht="15.75" customHeight="1" x14ac:dyDescent="0.25">
      <c r="B158" s="96">
        <f>'callPut（W）'!G156</f>
        <v>-291.36</v>
      </c>
      <c r="C158" s="96">
        <f>'callPut（F）'!G156</f>
        <v>-2.0004</v>
      </c>
      <c r="D158" s="46">
        <f t="shared" si="4"/>
        <v>-293.36040000000003</v>
      </c>
      <c r="E158" s="96">
        <v>23200</v>
      </c>
      <c r="F158" s="46">
        <f>G158+H158</f>
        <v>-696.68820000000051</v>
      </c>
      <c r="G158" s="96">
        <f>'callPut（W）'!I156</f>
        <v>-713.69340000000045</v>
      </c>
      <c r="H158" s="96">
        <f>'callPut（F）'!I156</f>
        <v>17.005199999999991</v>
      </c>
      <c r="J158" s="99"/>
      <c r="K158" s="99"/>
      <c r="L158" s="99"/>
      <c r="M158" s="101"/>
      <c r="N158" s="101"/>
    </row>
    <row r="159" spans="2:14" ht="15.75" customHeight="1" x14ac:dyDescent="0.25">
      <c r="B159" s="96">
        <f>'callPut（W）'!G157</f>
        <v>-149.60399999999996</v>
      </c>
      <c r="C159" s="96">
        <f>'callPut（F）'!G157</f>
        <v>-4.9972000000000012</v>
      </c>
      <c r="D159" s="46">
        <f t="shared" si="4"/>
        <v>-154.60119999999995</v>
      </c>
      <c r="E159" s="96">
        <v>23250</v>
      </c>
      <c r="F159" s="46">
        <f t="shared" si="5"/>
        <v>-53.186399999999892</v>
      </c>
      <c r="G159" s="96">
        <f>'callPut（W）'!I157</f>
        <v>-109.15519999999988</v>
      </c>
      <c r="H159" s="96">
        <f>'callPut（F）'!I157</f>
        <v>55.968799999999987</v>
      </c>
      <c r="J159" s="99"/>
      <c r="K159" s="99"/>
      <c r="L159" s="99"/>
      <c r="M159" s="101"/>
      <c r="N159" s="101"/>
    </row>
    <row r="160" spans="2:14" ht="15.75" customHeight="1" x14ac:dyDescent="0.25">
      <c r="B160" s="96">
        <f>'callPut（W）'!G158</f>
        <v>-463.99399999999969</v>
      </c>
      <c r="C160" s="96">
        <f>'callPut（F）'!G158</f>
        <v>-14.000000000000002</v>
      </c>
      <c r="D160" s="46">
        <f t="shared" si="4"/>
        <v>-477.99399999999969</v>
      </c>
      <c r="E160" s="96">
        <v>23300</v>
      </c>
      <c r="F160" s="46">
        <f t="shared" si="5"/>
        <v>-362.94739999999996</v>
      </c>
      <c r="G160" s="96">
        <f>'callPut（W）'!I158</f>
        <v>-327.94559999999996</v>
      </c>
      <c r="H160" s="96">
        <f>'callPut（F）'!I158</f>
        <v>-35.001799999999996</v>
      </c>
      <c r="J160" s="99"/>
      <c r="K160" s="99"/>
      <c r="L160" s="99"/>
      <c r="M160" s="101"/>
      <c r="N160" s="101"/>
    </row>
    <row r="161" spans="2:14" ht="15.75" customHeight="1" x14ac:dyDescent="0.25">
      <c r="B161" s="96">
        <f>'callPut（W）'!G159</f>
        <v>-305.79360000000003</v>
      </c>
      <c r="C161" s="96">
        <f>'callPut（F）'!G159</f>
        <v>-6</v>
      </c>
      <c r="D161" s="46">
        <f t="shared" si="4"/>
        <v>-311.79360000000003</v>
      </c>
      <c r="E161" s="96">
        <v>23350</v>
      </c>
      <c r="F161" s="46">
        <f t="shared" si="5"/>
        <v>-142.1423999999999</v>
      </c>
      <c r="G161" s="96">
        <f>'callPut（W）'!I159</f>
        <v>-91.142999999999887</v>
      </c>
      <c r="H161" s="96">
        <f>'callPut（F）'!I159</f>
        <v>-50.999399999999994</v>
      </c>
      <c r="J161" s="99"/>
      <c r="K161" s="99"/>
      <c r="L161" s="99"/>
      <c r="M161" s="101"/>
      <c r="N161" s="101"/>
    </row>
    <row r="162" spans="2:14" ht="15.75" customHeight="1" x14ac:dyDescent="0.25">
      <c r="B162" s="96">
        <f>'callPut（W）'!G160</f>
        <v>-493.5510000000001</v>
      </c>
      <c r="C162" s="96">
        <f>'callPut（F）'!G160</f>
        <v>-56.003999999999998</v>
      </c>
      <c r="D162" s="46">
        <f t="shared" si="4"/>
        <v>-549.55500000000006</v>
      </c>
      <c r="E162" s="96">
        <v>23400</v>
      </c>
      <c r="F162" s="46">
        <f t="shared" si="5"/>
        <v>-173.19120000000021</v>
      </c>
      <c r="G162" s="96">
        <f>'callPut（W）'!I160</f>
        <v>-145.1892000000002</v>
      </c>
      <c r="H162" s="96">
        <f>'callPut（F）'!I160</f>
        <v>-28.001999999999999</v>
      </c>
      <c r="J162" s="99"/>
      <c r="K162" s="99"/>
      <c r="L162" s="99"/>
      <c r="M162" s="101"/>
      <c r="N162" s="101"/>
    </row>
    <row r="163" spans="2:14" ht="15.75" customHeight="1" x14ac:dyDescent="0.25">
      <c r="B163" s="96">
        <f>'callPut（W）'!G161</f>
        <v>-446.70000000000005</v>
      </c>
      <c r="C163" s="96">
        <f>'callPut（F）'!G161</f>
        <v>-39</v>
      </c>
      <c r="D163" s="46">
        <f t="shared" si="4"/>
        <v>-485.70000000000005</v>
      </c>
      <c r="E163" s="96">
        <v>23450</v>
      </c>
      <c r="F163" s="46">
        <f t="shared" si="5"/>
        <v>87.996200000000044</v>
      </c>
      <c r="G163" s="96">
        <f>'callPut（W）'!I161</f>
        <v>57.996200000000044</v>
      </c>
      <c r="H163" s="96">
        <f>'callPut（F）'!I161</f>
        <v>30</v>
      </c>
      <c r="J163" s="99"/>
      <c r="K163" s="99"/>
      <c r="L163" s="99"/>
      <c r="M163" s="101"/>
      <c r="N163" s="101"/>
    </row>
    <row r="164" spans="2:14" ht="15.75" customHeight="1" x14ac:dyDescent="0.25">
      <c r="B164" s="96">
        <f>'callPut（W）'!G162</f>
        <v>-836.40080000000012</v>
      </c>
      <c r="C164" s="96">
        <f>'callPut（F）'!G162</f>
        <v>-20.98899999999999</v>
      </c>
      <c r="D164" s="46">
        <f t="shared" si="4"/>
        <v>-857.38980000000015</v>
      </c>
      <c r="E164" s="96">
        <v>23500</v>
      </c>
      <c r="F164" s="46">
        <f t="shared" si="5"/>
        <v>97.702400000000054</v>
      </c>
      <c r="G164" s="96">
        <f>'callPut（W）'!I162</f>
        <v>97.702400000000054</v>
      </c>
      <c r="H164" s="96">
        <f>'callPut（F）'!I162</f>
        <v>0</v>
      </c>
      <c r="J164" s="99"/>
      <c r="K164" s="99"/>
      <c r="L164" s="99"/>
      <c r="M164" s="101"/>
      <c r="N164" s="101"/>
    </row>
    <row r="165" spans="2:14" ht="15.75" customHeight="1" x14ac:dyDescent="0.25">
      <c r="B165" s="96">
        <f>'callPut（W）'!G163</f>
        <v>-371.10720000000003</v>
      </c>
      <c r="C165" s="96">
        <f>'callPut（F）'!G163</f>
        <v>74.611799999999988</v>
      </c>
      <c r="D165" s="46">
        <f t="shared" si="4"/>
        <v>-296.49540000000002</v>
      </c>
      <c r="E165" s="96">
        <v>23550</v>
      </c>
      <c r="F165" s="46">
        <f t="shared" si="5"/>
        <v>6.0927999999999862</v>
      </c>
      <c r="G165" s="96">
        <f>'callPut（W）'!I163</f>
        <v>6.0927999999999862</v>
      </c>
      <c r="H165" s="96">
        <f>'callPut（F）'!I163</f>
        <v>0</v>
      </c>
      <c r="J165" s="99"/>
      <c r="K165" s="99"/>
      <c r="L165" s="99"/>
      <c r="M165" s="101"/>
      <c r="N165" s="101"/>
    </row>
    <row r="166" spans="2:14" ht="15.75" customHeight="1" x14ac:dyDescent="0.25">
      <c r="B166" s="96">
        <f>'callPut（W）'!G164</f>
        <v>-441.7127999999999</v>
      </c>
      <c r="C166" s="96">
        <f>'callPut（F）'!G164</f>
        <v>-77.002399999999994</v>
      </c>
      <c r="D166" s="46">
        <f t="shared" si="4"/>
        <v>-518.71519999999987</v>
      </c>
      <c r="E166" s="96">
        <v>23600</v>
      </c>
      <c r="F166" s="46">
        <f t="shared" si="5"/>
        <v>-14.088000000000006</v>
      </c>
      <c r="G166" s="96">
        <f>'callPut（W）'!I164</f>
        <v>-15.088000000000006</v>
      </c>
      <c r="H166" s="96">
        <f>'callPut（F）'!I164</f>
        <v>1</v>
      </c>
      <c r="J166" s="99"/>
      <c r="K166" s="99"/>
      <c r="L166" s="99"/>
      <c r="M166" s="101"/>
      <c r="N166" s="101"/>
    </row>
    <row r="167" spans="2:14" ht="15.75" customHeight="1" x14ac:dyDescent="0.25">
      <c r="B167" s="96">
        <f>'callPut（W）'!G165</f>
        <v>129.60979999999981</v>
      </c>
      <c r="C167" s="96">
        <f>'callPut（F）'!G165</f>
        <v>-35.006</v>
      </c>
      <c r="D167" s="46">
        <f t="shared" si="4"/>
        <v>94.603799999999808</v>
      </c>
      <c r="E167" s="96">
        <v>23650</v>
      </c>
      <c r="F167" s="46">
        <f t="shared" si="5"/>
        <v>8.9929999999999986</v>
      </c>
      <c r="G167" s="96">
        <f>'callPut（W）'!I165</f>
        <v>8.9929999999999986</v>
      </c>
      <c r="H167" s="96">
        <f>'callPut（F）'!I165</f>
        <v>0</v>
      </c>
      <c r="J167" s="99"/>
      <c r="K167" s="99"/>
      <c r="L167" s="99"/>
      <c r="M167" s="101"/>
      <c r="N167" s="101"/>
    </row>
    <row r="168" spans="2:14" ht="15.75" customHeight="1" x14ac:dyDescent="0.25">
      <c r="B168" s="96">
        <f>'callPut（W）'!G166</f>
        <v>-252.38399999999987</v>
      </c>
      <c r="C168" s="96">
        <f>'callPut（F）'!G166</f>
        <v>-39.995999999999995</v>
      </c>
      <c r="D168" s="46">
        <f t="shared" si="4"/>
        <v>-292.37999999999988</v>
      </c>
      <c r="E168" s="96">
        <v>23700</v>
      </c>
      <c r="F168" s="46">
        <f t="shared" si="5"/>
        <v>-16</v>
      </c>
      <c r="G168" s="96">
        <f>'callPut（W）'!I166</f>
        <v>-14</v>
      </c>
      <c r="H168" s="96">
        <f>'callPut（F）'!I166</f>
        <v>-2</v>
      </c>
      <c r="J168" s="99"/>
      <c r="K168" s="99"/>
      <c r="L168" s="99"/>
      <c r="M168" s="101"/>
      <c r="N168" s="101"/>
    </row>
    <row r="169" spans="2:14" ht="15.75" customHeight="1" x14ac:dyDescent="0.25">
      <c r="B169" s="96">
        <f>'callPut（W）'!G167</f>
        <v>95.253599999999935</v>
      </c>
      <c r="C169" s="96">
        <f>'callPut（F）'!G167</f>
        <v>-123.73639999999999</v>
      </c>
      <c r="D169" s="46">
        <f t="shared" si="4"/>
        <v>-28.482800000000054</v>
      </c>
      <c r="E169" s="96">
        <v>23750</v>
      </c>
      <c r="F169" s="46">
        <f t="shared" si="5"/>
        <v>-20</v>
      </c>
      <c r="G169" s="96">
        <f>'callPut（W）'!I167</f>
        <v>-20</v>
      </c>
      <c r="H169" s="96">
        <f>'callPut（F）'!I167</f>
        <v>0</v>
      </c>
      <c r="J169" s="99"/>
      <c r="K169" s="99"/>
      <c r="L169" s="99"/>
      <c r="M169" s="101"/>
      <c r="N169" s="101"/>
    </row>
    <row r="170" spans="2:14" ht="15.75" customHeight="1" x14ac:dyDescent="0.25">
      <c r="B170" s="96">
        <f>'callPut（W）'!G168</f>
        <v>121.97599999999987</v>
      </c>
      <c r="C170" s="96">
        <f>'callPut（F）'!G168</f>
        <v>-395.77679999999998</v>
      </c>
      <c r="D170" s="46">
        <f t="shared" si="4"/>
        <v>-273.80080000000009</v>
      </c>
      <c r="E170" s="96">
        <v>23800</v>
      </c>
      <c r="F170" s="46">
        <f t="shared" si="5"/>
        <v>-3.0007999999999999</v>
      </c>
      <c r="G170" s="96">
        <f>'callPut（W）'!I168</f>
        <v>-3.0007999999999999</v>
      </c>
      <c r="H170" s="96">
        <f>'callPut（F）'!I168</f>
        <v>0</v>
      </c>
      <c r="J170" s="99"/>
      <c r="K170" s="99"/>
      <c r="L170" s="99"/>
      <c r="M170" s="101"/>
      <c r="N170" s="101"/>
    </row>
    <row r="171" spans="2:14" ht="15.75" customHeight="1" x14ac:dyDescent="0.25">
      <c r="B171" s="96">
        <f>'callPut（W）'!G169</f>
        <v>0</v>
      </c>
      <c r="C171" s="96">
        <f>'callPut（F）'!G169</f>
        <v>0</v>
      </c>
      <c r="D171" s="46">
        <f t="shared" si="4"/>
        <v>0</v>
      </c>
      <c r="E171" s="96">
        <v>23850</v>
      </c>
      <c r="F171" s="46">
        <f t="shared" si="5"/>
        <v>0</v>
      </c>
      <c r="G171" s="96">
        <f>'callPut（W）'!I169</f>
        <v>0</v>
      </c>
      <c r="H171" s="96">
        <f>'callPut（F）'!I169</f>
        <v>0</v>
      </c>
      <c r="J171" s="99"/>
      <c r="K171" s="99"/>
      <c r="L171" s="99"/>
      <c r="M171" s="101"/>
      <c r="N171" s="101"/>
    </row>
    <row r="172" spans="2:14" ht="15.75" customHeight="1" x14ac:dyDescent="0.25">
      <c r="B172" s="96">
        <f>'callPut（W）'!G170</f>
        <v>244.69199999999989</v>
      </c>
      <c r="C172" s="96">
        <f>'callPut（F）'!G170</f>
        <v>-312.03119999999996</v>
      </c>
      <c r="D172" s="46">
        <f t="shared" si="4"/>
        <v>-67.339200000000062</v>
      </c>
      <c r="E172" s="96">
        <v>23900</v>
      </c>
      <c r="F172" s="46">
        <f t="shared" si="5"/>
        <v>-3</v>
      </c>
      <c r="G172" s="96">
        <f>'callPut（W）'!I170</f>
        <v>-3</v>
      </c>
      <c r="H172" s="96">
        <f>'callPut（F）'!I170</f>
        <v>0</v>
      </c>
      <c r="J172" s="99"/>
      <c r="K172" s="99"/>
      <c r="L172" s="99"/>
      <c r="M172" s="101"/>
      <c r="N172" s="101"/>
    </row>
    <row r="173" spans="2:14" ht="15.75" customHeight="1" x14ac:dyDescent="0.25">
      <c r="B173" s="96">
        <f>'callPut（W）'!G171</f>
        <v>0</v>
      </c>
      <c r="C173" s="96">
        <f>'callPut（F）'!G171</f>
        <v>0</v>
      </c>
      <c r="D173" s="46">
        <f t="shared" si="4"/>
        <v>0</v>
      </c>
      <c r="E173" s="96">
        <v>23950</v>
      </c>
      <c r="F173" s="46">
        <f t="shared" si="5"/>
        <v>0</v>
      </c>
      <c r="G173" s="96">
        <f>'callPut（W）'!I171</f>
        <v>0</v>
      </c>
      <c r="H173" s="96">
        <f>'callPut（F）'!I171</f>
        <v>0</v>
      </c>
      <c r="J173" s="99"/>
      <c r="K173" s="99"/>
      <c r="L173" s="99"/>
      <c r="M173" s="101"/>
      <c r="N173" s="101"/>
    </row>
    <row r="174" spans="2:14" ht="15.75" customHeight="1" x14ac:dyDescent="0.25">
      <c r="B174" s="96">
        <f>'callPut（W）'!G172</f>
        <v>429.81119999999993</v>
      </c>
      <c r="C174" s="96">
        <f>'callPut（F）'!G172</f>
        <v>87.98399999999998</v>
      </c>
      <c r="D174" s="46">
        <f t="shared" si="4"/>
        <v>517.79519999999991</v>
      </c>
      <c r="E174" s="96">
        <v>24000</v>
      </c>
      <c r="F174" s="46">
        <f t="shared" si="5"/>
        <v>-2</v>
      </c>
      <c r="G174" s="96">
        <f>'callPut（W）'!I172</f>
        <v>-2</v>
      </c>
      <c r="H174" s="96">
        <f>'callPut（F）'!I172</f>
        <v>0</v>
      </c>
      <c r="J174" s="99"/>
      <c r="K174" s="99"/>
      <c r="L174" s="99"/>
      <c r="M174" s="101"/>
      <c r="N174" s="101"/>
    </row>
    <row r="175" spans="2:14" ht="15.75" customHeight="1" x14ac:dyDescent="0.25">
      <c r="B175" s="96">
        <f>'callPut（W）'!G173</f>
        <v>0</v>
      </c>
      <c r="C175" s="96">
        <f>'callPut（F）'!G173</f>
        <v>0</v>
      </c>
      <c r="D175" s="46">
        <f t="shared" si="4"/>
        <v>0</v>
      </c>
      <c r="E175" s="96">
        <v>24050</v>
      </c>
      <c r="F175" s="46">
        <f t="shared" si="5"/>
        <v>0</v>
      </c>
      <c r="G175" s="96">
        <f>'callPut（W）'!I173</f>
        <v>0</v>
      </c>
      <c r="H175" s="96">
        <f>'callPut（F）'!I173</f>
        <v>0</v>
      </c>
      <c r="J175" s="99"/>
      <c r="K175" s="99"/>
      <c r="L175" s="99"/>
      <c r="M175" s="101"/>
      <c r="N175" s="101"/>
    </row>
    <row r="176" spans="2:14" ht="15.75" customHeight="1" x14ac:dyDescent="0.25">
      <c r="B176" s="96">
        <f>'callPut（W）'!G174</f>
        <v>180.08999999999997</v>
      </c>
      <c r="C176" s="96">
        <f>'callPut（F）'!G174</f>
        <v>-23.002799999999997</v>
      </c>
      <c r="D176" s="46">
        <f t="shared" si="4"/>
        <v>157.08719999999997</v>
      </c>
      <c r="E176" s="96">
        <v>24100</v>
      </c>
      <c r="F176" s="46">
        <f t="shared" si="5"/>
        <v>0</v>
      </c>
      <c r="G176" s="96">
        <f>'callPut（W）'!I174</f>
        <v>0</v>
      </c>
      <c r="H176" s="96">
        <f>'callPut（F）'!I174</f>
        <v>0</v>
      </c>
      <c r="J176" s="99"/>
      <c r="K176" s="99"/>
      <c r="L176" s="99"/>
      <c r="M176" s="101"/>
      <c r="N176" s="101"/>
    </row>
    <row r="177" spans="2:14" ht="15.75" customHeight="1" x14ac:dyDescent="0.25">
      <c r="B177" s="96">
        <f>'callPut（W）'!G175</f>
        <v>0</v>
      </c>
      <c r="C177" s="96">
        <f>'callPut（F）'!G175</f>
        <v>0</v>
      </c>
      <c r="D177" s="46">
        <f t="shared" si="4"/>
        <v>0</v>
      </c>
      <c r="E177" s="96">
        <v>24150</v>
      </c>
      <c r="F177" s="46">
        <f t="shared" si="5"/>
        <v>0</v>
      </c>
      <c r="G177" s="96">
        <f>'callPut（W）'!I175</f>
        <v>0</v>
      </c>
      <c r="H177" s="96">
        <f>'callPut（F）'!I175</f>
        <v>0</v>
      </c>
      <c r="J177" s="99"/>
      <c r="K177" s="99"/>
      <c r="L177" s="99"/>
      <c r="M177" s="101"/>
      <c r="N177" s="101"/>
    </row>
    <row r="178" spans="2:14" ht="15.75" customHeight="1" x14ac:dyDescent="0.25">
      <c r="B178" s="96">
        <f>'callPut（W）'!G176</f>
        <v>295.30540000000008</v>
      </c>
      <c r="C178" s="96">
        <f>'callPut（F）'!G176</f>
        <v>-35.427599999999998</v>
      </c>
      <c r="D178" s="46">
        <f t="shared" si="4"/>
        <v>259.87780000000009</v>
      </c>
      <c r="E178" s="96">
        <v>24200</v>
      </c>
      <c r="F178" s="46">
        <f t="shared" si="5"/>
        <v>0</v>
      </c>
      <c r="G178" s="96">
        <f>'callPut（W）'!I176</f>
        <v>0</v>
      </c>
      <c r="H178" s="96">
        <f>'callPut（F）'!I176</f>
        <v>0</v>
      </c>
      <c r="J178" s="99"/>
      <c r="K178" s="99"/>
      <c r="L178" s="99"/>
      <c r="M178" s="101"/>
      <c r="N178" s="101"/>
    </row>
    <row r="179" spans="2:14" ht="15.75" customHeight="1" x14ac:dyDescent="0.25">
      <c r="B179" s="96">
        <f>'callPut（W）'!G177</f>
        <v>0</v>
      </c>
      <c r="C179" s="96">
        <f>'callPut（F）'!G177</f>
        <v>0</v>
      </c>
      <c r="D179" s="46">
        <f t="shared" si="4"/>
        <v>0</v>
      </c>
      <c r="E179" s="96">
        <v>24250</v>
      </c>
      <c r="F179" s="46">
        <f t="shared" si="5"/>
        <v>0</v>
      </c>
      <c r="G179" s="96">
        <f>'callPut（W）'!I177</f>
        <v>0</v>
      </c>
      <c r="H179" s="96">
        <f>'callPut（F）'!I177</f>
        <v>0</v>
      </c>
      <c r="J179" s="99"/>
      <c r="K179" s="99"/>
      <c r="L179" s="99"/>
      <c r="M179" s="101"/>
      <c r="N179" s="101"/>
    </row>
    <row r="180" spans="2:14" ht="15.75" customHeight="1" x14ac:dyDescent="0.25">
      <c r="B180" s="96">
        <f>'callPut（W）'!G178</f>
        <v>117.03559999999996</v>
      </c>
      <c r="C180" s="96">
        <f>'callPut（F）'!G178</f>
        <v>6.0015999999999998</v>
      </c>
      <c r="D180" s="46">
        <f t="shared" si="4"/>
        <v>123.03719999999996</v>
      </c>
      <c r="E180" s="96">
        <v>24300</v>
      </c>
      <c r="F180" s="46">
        <f t="shared" si="5"/>
        <v>0</v>
      </c>
      <c r="G180" s="96">
        <f>'callPut（W）'!I178</f>
        <v>0</v>
      </c>
      <c r="H180" s="96">
        <f>'callPut（F）'!I178</f>
        <v>0</v>
      </c>
      <c r="J180" s="99"/>
      <c r="K180" s="99"/>
      <c r="L180" s="99"/>
      <c r="M180" s="101"/>
      <c r="N180" s="101"/>
    </row>
    <row r="181" spans="2:14" ht="15.75" customHeight="1" x14ac:dyDescent="0.25">
      <c r="B181" s="96">
        <f>'callPut（W）'!G179</f>
        <v>0</v>
      </c>
      <c r="C181" s="96">
        <f>'callPut（F）'!G179</f>
        <v>0</v>
      </c>
      <c r="D181" s="46">
        <f t="shared" si="4"/>
        <v>0</v>
      </c>
      <c r="E181" s="96">
        <v>24350</v>
      </c>
      <c r="F181" s="46">
        <f t="shared" si="5"/>
        <v>0</v>
      </c>
      <c r="G181" s="96">
        <f>'callPut（W）'!I179</f>
        <v>0</v>
      </c>
      <c r="H181" s="96">
        <f>'callPut（F）'!I179</f>
        <v>0</v>
      </c>
      <c r="J181" s="99"/>
      <c r="K181" s="99"/>
      <c r="L181" s="99"/>
      <c r="M181" s="101"/>
      <c r="N181" s="101"/>
    </row>
    <row r="182" spans="2:14" ht="15.75" customHeight="1" x14ac:dyDescent="0.25">
      <c r="B182" s="96">
        <f>'callPut（W）'!G180</f>
        <v>-115.48799999999999</v>
      </c>
      <c r="C182" s="96">
        <f>'callPut（F）'!G180</f>
        <v>2</v>
      </c>
      <c r="D182" s="46">
        <f t="shared" si="4"/>
        <v>-113.48799999999999</v>
      </c>
      <c r="E182" s="96">
        <v>24400</v>
      </c>
      <c r="F182" s="46">
        <f t="shared" si="5"/>
        <v>1</v>
      </c>
      <c r="G182" s="96">
        <f>'callPut（W）'!I180</f>
        <v>1</v>
      </c>
      <c r="H182" s="96">
        <f>'callPut（F）'!I180</f>
        <v>0</v>
      </c>
      <c r="J182" s="99"/>
      <c r="K182" s="99"/>
      <c r="L182" s="99"/>
      <c r="M182" s="101"/>
      <c r="N182" s="101"/>
    </row>
    <row r="183" spans="2:14" ht="15.75" customHeight="1" x14ac:dyDescent="0.25">
      <c r="B183" s="96">
        <f>'callPut（W）'!G181</f>
        <v>0</v>
      </c>
      <c r="C183" s="96">
        <f>'callPut（F）'!G181</f>
        <v>0</v>
      </c>
      <c r="D183" s="46">
        <f t="shared" si="4"/>
        <v>0</v>
      </c>
      <c r="E183" s="96">
        <v>24450</v>
      </c>
      <c r="F183" s="46">
        <f t="shared" si="5"/>
        <v>0</v>
      </c>
      <c r="G183" s="96">
        <f>'callPut（W）'!I181</f>
        <v>0</v>
      </c>
      <c r="H183" s="96">
        <f>'callPut（F）'!I181</f>
        <v>0</v>
      </c>
      <c r="J183" s="99"/>
      <c r="K183" s="99"/>
      <c r="L183" s="99"/>
      <c r="M183" s="101"/>
      <c r="N183" s="101"/>
    </row>
    <row r="184" spans="2:14" ht="15.75" customHeight="1" x14ac:dyDescent="0.25">
      <c r="B184" s="96">
        <f>'callPut（W）'!G182</f>
        <v>-4.3512000000000119</v>
      </c>
      <c r="C184" s="96">
        <f>'callPut（F）'!G182</f>
        <v>1</v>
      </c>
      <c r="D184" s="46">
        <f t="shared" si="4"/>
        <v>-3.3512000000000119</v>
      </c>
      <c r="E184" s="96">
        <v>24500</v>
      </c>
      <c r="F184" s="46">
        <f t="shared" si="5"/>
        <v>0</v>
      </c>
      <c r="G184" s="96">
        <f>'callPut（W）'!I182</f>
        <v>0</v>
      </c>
      <c r="H184" s="96">
        <f>'callPut（F）'!I182</f>
        <v>0</v>
      </c>
      <c r="J184" s="99"/>
      <c r="K184" s="99"/>
      <c r="L184" s="99"/>
      <c r="M184" s="101"/>
      <c r="N184" s="101"/>
    </row>
    <row r="185" spans="2:14" ht="15.75" customHeight="1" x14ac:dyDescent="0.25">
      <c r="B185" s="96">
        <f>'callPut（W）'!G183</f>
        <v>0</v>
      </c>
      <c r="C185" s="96">
        <f>'callPut（F）'!G183</f>
        <v>0</v>
      </c>
      <c r="D185" s="46">
        <f t="shared" si="4"/>
        <v>0</v>
      </c>
      <c r="E185" s="96">
        <v>24550</v>
      </c>
      <c r="F185" s="46">
        <f t="shared" si="5"/>
        <v>0</v>
      </c>
      <c r="G185" s="96">
        <f>'callPut（W）'!I183</f>
        <v>0</v>
      </c>
      <c r="H185" s="96">
        <f>'callPut（F）'!I183</f>
        <v>0</v>
      </c>
      <c r="J185" s="99"/>
      <c r="K185" s="99"/>
      <c r="L185" s="99"/>
      <c r="M185" s="101"/>
      <c r="N185" s="101"/>
    </row>
    <row r="186" spans="2:14" ht="15.75" customHeight="1" x14ac:dyDescent="0.25">
      <c r="B186" s="96">
        <f>'callPut（W）'!G184</f>
        <v>-303</v>
      </c>
      <c r="C186" s="96">
        <f>'callPut（F）'!G184</f>
        <v>-10.3842</v>
      </c>
      <c r="D186" s="46">
        <f t="shared" si="4"/>
        <v>-313.38420000000002</v>
      </c>
      <c r="E186" s="96">
        <v>24600</v>
      </c>
      <c r="F186" s="46">
        <f t="shared" si="5"/>
        <v>0</v>
      </c>
      <c r="G186" s="96">
        <f>'callPut（W）'!I184</f>
        <v>0</v>
      </c>
      <c r="H186" s="96">
        <f>'callPut（F）'!I184</f>
        <v>0</v>
      </c>
      <c r="J186" s="99"/>
      <c r="K186" s="99"/>
      <c r="L186" s="99"/>
      <c r="M186" s="101"/>
      <c r="N186" s="101"/>
    </row>
    <row r="187" spans="2:14" ht="15.75" customHeight="1" x14ac:dyDescent="0.25">
      <c r="B187" s="96">
        <f>'callPut（W）'!G185</f>
        <v>0</v>
      </c>
      <c r="C187" s="96">
        <f>'callPut（F）'!G185</f>
        <v>0</v>
      </c>
      <c r="D187" s="46">
        <f t="shared" si="4"/>
        <v>0</v>
      </c>
      <c r="E187" s="96">
        <v>24650</v>
      </c>
      <c r="F187" s="46">
        <f t="shared" si="5"/>
        <v>0</v>
      </c>
      <c r="G187" s="96">
        <f>'callPut（W）'!I185</f>
        <v>0</v>
      </c>
      <c r="H187" s="96">
        <f>'callPut（F）'!I185</f>
        <v>0</v>
      </c>
      <c r="J187" s="99"/>
      <c r="K187" s="99"/>
      <c r="L187" s="99"/>
      <c r="M187" s="101"/>
      <c r="N187" s="101"/>
    </row>
    <row r="188" spans="2:14" ht="15.75" customHeight="1" x14ac:dyDescent="0.25">
      <c r="B188" s="96">
        <f>'callPut（W）'!G186</f>
        <v>-380</v>
      </c>
      <c r="C188" s="96">
        <f>'callPut（F）'!G186</f>
        <v>24</v>
      </c>
      <c r="D188" s="46">
        <f t="shared" si="4"/>
        <v>-356</v>
      </c>
      <c r="E188" s="96">
        <v>24700</v>
      </c>
      <c r="F188" s="46">
        <f t="shared" si="5"/>
        <v>0</v>
      </c>
      <c r="G188" s="96">
        <f>'callPut（W）'!I186</f>
        <v>0</v>
      </c>
      <c r="H188" s="96">
        <f>'callPut（F）'!I186</f>
        <v>0</v>
      </c>
      <c r="J188" s="99"/>
      <c r="K188" s="99"/>
      <c r="L188" s="99"/>
      <c r="M188" s="101"/>
      <c r="N188" s="101"/>
    </row>
    <row r="189" spans="2:14" ht="15.75" customHeight="1" x14ac:dyDescent="0.25">
      <c r="B189" s="96">
        <f>'callPut（W）'!G187</f>
        <v>0</v>
      </c>
      <c r="C189" s="96">
        <f>'callPut（F）'!G187</f>
        <v>0</v>
      </c>
      <c r="D189" s="46">
        <f t="shared" si="4"/>
        <v>0</v>
      </c>
      <c r="E189" s="96">
        <v>24750</v>
      </c>
      <c r="F189" s="46">
        <f t="shared" si="5"/>
        <v>0</v>
      </c>
      <c r="G189" s="96">
        <f>'callPut（W）'!I187</f>
        <v>0</v>
      </c>
      <c r="H189" s="96">
        <f>'callPut（F）'!I187</f>
        <v>0</v>
      </c>
      <c r="J189" s="99"/>
      <c r="K189" s="99"/>
      <c r="L189" s="99"/>
      <c r="M189" s="101"/>
      <c r="N189" s="101"/>
    </row>
    <row r="190" spans="2:14" ht="15.75" customHeight="1" x14ac:dyDescent="0.25">
      <c r="B190" s="96">
        <f>'callPut（W）'!G188</f>
        <v>-259</v>
      </c>
      <c r="C190" s="96">
        <f>'callPut（F）'!G188</f>
        <v>3</v>
      </c>
      <c r="D190" s="46">
        <f t="shared" si="4"/>
        <v>-256</v>
      </c>
      <c r="E190" s="96">
        <v>24800</v>
      </c>
      <c r="F190" s="46">
        <f t="shared" si="5"/>
        <v>0</v>
      </c>
      <c r="G190" s="96">
        <f>'callPut（W）'!I188</f>
        <v>0</v>
      </c>
      <c r="H190" s="96">
        <f>'callPut（F）'!I188</f>
        <v>0</v>
      </c>
      <c r="J190" s="99"/>
      <c r="K190" s="99"/>
      <c r="L190" s="99"/>
      <c r="M190" s="101"/>
      <c r="N190" s="101"/>
    </row>
    <row r="191" spans="2:14" ht="15.75" customHeight="1" x14ac:dyDescent="0.25">
      <c r="B191" s="96">
        <f>'callPut（W）'!G189</f>
        <v>0</v>
      </c>
      <c r="C191" s="96">
        <f>'callPut（F）'!G189</f>
        <v>0</v>
      </c>
      <c r="D191" s="46">
        <f t="shared" si="4"/>
        <v>0</v>
      </c>
      <c r="E191" s="96">
        <v>24850</v>
      </c>
      <c r="F191" s="46">
        <f t="shared" si="5"/>
        <v>0</v>
      </c>
      <c r="G191" s="96">
        <f>'callPut（W）'!I189</f>
        <v>0</v>
      </c>
      <c r="H191" s="96">
        <f>'callPut（F）'!I189</f>
        <v>0</v>
      </c>
      <c r="J191" s="99"/>
      <c r="K191" s="99"/>
      <c r="L191" s="99"/>
      <c r="M191" s="101"/>
      <c r="N191" s="101"/>
    </row>
    <row r="192" spans="2:14" ht="15.75" customHeight="1" x14ac:dyDescent="0.25">
      <c r="B192" s="96">
        <f>'callPut（W）'!G190</f>
        <v>0</v>
      </c>
      <c r="C192" s="96">
        <f>'callPut（F）'!G190</f>
        <v>3</v>
      </c>
      <c r="D192" s="46">
        <f t="shared" si="4"/>
        <v>3</v>
      </c>
      <c r="E192" s="96">
        <v>24900</v>
      </c>
      <c r="F192" s="46">
        <f t="shared" si="5"/>
        <v>0</v>
      </c>
      <c r="G192" s="96">
        <f>'callPut（W）'!I190</f>
        <v>0</v>
      </c>
      <c r="H192" s="96">
        <f>'callPut（F）'!I190</f>
        <v>0</v>
      </c>
      <c r="J192" s="99"/>
      <c r="K192" s="99"/>
      <c r="L192" s="99"/>
      <c r="M192" s="101"/>
      <c r="N192" s="101"/>
    </row>
    <row r="193" spans="2:14" ht="15.75" customHeight="1" x14ac:dyDescent="0.25">
      <c r="B193" s="96">
        <f>'callPut（W）'!G191</f>
        <v>0</v>
      </c>
      <c r="C193" s="96">
        <f>'callPut（F）'!G191</f>
        <v>0</v>
      </c>
      <c r="D193" s="46">
        <f t="shared" si="4"/>
        <v>0</v>
      </c>
      <c r="E193" s="96">
        <v>24950</v>
      </c>
      <c r="F193" s="46">
        <f t="shared" si="5"/>
        <v>0</v>
      </c>
      <c r="G193" s="96">
        <f>'callPut（W）'!I191</f>
        <v>0</v>
      </c>
      <c r="H193" s="96">
        <f>'callPut（F）'!I191</f>
        <v>0</v>
      </c>
      <c r="J193" s="99"/>
      <c r="K193" s="99"/>
      <c r="L193" s="99"/>
      <c r="M193" s="101"/>
      <c r="N193" s="101"/>
    </row>
    <row r="194" spans="2:14" ht="15.75" customHeight="1" x14ac:dyDescent="0.25">
      <c r="B194" s="96">
        <f>'callPut（W）'!G192</f>
        <v>0</v>
      </c>
      <c r="C194" s="96">
        <f>'callPut（F）'!G192</f>
        <v>0</v>
      </c>
      <c r="D194" s="46">
        <f t="shared" si="4"/>
        <v>0</v>
      </c>
      <c r="E194" s="96">
        <v>25000</v>
      </c>
      <c r="F194" s="46">
        <f t="shared" si="5"/>
        <v>0</v>
      </c>
      <c r="G194" s="96">
        <f>'callPut（W）'!I192</f>
        <v>0</v>
      </c>
      <c r="H194" s="96">
        <f>'callPut（F）'!I192</f>
        <v>0</v>
      </c>
      <c r="J194" s="99"/>
      <c r="K194" s="99"/>
      <c r="L194" s="99"/>
      <c r="M194" s="101"/>
      <c r="N194" s="101"/>
    </row>
    <row r="195" spans="2:14" ht="15.75" hidden="1" customHeight="1" x14ac:dyDescent="0.25">
      <c r="B195" s="96">
        <f>'callPut（W）'!G193</f>
        <v>0</v>
      </c>
      <c r="C195" s="96">
        <f>'callPut（F）'!G193</f>
        <v>0</v>
      </c>
      <c r="D195" s="46">
        <f t="shared" si="4"/>
        <v>0</v>
      </c>
      <c r="E195" s="96">
        <v>25050</v>
      </c>
      <c r="F195" s="46">
        <f t="shared" si="5"/>
        <v>0</v>
      </c>
      <c r="G195" s="96">
        <f>'callPut（W）'!I193</f>
        <v>0</v>
      </c>
      <c r="H195" s="96">
        <f>'callPut（F）'!I193</f>
        <v>0</v>
      </c>
      <c r="J195" s="99"/>
      <c r="K195" s="99"/>
      <c r="L195" s="99"/>
      <c r="M195" s="101"/>
      <c r="N195" s="101"/>
    </row>
    <row r="196" spans="2:14" ht="15.75" hidden="1" customHeight="1" x14ac:dyDescent="0.25">
      <c r="B196" s="96">
        <f>'callPut（W）'!G194</f>
        <v>0</v>
      </c>
      <c r="C196" s="96">
        <f>'callPut（F）'!G194</f>
        <v>0</v>
      </c>
      <c r="D196" s="46">
        <f t="shared" si="4"/>
        <v>0</v>
      </c>
      <c r="E196" s="96">
        <v>25100</v>
      </c>
      <c r="F196" s="46">
        <f t="shared" si="5"/>
        <v>0</v>
      </c>
      <c r="G196" s="96">
        <f>'callPut（W）'!I194</f>
        <v>0</v>
      </c>
      <c r="H196" s="96">
        <f>'callPut（F）'!I194</f>
        <v>0</v>
      </c>
      <c r="J196" s="99"/>
      <c r="K196" s="99"/>
      <c r="L196" s="99"/>
      <c r="M196" s="101"/>
      <c r="N196" s="101"/>
    </row>
    <row r="197" spans="2:14" ht="15.75" hidden="1" customHeight="1" x14ac:dyDescent="0.25">
      <c r="B197" s="96">
        <f>'callPut（W）'!G195</f>
        <v>0</v>
      </c>
      <c r="C197" s="96">
        <f>'callPut（F）'!G195</f>
        <v>0</v>
      </c>
      <c r="D197" s="46">
        <f t="shared" ref="D197:D260" si="6">B197+C197</f>
        <v>0</v>
      </c>
      <c r="E197" s="96">
        <v>25150</v>
      </c>
      <c r="F197" s="46">
        <f t="shared" ref="F197:F260" si="7">G197+H197</f>
        <v>0</v>
      </c>
      <c r="G197" s="96">
        <f>'callPut（W）'!I195</f>
        <v>0</v>
      </c>
      <c r="H197" s="96">
        <f>'callPut（F）'!I195</f>
        <v>0</v>
      </c>
      <c r="J197" s="99"/>
      <c r="K197" s="99"/>
      <c r="L197" s="99"/>
      <c r="M197" s="101"/>
      <c r="N197" s="101"/>
    </row>
    <row r="198" spans="2:14" ht="15.75" hidden="1" customHeight="1" x14ac:dyDescent="0.25">
      <c r="B198" s="96">
        <f>'callPut（W）'!G196</f>
        <v>-1</v>
      </c>
      <c r="C198" s="96">
        <f>'callPut（F）'!G196</f>
        <v>0</v>
      </c>
      <c r="D198" s="46">
        <f t="shared" si="6"/>
        <v>-1</v>
      </c>
      <c r="E198" s="96">
        <v>25200</v>
      </c>
      <c r="F198" s="46">
        <f t="shared" si="7"/>
        <v>0</v>
      </c>
      <c r="G198" s="96">
        <f>'callPut（W）'!I196</f>
        <v>0</v>
      </c>
      <c r="H198" s="96">
        <f>'callPut（F）'!I196</f>
        <v>0</v>
      </c>
      <c r="J198" s="99"/>
      <c r="K198" s="99"/>
      <c r="L198" s="99"/>
      <c r="M198" s="101"/>
      <c r="N198" s="101"/>
    </row>
    <row r="199" spans="2:14" ht="15.75" hidden="1" customHeight="1" x14ac:dyDescent="0.25">
      <c r="B199" s="96">
        <f>'callPut（W）'!G197</f>
        <v>0</v>
      </c>
      <c r="C199" s="96">
        <f>'callPut（F）'!G197</f>
        <v>0</v>
      </c>
      <c r="D199" s="46">
        <f t="shared" si="6"/>
        <v>0</v>
      </c>
      <c r="E199" s="96">
        <v>25250</v>
      </c>
      <c r="F199" s="46">
        <f t="shared" si="7"/>
        <v>0</v>
      </c>
      <c r="G199" s="96">
        <f>'callPut（W）'!I197</f>
        <v>0</v>
      </c>
      <c r="H199" s="96">
        <f>'callPut（F）'!I197</f>
        <v>0</v>
      </c>
      <c r="J199" s="99"/>
      <c r="K199" s="99"/>
      <c r="L199" s="99"/>
      <c r="M199" s="101"/>
      <c r="N199" s="101"/>
    </row>
    <row r="200" spans="2:14" ht="15.75" hidden="1" customHeight="1" x14ac:dyDescent="0.25">
      <c r="B200" s="96">
        <f>'callPut（W）'!G198</f>
        <v>-1</v>
      </c>
      <c r="C200" s="96">
        <f>'callPut（F）'!G198</f>
        <v>0</v>
      </c>
      <c r="D200" s="46">
        <f t="shared" si="6"/>
        <v>-1</v>
      </c>
      <c r="E200" s="96">
        <v>25300</v>
      </c>
      <c r="F200" s="46">
        <f t="shared" si="7"/>
        <v>0</v>
      </c>
      <c r="G200" s="96">
        <f>'callPut（W）'!I198</f>
        <v>0</v>
      </c>
      <c r="H200" s="96">
        <f>'callPut（F）'!I198</f>
        <v>0</v>
      </c>
      <c r="J200" s="99"/>
      <c r="K200" s="99"/>
      <c r="L200" s="99"/>
      <c r="M200" s="101"/>
      <c r="N200" s="101"/>
    </row>
    <row r="201" spans="2:14" ht="15.75" hidden="1" customHeight="1" x14ac:dyDescent="0.25">
      <c r="B201" s="96">
        <f>'callPut（W）'!G199</f>
        <v>0</v>
      </c>
      <c r="C201" s="96">
        <f>'callPut（F）'!G199</f>
        <v>0</v>
      </c>
      <c r="D201" s="46">
        <f t="shared" si="6"/>
        <v>0</v>
      </c>
      <c r="E201" s="96">
        <v>25350</v>
      </c>
      <c r="F201" s="46">
        <f t="shared" si="7"/>
        <v>0</v>
      </c>
      <c r="G201" s="96">
        <f>'callPut（W）'!I199</f>
        <v>0</v>
      </c>
      <c r="H201" s="96">
        <f>'callPut（F）'!I199</f>
        <v>0</v>
      </c>
      <c r="J201" s="99"/>
      <c r="K201" s="99"/>
      <c r="L201" s="99"/>
      <c r="M201" s="101"/>
      <c r="N201" s="101"/>
    </row>
    <row r="202" spans="2:14" ht="15.75" hidden="1" customHeight="1" x14ac:dyDescent="0.25">
      <c r="B202" s="96">
        <f>'callPut（W）'!G200</f>
        <v>-2</v>
      </c>
      <c r="C202" s="96">
        <f>'callPut（F）'!G200</f>
        <v>-2</v>
      </c>
      <c r="D202" s="46">
        <f t="shared" si="6"/>
        <v>-4</v>
      </c>
      <c r="E202" s="96">
        <v>25400</v>
      </c>
      <c r="F202" s="46">
        <f t="shared" si="7"/>
        <v>0</v>
      </c>
      <c r="G202" s="96">
        <f>'callPut（W）'!I200</f>
        <v>0</v>
      </c>
      <c r="H202" s="96">
        <f>'callPut（F）'!I200</f>
        <v>0</v>
      </c>
      <c r="J202" s="99"/>
      <c r="K202" s="99"/>
      <c r="L202" s="99"/>
      <c r="M202" s="101"/>
      <c r="N202" s="101"/>
    </row>
    <row r="203" spans="2:14" ht="15.75" hidden="1" customHeight="1" x14ac:dyDescent="0.25">
      <c r="B203" s="96">
        <f>'callPut（W）'!G201</f>
        <v>0</v>
      </c>
      <c r="C203" s="96">
        <f>'callPut（F）'!G201</f>
        <v>0</v>
      </c>
      <c r="D203" s="46">
        <f t="shared" si="6"/>
        <v>0</v>
      </c>
      <c r="E203" s="96">
        <v>25450</v>
      </c>
      <c r="F203" s="46">
        <f t="shared" si="7"/>
        <v>0</v>
      </c>
      <c r="G203" s="96">
        <f>'callPut（W）'!I201</f>
        <v>0</v>
      </c>
      <c r="H203" s="96">
        <f>'callPut（F）'!I201</f>
        <v>0</v>
      </c>
      <c r="J203" s="99"/>
      <c r="K203" s="99"/>
      <c r="L203" s="99"/>
      <c r="M203" s="101"/>
      <c r="N203" s="101"/>
    </row>
    <row r="204" spans="2:14" ht="15.75" hidden="1" customHeight="1" x14ac:dyDescent="0.25">
      <c r="B204" s="96">
        <f>'callPut（W）'!G202</f>
        <v>-3</v>
      </c>
      <c r="C204" s="96">
        <f>'callPut（F）'!G202</f>
        <v>-6</v>
      </c>
      <c r="D204" s="46">
        <f t="shared" si="6"/>
        <v>-9</v>
      </c>
      <c r="E204" s="96">
        <v>25500</v>
      </c>
      <c r="F204" s="46">
        <f t="shared" si="7"/>
        <v>0</v>
      </c>
      <c r="G204" s="96">
        <f>'callPut（W）'!I202</f>
        <v>0</v>
      </c>
      <c r="H204" s="96">
        <f>'callPut（F）'!I202</f>
        <v>0</v>
      </c>
      <c r="J204" s="99"/>
      <c r="K204" s="99"/>
      <c r="L204" s="99"/>
      <c r="M204" s="101"/>
      <c r="N204" s="101"/>
    </row>
    <row r="205" spans="2:14" ht="15.75" hidden="1" customHeight="1" x14ac:dyDescent="0.25">
      <c r="B205" s="96">
        <f>'callPut（W）'!G203</f>
        <v>0</v>
      </c>
      <c r="C205" s="96">
        <f>'callPut（F）'!G203</f>
        <v>0</v>
      </c>
      <c r="D205" s="46">
        <f t="shared" si="6"/>
        <v>0</v>
      </c>
      <c r="E205" s="96">
        <v>25550</v>
      </c>
      <c r="F205" s="46">
        <f t="shared" si="7"/>
        <v>0</v>
      </c>
      <c r="G205" s="96">
        <f>'callPut（W）'!I203</f>
        <v>0</v>
      </c>
      <c r="H205" s="96">
        <f>'callPut（F）'!I203</f>
        <v>0</v>
      </c>
      <c r="J205" s="99"/>
      <c r="K205" s="99"/>
      <c r="L205" s="99"/>
      <c r="M205" s="101"/>
      <c r="N205" s="101"/>
    </row>
    <row r="206" spans="2:14" ht="15.75" hidden="1" customHeight="1" x14ac:dyDescent="0.25">
      <c r="B206" s="96">
        <f>'callPut（W）'!G204</f>
        <v>0</v>
      </c>
      <c r="C206" s="96">
        <f>'callPut（F）'!G204</f>
        <v>0</v>
      </c>
      <c r="D206" s="46">
        <f t="shared" si="6"/>
        <v>0</v>
      </c>
      <c r="E206" s="96">
        <v>25600</v>
      </c>
      <c r="F206" s="46">
        <f t="shared" si="7"/>
        <v>0</v>
      </c>
      <c r="G206" s="96">
        <f>'callPut（W）'!I204</f>
        <v>0</v>
      </c>
      <c r="H206" s="96">
        <f>'callPut（F）'!I204</f>
        <v>0</v>
      </c>
      <c r="J206" s="99"/>
      <c r="K206" s="99"/>
      <c r="L206" s="99"/>
      <c r="M206" s="101"/>
      <c r="N206" s="101"/>
    </row>
    <row r="207" spans="2:14" ht="15.75" hidden="1" customHeight="1" x14ac:dyDescent="0.25">
      <c r="B207" s="96">
        <f>'callPut（W）'!G205</f>
        <v>0</v>
      </c>
      <c r="C207" s="96">
        <f>'callPut（F）'!G205</f>
        <v>0</v>
      </c>
      <c r="D207" s="46">
        <f t="shared" si="6"/>
        <v>0</v>
      </c>
      <c r="E207" s="96">
        <v>25650</v>
      </c>
      <c r="F207" s="46">
        <f t="shared" si="7"/>
        <v>0</v>
      </c>
      <c r="G207" s="96">
        <f>'callPut（W）'!I205</f>
        <v>0</v>
      </c>
      <c r="H207" s="96">
        <f>'callPut（F）'!I205</f>
        <v>0</v>
      </c>
      <c r="J207" s="99"/>
      <c r="K207" s="99"/>
      <c r="L207" s="99"/>
      <c r="M207" s="101"/>
      <c r="N207" s="101"/>
    </row>
    <row r="208" spans="2:14" ht="15.75" hidden="1" customHeight="1" x14ac:dyDescent="0.25">
      <c r="B208" s="96">
        <f>'callPut（W）'!G206</f>
        <v>0</v>
      </c>
      <c r="C208" s="96">
        <f>'callPut（F）'!G206</f>
        <v>0</v>
      </c>
      <c r="D208" s="46">
        <f t="shared" si="6"/>
        <v>0</v>
      </c>
      <c r="E208" s="96">
        <v>25700</v>
      </c>
      <c r="F208" s="46">
        <f t="shared" si="7"/>
        <v>0</v>
      </c>
      <c r="G208" s="96">
        <f>'callPut（W）'!I206</f>
        <v>0</v>
      </c>
      <c r="H208" s="96">
        <f>'callPut（F）'!I206</f>
        <v>0</v>
      </c>
      <c r="J208" s="99"/>
      <c r="K208" s="99"/>
      <c r="L208" s="99"/>
      <c r="M208" s="101"/>
      <c r="N208" s="101"/>
    </row>
    <row r="209" spans="2:14" ht="15.75" hidden="1" customHeight="1" x14ac:dyDescent="0.25">
      <c r="B209" s="96">
        <f>'callPut（W）'!G207</f>
        <v>0</v>
      </c>
      <c r="C209" s="96">
        <f>'callPut（F）'!G207</f>
        <v>0</v>
      </c>
      <c r="D209" s="46">
        <f t="shared" si="6"/>
        <v>0</v>
      </c>
      <c r="E209" s="96">
        <v>25750</v>
      </c>
      <c r="F209" s="46">
        <f t="shared" si="7"/>
        <v>0</v>
      </c>
      <c r="G209" s="96">
        <f>'callPut（W）'!I207</f>
        <v>0</v>
      </c>
      <c r="H209" s="96">
        <f>'callPut（F）'!I207</f>
        <v>0</v>
      </c>
      <c r="J209" s="99"/>
      <c r="K209" s="99"/>
      <c r="L209" s="99"/>
      <c r="M209" s="101"/>
      <c r="N209" s="101"/>
    </row>
    <row r="210" spans="2:14" ht="15.75" hidden="1" customHeight="1" x14ac:dyDescent="0.25">
      <c r="B210" s="96">
        <f>'callPut（W）'!G208</f>
        <v>0</v>
      </c>
      <c r="C210" s="96">
        <f>'callPut（F）'!G208</f>
        <v>0</v>
      </c>
      <c r="D210" s="46">
        <f t="shared" si="6"/>
        <v>0</v>
      </c>
      <c r="E210" s="96">
        <v>25800</v>
      </c>
      <c r="F210" s="46">
        <f t="shared" si="7"/>
        <v>0</v>
      </c>
      <c r="G210" s="96">
        <f>'callPut（W）'!I208</f>
        <v>0</v>
      </c>
      <c r="H210" s="96">
        <f>'callPut（F）'!I208</f>
        <v>0</v>
      </c>
      <c r="J210" s="99"/>
      <c r="K210" s="99"/>
      <c r="L210" s="99"/>
      <c r="M210" s="101"/>
      <c r="N210" s="101"/>
    </row>
    <row r="211" spans="2:14" ht="15.75" hidden="1" customHeight="1" x14ac:dyDescent="0.25">
      <c r="B211" s="96">
        <f>'callPut（W）'!G209</f>
        <v>0</v>
      </c>
      <c r="C211" s="96">
        <f>'callPut（F）'!G209</f>
        <v>0</v>
      </c>
      <c r="D211" s="46">
        <f t="shared" si="6"/>
        <v>0</v>
      </c>
      <c r="E211" s="96">
        <v>25850</v>
      </c>
      <c r="F211" s="46">
        <f t="shared" si="7"/>
        <v>0</v>
      </c>
      <c r="G211" s="96">
        <f>'callPut（W）'!I209</f>
        <v>0</v>
      </c>
      <c r="H211" s="96">
        <f>'callPut（F）'!I209</f>
        <v>0</v>
      </c>
      <c r="J211" s="99"/>
      <c r="K211" s="99"/>
      <c r="L211" s="99"/>
      <c r="M211" s="101"/>
      <c r="N211" s="101"/>
    </row>
    <row r="212" spans="2:14" ht="15.75" hidden="1" customHeight="1" x14ac:dyDescent="0.25">
      <c r="B212" s="96">
        <f>'callPut（W）'!G210</f>
        <v>0</v>
      </c>
      <c r="C212" s="96">
        <f>'callPut（F）'!G210</f>
        <v>0</v>
      </c>
      <c r="D212" s="46">
        <f t="shared" si="6"/>
        <v>0</v>
      </c>
      <c r="E212" s="96">
        <v>25900</v>
      </c>
      <c r="F212" s="46">
        <f t="shared" si="7"/>
        <v>0</v>
      </c>
      <c r="G212" s="96">
        <f>'callPut（W）'!I210</f>
        <v>0</v>
      </c>
      <c r="H212" s="96">
        <f>'callPut（F）'!I210</f>
        <v>0</v>
      </c>
      <c r="J212" s="99"/>
      <c r="K212" s="99"/>
      <c r="L212" s="99"/>
      <c r="M212" s="101"/>
      <c r="N212" s="101"/>
    </row>
    <row r="213" spans="2:14" ht="15.75" hidden="1" customHeight="1" x14ac:dyDescent="0.25">
      <c r="B213" s="96">
        <f>'callPut（W）'!G211</f>
        <v>0</v>
      </c>
      <c r="C213" s="96">
        <f>'callPut（F）'!G211</f>
        <v>0</v>
      </c>
      <c r="D213" s="46">
        <f t="shared" si="6"/>
        <v>0</v>
      </c>
      <c r="E213" s="96">
        <v>25950</v>
      </c>
      <c r="F213" s="46">
        <f t="shared" si="7"/>
        <v>0</v>
      </c>
      <c r="G213" s="96">
        <f>'callPut（W）'!I211</f>
        <v>0</v>
      </c>
      <c r="H213" s="96">
        <f>'callPut（F）'!I211</f>
        <v>0</v>
      </c>
      <c r="J213" s="99"/>
      <c r="K213" s="99"/>
      <c r="L213" s="99"/>
      <c r="M213" s="101"/>
      <c r="N213" s="101"/>
    </row>
    <row r="214" spans="2:14" ht="15.75" hidden="1" customHeight="1" x14ac:dyDescent="0.25">
      <c r="B214" s="96">
        <f>'callPut（W）'!G212</f>
        <v>0</v>
      </c>
      <c r="C214" s="96">
        <f>'callPut（F）'!G212</f>
        <v>0</v>
      </c>
      <c r="D214" s="46">
        <f t="shared" si="6"/>
        <v>0</v>
      </c>
      <c r="E214" s="96">
        <v>26000</v>
      </c>
      <c r="F214" s="46">
        <f t="shared" si="7"/>
        <v>0</v>
      </c>
      <c r="G214" s="96">
        <f>'callPut（W）'!I212</f>
        <v>0</v>
      </c>
      <c r="H214" s="96">
        <f>'callPut（F）'!I212</f>
        <v>0</v>
      </c>
      <c r="J214" s="99"/>
      <c r="K214" s="99"/>
      <c r="L214" s="99"/>
      <c r="M214" s="101"/>
      <c r="N214" s="101"/>
    </row>
    <row r="215" spans="2:14" ht="15.75" hidden="1" customHeight="1" x14ac:dyDescent="0.25">
      <c r="B215" s="96">
        <f>'callPut（W）'!G213</f>
        <v>0</v>
      </c>
      <c r="C215" s="96">
        <f>'callPut（F）'!G213</f>
        <v>0</v>
      </c>
      <c r="D215" s="46">
        <f t="shared" si="6"/>
        <v>0</v>
      </c>
      <c r="E215" s="96">
        <v>26050</v>
      </c>
      <c r="F215" s="46">
        <f t="shared" si="7"/>
        <v>0</v>
      </c>
      <c r="G215" s="96">
        <f>'callPut（W）'!I213</f>
        <v>0</v>
      </c>
      <c r="H215" s="96">
        <f>'callPut（F）'!I213</f>
        <v>0</v>
      </c>
      <c r="J215" s="99"/>
      <c r="K215" s="99"/>
      <c r="L215" s="99"/>
      <c r="M215" s="101"/>
      <c r="N215" s="101"/>
    </row>
    <row r="216" spans="2:14" ht="15.75" hidden="1" customHeight="1" x14ac:dyDescent="0.25">
      <c r="B216" s="96">
        <f>'callPut（W）'!G214</f>
        <v>0</v>
      </c>
      <c r="C216" s="96">
        <f>'callPut（F）'!G214</f>
        <v>0</v>
      </c>
      <c r="D216" s="46">
        <f t="shared" si="6"/>
        <v>0</v>
      </c>
      <c r="E216" s="96">
        <v>26100</v>
      </c>
      <c r="F216" s="46">
        <f t="shared" si="7"/>
        <v>0</v>
      </c>
      <c r="G216" s="96">
        <f>'callPut（W）'!I214</f>
        <v>0</v>
      </c>
      <c r="H216" s="96">
        <f>'callPut（F）'!I214</f>
        <v>0</v>
      </c>
      <c r="J216" s="99"/>
      <c r="K216" s="99"/>
      <c r="L216" s="99"/>
      <c r="M216" s="101"/>
      <c r="N216" s="101"/>
    </row>
    <row r="217" spans="2:14" ht="15.75" hidden="1" customHeight="1" x14ac:dyDescent="0.25">
      <c r="B217" s="96">
        <f>'callPut（W）'!G215</f>
        <v>0</v>
      </c>
      <c r="C217" s="96">
        <f>'callPut（F）'!G215</f>
        <v>0</v>
      </c>
      <c r="D217" s="46">
        <f t="shared" si="6"/>
        <v>0</v>
      </c>
      <c r="E217" s="96">
        <v>26150</v>
      </c>
      <c r="F217" s="46">
        <f t="shared" si="7"/>
        <v>0</v>
      </c>
      <c r="G217" s="96">
        <f>'callPut（W）'!I215</f>
        <v>0</v>
      </c>
      <c r="H217" s="96">
        <f>'callPut（F）'!I215</f>
        <v>0</v>
      </c>
      <c r="J217" s="99"/>
      <c r="K217" s="99"/>
      <c r="L217" s="99"/>
      <c r="M217" s="101"/>
      <c r="N217" s="101"/>
    </row>
    <row r="218" spans="2:14" ht="15.75" hidden="1" customHeight="1" x14ac:dyDescent="0.25">
      <c r="B218" s="96">
        <f>'callPut（W）'!G216</f>
        <v>0</v>
      </c>
      <c r="C218" s="96">
        <f>'callPut（F）'!G216</f>
        <v>0</v>
      </c>
      <c r="D218" s="46">
        <f t="shared" si="6"/>
        <v>0</v>
      </c>
      <c r="E218" s="96">
        <v>26200</v>
      </c>
      <c r="F218" s="46">
        <f t="shared" si="7"/>
        <v>0</v>
      </c>
      <c r="G218" s="96">
        <f>'callPut（W）'!I216</f>
        <v>0</v>
      </c>
      <c r="H218" s="96">
        <f>'callPut（F）'!I216</f>
        <v>0</v>
      </c>
      <c r="J218" s="99"/>
      <c r="K218" s="99"/>
      <c r="L218" s="99"/>
      <c r="M218" s="101"/>
      <c r="N218" s="101"/>
    </row>
    <row r="219" spans="2:14" ht="15.75" hidden="1" customHeight="1" x14ac:dyDescent="0.25">
      <c r="B219" s="96">
        <f>'callPut（W）'!G217</f>
        <v>0</v>
      </c>
      <c r="C219" s="96">
        <f>'callPut（F）'!G217</f>
        <v>0</v>
      </c>
      <c r="D219" s="46">
        <f t="shared" si="6"/>
        <v>0</v>
      </c>
      <c r="E219" s="96">
        <v>26250</v>
      </c>
      <c r="F219" s="46">
        <f t="shared" si="7"/>
        <v>0</v>
      </c>
      <c r="G219" s="96">
        <f>'callPut（W）'!I217</f>
        <v>0</v>
      </c>
      <c r="H219" s="96">
        <f>'callPut（F）'!I217</f>
        <v>0</v>
      </c>
      <c r="J219" s="99"/>
      <c r="K219" s="99"/>
      <c r="L219" s="99"/>
      <c r="M219" s="101"/>
      <c r="N219" s="101"/>
    </row>
    <row r="220" spans="2:14" ht="15.75" hidden="1" customHeight="1" x14ac:dyDescent="0.25">
      <c r="B220" s="96">
        <f>'callPut（W）'!G218</f>
        <v>0</v>
      </c>
      <c r="C220" s="96">
        <f>'callPut（F）'!G218</f>
        <v>0</v>
      </c>
      <c r="D220" s="46">
        <f t="shared" si="6"/>
        <v>0</v>
      </c>
      <c r="E220" s="96">
        <v>26300</v>
      </c>
      <c r="F220" s="46">
        <f t="shared" si="7"/>
        <v>0</v>
      </c>
      <c r="G220" s="96">
        <f>'callPut（W）'!I218</f>
        <v>0</v>
      </c>
      <c r="H220" s="96">
        <f>'callPut（F）'!I218</f>
        <v>0</v>
      </c>
      <c r="J220" s="99"/>
      <c r="K220" s="99"/>
      <c r="L220" s="99"/>
      <c r="M220" s="101"/>
      <c r="N220" s="101"/>
    </row>
    <row r="221" spans="2:14" ht="15.75" hidden="1" customHeight="1" x14ac:dyDescent="0.25">
      <c r="B221" s="96">
        <f>'callPut（W）'!G219</f>
        <v>0</v>
      </c>
      <c r="C221" s="96">
        <f>'callPut（F）'!G219</f>
        <v>0</v>
      </c>
      <c r="D221" s="46">
        <f t="shared" si="6"/>
        <v>0</v>
      </c>
      <c r="E221" s="96">
        <v>26350</v>
      </c>
      <c r="F221" s="46">
        <f t="shared" si="7"/>
        <v>0</v>
      </c>
      <c r="G221" s="96">
        <f>'callPut（W）'!I219</f>
        <v>0</v>
      </c>
      <c r="H221" s="96">
        <f>'callPut（F）'!I219</f>
        <v>0</v>
      </c>
      <c r="J221" s="99"/>
      <c r="K221" s="99"/>
      <c r="L221" s="99"/>
      <c r="M221" s="101"/>
      <c r="N221" s="101"/>
    </row>
    <row r="222" spans="2:14" ht="15.75" hidden="1" customHeight="1" x14ac:dyDescent="0.25">
      <c r="B222" s="96">
        <f>'callPut（W）'!G220</f>
        <v>0</v>
      </c>
      <c r="C222" s="96">
        <f>'callPut（F）'!G220</f>
        <v>0</v>
      </c>
      <c r="D222" s="46">
        <f t="shared" si="6"/>
        <v>0</v>
      </c>
      <c r="E222" s="96">
        <v>26400</v>
      </c>
      <c r="F222" s="46">
        <f t="shared" si="7"/>
        <v>0</v>
      </c>
      <c r="G222" s="96">
        <f>'callPut（W）'!I220</f>
        <v>0</v>
      </c>
      <c r="H222" s="96">
        <f>'callPut（F）'!I220</f>
        <v>0</v>
      </c>
      <c r="J222" s="99"/>
      <c r="K222" s="99"/>
      <c r="L222" s="99"/>
      <c r="M222" s="101"/>
      <c r="N222" s="101"/>
    </row>
    <row r="223" spans="2:14" ht="15.75" hidden="1" customHeight="1" x14ac:dyDescent="0.25">
      <c r="B223" s="96">
        <f>'callPut（W）'!G221</f>
        <v>0</v>
      </c>
      <c r="C223" s="96">
        <f>'callPut（F）'!G221</f>
        <v>0</v>
      </c>
      <c r="D223" s="46">
        <f t="shared" si="6"/>
        <v>0</v>
      </c>
      <c r="E223" s="96">
        <v>26450</v>
      </c>
      <c r="F223" s="46">
        <f t="shared" si="7"/>
        <v>0</v>
      </c>
      <c r="G223" s="96">
        <f>'callPut（W）'!I221</f>
        <v>0</v>
      </c>
      <c r="H223" s="96">
        <f>'callPut（F）'!I221</f>
        <v>0</v>
      </c>
      <c r="J223" s="99"/>
      <c r="K223" s="99"/>
      <c r="L223" s="99"/>
      <c r="M223" s="101"/>
      <c r="N223" s="101"/>
    </row>
    <row r="224" spans="2:14" ht="15.75" hidden="1" customHeight="1" x14ac:dyDescent="0.25">
      <c r="B224" s="96">
        <f>'callPut（W）'!G222</f>
        <v>0</v>
      </c>
      <c r="C224" s="96">
        <f>'callPut（F）'!G222</f>
        <v>0</v>
      </c>
      <c r="D224" s="46">
        <f t="shared" si="6"/>
        <v>0</v>
      </c>
      <c r="E224" s="96">
        <v>26500</v>
      </c>
      <c r="F224" s="46">
        <f t="shared" si="7"/>
        <v>0</v>
      </c>
      <c r="G224" s="96">
        <f>'callPut（W）'!I222</f>
        <v>0</v>
      </c>
      <c r="H224" s="96">
        <f>'callPut（F）'!I222</f>
        <v>0</v>
      </c>
      <c r="J224" s="99"/>
      <c r="K224" s="99"/>
      <c r="L224" s="99"/>
      <c r="M224" s="101"/>
      <c r="N224" s="101"/>
    </row>
    <row r="225" spans="2:14" ht="15.75" hidden="1" customHeight="1" x14ac:dyDescent="0.25">
      <c r="B225" s="96">
        <f>'callPut（W）'!G223</f>
        <v>0</v>
      </c>
      <c r="C225" s="96">
        <f>'callPut（F）'!G223</f>
        <v>0</v>
      </c>
      <c r="D225" s="46">
        <f t="shared" si="6"/>
        <v>0</v>
      </c>
      <c r="E225" s="96">
        <v>26550</v>
      </c>
      <c r="F225" s="46">
        <f t="shared" si="7"/>
        <v>0</v>
      </c>
      <c r="G225" s="96">
        <f>'callPut（W）'!I223</f>
        <v>0</v>
      </c>
      <c r="H225" s="96">
        <f>'callPut（F）'!I223</f>
        <v>0</v>
      </c>
      <c r="J225" s="99"/>
      <c r="K225" s="99"/>
      <c r="L225" s="99"/>
      <c r="M225" s="101"/>
      <c r="N225" s="101"/>
    </row>
    <row r="226" spans="2:14" ht="15.75" hidden="1" customHeight="1" x14ac:dyDescent="0.25">
      <c r="B226" s="96">
        <f>'callPut（W）'!G224</f>
        <v>0</v>
      </c>
      <c r="C226" s="96">
        <f>'callPut（F）'!G224</f>
        <v>0</v>
      </c>
      <c r="D226" s="46">
        <f t="shared" si="6"/>
        <v>0</v>
      </c>
      <c r="E226" s="96">
        <v>26600</v>
      </c>
      <c r="F226" s="46">
        <f t="shared" si="7"/>
        <v>0</v>
      </c>
      <c r="G226" s="96">
        <f>'callPut（W）'!I224</f>
        <v>0</v>
      </c>
      <c r="H226" s="96">
        <f>'callPut（F）'!I224</f>
        <v>0</v>
      </c>
      <c r="J226" s="99"/>
      <c r="K226" s="99"/>
      <c r="L226" s="99"/>
      <c r="M226" s="101"/>
      <c r="N226" s="101"/>
    </row>
    <row r="227" spans="2:14" ht="15.75" hidden="1" customHeight="1" x14ac:dyDescent="0.25">
      <c r="B227" s="96">
        <f>'callPut（W）'!G225</f>
        <v>0</v>
      </c>
      <c r="C227" s="96">
        <f>'callPut（F）'!G225</f>
        <v>0</v>
      </c>
      <c r="D227" s="46">
        <f t="shared" si="6"/>
        <v>0</v>
      </c>
      <c r="E227" s="96">
        <v>26650</v>
      </c>
      <c r="F227" s="46">
        <f t="shared" si="7"/>
        <v>0</v>
      </c>
      <c r="G227" s="96">
        <f>'callPut（W）'!I225</f>
        <v>0</v>
      </c>
      <c r="H227" s="96">
        <f>'callPut（F）'!I225</f>
        <v>0</v>
      </c>
      <c r="J227" s="99"/>
      <c r="K227" s="99"/>
      <c r="L227" s="99"/>
      <c r="M227" s="101"/>
      <c r="N227" s="101"/>
    </row>
    <row r="228" spans="2:14" ht="15.75" hidden="1" customHeight="1" x14ac:dyDescent="0.25">
      <c r="B228" s="96">
        <f>'callPut（W）'!G226</f>
        <v>0</v>
      </c>
      <c r="C228" s="96">
        <f>'callPut（F）'!G226</f>
        <v>0</v>
      </c>
      <c r="D228" s="46">
        <f t="shared" si="6"/>
        <v>0</v>
      </c>
      <c r="E228" s="96">
        <v>26700</v>
      </c>
      <c r="F228" s="46">
        <f t="shared" si="7"/>
        <v>0</v>
      </c>
      <c r="G228" s="96">
        <f>'callPut（W）'!I226</f>
        <v>0</v>
      </c>
      <c r="H228" s="96">
        <f>'callPut（F）'!I226</f>
        <v>0</v>
      </c>
      <c r="J228" s="99"/>
      <c r="K228" s="99"/>
      <c r="L228" s="99"/>
      <c r="M228" s="101"/>
      <c r="N228" s="101"/>
    </row>
    <row r="229" spans="2:14" ht="15.75" hidden="1" customHeight="1" x14ac:dyDescent="0.25">
      <c r="B229" s="96">
        <f>'callPut（W）'!G227</f>
        <v>0</v>
      </c>
      <c r="C229" s="96">
        <f>'callPut（F）'!G227</f>
        <v>0</v>
      </c>
      <c r="D229" s="46">
        <f t="shared" si="6"/>
        <v>0</v>
      </c>
      <c r="E229" s="96">
        <v>26750</v>
      </c>
      <c r="F229" s="46">
        <f t="shared" si="7"/>
        <v>0</v>
      </c>
      <c r="G229" s="96">
        <f>'callPut（W）'!I227</f>
        <v>0</v>
      </c>
      <c r="H229" s="96">
        <f>'callPut（F）'!I227</f>
        <v>0</v>
      </c>
      <c r="J229" s="99"/>
      <c r="K229" s="99"/>
      <c r="L229" s="99"/>
      <c r="M229" s="101"/>
      <c r="N229" s="101"/>
    </row>
    <row r="230" spans="2:14" ht="15.75" hidden="1" customHeight="1" x14ac:dyDescent="0.25">
      <c r="B230" s="96">
        <f>'callPut（W）'!G228</f>
        <v>0</v>
      </c>
      <c r="C230" s="96">
        <f>'callPut（F）'!G228</f>
        <v>0</v>
      </c>
      <c r="D230" s="46">
        <f t="shared" si="6"/>
        <v>0</v>
      </c>
      <c r="E230" s="96">
        <v>26800</v>
      </c>
      <c r="F230" s="46">
        <f t="shared" si="7"/>
        <v>0</v>
      </c>
      <c r="G230" s="96">
        <f>'callPut（W）'!I228</f>
        <v>0</v>
      </c>
      <c r="H230" s="96">
        <f>'callPut（F）'!I228</f>
        <v>0</v>
      </c>
      <c r="J230" s="99"/>
      <c r="K230" s="99"/>
      <c r="L230" s="99"/>
      <c r="M230" s="101"/>
      <c r="N230" s="101"/>
    </row>
    <row r="231" spans="2:14" ht="15.75" hidden="1" customHeight="1" x14ac:dyDescent="0.25">
      <c r="B231" s="96">
        <f>'callPut（W）'!G229</f>
        <v>0</v>
      </c>
      <c r="C231" s="96">
        <f>'callPut（F）'!G229</f>
        <v>0</v>
      </c>
      <c r="D231" s="46">
        <f t="shared" si="6"/>
        <v>0</v>
      </c>
      <c r="E231" s="96">
        <v>26850</v>
      </c>
      <c r="F231" s="46">
        <f t="shared" si="7"/>
        <v>0</v>
      </c>
      <c r="G231" s="96">
        <f>'callPut（W）'!I229</f>
        <v>0</v>
      </c>
      <c r="H231" s="96">
        <f>'callPut（F）'!I229</f>
        <v>0</v>
      </c>
      <c r="J231" s="99"/>
      <c r="K231" s="99"/>
      <c r="L231" s="99"/>
      <c r="M231" s="101"/>
      <c r="N231" s="101"/>
    </row>
    <row r="232" spans="2:14" ht="15.75" hidden="1" customHeight="1" x14ac:dyDescent="0.25">
      <c r="B232" s="96">
        <f>'callPut（W）'!G230</f>
        <v>0</v>
      </c>
      <c r="C232" s="96">
        <f>'callPut（F）'!G230</f>
        <v>0</v>
      </c>
      <c r="D232" s="46">
        <f t="shared" si="6"/>
        <v>0</v>
      </c>
      <c r="E232" s="96">
        <v>26900</v>
      </c>
      <c r="F232" s="46">
        <f t="shared" si="7"/>
        <v>0</v>
      </c>
      <c r="G232" s="96">
        <f>'callPut（W）'!I230</f>
        <v>0</v>
      </c>
      <c r="H232" s="96">
        <f>'callPut（F）'!I230</f>
        <v>0</v>
      </c>
      <c r="J232" s="99"/>
      <c r="K232" s="99"/>
      <c r="L232" s="99"/>
      <c r="M232" s="101"/>
      <c r="N232" s="101"/>
    </row>
    <row r="233" spans="2:14" ht="15.75" hidden="1" customHeight="1" x14ac:dyDescent="0.25">
      <c r="B233" s="96">
        <f>'callPut（W）'!G231</f>
        <v>0</v>
      </c>
      <c r="C233" s="96">
        <f>'callPut（F）'!G231</f>
        <v>0</v>
      </c>
      <c r="D233" s="46">
        <f t="shared" si="6"/>
        <v>0</v>
      </c>
      <c r="E233" s="96">
        <v>26950</v>
      </c>
      <c r="F233" s="46">
        <f t="shared" si="7"/>
        <v>0</v>
      </c>
      <c r="G233" s="96">
        <f>'callPut（W）'!I231</f>
        <v>0</v>
      </c>
      <c r="H233" s="96">
        <f>'callPut（F）'!I231</f>
        <v>0</v>
      </c>
      <c r="J233" s="99"/>
      <c r="K233" s="99"/>
      <c r="L233" s="99"/>
      <c r="M233" s="101"/>
      <c r="N233" s="101"/>
    </row>
    <row r="234" spans="2:14" ht="15.75" hidden="1" customHeight="1" x14ac:dyDescent="0.25">
      <c r="B234" s="96">
        <f>'callPut（W）'!G232</f>
        <v>0</v>
      </c>
      <c r="C234" s="96">
        <f>'callPut（F）'!G232</f>
        <v>0</v>
      </c>
      <c r="D234" s="46">
        <f t="shared" si="6"/>
        <v>0</v>
      </c>
      <c r="E234" s="96">
        <v>27000</v>
      </c>
      <c r="F234" s="46">
        <f t="shared" si="7"/>
        <v>0</v>
      </c>
      <c r="G234" s="96">
        <f>'callPut（W）'!I232</f>
        <v>0</v>
      </c>
      <c r="H234" s="96">
        <f>'callPut（F）'!I232</f>
        <v>0</v>
      </c>
      <c r="J234" s="99"/>
      <c r="K234" s="99"/>
      <c r="L234" s="99"/>
      <c r="M234" s="101"/>
      <c r="N234" s="101"/>
    </row>
    <row r="235" spans="2:14" ht="15.75" hidden="1" customHeight="1" x14ac:dyDescent="0.25">
      <c r="B235" s="96">
        <f>'callPut（W）'!G233</f>
        <v>0</v>
      </c>
      <c r="C235" s="96">
        <f>'callPut（F）'!G233</f>
        <v>0</v>
      </c>
      <c r="D235" s="46">
        <f t="shared" si="6"/>
        <v>0</v>
      </c>
      <c r="E235" s="96">
        <v>27050</v>
      </c>
      <c r="F235" s="46">
        <f t="shared" si="7"/>
        <v>0</v>
      </c>
      <c r="G235" s="96">
        <f>'callPut（W）'!I233</f>
        <v>0</v>
      </c>
      <c r="H235" s="96">
        <f>'callPut（F）'!I233</f>
        <v>0</v>
      </c>
      <c r="J235" s="99"/>
      <c r="K235" s="99"/>
      <c r="L235" s="99"/>
      <c r="M235" s="101"/>
      <c r="N235" s="101"/>
    </row>
    <row r="236" spans="2:14" ht="15.75" hidden="1" customHeight="1" x14ac:dyDescent="0.25">
      <c r="B236" s="96">
        <f>'callPut（W）'!G234</f>
        <v>0</v>
      </c>
      <c r="C236" s="96">
        <f>'callPut（F）'!G234</f>
        <v>0</v>
      </c>
      <c r="D236" s="46">
        <f t="shared" si="6"/>
        <v>0</v>
      </c>
      <c r="E236" s="96">
        <v>27100</v>
      </c>
      <c r="F236" s="46">
        <f t="shared" si="7"/>
        <v>0</v>
      </c>
      <c r="G236" s="96">
        <f>'callPut（W）'!I234</f>
        <v>0</v>
      </c>
      <c r="H236" s="96">
        <f>'callPut（F）'!I234</f>
        <v>0</v>
      </c>
      <c r="J236" s="99"/>
      <c r="K236" s="99"/>
      <c r="L236" s="99"/>
      <c r="M236" s="101"/>
      <c r="N236" s="101"/>
    </row>
    <row r="237" spans="2:14" ht="15.75" hidden="1" customHeight="1" x14ac:dyDescent="0.25">
      <c r="B237" s="96">
        <f>'callPut（W）'!G235</f>
        <v>0</v>
      </c>
      <c r="C237" s="96">
        <f>'callPut（F）'!G235</f>
        <v>0</v>
      </c>
      <c r="D237" s="46">
        <f t="shared" si="6"/>
        <v>0</v>
      </c>
      <c r="E237" s="96">
        <v>27150</v>
      </c>
      <c r="F237" s="46">
        <f t="shared" si="7"/>
        <v>0</v>
      </c>
      <c r="G237" s="96">
        <f>'callPut（W）'!I235</f>
        <v>0</v>
      </c>
      <c r="H237" s="96">
        <f>'callPut（F）'!I235</f>
        <v>0</v>
      </c>
      <c r="J237" s="99"/>
      <c r="K237" s="99"/>
      <c r="L237" s="99"/>
      <c r="M237" s="101"/>
      <c r="N237" s="101"/>
    </row>
    <row r="238" spans="2:14" ht="15.75" hidden="1" customHeight="1" x14ac:dyDescent="0.25">
      <c r="B238" s="96">
        <f>'callPut（W）'!G236</f>
        <v>0</v>
      </c>
      <c r="C238" s="96">
        <f>'callPut（F）'!G236</f>
        <v>0</v>
      </c>
      <c r="D238" s="46">
        <f t="shared" si="6"/>
        <v>0</v>
      </c>
      <c r="E238" s="96">
        <v>27200</v>
      </c>
      <c r="F238" s="46">
        <f t="shared" si="7"/>
        <v>0</v>
      </c>
      <c r="G238" s="96">
        <f>'callPut（W）'!I236</f>
        <v>0</v>
      </c>
      <c r="H238" s="96">
        <f>'callPut（F）'!I236</f>
        <v>0</v>
      </c>
      <c r="J238" s="99"/>
      <c r="K238" s="99"/>
      <c r="L238" s="99"/>
      <c r="M238" s="101"/>
      <c r="N238" s="101"/>
    </row>
    <row r="239" spans="2:14" ht="15.75" hidden="1" customHeight="1" x14ac:dyDescent="0.25">
      <c r="B239" s="96">
        <f>'callPut（W）'!G237</f>
        <v>0</v>
      </c>
      <c r="C239" s="96">
        <f>'callPut（F）'!G237</f>
        <v>0</v>
      </c>
      <c r="D239" s="46">
        <f t="shared" si="6"/>
        <v>0</v>
      </c>
      <c r="E239" s="96">
        <v>27250</v>
      </c>
      <c r="F239" s="46">
        <f t="shared" si="7"/>
        <v>0</v>
      </c>
      <c r="G239" s="96">
        <f>'callPut（W）'!I237</f>
        <v>0</v>
      </c>
      <c r="H239" s="96">
        <f>'callPut（F）'!I237</f>
        <v>0</v>
      </c>
      <c r="J239" s="99"/>
      <c r="K239" s="99"/>
      <c r="L239" s="99"/>
      <c r="M239" s="101"/>
      <c r="N239" s="101"/>
    </row>
    <row r="240" spans="2:14" ht="15.75" hidden="1" customHeight="1" x14ac:dyDescent="0.25">
      <c r="B240" s="96">
        <f>'callPut（W）'!G238</f>
        <v>0</v>
      </c>
      <c r="C240" s="96">
        <f>'callPut（F）'!G238</f>
        <v>0</v>
      </c>
      <c r="D240" s="46">
        <f t="shared" si="6"/>
        <v>0</v>
      </c>
      <c r="E240" s="96">
        <v>27300</v>
      </c>
      <c r="F240" s="46">
        <f t="shared" si="7"/>
        <v>0</v>
      </c>
      <c r="G240" s="96">
        <f>'callPut（W）'!I238</f>
        <v>0</v>
      </c>
      <c r="H240" s="96">
        <f>'callPut（F）'!I238</f>
        <v>0</v>
      </c>
      <c r="J240" s="99"/>
      <c r="K240" s="99"/>
      <c r="L240" s="99"/>
      <c r="M240" s="101"/>
      <c r="N240" s="101"/>
    </row>
    <row r="241" spans="2:14" ht="15.75" hidden="1" customHeight="1" x14ac:dyDescent="0.25">
      <c r="B241" s="96">
        <f>'callPut（W）'!G239</f>
        <v>0</v>
      </c>
      <c r="C241" s="96">
        <f>'callPut（F）'!G239</f>
        <v>0</v>
      </c>
      <c r="D241" s="46">
        <f t="shared" si="6"/>
        <v>0</v>
      </c>
      <c r="E241" s="96">
        <v>27350</v>
      </c>
      <c r="F241" s="46">
        <f t="shared" si="7"/>
        <v>0</v>
      </c>
      <c r="G241" s="96">
        <f>'callPut（W）'!I239</f>
        <v>0</v>
      </c>
      <c r="H241" s="96">
        <f>'callPut（F）'!I239</f>
        <v>0</v>
      </c>
      <c r="J241" s="99"/>
      <c r="K241" s="99"/>
      <c r="L241" s="99"/>
      <c r="M241" s="101"/>
      <c r="N241" s="101"/>
    </row>
    <row r="242" spans="2:14" ht="15.75" hidden="1" customHeight="1" x14ac:dyDescent="0.25">
      <c r="B242" s="96">
        <f>'callPut（W）'!G240</f>
        <v>0</v>
      </c>
      <c r="C242" s="96">
        <f>'callPut（F）'!G240</f>
        <v>0</v>
      </c>
      <c r="D242" s="46">
        <f t="shared" si="6"/>
        <v>0</v>
      </c>
      <c r="E242" s="96">
        <v>27400</v>
      </c>
      <c r="F242" s="46">
        <f t="shared" si="7"/>
        <v>0</v>
      </c>
      <c r="G242" s="96">
        <f>'callPut（W）'!I240</f>
        <v>0</v>
      </c>
      <c r="H242" s="96">
        <f>'callPut（F）'!I240</f>
        <v>0</v>
      </c>
      <c r="J242" s="99"/>
      <c r="K242" s="99"/>
      <c r="L242" s="99"/>
      <c r="M242" s="101"/>
      <c r="N242" s="101"/>
    </row>
    <row r="243" spans="2:14" ht="15.75" hidden="1" customHeight="1" x14ac:dyDescent="0.25">
      <c r="B243" s="96">
        <f>'callPut（W）'!G241</f>
        <v>0</v>
      </c>
      <c r="C243" s="96">
        <f>'callPut（F）'!G241</f>
        <v>0</v>
      </c>
      <c r="D243" s="46">
        <f t="shared" si="6"/>
        <v>0</v>
      </c>
      <c r="E243" s="96">
        <v>27450</v>
      </c>
      <c r="F243" s="46">
        <f t="shared" si="7"/>
        <v>0</v>
      </c>
      <c r="G243" s="96">
        <f>'callPut（W）'!I241</f>
        <v>0</v>
      </c>
      <c r="H243" s="96">
        <f>'callPut（F）'!I241</f>
        <v>0</v>
      </c>
      <c r="J243" s="99"/>
      <c r="K243" s="99"/>
      <c r="L243" s="99"/>
      <c r="M243" s="101"/>
      <c r="N243" s="101"/>
    </row>
    <row r="244" spans="2:14" ht="15.75" hidden="1" customHeight="1" x14ac:dyDescent="0.25">
      <c r="B244" s="96">
        <f>'callPut（W）'!G242</f>
        <v>0</v>
      </c>
      <c r="C244" s="96">
        <f>'callPut（F）'!G242</f>
        <v>0</v>
      </c>
      <c r="D244" s="46">
        <f t="shared" si="6"/>
        <v>0</v>
      </c>
      <c r="E244" s="96">
        <v>27500</v>
      </c>
      <c r="F244" s="46">
        <f t="shared" si="7"/>
        <v>0</v>
      </c>
      <c r="G244" s="96">
        <f>'callPut（W）'!I242</f>
        <v>0</v>
      </c>
      <c r="H244" s="96">
        <f>'callPut（F）'!I242</f>
        <v>0</v>
      </c>
      <c r="J244" s="99"/>
      <c r="K244" s="99"/>
      <c r="L244" s="99"/>
      <c r="M244" s="101"/>
      <c r="N244" s="101"/>
    </row>
    <row r="245" spans="2:14" ht="15.75" hidden="1" customHeight="1" x14ac:dyDescent="0.25">
      <c r="B245" s="96">
        <f>'callPut（W）'!G243</f>
        <v>0</v>
      </c>
      <c r="C245" s="96">
        <f>'callPut（F）'!G243</f>
        <v>0</v>
      </c>
      <c r="D245" s="46">
        <f t="shared" si="6"/>
        <v>0</v>
      </c>
      <c r="E245" s="96">
        <v>27550</v>
      </c>
      <c r="F245" s="46">
        <f t="shared" si="7"/>
        <v>0</v>
      </c>
      <c r="G245" s="96">
        <f>'callPut（W）'!I243</f>
        <v>0</v>
      </c>
      <c r="H245" s="96">
        <f>'callPut（F）'!I243</f>
        <v>0</v>
      </c>
      <c r="J245" s="99"/>
      <c r="K245" s="99"/>
      <c r="L245" s="99"/>
      <c r="M245" s="101"/>
      <c r="N245" s="101"/>
    </row>
    <row r="246" spans="2:14" ht="15.75" hidden="1" customHeight="1" x14ac:dyDescent="0.25">
      <c r="B246" s="96">
        <f>'callPut（W）'!G244</f>
        <v>0</v>
      </c>
      <c r="C246" s="96">
        <f>'callPut（F）'!G244</f>
        <v>0</v>
      </c>
      <c r="D246" s="46">
        <f t="shared" si="6"/>
        <v>0</v>
      </c>
      <c r="E246" s="96">
        <v>27600</v>
      </c>
      <c r="F246" s="46">
        <f t="shared" si="7"/>
        <v>0</v>
      </c>
      <c r="G246" s="96">
        <f>'callPut（W）'!I244</f>
        <v>0</v>
      </c>
      <c r="H246" s="96">
        <f>'callPut（F）'!I244</f>
        <v>0</v>
      </c>
      <c r="J246" s="99"/>
      <c r="K246" s="99"/>
      <c r="L246" s="99"/>
      <c r="M246" s="101"/>
      <c r="N246" s="101"/>
    </row>
    <row r="247" spans="2:14" ht="15.75" hidden="1" customHeight="1" x14ac:dyDescent="0.25">
      <c r="B247" s="96">
        <f>'callPut（W）'!G245</f>
        <v>0</v>
      </c>
      <c r="C247" s="96">
        <f>'callPut（F）'!G245</f>
        <v>0</v>
      </c>
      <c r="D247" s="46">
        <f t="shared" si="6"/>
        <v>0</v>
      </c>
      <c r="E247" s="96">
        <v>27650</v>
      </c>
      <c r="F247" s="46">
        <f t="shared" si="7"/>
        <v>0</v>
      </c>
      <c r="G247" s="96">
        <f>'callPut（W）'!I245</f>
        <v>0</v>
      </c>
      <c r="H247" s="96">
        <f>'callPut（F）'!I245</f>
        <v>0</v>
      </c>
      <c r="J247" s="99"/>
      <c r="K247" s="99"/>
      <c r="L247" s="99"/>
      <c r="M247" s="101"/>
      <c r="N247" s="101"/>
    </row>
    <row r="248" spans="2:14" ht="15.75" hidden="1" customHeight="1" x14ac:dyDescent="0.25">
      <c r="B248" s="96">
        <f>'callPut（W）'!G246</f>
        <v>0</v>
      </c>
      <c r="C248" s="96">
        <f>'callPut（F）'!G246</f>
        <v>0</v>
      </c>
      <c r="D248" s="46">
        <f t="shared" si="6"/>
        <v>0</v>
      </c>
      <c r="E248" s="96">
        <v>27700</v>
      </c>
      <c r="F248" s="46">
        <f t="shared" si="7"/>
        <v>0</v>
      </c>
      <c r="G248" s="96">
        <f>'callPut（W）'!I246</f>
        <v>0</v>
      </c>
      <c r="H248" s="96">
        <f>'callPut（F）'!I246</f>
        <v>0</v>
      </c>
      <c r="J248" s="99"/>
      <c r="K248" s="99"/>
      <c r="L248" s="99"/>
      <c r="M248" s="101"/>
      <c r="N248" s="101"/>
    </row>
    <row r="249" spans="2:14" ht="15.75" hidden="1" customHeight="1" x14ac:dyDescent="0.25">
      <c r="B249" s="96">
        <f>'callPut（W）'!G247</f>
        <v>0</v>
      </c>
      <c r="C249" s="96">
        <f>'callPut（F）'!G247</f>
        <v>0</v>
      </c>
      <c r="D249" s="46">
        <f t="shared" si="6"/>
        <v>0</v>
      </c>
      <c r="E249" s="96">
        <v>27750</v>
      </c>
      <c r="F249" s="46">
        <f t="shared" si="7"/>
        <v>0</v>
      </c>
      <c r="G249" s="96">
        <f>'callPut（W）'!I247</f>
        <v>0</v>
      </c>
      <c r="H249" s="96">
        <f>'callPut（F）'!I247</f>
        <v>0</v>
      </c>
      <c r="J249" s="99"/>
      <c r="K249" s="99"/>
      <c r="L249" s="99"/>
      <c r="M249" s="101"/>
      <c r="N249" s="101"/>
    </row>
    <row r="250" spans="2:14" ht="15.75" hidden="1" customHeight="1" x14ac:dyDescent="0.25">
      <c r="B250" s="96">
        <f>'callPut（W）'!G248</f>
        <v>0</v>
      </c>
      <c r="C250" s="96">
        <f>'callPut（F）'!G248</f>
        <v>0</v>
      </c>
      <c r="D250" s="46">
        <f t="shared" si="6"/>
        <v>0</v>
      </c>
      <c r="E250" s="96">
        <v>27800</v>
      </c>
      <c r="F250" s="46">
        <f t="shared" si="7"/>
        <v>0</v>
      </c>
      <c r="G250" s="96">
        <f>'callPut（W）'!I248</f>
        <v>0</v>
      </c>
      <c r="H250" s="96">
        <f>'callPut（F）'!I248</f>
        <v>0</v>
      </c>
      <c r="J250" s="99"/>
      <c r="K250" s="99"/>
      <c r="L250" s="99"/>
      <c r="M250" s="101"/>
      <c r="N250" s="101"/>
    </row>
    <row r="251" spans="2:14" ht="15.75" hidden="1" customHeight="1" x14ac:dyDescent="0.25">
      <c r="B251" s="96">
        <f>'callPut（W）'!G249</f>
        <v>0</v>
      </c>
      <c r="C251" s="96">
        <f>'callPut（F）'!G249</f>
        <v>0</v>
      </c>
      <c r="D251" s="46">
        <f t="shared" si="6"/>
        <v>0</v>
      </c>
      <c r="E251" s="96">
        <v>27850</v>
      </c>
      <c r="F251" s="46">
        <f t="shared" si="7"/>
        <v>0</v>
      </c>
      <c r="G251" s="96">
        <f>'callPut（W）'!I249</f>
        <v>0</v>
      </c>
      <c r="H251" s="96">
        <f>'callPut（F）'!I249</f>
        <v>0</v>
      </c>
      <c r="J251" s="99"/>
      <c r="K251" s="99"/>
      <c r="L251" s="99"/>
      <c r="M251" s="101"/>
      <c r="N251" s="101"/>
    </row>
    <row r="252" spans="2:14" ht="15.75" hidden="1" customHeight="1" x14ac:dyDescent="0.25">
      <c r="B252" s="96">
        <f>'callPut（W）'!G250</f>
        <v>0</v>
      </c>
      <c r="C252" s="96">
        <f>'callPut（F）'!G250</f>
        <v>0</v>
      </c>
      <c r="D252" s="46">
        <f t="shared" si="6"/>
        <v>0</v>
      </c>
      <c r="E252" s="96">
        <v>27900</v>
      </c>
      <c r="F252" s="46">
        <f t="shared" si="7"/>
        <v>0</v>
      </c>
      <c r="G252" s="96">
        <f>'callPut（W）'!I250</f>
        <v>0</v>
      </c>
      <c r="H252" s="96">
        <f>'callPut（F）'!I250</f>
        <v>0</v>
      </c>
      <c r="J252" s="99"/>
      <c r="K252" s="99"/>
      <c r="L252" s="99"/>
      <c r="M252" s="101"/>
      <c r="N252" s="101"/>
    </row>
    <row r="253" spans="2:14" ht="15.75" hidden="1" customHeight="1" x14ac:dyDescent="0.25">
      <c r="B253" s="96">
        <f>'callPut（W）'!G251</f>
        <v>0</v>
      </c>
      <c r="C253" s="96">
        <f>'callPut（F）'!G251</f>
        <v>0</v>
      </c>
      <c r="D253" s="46">
        <f t="shared" si="6"/>
        <v>0</v>
      </c>
      <c r="E253" s="96">
        <v>27950</v>
      </c>
      <c r="F253" s="46">
        <f t="shared" si="7"/>
        <v>0</v>
      </c>
      <c r="G253" s="96">
        <f>'callPut（W）'!I251</f>
        <v>0</v>
      </c>
      <c r="H253" s="96">
        <f>'callPut（F）'!I251</f>
        <v>0</v>
      </c>
      <c r="J253" s="99"/>
      <c r="K253" s="99"/>
      <c r="L253" s="99"/>
      <c r="M253" s="101"/>
      <c r="N253" s="101"/>
    </row>
    <row r="254" spans="2:14" ht="15.75" hidden="1" customHeight="1" x14ac:dyDescent="0.25">
      <c r="B254" s="96">
        <f>'callPut（W）'!G252</f>
        <v>0</v>
      </c>
      <c r="C254" s="96">
        <f>'callPut（F）'!G252</f>
        <v>0</v>
      </c>
      <c r="D254" s="46">
        <f t="shared" si="6"/>
        <v>0</v>
      </c>
      <c r="E254" s="96">
        <v>28000</v>
      </c>
      <c r="F254" s="46">
        <f t="shared" si="7"/>
        <v>0</v>
      </c>
      <c r="G254" s="96">
        <f>'callPut（W）'!I252</f>
        <v>0</v>
      </c>
      <c r="H254" s="96">
        <f>'callPut（F）'!I252</f>
        <v>0</v>
      </c>
      <c r="J254" s="99"/>
      <c r="K254" s="99"/>
      <c r="L254" s="99"/>
      <c r="M254" s="101"/>
      <c r="N254" s="101"/>
    </row>
    <row r="255" spans="2:14" ht="15.75" hidden="1" customHeight="1" x14ac:dyDescent="0.25">
      <c r="B255" s="96">
        <f>'callPut（W）'!G253</f>
        <v>0</v>
      </c>
      <c r="C255" s="96">
        <f>'callPut（F）'!G253</f>
        <v>0</v>
      </c>
      <c r="D255" s="46">
        <f t="shared" si="6"/>
        <v>0</v>
      </c>
      <c r="E255" s="96">
        <v>28050</v>
      </c>
      <c r="F255" s="46">
        <f t="shared" si="7"/>
        <v>0</v>
      </c>
      <c r="G255" s="96">
        <f>'callPut（W）'!I253</f>
        <v>0</v>
      </c>
      <c r="H255" s="96">
        <f>'callPut（F）'!I253</f>
        <v>0</v>
      </c>
      <c r="J255" s="99"/>
      <c r="K255" s="99"/>
      <c r="L255" s="99"/>
      <c r="M255" s="101"/>
      <c r="N255" s="101"/>
    </row>
    <row r="256" spans="2:14" ht="15.75" hidden="1" customHeight="1" x14ac:dyDescent="0.25">
      <c r="B256" s="96">
        <f>'callPut（W）'!G254</f>
        <v>0</v>
      </c>
      <c r="C256" s="96">
        <f>'callPut（F）'!G254</f>
        <v>0</v>
      </c>
      <c r="D256" s="46">
        <f t="shared" si="6"/>
        <v>0</v>
      </c>
      <c r="E256" s="96">
        <v>28100</v>
      </c>
      <c r="F256" s="46">
        <f t="shared" si="7"/>
        <v>0</v>
      </c>
      <c r="G256" s="96">
        <f>'callPut（W）'!I254</f>
        <v>0</v>
      </c>
      <c r="H256" s="96">
        <f>'callPut（F）'!I254</f>
        <v>0</v>
      </c>
      <c r="J256" s="99"/>
      <c r="K256" s="99"/>
      <c r="L256" s="99"/>
      <c r="M256" s="101"/>
      <c r="N256" s="101"/>
    </row>
    <row r="257" spans="2:14" ht="15.75" hidden="1" customHeight="1" x14ac:dyDescent="0.25">
      <c r="B257" s="96">
        <f>'callPut（W）'!G255</f>
        <v>0</v>
      </c>
      <c r="C257" s="96">
        <f>'callPut（F）'!G255</f>
        <v>0</v>
      </c>
      <c r="D257" s="46">
        <f t="shared" si="6"/>
        <v>0</v>
      </c>
      <c r="E257" s="96">
        <v>28150</v>
      </c>
      <c r="F257" s="46">
        <f t="shared" si="7"/>
        <v>0</v>
      </c>
      <c r="G257" s="96">
        <f>'callPut（W）'!I255</f>
        <v>0</v>
      </c>
      <c r="H257" s="96">
        <f>'callPut（F）'!I255</f>
        <v>0</v>
      </c>
      <c r="J257" s="99"/>
      <c r="K257" s="99"/>
      <c r="L257" s="99"/>
      <c r="M257" s="101"/>
      <c r="N257" s="101"/>
    </row>
    <row r="258" spans="2:14" ht="15.75" hidden="1" customHeight="1" x14ac:dyDescent="0.25">
      <c r="B258" s="96">
        <f>'callPut（W）'!G256</f>
        <v>0</v>
      </c>
      <c r="C258" s="96">
        <f>'callPut（F）'!G256</f>
        <v>0</v>
      </c>
      <c r="D258" s="46">
        <f t="shared" si="6"/>
        <v>0</v>
      </c>
      <c r="E258" s="96">
        <v>28200</v>
      </c>
      <c r="F258" s="46">
        <f t="shared" si="7"/>
        <v>0</v>
      </c>
      <c r="G258" s="96">
        <f>'callPut（W）'!I256</f>
        <v>0</v>
      </c>
      <c r="H258" s="96">
        <f>'callPut（F）'!I256</f>
        <v>0</v>
      </c>
      <c r="J258" s="99"/>
      <c r="K258" s="99"/>
      <c r="L258" s="99"/>
      <c r="M258" s="101"/>
      <c r="N258" s="101"/>
    </row>
    <row r="259" spans="2:14" ht="15.75" hidden="1" customHeight="1" x14ac:dyDescent="0.25">
      <c r="B259" s="96">
        <f>'callPut（W）'!G257</f>
        <v>0</v>
      </c>
      <c r="C259" s="96">
        <f>'callPut（F）'!G257</f>
        <v>0</v>
      </c>
      <c r="D259" s="46">
        <f t="shared" si="6"/>
        <v>0</v>
      </c>
      <c r="E259" s="96">
        <v>28250</v>
      </c>
      <c r="F259" s="46">
        <f t="shared" si="7"/>
        <v>0</v>
      </c>
      <c r="G259" s="96">
        <f>'callPut（W）'!I257</f>
        <v>0</v>
      </c>
      <c r="H259" s="96">
        <f>'callPut（F）'!I257</f>
        <v>0</v>
      </c>
      <c r="J259" s="99"/>
      <c r="K259" s="99"/>
      <c r="L259" s="99"/>
      <c r="M259" s="101"/>
      <c r="N259" s="101"/>
    </row>
    <row r="260" spans="2:14" ht="15.75" hidden="1" customHeight="1" x14ac:dyDescent="0.25">
      <c r="B260" s="96">
        <f>'callPut（W）'!G258</f>
        <v>0</v>
      </c>
      <c r="C260" s="96">
        <f>'callPut（F）'!G258</f>
        <v>0</v>
      </c>
      <c r="D260" s="46">
        <f t="shared" si="6"/>
        <v>0</v>
      </c>
      <c r="E260" s="96">
        <v>28300</v>
      </c>
      <c r="F260" s="46">
        <f t="shared" si="7"/>
        <v>0</v>
      </c>
      <c r="G260" s="96">
        <f>'callPut（W）'!I258</f>
        <v>0</v>
      </c>
      <c r="H260" s="96">
        <f>'callPut（F）'!I258</f>
        <v>0</v>
      </c>
      <c r="J260" s="99"/>
      <c r="K260" s="99"/>
      <c r="L260" s="99"/>
      <c r="M260" s="101"/>
      <c r="N260" s="101"/>
    </row>
    <row r="261" spans="2:14" ht="15.75" hidden="1" customHeight="1" x14ac:dyDescent="0.25">
      <c r="B261" s="96">
        <f>'callPut（W）'!G259</f>
        <v>0</v>
      </c>
      <c r="C261" s="96">
        <f>'callPut（F）'!G259</f>
        <v>0</v>
      </c>
      <c r="D261" s="46">
        <f t="shared" ref="D261:D294" si="8">B261+C261</f>
        <v>0</v>
      </c>
      <c r="E261" s="96">
        <v>28350</v>
      </c>
      <c r="F261" s="46">
        <f t="shared" ref="F261:F294" si="9">G261+H261</f>
        <v>0</v>
      </c>
      <c r="G261" s="96">
        <f>'callPut（W）'!I259</f>
        <v>0</v>
      </c>
      <c r="H261" s="96">
        <f>'callPut（F）'!I259</f>
        <v>0</v>
      </c>
      <c r="J261" s="99"/>
      <c r="K261" s="99"/>
      <c r="L261" s="99"/>
      <c r="M261" s="101"/>
      <c r="N261" s="101"/>
    </row>
    <row r="262" spans="2:14" ht="15.75" hidden="1" customHeight="1" x14ac:dyDescent="0.25">
      <c r="B262" s="96">
        <f>'callPut（W）'!G260</f>
        <v>0</v>
      </c>
      <c r="C262" s="96">
        <f>'callPut（F）'!G260</f>
        <v>0</v>
      </c>
      <c r="D262" s="46">
        <f t="shared" si="8"/>
        <v>0</v>
      </c>
      <c r="E262" s="96">
        <v>28400</v>
      </c>
      <c r="F262" s="46">
        <f t="shared" si="9"/>
        <v>0</v>
      </c>
      <c r="G262" s="96">
        <f>'callPut（W）'!I260</f>
        <v>0</v>
      </c>
      <c r="H262" s="96">
        <f>'callPut（F）'!I260</f>
        <v>0</v>
      </c>
      <c r="J262" s="99"/>
      <c r="K262" s="99"/>
      <c r="L262" s="99"/>
      <c r="M262" s="101"/>
      <c r="N262" s="101"/>
    </row>
    <row r="263" spans="2:14" ht="15.75" hidden="1" customHeight="1" x14ac:dyDescent="0.25">
      <c r="B263" s="96">
        <f>'callPut（W）'!G261</f>
        <v>0</v>
      </c>
      <c r="C263" s="96">
        <f>'callPut（F）'!G261</f>
        <v>0</v>
      </c>
      <c r="D263" s="46">
        <f t="shared" si="8"/>
        <v>0</v>
      </c>
      <c r="E263" s="96">
        <v>28450</v>
      </c>
      <c r="F263" s="46">
        <f t="shared" si="9"/>
        <v>0</v>
      </c>
      <c r="G263" s="96">
        <f>'callPut（W）'!I261</f>
        <v>0</v>
      </c>
      <c r="H263" s="96">
        <f>'callPut（F）'!I261</f>
        <v>0</v>
      </c>
      <c r="J263" s="99"/>
      <c r="K263" s="99"/>
      <c r="L263" s="99"/>
      <c r="M263" s="101"/>
      <c r="N263" s="101"/>
    </row>
    <row r="264" spans="2:14" ht="15.75" hidden="1" customHeight="1" x14ac:dyDescent="0.25">
      <c r="B264" s="96">
        <f>'callPut（W）'!G262</f>
        <v>0</v>
      </c>
      <c r="C264" s="96">
        <f>'callPut（F）'!G262</f>
        <v>0</v>
      </c>
      <c r="D264" s="46">
        <f t="shared" si="8"/>
        <v>0</v>
      </c>
      <c r="E264" s="96">
        <v>28500</v>
      </c>
      <c r="F264" s="46">
        <f t="shared" si="9"/>
        <v>0</v>
      </c>
      <c r="G264" s="96">
        <f>'callPut（W）'!I262</f>
        <v>0</v>
      </c>
      <c r="H264" s="96">
        <f>'callPut（F）'!I262</f>
        <v>0</v>
      </c>
      <c r="J264" s="99"/>
      <c r="K264" s="99"/>
      <c r="L264" s="99"/>
      <c r="M264" s="101"/>
      <c r="N264" s="101"/>
    </row>
    <row r="265" spans="2:14" ht="15.75" hidden="1" customHeight="1" x14ac:dyDescent="0.25">
      <c r="B265" s="96">
        <f>'callPut（W）'!G263</f>
        <v>0</v>
      </c>
      <c r="C265" s="96">
        <f>'callPut（F）'!G263</f>
        <v>0</v>
      </c>
      <c r="D265" s="46">
        <f t="shared" si="8"/>
        <v>0</v>
      </c>
      <c r="E265" s="96">
        <v>28550</v>
      </c>
      <c r="F265" s="46">
        <f t="shared" si="9"/>
        <v>0</v>
      </c>
      <c r="G265" s="96">
        <f>'callPut（W）'!I263</f>
        <v>0</v>
      </c>
      <c r="H265" s="96">
        <f>'callPut（F）'!I263</f>
        <v>0</v>
      </c>
      <c r="J265" s="99"/>
      <c r="K265" s="99"/>
      <c r="L265" s="99"/>
      <c r="M265" s="101"/>
      <c r="N265" s="101"/>
    </row>
    <row r="266" spans="2:14" ht="15.75" hidden="1" customHeight="1" x14ac:dyDescent="0.25">
      <c r="B266" s="96">
        <f>'callPut（W）'!G264</f>
        <v>0</v>
      </c>
      <c r="C266" s="96">
        <f>'callPut（F）'!G264</f>
        <v>0</v>
      </c>
      <c r="D266" s="46">
        <f t="shared" si="8"/>
        <v>0</v>
      </c>
      <c r="E266" s="96">
        <v>28600</v>
      </c>
      <c r="F266" s="46">
        <f t="shared" si="9"/>
        <v>0</v>
      </c>
      <c r="G266" s="96">
        <f>'callPut（W）'!I264</f>
        <v>0</v>
      </c>
      <c r="H266" s="96">
        <f>'callPut（F）'!I264</f>
        <v>0</v>
      </c>
      <c r="J266" s="99"/>
      <c r="K266" s="99"/>
      <c r="L266" s="99"/>
      <c r="M266" s="101"/>
      <c r="N266" s="101"/>
    </row>
    <row r="267" spans="2:14" ht="15.75" hidden="1" customHeight="1" x14ac:dyDescent="0.25">
      <c r="B267" s="96">
        <f>'callPut（W）'!G265</f>
        <v>0</v>
      </c>
      <c r="C267" s="96">
        <f>'callPut（F）'!G265</f>
        <v>0</v>
      </c>
      <c r="D267" s="46">
        <f t="shared" si="8"/>
        <v>0</v>
      </c>
      <c r="E267" s="96">
        <v>28650</v>
      </c>
      <c r="F267" s="46">
        <f t="shared" si="9"/>
        <v>0</v>
      </c>
      <c r="G267" s="96">
        <f>'callPut（W）'!I265</f>
        <v>0</v>
      </c>
      <c r="H267" s="96">
        <f>'callPut（F）'!I265</f>
        <v>0</v>
      </c>
      <c r="J267" s="99"/>
      <c r="K267" s="99"/>
      <c r="L267" s="99"/>
      <c r="M267" s="101"/>
      <c r="N267" s="101"/>
    </row>
    <row r="268" spans="2:14" ht="15.75" hidden="1" customHeight="1" x14ac:dyDescent="0.25">
      <c r="B268" s="96">
        <f>'callPut（W）'!G266</f>
        <v>0</v>
      </c>
      <c r="C268" s="96">
        <f>'callPut（F）'!G266</f>
        <v>0</v>
      </c>
      <c r="D268" s="46">
        <f t="shared" si="8"/>
        <v>0</v>
      </c>
      <c r="E268" s="96">
        <v>28700</v>
      </c>
      <c r="F268" s="46">
        <f t="shared" si="9"/>
        <v>0</v>
      </c>
      <c r="G268" s="96">
        <f>'callPut（W）'!I266</f>
        <v>0</v>
      </c>
      <c r="H268" s="96">
        <f>'callPut（F）'!I266</f>
        <v>0</v>
      </c>
      <c r="J268" s="99"/>
      <c r="K268" s="99"/>
      <c r="L268" s="99"/>
      <c r="M268" s="101"/>
      <c r="N268" s="101"/>
    </row>
    <row r="269" spans="2:14" ht="15.75" hidden="1" customHeight="1" x14ac:dyDescent="0.25">
      <c r="B269" s="96">
        <f>'callPut（W）'!G267</f>
        <v>0</v>
      </c>
      <c r="C269" s="96">
        <f>'callPut（F）'!G267</f>
        <v>0</v>
      </c>
      <c r="D269" s="46">
        <f t="shared" si="8"/>
        <v>0</v>
      </c>
      <c r="E269" s="96">
        <v>28750</v>
      </c>
      <c r="F269" s="46">
        <f t="shared" si="9"/>
        <v>0</v>
      </c>
      <c r="G269" s="96">
        <f>'callPut（W）'!I267</f>
        <v>0</v>
      </c>
      <c r="H269" s="96">
        <f>'callPut（F）'!I267</f>
        <v>0</v>
      </c>
      <c r="J269" s="99"/>
      <c r="K269" s="99"/>
      <c r="L269" s="99"/>
      <c r="M269" s="101"/>
      <c r="N269" s="101"/>
    </row>
    <row r="270" spans="2:14" ht="15.75" hidden="1" customHeight="1" x14ac:dyDescent="0.25">
      <c r="B270" s="96">
        <f>'callPut（W）'!G268</f>
        <v>0</v>
      </c>
      <c r="C270" s="96">
        <f>'callPut（F）'!G268</f>
        <v>0</v>
      </c>
      <c r="D270" s="46">
        <f t="shared" si="8"/>
        <v>0</v>
      </c>
      <c r="E270" s="96">
        <v>28800</v>
      </c>
      <c r="F270" s="46">
        <f t="shared" si="9"/>
        <v>0</v>
      </c>
      <c r="G270" s="96">
        <f>'callPut（W）'!I268</f>
        <v>0</v>
      </c>
      <c r="H270" s="96">
        <f>'callPut（F）'!I268</f>
        <v>0</v>
      </c>
      <c r="J270" s="99"/>
      <c r="K270" s="99"/>
      <c r="L270" s="99"/>
      <c r="M270" s="101"/>
      <c r="N270" s="101"/>
    </row>
    <row r="271" spans="2:14" ht="15.75" hidden="1" customHeight="1" x14ac:dyDescent="0.25">
      <c r="B271" s="96">
        <f>'callPut（W）'!G269</f>
        <v>0</v>
      </c>
      <c r="C271" s="96">
        <f>'callPut（F）'!G269</f>
        <v>0</v>
      </c>
      <c r="D271" s="46">
        <f t="shared" si="8"/>
        <v>0</v>
      </c>
      <c r="E271" s="96">
        <v>28850</v>
      </c>
      <c r="F271" s="46">
        <f t="shared" si="9"/>
        <v>0</v>
      </c>
      <c r="G271" s="96">
        <f>'callPut（W）'!I269</f>
        <v>0</v>
      </c>
      <c r="H271" s="96">
        <f>'callPut（F）'!I269</f>
        <v>0</v>
      </c>
      <c r="J271" s="99"/>
      <c r="K271" s="99"/>
      <c r="L271" s="99"/>
      <c r="M271" s="101"/>
      <c r="N271" s="101"/>
    </row>
    <row r="272" spans="2:14" ht="15.75" hidden="1" customHeight="1" x14ac:dyDescent="0.25">
      <c r="B272" s="96">
        <f>'callPut（W）'!G270</f>
        <v>0</v>
      </c>
      <c r="C272" s="96">
        <f>'callPut（F）'!G270</f>
        <v>0</v>
      </c>
      <c r="D272" s="46">
        <f t="shared" si="8"/>
        <v>0</v>
      </c>
      <c r="E272" s="96">
        <v>28900</v>
      </c>
      <c r="F272" s="46">
        <f t="shared" si="9"/>
        <v>0</v>
      </c>
      <c r="G272" s="96">
        <f>'callPut（W）'!I270</f>
        <v>0</v>
      </c>
      <c r="H272" s="96">
        <f>'callPut（F）'!I270</f>
        <v>0</v>
      </c>
      <c r="J272" s="99"/>
      <c r="K272" s="99"/>
      <c r="L272" s="99"/>
      <c r="M272" s="101"/>
      <c r="N272" s="101"/>
    </row>
    <row r="273" spans="2:14" ht="15.75" hidden="1" customHeight="1" x14ac:dyDescent="0.25">
      <c r="B273" s="96">
        <f>'callPut（W）'!G271</f>
        <v>0</v>
      </c>
      <c r="C273" s="96">
        <f>'callPut（F）'!G271</f>
        <v>0</v>
      </c>
      <c r="D273" s="46">
        <f t="shared" si="8"/>
        <v>0</v>
      </c>
      <c r="E273" s="96">
        <v>28950</v>
      </c>
      <c r="F273" s="46">
        <f t="shared" si="9"/>
        <v>0</v>
      </c>
      <c r="G273" s="96">
        <f>'callPut（W）'!I271</f>
        <v>0</v>
      </c>
      <c r="H273" s="96">
        <f>'callPut（F）'!I271</f>
        <v>0</v>
      </c>
      <c r="J273" s="99"/>
      <c r="K273" s="99"/>
      <c r="L273" s="99"/>
      <c r="M273" s="101"/>
      <c r="N273" s="101"/>
    </row>
    <row r="274" spans="2:14" ht="15.75" hidden="1" customHeight="1" x14ac:dyDescent="0.25">
      <c r="B274" s="96">
        <f>'callPut（W）'!G272</f>
        <v>0</v>
      </c>
      <c r="C274" s="96">
        <f>'callPut（F）'!G272</f>
        <v>0</v>
      </c>
      <c r="D274" s="46">
        <f t="shared" si="8"/>
        <v>0</v>
      </c>
      <c r="E274" s="96">
        <v>29000</v>
      </c>
      <c r="F274" s="46">
        <f t="shared" si="9"/>
        <v>0</v>
      </c>
      <c r="G274" s="96">
        <f>'callPut（W）'!I272</f>
        <v>0</v>
      </c>
      <c r="H274" s="96">
        <f>'callPut（F）'!I272</f>
        <v>0</v>
      </c>
      <c r="J274" s="99"/>
      <c r="K274" s="99"/>
      <c r="L274" s="99"/>
      <c r="M274" s="101"/>
      <c r="N274" s="101"/>
    </row>
    <row r="275" spans="2:14" ht="15.75" hidden="1" customHeight="1" x14ac:dyDescent="0.25">
      <c r="B275" s="96">
        <f>'callPut（W）'!G273</f>
        <v>0</v>
      </c>
      <c r="C275" s="96">
        <f>'callPut（F）'!G273</f>
        <v>0</v>
      </c>
      <c r="D275" s="46">
        <f t="shared" si="8"/>
        <v>0</v>
      </c>
      <c r="E275" s="96">
        <v>29050</v>
      </c>
      <c r="F275" s="46">
        <f t="shared" si="9"/>
        <v>0</v>
      </c>
      <c r="G275" s="96">
        <f>'callPut（W）'!I273</f>
        <v>0</v>
      </c>
      <c r="H275" s="96">
        <f>'callPut（F）'!I273</f>
        <v>0</v>
      </c>
      <c r="J275" s="99"/>
      <c r="K275" s="99"/>
      <c r="L275" s="99"/>
      <c r="M275" s="101"/>
      <c r="N275" s="101"/>
    </row>
    <row r="276" spans="2:14" ht="15.75" hidden="1" customHeight="1" x14ac:dyDescent="0.25">
      <c r="B276" s="96">
        <f>'callPut（W）'!G274</f>
        <v>0</v>
      </c>
      <c r="C276" s="96">
        <f>'callPut（F）'!G274</f>
        <v>0</v>
      </c>
      <c r="D276" s="46">
        <f t="shared" si="8"/>
        <v>0</v>
      </c>
      <c r="E276" s="96">
        <v>29100</v>
      </c>
      <c r="F276" s="46">
        <f t="shared" si="9"/>
        <v>0</v>
      </c>
      <c r="G276" s="96">
        <f>'callPut（W）'!I274</f>
        <v>0</v>
      </c>
      <c r="H276" s="96">
        <f>'callPut（F）'!I274</f>
        <v>0</v>
      </c>
      <c r="J276" s="99"/>
      <c r="K276" s="99"/>
      <c r="L276" s="99"/>
      <c r="M276" s="101"/>
      <c r="N276" s="101"/>
    </row>
    <row r="277" spans="2:14" ht="15.75" hidden="1" customHeight="1" x14ac:dyDescent="0.25">
      <c r="B277" s="96">
        <f>'callPut（W）'!G275</f>
        <v>0</v>
      </c>
      <c r="C277" s="96">
        <f>'callPut（F）'!G275</f>
        <v>0</v>
      </c>
      <c r="D277" s="46">
        <f t="shared" si="8"/>
        <v>0</v>
      </c>
      <c r="E277" s="96">
        <v>29150</v>
      </c>
      <c r="F277" s="46">
        <f t="shared" si="9"/>
        <v>0</v>
      </c>
      <c r="G277" s="96">
        <f>'callPut（W）'!I275</f>
        <v>0</v>
      </c>
      <c r="H277" s="96">
        <f>'callPut（F）'!I275</f>
        <v>0</v>
      </c>
      <c r="J277" s="99"/>
      <c r="K277" s="99"/>
      <c r="L277" s="99"/>
      <c r="M277" s="101"/>
      <c r="N277" s="101"/>
    </row>
    <row r="278" spans="2:14" ht="15.75" hidden="1" customHeight="1" x14ac:dyDescent="0.25">
      <c r="B278" s="96">
        <f>'callPut（W）'!G276</f>
        <v>0</v>
      </c>
      <c r="C278" s="96">
        <f>'callPut（F）'!G276</f>
        <v>0</v>
      </c>
      <c r="D278" s="46">
        <f t="shared" si="8"/>
        <v>0</v>
      </c>
      <c r="E278" s="96">
        <v>29200</v>
      </c>
      <c r="F278" s="46">
        <f t="shared" si="9"/>
        <v>0</v>
      </c>
      <c r="G278" s="96">
        <f>'callPut（W）'!I276</f>
        <v>0</v>
      </c>
      <c r="H278" s="96">
        <f>'callPut（F）'!I276</f>
        <v>0</v>
      </c>
      <c r="J278" s="99"/>
      <c r="K278" s="99"/>
      <c r="L278" s="99"/>
      <c r="M278" s="101"/>
      <c r="N278" s="101"/>
    </row>
    <row r="279" spans="2:14" ht="15.75" hidden="1" customHeight="1" x14ac:dyDescent="0.25">
      <c r="B279" s="96">
        <f>'callPut（W）'!G277</f>
        <v>0</v>
      </c>
      <c r="C279" s="96">
        <f>'callPut（F）'!G277</f>
        <v>0</v>
      </c>
      <c r="D279" s="46">
        <f t="shared" si="8"/>
        <v>0</v>
      </c>
      <c r="E279" s="96">
        <v>29250</v>
      </c>
      <c r="F279" s="46">
        <f t="shared" si="9"/>
        <v>0</v>
      </c>
      <c r="G279" s="96">
        <f>'callPut（W）'!I277</f>
        <v>0</v>
      </c>
      <c r="H279" s="96">
        <f>'callPut（F）'!I277</f>
        <v>0</v>
      </c>
      <c r="J279" s="99"/>
      <c r="K279" s="99"/>
      <c r="L279" s="99"/>
      <c r="M279" s="101"/>
      <c r="N279" s="101"/>
    </row>
    <row r="280" spans="2:14" ht="15.75" hidden="1" customHeight="1" x14ac:dyDescent="0.25">
      <c r="B280" s="96">
        <f>'callPut（W）'!G278</f>
        <v>0</v>
      </c>
      <c r="C280" s="96">
        <f>'callPut（F）'!G278</f>
        <v>0</v>
      </c>
      <c r="D280" s="46">
        <f t="shared" si="8"/>
        <v>0</v>
      </c>
      <c r="E280" s="96">
        <v>29300</v>
      </c>
      <c r="F280" s="46">
        <f t="shared" si="9"/>
        <v>0</v>
      </c>
      <c r="G280" s="96">
        <f>'callPut（W）'!I278</f>
        <v>0</v>
      </c>
      <c r="H280" s="96">
        <f>'callPut（F）'!I278</f>
        <v>0</v>
      </c>
      <c r="J280" s="99"/>
      <c r="K280" s="99"/>
      <c r="L280" s="99"/>
      <c r="M280" s="101"/>
      <c r="N280" s="101"/>
    </row>
    <row r="281" spans="2:14" ht="15.75" hidden="1" customHeight="1" x14ac:dyDescent="0.25">
      <c r="B281" s="96">
        <f>'callPut（W）'!G279</f>
        <v>0</v>
      </c>
      <c r="C281" s="96">
        <f>'callPut（F）'!G279</f>
        <v>0</v>
      </c>
      <c r="D281" s="46">
        <f t="shared" si="8"/>
        <v>0</v>
      </c>
      <c r="E281" s="96">
        <v>29350</v>
      </c>
      <c r="F281" s="46">
        <f t="shared" si="9"/>
        <v>0</v>
      </c>
      <c r="G281" s="96">
        <f>'callPut（W）'!I279</f>
        <v>0</v>
      </c>
      <c r="H281" s="96">
        <f>'callPut（F）'!I279</f>
        <v>0</v>
      </c>
      <c r="J281" s="99"/>
      <c r="K281" s="99"/>
      <c r="L281" s="99"/>
      <c r="M281" s="101"/>
      <c r="N281" s="101"/>
    </row>
    <row r="282" spans="2:14" ht="15.75" hidden="1" customHeight="1" x14ac:dyDescent="0.25">
      <c r="B282" s="96">
        <f>'callPut（W）'!G280</f>
        <v>0</v>
      </c>
      <c r="C282" s="96">
        <f>'callPut（F）'!G280</f>
        <v>0</v>
      </c>
      <c r="D282" s="46">
        <f t="shared" si="8"/>
        <v>0</v>
      </c>
      <c r="E282" s="96">
        <v>29400</v>
      </c>
      <c r="F282" s="46">
        <f t="shared" si="9"/>
        <v>0</v>
      </c>
      <c r="G282" s="96">
        <f>'callPut（W）'!I280</f>
        <v>0</v>
      </c>
      <c r="H282" s="96">
        <f>'callPut（F）'!I280</f>
        <v>0</v>
      </c>
      <c r="J282" s="99"/>
      <c r="K282" s="99"/>
      <c r="L282" s="99"/>
      <c r="M282" s="101"/>
      <c r="N282" s="101"/>
    </row>
    <row r="283" spans="2:14" ht="15.75" hidden="1" customHeight="1" x14ac:dyDescent="0.25">
      <c r="B283" s="96">
        <f>'callPut（W）'!G281</f>
        <v>0</v>
      </c>
      <c r="C283" s="96">
        <f>'callPut（F）'!G281</f>
        <v>0</v>
      </c>
      <c r="D283" s="46">
        <f t="shared" si="8"/>
        <v>0</v>
      </c>
      <c r="E283" s="96">
        <v>29450</v>
      </c>
      <c r="F283" s="46">
        <f t="shared" si="9"/>
        <v>0</v>
      </c>
      <c r="G283" s="96">
        <f>'callPut（W）'!I281</f>
        <v>0</v>
      </c>
      <c r="H283" s="96">
        <f>'callPut（F）'!I281</f>
        <v>0</v>
      </c>
      <c r="J283" s="99"/>
      <c r="K283" s="99"/>
      <c r="L283" s="99"/>
      <c r="M283" s="101"/>
      <c r="N283" s="101"/>
    </row>
    <row r="284" spans="2:14" ht="15.75" hidden="1" customHeight="1" x14ac:dyDescent="0.25">
      <c r="B284" s="96">
        <f>'callPut（W）'!G282</f>
        <v>0</v>
      </c>
      <c r="C284" s="96">
        <f>'callPut（F）'!G282</f>
        <v>0</v>
      </c>
      <c r="D284" s="46">
        <f t="shared" si="8"/>
        <v>0</v>
      </c>
      <c r="E284" s="96">
        <v>29500</v>
      </c>
      <c r="F284" s="46">
        <f t="shared" si="9"/>
        <v>0</v>
      </c>
      <c r="G284" s="96">
        <f>'callPut（W）'!I282</f>
        <v>0</v>
      </c>
      <c r="H284" s="96">
        <f>'callPut（F）'!I282</f>
        <v>0</v>
      </c>
      <c r="J284" s="99"/>
      <c r="K284" s="99"/>
      <c r="L284" s="99"/>
      <c r="M284" s="101"/>
      <c r="N284" s="101"/>
    </row>
    <row r="285" spans="2:14" ht="15.75" hidden="1" customHeight="1" x14ac:dyDescent="0.25">
      <c r="B285" s="96">
        <f>'callPut（W）'!G283</f>
        <v>0</v>
      </c>
      <c r="C285" s="96">
        <f>'callPut（F）'!G283</f>
        <v>0</v>
      </c>
      <c r="D285" s="46">
        <f t="shared" si="8"/>
        <v>0</v>
      </c>
      <c r="E285" s="96">
        <v>29550</v>
      </c>
      <c r="F285" s="46">
        <f t="shared" si="9"/>
        <v>0</v>
      </c>
      <c r="G285" s="96">
        <f>'callPut（W）'!I283</f>
        <v>0</v>
      </c>
      <c r="H285" s="96">
        <f>'callPut（F）'!I283</f>
        <v>0</v>
      </c>
      <c r="J285" s="99"/>
      <c r="K285" s="99"/>
      <c r="L285" s="99"/>
      <c r="M285" s="101"/>
      <c r="N285" s="101"/>
    </row>
    <row r="286" spans="2:14" ht="15.75" hidden="1" customHeight="1" x14ac:dyDescent="0.25">
      <c r="B286" s="96">
        <f>'callPut（W）'!G284</f>
        <v>0</v>
      </c>
      <c r="C286" s="96">
        <f>'callPut（F）'!G284</f>
        <v>0</v>
      </c>
      <c r="D286" s="46">
        <f t="shared" si="8"/>
        <v>0</v>
      </c>
      <c r="E286" s="96">
        <v>29600</v>
      </c>
      <c r="F286" s="46">
        <f t="shared" si="9"/>
        <v>0</v>
      </c>
      <c r="G286" s="96">
        <f>'callPut（W）'!I284</f>
        <v>0</v>
      </c>
      <c r="H286" s="96">
        <f>'callPut（F）'!I284</f>
        <v>0</v>
      </c>
      <c r="J286" s="99"/>
      <c r="K286" s="99"/>
      <c r="L286" s="99"/>
      <c r="M286" s="101"/>
      <c r="N286" s="101"/>
    </row>
    <row r="287" spans="2:14" ht="15.75" hidden="1" customHeight="1" x14ac:dyDescent="0.25">
      <c r="B287" s="96">
        <f>'callPut（W）'!G285</f>
        <v>0</v>
      </c>
      <c r="C287" s="96">
        <f>'callPut（F）'!G285</f>
        <v>0</v>
      </c>
      <c r="D287" s="46">
        <f t="shared" si="8"/>
        <v>0</v>
      </c>
      <c r="E287" s="96">
        <v>29650</v>
      </c>
      <c r="F287" s="46">
        <f t="shared" si="9"/>
        <v>0</v>
      </c>
      <c r="G287" s="96">
        <f>'callPut（W）'!I285</f>
        <v>0</v>
      </c>
      <c r="H287" s="96">
        <f>'callPut（F）'!I285</f>
        <v>0</v>
      </c>
      <c r="J287" s="99"/>
      <c r="K287" s="99"/>
      <c r="L287" s="99"/>
      <c r="M287" s="101"/>
      <c r="N287" s="101"/>
    </row>
    <row r="288" spans="2:14" ht="15.75" hidden="1" customHeight="1" x14ac:dyDescent="0.25">
      <c r="B288" s="96">
        <f>'callPut（W）'!G286</f>
        <v>0</v>
      </c>
      <c r="C288" s="96">
        <f>'callPut（F）'!G286</f>
        <v>0</v>
      </c>
      <c r="D288" s="46">
        <f t="shared" si="8"/>
        <v>0</v>
      </c>
      <c r="E288" s="96">
        <v>29700</v>
      </c>
      <c r="F288" s="46">
        <f t="shared" si="9"/>
        <v>0</v>
      </c>
      <c r="G288" s="96">
        <f>'callPut（W）'!I286</f>
        <v>0</v>
      </c>
      <c r="H288" s="96">
        <f>'callPut（F）'!I286</f>
        <v>0</v>
      </c>
      <c r="J288" s="99"/>
      <c r="K288" s="99"/>
      <c r="L288" s="99"/>
      <c r="M288" s="101"/>
      <c r="N288" s="101"/>
    </row>
    <row r="289" spans="2:14" ht="15.75" hidden="1" customHeight="1" x14ac:dyDescent="0.25">
      <c r="B289" s="96">
        <f>'callPut（W）'!G287</f>
        <v>0</v>
      </c>
      <c r="C289" s="96">
        <f>'callPut（F）'!G287</f>
        <v>0</v>
      </c>
      <c r="D289" s="46">
        <f t="shared" si="8"/>
        <v>0</v>
      </c>
      <c r="E289" s="96">
        <v>29750</v>
      </c>
      <c r="F289" s="46">
        <f t="shared" si="9"/>
        <v>0</v>
      </c>
      <c r="G289" s="96">
        <f>'callPut（W）'!I287</f>
        <v>0</v>
      </c>
      <c r="H289" s="96">
        <f>'callPut（F）'!I287</f>
        <v>0</v>
      </c>
      <c r="J289" s="99"/>
      <c r="K289" s="99"/>
      <c r="L289" s="99"/>
      <c r="M289" s="101"/>
      <c r="N289" s="101"/>
    </row>
    <row r="290" spans="2:14" ht="15.75" hidden="1" customHeight="1" x14ac:dyDescent="0.25">
      <c r="B290" s="96">
        <f>'callPut（W）'!G288</f>
        <v>0</v>
      </c>
      <c r="C290" s="96">
        <f>'callPut（F）'!G288</f>
        <v>0</v>
      </c>
      <c r="D290" s="46">
        <f t="shared" si="8"/>
        <v>0</v>
      </c>
      <c r="E290" s="96">
        <v>29800</v>
      </c>
      <c r="F290" s="46">
        <f t="shared" si="9"/>
        <v>0</v>
      </c>
      <c r="G290" s="96">
        <f>'callPut（W）'!I288</f>
        <v>0</v>
      </c>
      <c r="H290" s="96">
        <f>'callPut（F）'!I288</f>
        <v>0</v>
      </c>
      <c r="J290" s="99"/>
      <c r="K290" s="99"/>
      <c r="L290" s="99"/>
      <c r="M290" s="101"/>
      <c r="N290" s="101"/>
    </row>
    <row r="291" spans="2:14" ht="15.75" hidden="1" customHeight="1" x14ac:dyDescent="0.25">
      <c r="B291" s="96">
        <f>'callPut（W）'!G289</f>
        <v>0</v>
      </c>
      <c r="C291" s="96">
        <f>'callPut（F）'!G289</f>
        <v>0</v>
      </c>
      <c r="D291" s="46">
        <f t="shared" si="8"/>
        <v>0</v>
      </c>
      <c r="E291" s="96">
        <v>29850</v>
      </c>
      <c r="F291" s="46">
        <f t="shared" si="9"/>
        <v>0</v>
      </c>
      <c r="G291" s="96">
        <f>'callPut（W）'!I289</f>
        <v>0</v>
      </c>
      <c r="H291" s="96">
        <f>'callPut（F）'!I289</f>
        <v>0</v>
      </c>
      <c r="J291" s="99"/>
      <c r="K291" s="99"/>
      <c r="L291" s="99"/>
      <c r="M291" s="101"/>
      <c r="N291" s="101"/>
    </row>
    <row r="292" spans="2:14" ht="15.75" hidden="1" customHeight="1" x14ac:dyDescent="0.25">
      <c r="B292" s="96">
        <f>'callPut（W）'!G290</f>
        <v>0</v>
      </c>
      <c r="C292" s="96">
        <f>'callPut（F）'!G290</f>
        <v>0</v>
      </c>
      <c r="D292" s="46">
        <f t="shared" si="8"/>
        <v>0</v>
      </c>
      <c r="E292" s="96">
        <v>29900</v>
      </c>
      <c r="F292" s="46">
        <f t="shared" si="9"/>
        <v>0</v>
      </c>
      <c r="G292" s="96">
        <f>'callPut（W）'!I290</f>
        <v>0</v>
      </c>
      <c r="H292" s="96">
        <f>'callPut（F）'!I290</f>
        <v>0</v>
      </c>
      <c r="J292" s="99"/>
      <c r="K292" s="99"/>
      <c r="L292" s="99"/>
      <c r="M292" s="101"/>
      <c r="N292" s="101"/>
    </row>
    <row r="293" spans="2:14" ht="15.75" hidden="1" customHeight="1" x14ac:dyDescent="0.25">
      <c r="B293" s="96">
        <f>'callPut（W）'!G291</f>
        <v>0</v>
      </c>
      <c r="C293" s="96">
        <f>'callPut（F）'!G291</f>
        <v>0</v>
      </c>
      <c r="D293" s="46">
        <f t="shared" si="8"/>
        <v>0</v>
      </c>
      <c r="E293" s="96">
        <v>29950</v>
      </c>
      <c r="F293" s="46">
        <f t="shared" si="9"/>
        <v>0</v>
      </c>
      <c r="G293" s="96">
        <f>'callPut（W）'!I291</f>
        <v>0</v>
      </c>
      <c r="H293" s="96">
        <f>'callPut（F）'!I291</f>
        <v>0</v>
      </c>
      <c r="J293" s="99"/>
      <c r="K293" s="99"/>
      <c r="L293" s="99"/>
      <c r="M293" s="101"/>
      <c r="N293" s="101"/>
    </row>
    <row r="294" spans="2:14" ht="15.75" hidden="1" customHeight="1" x14ac:dyDescent="0.25">
      <c r="B294" s="96">
        <f>'callPut（W）'!G292</f>
        <v>0</v>
      </c>
      <c r="C294" s="96">
        <f>'callPut（F）'!G292</f>
        <v>0</v>
      </c>
      <c r="D294" s="46">
        <f t="shared" si="8"/>
        <v>0</v>
      </c>
      <c r="E294" s="96">
        <v>30000</v>
      </c>
      <c r="F294" s="46">
        <f t="shared" si="9"/>
        <v>0</v>
      </c>
      <c r="G294" s="96">
        <f>'callPut（W）'!I292</f>
        <v>0</v>
      </c>
      <c r="H294" s="96">
        <f>'callPut（F）'!I292</f>
        <v>0</v>
      </c>
      <c r="J294" s="99"/>
      <c r="K294" s="99"/>
      <c r="L294" s="99"/>
      <c r="M294" s="101"/>
      <c r="N294" s="101"/>
    </row>
    <row r="295" spans="2:14" ht="15.75" customHeight="1" x14ac:dyDescent="0.25">
      <c r="B295" s="97">
        <f>SUM(B4:B294)</f>
        <v>-3758.416999999999</v>
      </c>
      <c r="C295" s="97">
        <f t="shared" ref="C295:H295" si="10">SUM(C4:C294)</f>
        <v>-999.75639999999976</v>
      </c>
      <c r="D295" s="97">
        <f t="shared" si="10"/>
        <v>-4758.1733999999997</v>
      </c>
      <c r="F295" s="97">
        <f t="shared" si="10"/>
        <v>-925.6296000000001</v>
      </c>
      <c r="G295" s="97">
        <f t="shared" si="10"/>
        <v>-853.32560000000001</v>
      </c>
      <c r="H295" s="97">
        <f t="shared" si="10"/>
        <v>-72.304000000000016</v>
      </c>
      <c r="J295" s="99"/>
      <c r="K295" s="99"/>
      <c r="L295" s="99"/>
      <c r="M295" s="101"/>
      <c r="N295" s="101"/>
    </row>
  </sheetData>
  <mergeCells count="2">
    <mergeCell ref="B3:D3"/>
    <mergeCell ref="F3:H3"/>
  </mergeCells>
  <phoneticPr fontId="2" type="noConversion"/>
  <pageMargins left="0.7" right="0.7" top="0.75" bottom="0.75" header="0.3" footer="0.3"/>
  <pageSetup paperSize="9" scale="25" orientation="portrait" r:id="rId1"/>
  <headerFooter>
    <oddHeader>&amp;L&amp;"Calibri"&amp;10&amp;K000000 公開&amp;1#_x000D_</oddHeader>
  </headerFooter>
  <rowBreaks count="2" manualBreakCount="2">
    <brk id="50" max="13" man="1"/>
    <brk id="125" max="1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2128-300A-4874-A113-C587A2CFD00E}">
  <sheetPr codeName="工作表12">
    <tabColor theme="9" tint="0.79998168889431442"/>
  </sheetPr>
  <dimension ref="A1:X292"/>
  <sheetViews>
    <sheetView zoomScale="140" zoomScaleNormal="14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customHeight="1" x14ac:dyDescent="0.25"/>
  <cols>
    <col min="1" max="2" width="10.5" style="76" customWidth="1"/>
    <col min="3" max="4" width="8.125" style="76" customWidth="1"/>
    <col min="5" max="7" width="8.125" style="83" customWidth="1"/>
    <col min="8" max="8" width="9" style="73"/>
    <col min="9" max="12" width="11.375" style="90" customWidth="1"/>
    <col min="13" max="13" width="13.125" style="73" customWidth="1"/>
    <col min="14" max="16" width="8.5" style="73" customWidth="1"/>
    <col min="17" max="17" width="10.375" style="73" customWidth="1"/>
    <col min="18" max="18" width="11.5" style="73" customWidth="1"/>
    <col min="19" max="16384" width="9" style="73"/>
  </cols>
  <sheetData>
    <row r="1" spans="1:12" ht="42" customHeight="1" x14ac:dyDescent="0.25">
      <c r="A1" s="77" t="s">
        <v>13</v>
      </c>
      <c r="B1" s="77" t="s">
        <v>6</v>
      </c>
      <c r="C1" s="77" t="s">
        <v>129</v>
      </c>
      <c r="D1" s="77" t="s">
        <v>130</v>
      </c>
      <c r="E1" s="82" t="s">
        <v>26</v>
      </c>
      <c r="F1" s="82" t="s">
        <v>27</v>
      </c>
      <c r="G1" s="82" t="s">
        <v>15</v>
      </c>
      <c r="I1" s="88" t="s">
        <v>8</v>
      </c>
      <c r="J1" s="88" t="s">
        <v>9</v>
      </c>
      <c r="K1" s="88" t="s">
        <v>7</v>
      </c>
      <c r="L1" s="88" t="s">
        <v>10</v>
      </c>
    </row>
    <row r="2" spans="1:12" ht="13.5" customHeight="1" x14ac:dyDescent="0.25">
      <c r="A2" s="74">
        <v>15500</v>
      </c>
      <c r="B2" s="74">
        <v>15500</v>
      </c>
      <c r="C2" s="74">
        <f>IFERROR('callPut（W）'!D2+'callPut（F）'!D2,0)/2</f>
        <v>0</v>
      </c>
      <c r="D2" s="74">
        <f>IFERROR('callPut（W）'!L2+'callPut（F）'!L2,0)/2</f>
        <v>0</v>
      </c>
      <c r="E2" s="82">
        <v>17857.542156119995</v>
      </c>
      <c r="F2" s="82">
        <v>-24454.319625830005</v>
      </c>
      <c r="G2" s="82">
        <v>-6596.7774697099994</v>
      </c>
      <c r="I2" s="89">
        <f>MAX($A$2-B2,0)*MAX('籌碼表(W+F)'!D4,0)-MAX('籌碼表(W+F)'!D4,0)*C2</f>
        <v>0</v>
      </c>
      <c r="J2" s="89">
        <f>MAX(B2-$A$2,0)*MAX('籌碼表(W+F)'!F4,0)-MAX('籌碼表(W+F)'!F4,0)*D2</f>
        <v>0</v>
      </c>
      <c r="K2" s="89">
        <f>-MIN('籌碼表(W+F)'!D4,0)*C2  - MAX($A$2-B2,0) * (-MIN('籌碼表(W+F)'!D4,0))</f>
        <v>0</v>
      </c>
      <c r="L2" s="89">
        <f>-MIN('籌碼表(W+F)'!F4,0) * D2 -  MAX(B2-$A$2,0) * (-MIN('籌碼表(W+F)'!F4,0))</f>
        <v>0</v>
      </c>
    </row>
    <row r="3" spans="1:12" ht="13.5" customHeight="1" x14ac:dyDescent="0.25">
      <c r="A3" s="74">
        <v>15550</v>
      </c>
      <c r="B3" s="74">
        <v>15550</v>
      </c>
      <c r="C3" s="74">
        <f>IFERROR('callPut（W）'!D3+'callPut（F）'!D3,0)/2</f>
        <v>0</v>
      </c>
      <c r="D3" s="74">
        <f>IFERROR('callPut（W）'!L3+'callPut（F）'!L3,0)/2</f>
        <v>0</v>
      </c>
      <c r="E3" s="82">
        <v>17730.199256119999</v>
      </c>
      <c r="F3" s="82">
        <v>-24280.695245830011</v>
      </c>
      <c r="G3" s="82">
        <v>-6550.4959897099998</v>
      </c>
      <c r="I3" s="89">
        <f>MAX($A$2-B3,0)*MAX('籌碼表(W+F)'!D5,0)-MAX('籌碼表(W+F)'!D5,0)*C3</f>
        <v>0</v>
      </c>
      <c r="J3" s="89">
        <f>MAX(B3-$A$2,0)*MAX('籌碼表(W+F)'!F5,0)-MAX('籌碼表(W+F)'!F5,0)*D3</f>
        <v>0</v>
      </c>
      <c r="K3" s="89">
        <f>-MIN('籌碼表(W+F)'!D5,0)*C3  - MAX($A$2-B3,0) * (-MIN('籌碼表(W+F)'!D5,0))</f>
        <v>0</v>
      </c>
      <c r="L3" s="89">
        <f>-MIN('籌碼表(W+F)'!F5,0) * D3 -  MAX(B3-$A$2,0) * (-MIN('籌碼表(W+F)'!F5,0))</f>
        <v>0</v>
      </c>
    </row>
    <row r="4" spans="1:12" ht="13.5" customHeight="1" x14ac:dyDescent="0.25">
      <c r="A4" s="74">
        <v>15600</v>
      </c>
      <c r="B4" s="74">
        <v>15600</v>
      </c>
      <c r="C4" s="74">
        <f>IFERROR('callPut（W）'!D4+'callPut（F）'!D4,0)/2</f>
        <v>0</v>
      </c>
      <c r="D4" s="74">
        <f>IFERROR('callPut（W）'!L4+'callPut（F）'!L4,0)/2</f>
        <v>0</v>
      </c>
      <c r="E4" s="82">
        <v>17602.856356119999</v>
      </c>
      <c r="F4" s="82">
        <v>-24107.070865830003</v>
      </c>
      <c r="G4" s="82">
        <v>-6504.2145097100001</v>
      </c>
      <c r="I4" s="89">
        <f>MAX($A$2-B4,0)*MAX('籌碼表(W+F)'!D6,0)-MAX('籌碼表(W+F)'!D6,0)*C4</f>
        <v>0</v>
      </c>
      <c r="J4" s="89">
        <f>MAX(B4-$A$2,0)*MAX('籌碼表(W+F)'!F6,0)-MAX('籌碼表(W+F)'!F6,0)*D4</f>
        <v>0</v>
      </c>
      <c r="K4" s="89">
        <f>-MIN('籌碼表(W+F)'!D6,0)*C4  - MAX($A$2-B4,0) * (-MIN('籌碼表(W+F)'!D6,0))</f>
        <v>0</v>
      </c>
      <c r="L4" s="89">
        <f>-MIN('籌碼表(W+F)'!F6,0) * D4 -  MAX(B4-$A$2,0) * (-MIN('籌碼表(W+F)'!F6,0))</f>
        <v>0</v>
      </c>
    </row>
    <row r="5" spans="1:12" ht="13.5" customHeight="1" x14ac:dyDescent="0.25">
      <c r="A5" s="74">
        <v>15650</v>
      </c>
      <c r="B5" s="74">
        <v>15650</v>
      </c>
      <c r="C5" s="74">
        <f>IFERROR('callPut（W）'!D5+'callPut（F）'!D5,0)/2</f>
        <v>0</v>
      </c>
      <c r="D5" s="74">
        <f>IFERROR('callPut（W）'!L5+'callPut（F）'!L5,0)/2</f>
        <v>0</v>
      </c>
      <c r="E5" s="82">
        <v>17475.513456119999</v>
      </c>
      <c r="F5" s="82">
        <v>-23933.446485830005</v>
      </c>
      <c r="G5" s="82">
        <v>-6457.9330297099987</v>
      </c>
      <c r="I5" s="89">
        <f>MAX($A$2-B5,0)*MAX('籌碼表(W+F)'!D7,0)-MAX('籌碼表(W+F)'!D7,0)*C5</f>
        <v>0</v>
      </c>
      <c r="J5" s="89">
        <f>MAX(B5-$A$2,0)*MAX('籌碼表(W+F)'!F7,0)-MAX('籌碼表(W+F)'!F7,0)*D5</f>
        <v>0</v>
      </c>
      <c r="K5" s="89">
        <f>-MIN('籌碼表(W+F)'!D7,0)*C5  - MAX($A$2-B5,0) * (-MIN('籌碼表(W+F)'!D7,0))</f>
        <v>0</v>
      </c>
      <c r="L5" s="89">
        <f>-MIN('籌碼表(W+F)'!F7,0) * D5 -  MAX(B5-$A$2,0) * (-MIN('籌碼表(W+F)'!F7,0))</f>
        <v>0</v>
      </c>
    </row>
    <row r="6" spans="1:12" ht="13.5" customHeight="1" x14ac:dyDescent="0.25">
      <c r="A6" s="74">
        <v>15700</v>
      </c>
      <c r="B6" s="74">
        <v>15700</v>
      </c>
      <c r="C6" s="74">
        <f>IFERROR('callPut（W）'!D6+'callPut（F）'!D6,0)/2</f>
        <v>0</v>
      </c>
      <c r="D6" s="74">
        <f>IFERROR('callPut（W）'!L6+'callPut（F）'!L6,0)/2</f>
        <v>0</v>
      </c>
      <c r="E6" s="82">
        <v>17348.17055612</v>
      </c>
      <c r="F6" s="82">
        <v>-23759.822105830008</v>
      </c>
      <c r="G6" s="82">
        <v>-6411.6515497100008</v>
      </c>
      <c r="I6" s="89">
        <f>MAX($A$2-B6,0)*MAX('籌碼表(W+F)'!D8,0)-MAX('籌碼表(W+F)'!D8,0)*C6</f>
        <v>0</v>
      </c>
      <c r="J6" s="89">
        <f>MAX(B6-$A$2,0)*MAX('籌碼表(W+F)'!F8,0)-MAX('籌碼表(W+F)'!F8,0)*D6</f>
        <v>0</v>
      </c>
      <c r="K6" s="89">
        <f>-MIN('籌碼表(W+F)'!D8,0)*C6  - MAX($A$2-B6,0) * (-MIN('籌碼表(W+F)'!D8,0))</f>
        <v>0</v>
      </c>
      <c r="L6" s="89">
        <f>-MIN('籌碼表(W+F)'!F8,0) * D6 -  MAX(B6-$A$2,0) * (-MIN('籌碼表(W+F)'!F8,0))</f>
        <v>0</v>
      </c>
    </row>
    <row r="7" spans="1:12" ht="13.5" customHeight="1" x14ac:dyDescent="0.25">
      <c r="A7" s="74">
        <v>15750</v>
      </c>
      <c r="B7" s="74">
        <v>15750</v>
      </c>
      <c r="C7" s="74">
        <f>IFERROR('callPut（W）'!D7+'callPut（F）'!D7,0)/2</f>
        <v>0</v>
      </c>
      <c r="D7" s="74">
        <f>IFERROR('callPut（W）'!L7+'callPut（F）'!L7,0)/2</f>
        <v>0</v>
      </c>
      <c r="E7" s="82">
        <v>17220.82765612</v>
      </c>
      <c r="F7" s="82">
        <v>-23586.19772583001</v>
      </c>
      <c r="G7" s="82">
        <v>-6365.3700697099985</v>
      </c>
      <c r="I7" s="89">
        <f>MAX($A$2-B7,0)*MAX('籌碼表(W+F)'!D9,0)-MAX('籌碼表(W+F)'!D9,0)*C7</f>
        <v>0</v>
      </c>
      <c r="J7" s="89">
        <f>MAX(B7-$A$2,0)*MAX('籌碼表(W+F)'!F9,0)-MAX('籌碼表(W+F)'!F9,0)*D7</f>
        <v>0</v>
      </c>
      <c r="K7" s="89">
        <f>-MIN('籌碼表(W+F)'!D9,0)*C7  - MAX($A$2-B7,0) * (-MIN('籌碼表(W+F)'!D9,0))</f>
        <v>0</v>
      </c>
      <c r="L7" s="89">
        <f>-MIN('籌碼表(W+F)'!F9,0) * D7 -  MAX(B7-$A$2,0) * (-MIN('籌碼表(W+F)'!F9,0))</f>
        <v>0</v>
      </c>
    </row>
    <row r="8" spans="1:12" ht="13.5" customHeight="1" x14ac:dyDescent="0.25">
      <c r="A8" s="74">
        <v>15800</v>
      </c>
      <c r="B8" s="74">
        <v>15800</v>
      </c>
      <c r="C8" s="74">
        <f>IFERROR('callPut（W）'!D8+'callPut（F）'!D8,0)/2</f>
        <v>0</v>
      </c>
      <c r="D8" s="74">
        <f>IFERROR('callPut（W）'!L8+'callPut（F）'!L8,0)/2</f>
        <v>0</v>
      </c>
      <c r="E8" s="82">
        <v>17093.48475612</v>
      </c>
      <c r="F8" s="82">
        <v>-23412.573345830006</v>
      </c>
      <c r="G8" s="82">
        <v>-6319.0885897099997</v>
      </c>
      <c r="I8" s="89">
        <f>MAX($A$2-B8,0)*MAX('籌碼表(W+F)'!D10,0)-MAX('籌碼表(W+F)'!D10,0)*C8</f>
        <v>0</v>
      </c>
      <c r="J8" s="89">
        <f>MAX(B8-$A$2,0)*MAX('籌碼表(W+F)'!F10,0)-MAX('籌碼表(W+F)'!F10,0)*D8</f>
        <v>0</v>
      </c>
      <c r="K8" s="89">
        <f>-MIN('籌碼表(W+F)'!D10,0)*C8  - MAX($A$2-B8,0) * (-MIN('籌碼表(W+F)'!D10,0))</f>
        <v>0</v>
      </c>
      <c r="L8" s="89">
        <f>-MIN('籌碼表(W+F)'!F10,0) * D8 -  MAX(B8-$A$2,0) * (-MIN('籌碼表(W+F)'!F10,0))</f>
        <v>0</v>
      </c>
    </row>
    <row r="9" spans="1:12" ht="13.5" customHeight="1" x14ac:dyDescent="0.25">
      <c r="A9" s="74">
        <v>15850</v>
      </c>
      <c r="B9" s="74">
        <v>15850</v>
      </c>
      <c r="C9" s="74">
        <f>IFERROR('callPut（W）'!D9+'callPut（F）'!D9,0)/2</f>
        <v>0</v>
      </c>
      <c r="D9" s="74">
        <f>IFERROR('callPut（W）'!L9+'callPut（F）'!L9,0)/2</f>
        <v>0</v>
      </c>
      <c r="E9" s="82">
        <v>16966.141856119997</v>
      </c>
      <c r="F9" s="82">
        <v>-23238.948965830004</v>
      </c>
      <c r="G9" s="82">
        <v>-6272.8071097100019</v>
      </c>
      <c r="I9" s="89">
        <f>MAX($A$2-B9,0)*MAX('籌碼表(W+F)'!D11,0)-MAX('籌碼表(W+F)'!D11,0)*C9</f>
        <v>0</v>
      </c>
      <c r="J9" s="89">
        <f>MAX(B9-$A$2,0)*MAX('籌碼表(W+F)'!F11,0)-MAX('籌碼表(W+F)'!F11,0)*D9</f>
        <v>0</v>
      </c>
      <c r="K9" s="89">
        <f>-MIN('籌碼表(W+F)'!D11,0)*C9  - MAX($A$2-B9,0) * (-MIN('籌碼表(W+F)'!D11,0))</f>
        <v>0</v>
      </c>
      <c r="L9" s="89">
        <f>-MIN('籌碼表(W+F)'!F11,0) * D9 -  MAX(B9-$A$2,0) * (-MIN('籌碼表(W+F)'!F11,0))</f>
        <v>0</v>
      </c>
    </row>
    <row r="10" spans="1:12" ht="13.5" customHeight="1" x14ac:dyDescent="0.25">
      <c r="A10" s="74">
        <v>15900</v>
      </c>
      <c r="B10" s="74">
        <v>15900</v>
      </c>
      <c r="C10" s="74">
        <f>IFERROR('callPut（W）'!D10+'callPut（F）'!D10,0)/2</f>
        <v>0</v>
      </c>
      <c r="D10" s="74">
        <f>IFERROR('callPut（W）'!L10+'callPut（F）'!L10,0)/2</f>
        <v>0</v>
      </c>
      <c r="E10" s="82">
        <v>16838.798956120001</v>
      </c>
      <c r="F10" s="82">
        <v>-23065.324585830011</v>
      </c>
      <c r="G10" s="82">
        <v>-6226.5256297099995</v>
      </c>
      <c r="I10" s="89">
        <f>MAX($A$2-B10,0)*MAX('籌碼表(W+F)'!D12,0)-MAX('籌碼表(W+F)'!D12,0)*C10</f>
        <v>0</v>
      </c>
      <c r="J10" s="89">
        <f>MAX(B10-$A$2,0)*MAX('籌碼表(W+F)'!F12,0)-MAX('籌碼表(W+F)'!F12,0)*D10</f>
        <v>0</v>
      </c>
      <c r="K10" s="89">
        <f>-MIN('籌碼表(W+F)'!D12,0)*C10  - MAX($A$2-B10,0) * (-MIN('籌碼表(W+F)'!D12,0))</f>
        <v>0</v>
      </c>
      <c r="L10" s="89">
        <f>-MIN('籌碼表(W+F)'!F12,0) * D10 -  MAX(B10-$A$2,0) * (-MIN('籌碼表(W+F)'!F12,0))</f>
        <v>0</v>
      </c>
    </row>
    <row r="11" spans="1:12" ht="13.5" customHeight="1" x14ac:dyDescent="0.25">
      <c r="A11" s="74">
        <v>15950</v>
      </c>
      <c r="B11" s="74">
        <v>15950</v>
      </c>
      <c r="C11" s="74">
        <f>IFERROR('callPut（W）'!D11+'callPut（F）'!D11,0)/2</f>
        <v>0</v>
      </c>
      <c r="D11" s="74">
        <f>IFERROR('callPut（W）'!L11+'callPut（F）'!L11,0)/2</f>
        <v>0</v>
      </c>
      <c r="E11" s="82">
        <v>16711.456056120001</v>
      </c>
      <c r="F11" s="82">
        <v>-22891.700205830013</v>
      </c>
      <c r="G11" s="82">
        <v>-6180.244149709999</v>
      </c>
      <c r="I11" s="89">
        <f>MAX($A$2-B11,0)*MAX('籌碼表(W+F)'!D13,0)-MAX('籌碼表(W+F)'!D13,0)*C11</f>
        <v>0</v>
      </c>
      <c r="J11" s="89">
        <f>MAX(B11-$A$2,0)*MAX('籌碼表(W+F)'!F13,0)-MAX('籌碼表(W+F)'!F13,0)*D11</f>
        <v>0</v>
      </c>
      <c r="K11" s="89">
        <f>-MIN('籌碼表(W+F)'!D13,0)*C11  - MAX($A$2-B11,0) * (-MIN('籌碼表(W+F)'!D13,0))</f>
        <v>0</v>
      </c>
      <c r="L11" s="89">
        <f>-MIN('籌碼表(W+F)'!F13,0) * D11 -  MAX(B11-$A$2,0) * (-MIN('籌碼表(W+F)'!F13,0))</f>
        <v>0</v>
      </c>
    </row>
    <row r="12" spans="1:12" ht="13.5" customHeight="1" x14ac:dyDescent="0.25">
      <c r="A12" s="74">
        <v>16000</v>
      </c>
      <c r="B12" s="74">
        <v>16000</v>
      </c>
      <c r="C12" s="74">
        <f>IFERROR('callPut（W）'!D12+'callPut（F）'!D12,0)/2</f>
        <v>0</v>
      </c>
      <c r="D12" s="74">
        <f>IFERROR('callPut（W）'!L12+'callPut（F）'!L12,0)/2</f>
        <v>0</v>
      </c>
      <c r="E12" s="82">
        <v>16584.113156119998</v>
      </c>
      <c r="F12" s="82">
        <v>-22718.075825830005</v>
      </c>
      <c r="G12" s="82">
        <v>-6133.9626697100011</v>
      </c>
      <c r="I12" s="89">
        <f>MAX($A$2-B12,0)*MAX('籌碼表(W+F)'!D14,0)-MAX('籌碼表(W+F)'!D14,0)*C12</f>
        <v>0</v>
      </c>
      <c r="J12" s="89">
        <f>MAX(B12-$A$2,0)*MAX('籌碼表(W+F)'!F14,0)-MAX('籌碼表(W+F)'!F14,0)*D12</f>
        <v>0</v>
      </c>
      <c r="K12" s="89">
        <f>-MIN('籌碼表(W+F)'!D14,0)*C12  - MAX($A$2-B12,0) * (-MIN('籌碼表(W+F)'!D14,0))</f>
        <v>0</v>
      </c>
      <c r="L12" s="89">
        <f>-MIN('籌碼表(W+F)'!F14,0) * D12 -  MAX(B12-$A$2,0) * (-MIN('籌碼表(W+F)'!F14,0))</f>
        <v>0</v>
      </c>
    </row>
    <row r="13" spans="1:12" ht="13.5" customHeight="1" x14ac:dyDescent="0.25">
      <c r="A13" s="74">
        <v>16050</v>
      </c>
      <c r="B13" s="74">
        <v>16050</v>
      </c>
      <c r="C13" s="74">
        <f>IFERROR('callPut（W）'!D13+'callPut（F）'!D13,0)/2</f>
        <v>0</v>
      </c>
      <c r="D13" s="74">
        <f>IFERROR('callPut（W）'!L13+'callPut（F）'!L13,0)/2</f>
        <v>0</v>
      </c>
      <c r="E13" s="82">
        <v>16456.770256119999</v>
      </c>
      <c r="F13" s="82">
        <v>-22544.451445830007</v>
      </c>
      <c r="G13" s="82">
        <v>-6087.6811897099997</v>
      </c>
      <c r="I13" s="89">
        <f>MAX($A$2-B13,0)*MAX('籌碼表(W+F)'!D15,0)-MAX('籌碼表(W+F)'!D15,0)*C13</f>
        <v>0</v>
      </c>
      <c r="J13" s="89">
        <f>MAX(B13-$A$2,0)*MAX('籌碼表(W+F)'!F15,0)-MAX('籌碼表(W+F)'!F15,0)*D13</f>
        <v>0</v>
      </c>
      <c r="K13" s="89">
        <f>-MIN('籌碼表(W+F)'!D15,0)*C13  - MAX($A$2-B13,0) * (-MIN('籌碼表(W+F)'!D15,0))</f>
        <v>0</v>
      </c>
      <c r="L13" s="89">
        <f>-MIN('籌碼表(W+F)'!F15,0) * D13 -  MAX(B13-$A$2,0) * (-MIN('籌碼表(W+F)'!F15,0))</f>
        <v>0</v>
      </c>
    </row>
    <row r="14" spans="1:12" ht="13.5" customHeight="1" x14ac:dyDescent="0.25">
      <c r="A14" s="74">
        <v>16100</v>
      </c>
      <c r="B14" s="74">
        <v>16100</v>
      </c>
      <c r="C14" s="74">
        <f>IFERROR('callPut（W）'!D14+'callPut（F）'!D14,0)/2</f>
        <v>0</v>
      </c>
      <c r="D14" s="74">
        <f>IFERROR('callPut（W）'!L14+'callPut（F）'!L14,0)/2</f>
        <v>0</v>
      </c>
      <c r="E14" s="82">
        <v>16329.427356120001</v>
      </c>
      <c r="F14" s="82">
        <v>-22370.827065830006</v>
      </c>
      <c r="G14" s="82">
        <v>-6041.3997097099991</v>
      </c>
      <c r="I14" s="89">
        <f>MAX($A$2-B14,0)*MAX('籌碼表(W+F)'!D16,0)-MAX('籌碼表(W+F)'!D16,0)*C14</f>
        <v>0</v>
      </c>
      <c r="J14" s="89">
        <f>MAX(B14-$A$2,0)*MAX('籌碼表(W+F)'!F16,0)-MAX('籌碼表(W+F)'!F16,0)*D14</f>
        <v>0</v>
      </c>
      <c r="K14" s="89">
        <f>-MIN('籌碼表(W+F)'!D16,0)*C14  - MAX($A$2-B14,0) * (-MIN('籌碼表(W+F)'!D16,0))</f>
        <v>0</v>
      </c>
      <c r="L14" s="89">
        <f>-MIN('籌碼表(W+F)'!F16,0) * D14 -  MAX(B14-$A$2,0) * (-MIN('籌碼表(W+F)'!F16,0))</f>
        <v>0</v>
      </c>
    </row>
    <row r="15" spans="1:12" ht="13.5" customHeight="1" x14ac:dyDescent="0.25">
      <c r="A15" s="74">
        <v>16150</v>
      </c>
      <c r="B15" s="74">
        <v>16150</v>
      </c>
      <c r="C15" s="74">
        <f>IFERROR('callPut（W）'!D15+'callPut（F）'!D15,0)/2</f>
        <v>0</v>
      </c>
      <c r="D15" s="74">
        <f>IFERROR('callPut（W）'!L15+'callPut（F）'!L15,0)/2</f>
        <v>0</v>
      </c>
      <c r="E15" s="82">
        <v>16202.084456120001</v>
      </c>
      <c r="F15" s="82">
        <v>-22197.202685830005</v>
      </c>
      <c r="G15" s="82">
        <v>-5995.1182297099976</v>
      </c>
      <c r="I15" s="89">
        <f>MAX($A$2-B15,0)*MAX('籌碼表(W+F)'!D17,0)-MAX('籌碼表(W+F)'!D17,0)*C15</f>
        <v>0</v>
      </c>
      <c r="J15" s="89">
        <f>MAX(B15-$A$2,0)*MAX('籌碼表(W+F)'!F17,0)-MAX('籌碼表(W+F)'!F17,0)*D15</f>
        <v>0</v>
      </c>
      <c r="K15" s="89">
        <f>-MIN('籌碼表(W+F)'!D17,0)*C15  - MAX($A$2-B15,0) * (-MIN('籌碼表(W+F)'!D17,0))</f>
        <v>0</v>
      </c>
      <c r="L15" s="89">
        <f>-MIN('籌碼表(W+F)'!F17,0) * D15 -  MAX(B15-$A$2,0) * (-MIN('籌碼表(W+F)'!F17,0))</f>
        <v>0</v>
      </c>
    </row>
    <row r="16" spans="1:12" ht="13.5" customHeight="1" x14ac:dyDescent="0.25">
      <c r="A16" s="74">
        <v>16200</v>
      </c>
      <c r="B16" s="74">
        <v>16200</v>
      </c>
      <c r="C16" s="74">
        <f>IFERROR('callPut（W）'!D16+'callPut（F）'!D16,0)/2</f>
        <v>0</v>
      </c>
      <c r="D16" s="74">
        <f>IFERROR('callPut（W）'!L16+'callPut（F）'!L16,0)/2</f>
        <v>0</v>
      </c>
      <c r="E16" s="82">
        <v>16074.74155612</v>
      </c>
      <c r="F16" s="82">
        <v>-22023.578305830004</v>
      </c>
      <c r="G16" s="82">
        <v>-5948.8367497099989</v>
      </c>
      <c r="I16" s="89">
        <f>MAX($A$2-B16,0)*MAX('籌碼表(W+F)'!D18,0)-MAX('籌碼表(W+F)'!D18,0)*C16</f>
        <v>0</v>
      </c>
      <c r="J16" s="89">
        <f>MAX(B16-$A$2,0)*MAX('籌碼表(W+F)'!F18,0)-MAX('籌碼表(W+F)'!F18,0)*D16</f>
        <v>0</v>
      </c>
      <c r="K16" s="89">
        <f>-MIN('籌碼表(W+F)'!D18,0)*C16  - MAX($A$2-B16,0) * (-MIN('籌碼表(W+F)'!D18,0))</f>
        <v>0</v>
      </c>
      <c r="L16" s="89">
        <f>-MIN('籌碼表(W+F)'!F18,0) * D16 -  MAX(B16-$A$2,0) * (-MIN('籌碼表(W+F)'!F18,0))</f>
        <v>0</v>
      </c>
    </row>
    <row r="17" spans="1:12" ht="13.5" customHeight="1" x14ac:dyDescent="0.25">
      <c r="A17" s="74">
        <v>16250</v>
      </c>
      <c r="B17" s="74">
        <v>16250</v>
      </c>
      <c r="C17" s="74">
        <f>IFERROR('callPut（W）'!D17+'callPut（F）'!D17,0)/2</f>
        <v>0</v>
      </c>
      <c r="D17" s="74">
        <f>IFERROR('callPut（W）'!L17+'callPut（F）'!L17,0)/2</f>
        <v>0</v>
      </c>
      <c r="E17" s="82">
        <v>15947.39865612</v>
      </c>
      <c r="F17" s="82">
        <v>-21849.95392583001</v>
      </c>
      <c r="G17" s="82">
        <v>-5902.5552697099993</v>
      </c>
      <c r="I17" s="89">
        <f>MAX($A$2-B17,0)*MAX('籌碼表(W+F)'!D19,0)-MAX('籌碼表(W+F)'!D19,0)*C17</f>
        <v>0</v>
      </c>
      <c r="J17" s="89">
        <f>MAX(B17-$A$2,0)*MAX('籌碼表(W+F)'!F19,0)-MAX('籌碼表(W+F)'!F19,0)*D17</f>
        <v>0</v>
      </c>
      <c r="K17" s="89">
        <f>-MIN('籌碼表(W+F)'!D19,0)*C17  - MAX($A$2-B17,0) * (-MIN('籌碼表(W+F)'!D19,0))</f>
        <v>0</v>
      </c>
      <c r="L17" s="89">
        <f>-MIN('籌碼表(W+F)'!F19,0) * D17 -  MAX(B17-$A$2,0) * (-MIN('籌碼表(W+F)'!F19,0))</f>
        <v>0</v>
      </c>
    </row>
    <row r="18" spans="1:12" ht="13.5" customHeight="1" x14ac:dyDescent="0.25">
      <c r="A18" s="74">
        <v>16300</v>
      </c>
      <c r="B18" s="74">
        <v>16300</v>
      </c>
      <c r="C18" s="74">
        <f>IFERROR('callPut（W）'!D18+'callPut（F）'!D18,0)/2</f>
        <v>0</v>
      </c>
      <c r="D18" s="74">
        <f>IFERROR('callPut（W）'!L18+'callPut（F）'!L18,0)/2</f>
        <v>0</v>
      </c>
      <c r="E18" s="82">
        <v>15820.055756120006</v>
      </c>
      <c r="F18" s="82">
        <v>-21676.329545830009</v>
      </c>
      <c r="G18" s="82">
        <v>-5856.2737897099978</v>
      </c>
      <c r="I18" s="89">
        <f>MAX($A$2-B18,0)*MAX('籌碼表(W+F)'!D20,0)-MAX('籌碼表(W+F)'!D20,0)*C18</f>
        <v>0</v>
      </c>
      <c r="J18" s="89">
        <f>MAX(B18-$A$2,0)*MAX('籌碼表(W+F)'!F20,0)-MAX('籌碼表(W+F)'!F20,0)*D18</f>
        <v>0</v>
      </c>
      <c r="K18" s="89">
        <f>-MIN('籌碼表(W+F)'!D20,0)*C18  - MAX($A$2-B18,0) * (-MIN('籌碼表(W+F)'!D20,0))</f>
        <v>0</v>
      </c>
      <c r="L18" s="89">
        <f>-MIN('籌碼表(W+F)'!F20,0) * D18 -  MAX(B18-$A$2,0) * (-MIN('籌碼表(W+F)'!F20,0))</f>
        <v>0</v>
      </c>
    </row>
    <row r="19" spans="1:12" ht="13.5" customHeight="1" x14ac:dyDescent="0.25">
      <c r="A19" s="74">
        <v>16350</v>
      </c>
      <c r="B19" s="74">
        <v>16350</v>
      </c>
      <c r="C19" s="74">
        <f>IFERROR('callPut（W）'!D19+'callPut（F）'!D19,0)/2</f>
        <v>0</v>
      </c>
      <c r="D19" s="74">
        <f>IFERROR('callPut（W）'!L19+'callPut（F）'!L19,0)/2</f>
        <v>0</v>
      </c>
      <c r="E19" s="82">
        <v>15692.712856119999</v>
      </c>
      <c r="F19" s="82">
        <v>-21502.705165830008</v>
      </c>
      <c r="G19" s="82">
        <v>-5809.9923097099982</v>
      </c>
      <c r="I19" s="89">
        <f>MAX($A$2-B19,0)*MAX('籌碼表(W+F)'!D21,0)-MAX('籌碼表(W+F)'!D21,0)*C19</f>
        <v>0</v>
      </c>
      <c r="J19" s="89">
        <f>MAX(B19-$A$2,0)*MAX('籌碼表(W+F)'!F21,0)-MAX('籌碼表(W+F)'!F21,0)*D19</f>
        <v>0</v>
      </c>
      <c r="K19" s="89">
        <f>-MIN('籌碼表(W+F)'!D21,0)*C19  - MAX($A$2-B19,0) * (-MIN('籌碼表(W+F)'!D21,0))</f>
        <v>0</v>
      </c>
      <c r="L19" s="89">
        <f>-MIN('籌碼表(W+F)'!F21,0) * D19 -  MAX(B19-$A$2,0) * (-MIN('籌碼表(W+F)'!F21,0))</f>
        <v>0</v>
      </c>
    </row>
    <row r="20" spans="1:12" ht="13.5" customHeight="1" x14ac:dyDescent="0.25">
      <c r="A20" s="74">
        <v>16400</v>
      </c>
      <c r="B20" s="74">
        <v>16400</v>
      </c>
      <c r="C20" s="74">
        <f>IFERROR('callPut（W）'!D20+'callPut（F）'!D20,0)/2</f>
        <v>0</v>
      </c>
      <c r="D20" s="74">
        <f>IFERROR('callPut（W）'!L20+'callPut（F）'!L20,0)/2</f>
        <v>0</v>
      </c>
      <c r="E20" s="82">
        <v>15565.369956120001</v>
      </c>
      <c r="F20" s="82">
        <v>-21329.08078583001</v>
      </c>
      <c r="G20" s="82">
        <v>-5763.7108297100021</v>
      </c>
      <c r="I20" s="89">
        <f>MAX($A$2-B20,0)*MAX('籌碼表(W+F)'!D22,0)-MAX('籌碼表(W+F)'!D22,0)*C20</f>
        <v>0</v>
      </c>
      <c r="J20" s="89">
        <f>MAX(B20-$A$2,0)*MAX('籌碼表(W+F)'!F22,0)-MAX('籌碼表(W+F)'!F22,0)*D20</f>
        <v>0</v>
      </c>
      <c r="K20" s="89">
        <f>-MIN('籌碼表(W+F)'!D22,0)*C20  - MAX($A$2-B20,0) * (-MIN('籌碼表(W+F)'!D22,0))</f>
        <v>0</v>
      </c>
      <c r="L20" s="89">
        <f>-MIN('籌碼表(W+F)'!F22,0) * D20 -  MAX(B20-$A$2,0) * (-MIN('籌碼表(W+F)'!F22,0))</f>
        <v>0</v>
      </c>
    </row>
    <row r="21" spans="1:12" ht="13.5" customHeight="1" x14ac:dyDescent="0.25">
      <c r="A21" s="74">
        <v>16450</v>
      </c>
      <c r="B21" s="74">
        <v>16450</v>
      </c>
      <c r="C21" s="74">
        <f>IFERROR('callPut（W）'!D21+'callPut（F）'!D21,0)/2</f>
        <v>0</v>
      </c>
      <c r="D21" s="74">
        <f>IFERROR('callPut（W）'!L21+'callPut（F）'!L21,0)/2</f>
        <v>0</v>
      </c>
      <c r="E21" s="82">
        <v>15438.027056120003</v>
      </c>
      <c r="F21" s="82">
        <v>-21155.456405830009</v>
      </c>
      <c r="G21" s="82">
        <v>-5717.4293497100007</v>
      </c>
      <c r="I21" s="89">
        <f>MAX($A$2-B21,0)*MAX('籌碼表(W+F)'!D23,0)-MAX('籌碼表(W+F)'!D23,0)*C21</f>
        <v>0</v>
      </c>
      <c r="J21" s="89">
        <f>MAX(B21-$A$2,0)*MAX('籌碼表(W+F)'!F23,0)-MAX('籌碼表(W+F)'!F23,0)*D21</f>
        <v>0</v>
      </c>
      <c r="K21" s="89">
        <f>-MIN('籌碼表(W+F)'!D23,0)*C21  - MAX($A$2-B21,0) * (-MIN('籌碼表(W+F)'!D23,0))</f>
        <v>0</v>
      </c>
      <c r="L21" s="89">
        <f>-MIN('籌碼表(W+F)'!F23,0) * D21 -  MAX(B21-$A$2,0) * (-MIN('籌碼表(W+F)'!F23,0))</f>
        <v>0</v>
      </c>
    </row>
    <row r="22" spans="1:12" ht="13.5" customHeight="1" x14ac:dyDescent="0.25">
      <c r="A22" s="74">
        <v>16500</v>
      </c>
      <c r="B22" s="74">
        <v>16500</v>
      </c>
      <c r="C22" s="74">
        <f>IFERROR('callPut（W）'!D22+'callPut（F）'!D22,0)/2</f>
        <v>0</v>
      </c>
      <c r="D22" s="74">
        <f>IFERROR('callPut（W）'!L22+'callPut（F）'!L22,0)/2</f>
        <v>0</v>
      </c>
      <c r="E22" s="82">
        <v>15310.68415612</v>
      </c>
      <c r="F22" s="82">
        <v>-20981.832025830008</v>
      </c>
      <c r="G22" s="82">
        <v>-5671.1478697099974</v>
      </c>
      <c r="I22" s="89">
        <f>MAX($A$2-B22,0)*MAX('籌碼表(W+F)'!D24,0)-MAX('籌碼表(W+F)'!D24,0)*C22</f>
        <v>0</v>
      </c>
      <c r="J22" s="89">
        <f>MAX(B22-$A$2,0)*MAX('籌碼表(W+F)'!F24,0)-MAX('籌碼表(W+F)'!F24,0)*D22</f>
        <v>0</v>
      </c>
      <c r="K22" s="89">
        <f>-MIN('籌碼表(W+F)'!D24,0)*C22  - MAX($A$2-B22,0) * (-MIN('籌碼表(W+F)'!D24,0))</f>
        <v>0</v>
      </c>
      <c r="L22" s="89">
        <f>-MIN('籌碼表(W+F)'!F24,0) * D22 -  MAX(B22-$A$2,0) * (-MIN('籌碼表(W+F)'!F24,0))</f>
        <v>0</v>
      </c>
    </row>
    <row r="23" spans="1:12" ht="13.5" customHeight="1" x14ac:dyDescent="0.25">
      <c r="A23" s="74">
        <v>16550</v>
      </c>
      <c r="B23" s="74">
        <v>16550</v>
      </c>
      <c r="C23" s="74">
        <f>IFERROR('callPut（W）'!D23+'callPut（F）'!D23,0)/2</f>
        <v>0</v>
      </c>
      <c r="D23" s="74">
        <f>IFERROR('callPut（W）'!L23+'callPut（F）'!L23,0)/2</f>
        <v>0</v>
      </c>
      <c r="E23" s="82">
        <v>15183.341256119998</v>
      </c>
      <c r="F23" s="82">
        <v>-20808.207645830011</v>
      </c>
      <c r="G23" s="82">
        <v>-5624.8663897099996</v>
      </c>
      <c r="I23" s="89">
        <f>MAX($A$2-B23,0)*MAX('籌碼表(W+F)'!D25,0)-MAX('籌碼表(W+F)'!D25,0)*C23</f>
        <v>0</v>
      </c>
      <c r="J23" s="89">
        <f>MAX(B23-$A$2,0)*MAX('籌碼表(W+F)'!F25,0)-MAX('籌碼表(W+F)'!F25,0)*D23</f>
        <v>0</v>
      </c>
      <c r="K23" s="89">
        <f>-MIN('籌碼表(W+F)'!D25,0)*C23  - MAX($A$2-B23,0) * (-MIN('籌碼表(W+F)'!D25,0))</f>
        <v>0</v>
      </c>
      <c r="L23" s="89">
        <f>-MIN('籌碼表(W+F)'!F25,0) * D23 -  MAX(B23-$A$2,0) * (-MIN('籌碼表(W+F)'!F25,0))</f>
        <v>0</v>
      </c>
    </row>
    <row r="24" spans="1:12" ht="13.5" customHeight="1" x14ac:dyDescent="0.25">
      <c r="A24" s="74">
        <v>16600</v>
      </c>
      <c r="B24" s="74">
        <v>16600</v>
      </c>
      <c r="C24" s="74">
        <f>IFERROR('callPut（W）'!D24+'callPut（F）'!D24,0)/2</f>
        <v>0</v>
      </c>
      <c r="D24" s="74">
        <f>IFERROR('callPut（W）'!L24+'callPut（F）'!L24,0)/2</f>
        <v>0</v>
      </c>
      <c r="E24" s="82">
        <v>15055.998356120004</v>
      </c>
      <c r="F24" s="82">
        <v>-20634.58326583001</v>
      </c>
      <c r="G24" s="82">
        <v>-5578.5849097099981</v>
      </c>
      <c r="I24" s="89">
        <f>MAX($A$2-B24,0)*MAX('籌碼表(W+F)'!D26,0)-MAX('籌碼表(W+F)'!D26,0)*C24</f>
        <v>0</v>
      </c>
      <c r="J24" s="89">
        <f>MAX(B24-$A$2,0)*MAX('籌碼表(W+F)'!F26,0)-MAX('籌碼表(W+F)'!F26,0)*D24</f>
        <v>0</v>
      </c>
      <c r="K24" s="89">
        <f>-MIN('籌碼表(W+F)'!D26,0)*C24  - MAX($A$2-B24,0) * (-MIN('籌碼表(W+F)'!D26,0))</f>
        <v>0</v>
      </c>
      <c r="L24" s="89">
        <f>-MIN('籌碼表(W+F)'!F26,0) * D24 -  MAX(B24-$A$2,0) * (-MIN('籌碼表(W+F)'!F26,0))</f>
        <v>0</v>
      </c>
    </row>
    <row r="25" spans="1:12" ht="13.5" customHeight="1" x14ac:dyDescent="0.25">
      <c r="A25" s="74">
        <v>16650</v>
      </c>
      <c r="B25" s="74">
        <v>16650</v>
      </c>
      <c r="C25" s="74">
        <f>IFERROR('callPut（W）'!D25+'callPut（F）'!D25,0)/2</f>
        <v>0</v>
      </c>
      <c r="D25" s="74">
        <f>IFERROR('callPut（W）'!L25+'callPut（F）'!L25,0)/2</f>
        <v>0</v>
      </c>
      <c r="E25" s="82">
        <v>14928.655456120001</v>
      </c>
      <c r="F25" s="82">
        <v>-20460.958885830009</v>
      </c>
      <c r="G25" s="82">
        <v>-5532.3034297099975</v>
      </c>
      <c r="I25" s="89">
        <f>MAX($A$2-B25,0)*MAX('籌碼表(W+F)'!D27,0)-MAX('籌碼表(W+F)'!D27,0)*C25</f>
        <v>0</v>
      </c>
      <c r="J25" s="89">
        <f>MAX(B25-$A$2,0)*MAX('籌碼表(W+F)'!F27,0)-MAX('籌碼表(W+F)'!F27,0)*D25</f>
        <v>0</v>
      </c>
      <c r="K25" s="89">
        <f>-MIN('籌碼表(W+F)'!D27,0)*C25  - MAX($A$2-B25,0) * (-MIN('籌碼表(W+F)'!D27,0))</f>
        <v>0</v>
      </c>
      <c r="L25" s="89">
        <f>-MIN('籌碼表(W+F)'!F27,0) * D25 -  MAX(B25-$A$2,0) * (-MIN('籌碼表(W+F)'!F27,0))</f>
        <v>0</v>
      </c>
    </row>
    <row r="26" spans="1:12" ht="13.5" customHeight="1" x14ac:dyDescent="0.25">
      <c r="A26" s="74">
        <v>16700</v>
      </c>
      <c r="B26" s="74">
        <v>16700</v>
      </c>
      <c r="C26" s="74">
        <f>IFERROR('callPut（W）'!D26+'callPut（F）'!D26,0)/2</f>
        <v>0</v>
      </c>
      <c r="D26" s="74">
        <f>IFERROR('callPut（W）'!L26+'callPut（F）'!L26,0)/2</f>
        <v>0</v>
      </c>
      <c r="E26" s="82">
        <v>14801.312556119999</v>
      </c>
      <c r="F26" s="82">
        <v>-20287.334505830011</v>
      </c>
      <c r="G26" s="82">
        <v>-5486.0219497099997</v>
      </c>
      <c r="I26" s="89">
        <f>MAX($A$2-B26,0)*MAX('籌碼表(W+F)'!D28,0)-MAX('籌碼表(W+F)'!D28,0)*C26</f>
        <v>0</v>
      </c>
      <c r="J26" s="89">
        <f>MAX(B26-$A$2,0)*MAX('籌碼表(W+F)'!F28,0)-MAX('籌碼表(W+F)'!F28,0)*D26</f>
        <v>0</v>
      </c>
      <c r="K26" s="89">
        <f>-MIN('籌碼表(W+F)'!D28,0)*C26  - MAX($A$2-B26,0) * (-MIN('籌碼表(W+F)'!D28,0))</f>
        <v>0</v>
      </c>
      <c r="L26" s="89">
        <f>-MIN('籌碼表(W+F)'!F28,0) * D26 -  MAX(B26-$A$2,0) * (-MIN('籌碼表(W+F)'!F28,0))</f>
        <v>0</v>
      </c>
    </row>
    <row r="27" spans="1:12" ht="13.5" customHeight="1" x14ac:dyDescent="0.25">
      <c r="A27" s="74">
        <v>16750</v>
      </c>
      <c r="B27" s="74">
        <v>16750</v>
      </c>
      <c r="C27" s="74">
        <f>IFERROR('callPut（W）'!D27+'callPut（F）'!D27,0)/2</f>
        <v>0</v>
      </c>
      <c r="D27" s="74">
        <f>IFERROR('callPut（W）'!L27+'callPut（F）'!L27,0)/2</f>
        <v>0</v>
      </c>
      <c r="E27" s="82">
        <v>14673.969656119998</v>
      </c>
      <c r="F27" s="82">
        <v>-20113.71012583001</v>
      </c>
      <c r="G27" s="82">
        <v>-5439.740469710001</v>
      </c>
      <c r="I27" s="89">
        <f>MAX($A$2-B27,0)*MAX('籌碼表(W+F)'!D29,0)-MAX('籌碼表(W+F)'!D29,0)*C27</f>
        <v>0</v>
      </c>
      <c r="J27" s="89">
        <f>MAX(B27-$A$2,0)*MAX('籌碼表(W+F)'!F29,0)-MAX('籌碼表(W+F)'!F29,0)*D27</f>
        <v>0</v>
      </c>
      <c r="K27" s="89">
        <f>-MIN('籌碼表(W+F)'!D29,0)*C27  - MAX($A$2-B27,0) * (-MIN('籌碼表(W+F)'!D29,0))</f>
        <v>0</v>
      </c>
      <c r="L27" s="89">
        <f>-MIN('籌碼表(W+F)'!F29,0) * D27 -  MAX(B27-$A$2,0) * (-MIN('籌碼表(W+F)'!F29,0))</f>
        <v>0</v>
      </c>
    </row>
    <row r="28" spans="1:12" ht="13.5" customHeight="1" x14ac:dyDescent="0.25">
      <c r="A28" s="74">
        <v>16800</v>
      </c>
      <c r="B28" s="74">
        <v>16800</v>
      </c>
      <c r="C28" s="74">
        <f>IFERROR('callPut（W）'!D28+'callPut（F）'!D28,0)/2</f>
        <v>0</v>
      </c>
      <c r="D28" s="74">
        <f>IFERROR('callPut（W）'!L28+'callPut（F）'!L28,0)/2</f>
        <v>0</v>
      </c>
      <c r="E28" s="82">
        <v>14546.626756120002</v>
      </c>
      <c r="F28" s="82">
        <v>-19940.085745830009</v>
      </c>
      <c r="G28" s="82">
        <v>-5393.4589897099995</v>
      </c>
      <c r="I28" s="89">
        <f>MAX($A$2-B28,0)*MAX('籌碼表(W+F)'!D30,0)-MAX('籌碼表(W+F)'!D30,0)*C28</f>
        <v>0</v>
      </c>
      <c r="J28" s="89">
        <f>MAX(B28-$A$2,0)*MAX('籌碼表(W+F)'!F30,0)-MAX('籌碼表(W+F)'!F30,0)*D28</f>
        <v>0</v>
      </c>
      <c r="K28" s="89">
        <f>-MIN('籌碼表(W+F)'!D30,0)*C28  - MAX($A$2-B28,0) * (-MIN('籌碼表(W+F)'!D30,0))</f>
        <v>0</v>
      </c>
      <c r="L28" s="89">
        <f>-MIN('籌碼表(W+F)'!F30,0) * D28 -  MAX(B28-$A$2,0) * (-MIN('籌碼表(W+F)'!F30,0))</f>
        <v>0</v>
      </c>
    </row>
    <row r="29" spans="1:12" ht="13.5" customHeight="1" x14ac:dyDescent="0.25">
      <c r="A29" s="74">
        <v>16850</v>
      </c>
      <c r="B29" s="74">
        <v>16850</v>
      </c>
      <c r="C29" s="74">
        <f>IFERROR('callPut（W）'!D29+'callPut（F）'!D29,0)/2</f>
        <v>0</v>
      </c>
      <c r="D29" s="74">
        <f>IFERROR('callPut（W）'!L29+'callPut（F）'!L29,0)/2</f>
        <v>0</v>
      </c>
      <c r="E29" s="82">
        <v>14419.283856120002</v>
      </c>
      <c r="F29" s="82">
        <v>-19766.461365830008</v>
      </c>
      <c r="G29" s="82">
        <v>-5347.1775097099999</v>
      </c>
      <c r="I29" s="89">
        <f>MAX($A$2-B29,0)*MAX('籌碼表(W+F)'!D31,0)-MAX('籌碼表(W+F)'!D31,0)*C29</f>
        <v>0</v>
      </c>
      <c r="J29" s="89">
        <f>MAX(B29-$A$2,0)*MAX('籌碼表(W+F)'!F31,0)-MAX('籌碼表(W+F)'!F31,0)*D29</f>
        <v>0</v>
      </c>
      <c r="K29" s="89">
        <f>-MIN('籌碼表(W+F)'!D31,0)*C29  - MAX($A$2-B29,0) * (-MIN('籌碼表(W+F)'!D31,0))</f>
        <v>0</v>
      </c>
      <c r="L29" s="89">
        <f>-MIN('籌碼表(W+F)'!F31,0) * D29 -  MAX(B29-$A$2,0) * (-MIN('籌碼表(W+F)'!F31,0))</f>
        <v>0</v>
      </c>
    </row>
    <row r="30" spans="1:12" ht="13.5" customHeight="1" x14ac:dyDescent="0.25">
      <c r="A30" s="74">
        <v>16900</v>
      </c>
      <c r="B30" s="74">
        <v>16900</v>
      </c>
      <c r="C30" s="74">
        <f>IFERROR('callPut（W）'!D30+'callPut（F）'!D30,0)/2</f>
        <v>0</v>
      </c>
      <c r="D30" s="74">
        <f>IFERROR('callPut（W）'!L30+'callPut（F）'!L30,0)/2</f>
        <v>0</v>
      </c>
      <c r="E30" s="82">
        <v>14291.940956119997</v>
      </c>
      <c r="F30" s="82">
        <v>-19592.83698583001</v>
      </c>
      <c r="G30" s="82">
        <v>-5300.8960297099975</v>
      </c>
      <c r="I30" s="89">
        <f>MAX($A$2-B30,0)*MAX('籌碼表(W+F)'!D32,0)-MAX('籌碼表(W+F)'!D32,0)*C30</f>
        <v>0</v>
      </c>
      <c r="J30" s="89">
        <f>MAX(B30-$A$2,0)*MAX('籌碼表(W+F)'!F32,0)-MAX('籌碼表(W+F)'!F32,0)*D30</f>
        <v>0</v>
      </c>
      <c r="K30" s="89">
        <f>-MIN('籌碼表(W+F)'!D32,0)*C30  - MAX($A$2-B30,0) * (-MIN('籌碼表(W+F)'!D32,0))</f>
        <v>0</v>
      </c>
      <c r="L30" s="89">
        <f>-MIN('籌碼表(W+F)'!F32,0) * D30 -  MAX(B30-$A$2,0) * (-MIN('籌碼表(W+F)'!F32,0))</f>
        <v>0</v>
      </c>
    </row>
    <row r="31" spans="1:12" ht="13.5" customHeight="1" x14ac:dyDescent="0.25">
      <c r="A31" s="74">
        <v>16950</v>
      </c>
      <c r="B31" s="74">
        <v>16950</v>
      </c>
      <c r="C31" s="74">
        <f>IFERROR('callPut（W）'!D31+'callPut（F）'!D31,0)/2</f>
        <v>0</v>
      </c>
      <c r="D31" s="74">
        <f>IFERROR('callPut（W）'!L31+'callPut（F）'!L31,0)/2</f>
        <v>0</v>
      </c>
      <c r="E31" s="82">
        <v>14164.598056120005</v>
      </c>
      <c r="F31" s="82">
        <v>-19419.212605830013</v>
      </c>
      <c r="G31" s="82">
        <v>-5254.6145497100006</v>
      </c>
      <c r="I31" s="89">
        <f>MAX($A$2-B31,0)*MAX('籌碼表(W+F)'!D33,0)-MAX('籌碼表(W+F)'!D33,0)*C31</f>
        <v>0</v>
      </c>
      <c r="J31" s="89">
        <f>MAX(B31-$A$2,0)*MAX('籌碼表(W+F)'!F33,0)-MAX('籌碼表(W+F)'!F33,0)*D31</f>
        <v>0</v>
      </c>
      <c r="K31" s="89">
        <f>-MIN('籌碼表(W+F)'!D33,0)*C31  - MAX($A$2-B31,0) * (-MIN('籌碼表(W+F)'!D33,0))</f>
        <v>0</v>
      </c>
      <c r="L31" s="89">
        <f>-MIN('籌碼表(W+F)'!F33,0) * D31 -  MAX(B31-$A$2,0) * (-MIN('籌碼表(W+F)'!F33,0))</f>
        <v>0</v>
      </c>
    </row>
    <row r="32" spans="1:12" ht="13.5" customHeight="1" x14ac:dyDescent="0.25">
      <c r="A32" s="74">
        <v>17000</v>
      </c>
      <c r="B32" s="74">
        <v>17000</v>
      </c>
      <c r="C32" s="74">
        <f>IFERROR('callPut（W）'!D32+'callPut（F）'!D32,0)/2</f>
        <v>0</v>
      </c>
      <c r="D32" s="74">
        <f>IFERROR('callPut（W）'!L32+'callPut（F）'!L32,0)/2</f>
        <v>0</v>
      </c>
      <c r="E32" s="82">
        <v>14037.255156119998</v>
      </c>
      <c r="F32" s="82">
        <v>-19245.588225830012</v>
      </c>
      <c r="G32" s="82">
        <v>-5208.3330697099982</v>
      </c>
      <c r="I32" s="89">
        <f>MAX($A$2-B32,0)*MAX('籌碼表(W+F)'!D34,0)-MAX('籌碼表(W+F)'!D34,0)*C32</f>
        <v>0</v>
      </c>
      <c r="J32" s="89">
        <f>MAX(B32-$A$2,0)*MAX('籌碼表(W+F)'!F34,0)-MAX('籌碼表(W+F)'!F34,0)*D32</f>
        <v>0</v>
      </c>
      <c r="K32" s="89">
        <f>-MIN('籌碼表(W+F)'!D34,0)*C32  - MAX($A$2-B32,0) * (-MIN('籌碼表(W+F)'!D34,0))</f>
        <v>0</v>
      </c>
      <c r="L32" s="89">
        <f>-MIN('籌碼表(W+F)'!F34,0) * D32 -  MAX(B32-$A$2,0) * (-MIN('籌碼表(W+F)'!F34,0))</f>
        <v>0</v>
      </c>
    </row>
    <row r="33" spans="1:12" ht="13.5" customHeight="1" x14ac:dyDescent="0.25">
      <c r="A33" s="74">
        <v>17050</v>
      </c>
      <c r="B33" s="74">
        <v>17050</v>
      </c>
      <c r="C33" s="74">
        <f>IFERROR('callPut（W）'!D33+'callPut（F）'!D33,0)/2</f>
        <v>0</v>
      </c>
      <c r="D33" s="74">
        <f>IFERROR('callPut（W）'!L33+'callPut（F）'!L33,0)/2</f>
        <v>0</v>
      </c>
      <c r="E33" s="82">
        <v>13909.912256119998</v>
      </c>
      <c r="F33" s="82">
        <v>-19071.963845830011</v>
      </c>
      <c r="G33" s="82">
        <v>-5162.0515897100004</v>
      </c>
      <c r="I33" s="89">
        <f>MAX($A$2-B33,0)*MAX('籌碼表(W+F)'!D35,0)-MAX('籌碼表(W+F)'!D35,0)*C33</f>
        <v>0</v>
      </c>
      <c r="J33" s="89">
        <f>MAX(B33-$A$2,0)*MAX('籌碼表(W+F)'!F35,0)-MAX('籌碼表(W+F)'!F35,0)*D33</f>
        <v>0</v>
      </c>
      <c r="K33" s="89">
        <f>-MIN('籌碼表(W+F)'!D35,0)*C33  - MAX($A$2-B33,0) * (-MIN('籌碼表(W+F)'!D35,0))</f>
        <v>0</v>
      </c>
      <c r="L33" s="89">
        <f>-MIN('籌碼表(W+F)'!F35,0) * D33 -  MAX(B33-$A$2,0) * (-MIN('籌碼表(W+F)'!F35,0))</f>
        <v>0</v>
      </c>
    </row>
    <row r="34" spans="1:12" ht="13.5" customHeight="1" x14ac:dyDescent="0.25">
      <c r="A34" s="74">
        <v>17100</v>
      </c>
      <c r="B34" s="74">
        <v>17100</v>
      </c>
      <c r="C34" s="74">
        <f>IFERROR('callPut（W）'!D34+'callPut（F）'!D34,0)/2</f>
        <v>0</v>
      </c>
      <c r="D34" s="74">
        <f>IFERROR('callPut（W）'!L34+'callPut（F）'!L34,0)/2</f>
        <v>0</v>
      </c>
      <c r="E34" s="82">
        <v>13782.569356120001</v>
      </c>
      <c r="F34" s="82">
        <v>-18898.339465830006</v>
      </c>
      <c r="G34" s="82">
        <v>-5115.7701097100007</v>
      </c>
      <c r="I34" s="89">
        <f>MAX($A$2-B34,0)*MAX('籌碼表(W+F)'!D36,0)-MAX('籌碼表(W+F)'!D36,0)*C34</f>
        <v>0</v>
      </c>
      <c r="J34" s="89">
        <f>MAX(B34-$A$2,0)*MAX('籌碼表(W+F)'!F36,0)-MAX('籌碼表(W+F)'!F36,0)*D34</f>
        <v>0</v>
      </c>
      <c r="K34" s="89">
        <f>-MIN('籌碼表(W+F)'!D36,0)*C34  - MAX($A$2-B34,0) * (-MIN('籌碼表(W+F)'!D36,0))</f>
        <v>0</v>
      </c>
      <c r="L34" s="89">
        <f>-MIN('籌碼表(W+F)'!F36,0) * D34 -  MAX(B34-$A$2,0) * (-MIN('籌碼表(W+F)'!F36,0))</f>
        <v>0</v>
      </c>
    </row>
    <row r="35" spans="1:12" ht="13.5" customHeight="1" x14ac:dyDescent="0.25">
      <c r="A35" s="74">
        <v>17150</v>
      </c>
      <c r="B35" s="74">
        <v>17150</v>
      </c>
      <c r="C35" s="74">
        <f>IFERROR('callPut（W）'!D35+'callPut（F）'!D35,0)/2</f>
        <v>0</v>
      </c>
      <c r="D35" s="74">
        <f>IFERROR('callPut（W）'!L35+'callPut（F）'!L35,0)/2</f>
        <v>0</v>
      </c>
      <c r="E35" s="82">
        <v>13655.226456120001</v>
      </c>
      <c r="F35" s="82">
        <v>-18724.715085830008</v>
      </c>
      <c r="G35" s="82">
        <v>-5069.4886297100029</v>
      </c>
      <c r="I35" s="89">
        <f>MAX($A$2-B35,0)*MAX('籌碼表(W+F)'!D37,0)-MAX('籌碼表(W+F)'!D37,0)*C35</f>
        <v>0</v>
      </c>
      <c r="J35" s="89">
        <f>MAX(B35-$A$2,0)*MAX('籌碼表(W+F)'!F37,0)-MAX('籌碼表(W+F)'!F37,0)*D35</f>
        <v>0</v>
      </c>
      <c r="K35" s="89">
        <f>-MIN('籌碼表(W+F)'!D37,0)*C35  - MAX($A$2-B35,0) * (-MIN('籌碼表(W+F)'!D37,0))</f>
        <v>0</v>
      </c>
      <c r="L35" s="89">
        <f>-MIN('籌碼表(W+F)'!F37,0) * D35 -  MAX(B35-$A$2,0) * (-MIN('籌碼表(W+F)'!F37,0))</f>
        <v>0</v>
      </c>
    </row>
    <row r="36" spans="1:12" ht="13.5" customHeight="1" x14ac:dyDescent="0.25">
      <c r="A36" s="74">
        <v>17200</v>
      </c>
      <c r="B36" s="74">
        <v>17200</v>
      </c>
      <c r="C36" s="74">
        <f>IFERROR('callPut（W）'!D36+'callPut（F）'!D36,0)/2</f>
        <v>0</v>
      </c>
      <c r="D36" s="74">
        <f>IFERROR('callPut（W）'!L36+'callPut（F）'!L36,0)/2</f>
        <v>0</v>
      </c>
      <c r="E36" s="82">
        <v>13527.883556120001</v>
      </c>
      <c r="F36" s="82">
        <v>-18551.090705830007</v>
      </c>
      <c r="G36" s="82">
        <v>-5023.2071497100005</v>
      </c>
      <c r="I36" s="89">
        <f>MAX($A$2-B36,0)*MAX('籌碼表(W+F)'!D38,0)-MAX('籌碼表(W+F)'!D38,0)*C36</f>
        <v>0</v>
      </c>
      <c r="J36" s="89">
        <f>MAX(B36-$A$2,0)*MAX('籌碼表(W+F)'!F38,0)-MAX('籌碼表(W+F)'!F38,0)*D36</f>
        <v>0</v>
      </c>
      <c r="K36" s="89">
        <f>-MIN('籌碼表(W+F)'!D38,0)*C36  - MAX($A$2-B36,0) * (-MIN('籌碼表(W+F)'!D38,0))</f>
        <v>0</v>
      </c>
      <c r="L36" s="89">
        <f>-MIN('籌碼表(W+F)'!F38,0) * D36 -  MAX(B36-$A$2,0) * (-MIN('籌碼表(W+F)'!F38,0))</f>
        <v>0</v>
      </c>
    </row>
    <row r="37" spans="1:12" ht="13.5" customHeight="1" x14ac:dyDescent="0.25">
      <c r="A37" s="74">
        <v>17250</v>
      </c>
      <c r="B37" s="74">
        <v>17250</v>
      </c>
      <c r="C37" s="74">
        <f>IFERROR('callPut（W）'!D37+'callPut（F）'!D37,0)/2</f>
        <v>0</v>
      </c>
      <c r="D37" s="74">
        <f>IFERROR('callPut（W）'!L37+'callPut（F）'!L37,0)/2</f>
        <v>0</v>
      </c>
      <c r="E37" s="82">
        <v>13400.54065612</v>
      </c>
      <c r="F37" s="82">
        <v>-18377.46632583001</v>
      </c>
      <c r="G37" s="82">
        <v>-4976.92566971</v>
      </c>
      <c r="I37" s="89">
        <f>MAX($A$2-B37,0)*MAX('籌碼表(W+F)'!D39,0)-MAX('籌碼表(W+F)'!D39,0)*C37</f>
        <v>0</v>
      </c>
      <c r="J37" s="89">
        <f>MAX(B37-$A$2,0)*MAX('籌碼表(W+F)'!F39,0)-MAX('籌碼表(W+F)'!F39,0)*D37</f>
        <v>0</v>
      </c>
      <c r="K37" s="89">
        <f>-MIN('籌碼表(W+F)'!D39,0)*C37  - MAX($A$2-B37,0) * (-MIN('籌碼表(W+F)'!D39,0))</f>
        <v>0</v>
      </c>
      <c r="L37" s="89">
        <f>-MIN('籌碼表(W+F)'!F39,0) * D37 -  MAX(B37-$A$2,0) * (-MIN('籌碼表(W+F)'!F39,0))</f>
        <v>0</v>
      </c>
    </row>
    <row r="38" spans="1:12" ht="13.5" customHeight="1" x14ac:dyDescent="0.25">
      <c r="A38" s="74">
        <v>17300</v>
      </c>
      <c r="B38" s="74">
        <v>17300</v>
      </c>
      <c r="C38" s="74">
        <f>IFERROR('callPut（W）'!D38+'callPut（F）'!D38,0)/2</f>
        <v>0</v>
      </c>
      <c r="D38" s="74">
        <f>IFERROR('callPut（W）'!L38+'callPut（F）'!L38,0)/2</f>
        <v>0</v>
      </c>
      <c r="E38" s="82">
        <v>13273.197756120004</v>
      </c>
      <c r="F38" s="82">
        <v>-18203.841945830005</v>
      </c>
      <c r="G38" s="82">
        <v>-4930.6441897099976</v>
      </c>
      <c r="I38" s="89">
        <f>MAX($A$2-B38,0)*MAX('籌碼表(W+F)'!D40,0)-MAX('籌碼表(W+F)'!D40,0)*C38</f>
        <v>0</v>
      </c>
      <c r="J38" s="89">
        <f>MAX(B38-$A$2,0)*MAX('籌碼表(W+F)'!F40,0)-MAX('籌碼表(W+F)'!F40,0)*D38</f>
        <v>0</v>
      </c>
      <c r="K38" s="89">
        <f>-MIN('籌碼表(W+F)'!D40,0)*C38  - MAX($A$2-B38,0) * (-MIN('籌碼表(W+F)'!D40,0))</f>
        <v>0</v>
      </c>
      <c r="L38" s="89">
        <f>-MIN('籌碼表(W+F)'!F40,0) * D38 -  MAX(B38-$A$2,0) * (-MIN('籌碼表(W+F)'!F40,0))</f>
        <v>0</v>
      </c>
    </row>
    <row r="39" spans="1:12" ht="13.5" customHeight="1" x14ac:dyDescent="0.25">
      <c r="A39" s="74">
        <v>17350</v>
      </c>
      <c r="B39" s="74">
        <v>17350</v>
      </c>
      <c r="C39" s="74">
        <f>IFERROR('callPut（W）'!D39+'callPut（F）'!D39,0)/2</f>
        <v>0</v>
      </c>
      <c r="D39" s="74">
        <f>IFERROR('callPut（W）'!L39+'callPut（F）'!L39,0)/2</f>
        <v>0</v>
      </c>
      <c r="E39" s="82">
        <v>13145.854856120002</v>
      </c>
      <c r="F39" s="82">
        <v>-18030.217565830008</v>
      </c>
      <c r="G39" s="82">
        <v>-4884.3627097099989</v>
      </c>
      <c r="I39" s="89">
        <f>MAX($A$2-B39,0)*MAX('籌碼表(W+F)'!D41,0)-MAX('籌碼表(W+F)'!D41,0)*C39</f>
        <v>0</v>
      </c>
      <c r="J39" s="89">
        <f>MAX(B39-$A$2,0)*MAX('籌碼表(W+F)'!F41,0)-MAX('籌碼表(W+F)'!F41,0)*D39</f>
        <v>0</v>
      </c>
      <c r="K39" s="89">
        <f>-MIN('籌碼表(W+F)'!D41,0)*C39  - MAX($A$2-B39,0) * (-MIN('籌碼表(W+F)'!D41,0))</f>
        <v>0</v>
      </c>
      <c r="L39" s="89">
        <f>-MIN('籌碼表(W+F)'!F41,0) * D39 -  MAX(B39-$A$2,0) * (-MIN('籌碼表(W+F)'!F41,0))</f>
        <v>0</v>
      </c>
    </row>
    <row r="40" spans="1:12" ht="13.5" customHeight="1" x14ac:dyDescent="0.25">
      <c r="A40" s="74">
        <v>17400</v>
      </c>
      <c r="B40" s="74">
        <v>17400</v>
      </c>
      <c r="C40" s="74">
        <f>IFERROR('callPut（W）'!D40+'callPut（F）'!D40,0)/2</f>
        <v>0</v>
      </c>
      <c r="D40" s="74">
        <f>IFERROR('callPut（W）'!L40+'callPut（F）'!L40,0)/2</f>
        <v>0</v>
      </c>
      <c r="E40" s="82">
        <v>13018.511956120003</v>
      </c>
      <c r="F40" s="82">
        <v>-17856.59318583001</v>
      </c>
      <c r="G40" s="82">
        <v>-4838.0812297099992</v>
      </c>
      <c r="I40" s="89">
        <f>MAX($A$2-B40,0)*MAX('籌碼表(W+F)'!D42,0)-MAX('籌碼表(W+F)'!D42,0)*C40</f>
        <v>0</v>
      </c>
      <c r="J40" s="89">
        <f>MAX(B40-$A$2,0)*MAX('籌碼表(W+F)'!F42,0)-MAX('籌碼表(W+F)'!F42,0)*D40</f>
        <v>0</v>
      </c>
      <c r="K40" s="89">
        <f>-MIN('籌碼表(W+F)'!D42,0)*C40  - MAX($A$2-B40,0) * (-MIN('籌碼表(W+F)'!D42,0))</f>
        <v>0</v>
      </c>
      <c r="L40" s="89">
        <f>-MIN('籌碼表(W+F)'!F42,0) * D40 -  MAX(B40-$A$2,0) * (-MIN('籌碼表(W+F)'!F42,0))</f>
        <v>0</v>
      </c>
    </row>
    <row r="41" spans="1:12" ht="13.5" customHeight="1" x14ac:dyDescent="0.25">
      <c r="A41" s="74">
        <v>17450</v>
      </c>
      <c r="B41" s="74">
        <v>17450</v>
      </c>
      <c r="C41" s="74">
        <f>IFERROR('callPut（W）'!D41+'callPut（F）'!D41,0)/2</f>
        <v>0</v>
      </c>
      <c r="D41" s="74">
        <f>IFERROR('callPut（W）'!L41+'callPut（F）'!L41,0)/2</f>
        <v>0</v>
      </c>
      <c r="E41" s="82">
        <v>12891.169056119998</v>
      </c>
      <c r="F41" s="82">
        <v>-17682.968805830009</v>
      </c>
      <c r="G41" s="82">
        <v>-4791.7997497099977</v>
      </c>
      <c r="I41" s="89">
        <f>MAX($A$2-B41,0)*MAX('籌碼表(W+F)'!D43,0)-MAX('籌碼表(W+F)'!D43,0)*C41</f>
        <v>0</v>
      </c>
      <c r="J41" s="89">
        <f>MAX(B41-$A$2,0)*MAX('籌碼表(W+F)'!F43,0)-MAX('籌碼表(W+F)'!F43,0)*D41</f>
        <v>0</v>
      </c>
      <c r="K41" s="89">
        <f>-MIN('籌碼表(W+F)'!D43,0)*C41  - MAX($A$2-B41,0) * (-MIN('籌碼表(W+F)'!D43,0))</f>
        <v>0</v>
      </c>
      <c r="L41" s="89">
        <f>-MIN('籌碼表(W+F)'!F43,0) * D41 -  MAX(B41-$A$2,0) * (-MIN('籌碼表(W+F)'!F43,0))</f>
        <v>0</v>
      </c>
    </row>
    <row r="42" spans="1:12" ht="13.5" customHeight="1" x14ac:dyDescent="0.25">
      <c r="A42" s="74">
        <v>17500</v>
      </c>
      <c r="B42" s="74">
        <v>17500</v>
      </c>
      <c r="C42" s="74">
        <f>IFERROR('callPut（W）'!D42+'callPut（F）'!D42,0)/2</f>
        <v>0</v>
      </c>
      <c r="D42" s="74">
        <f>IFERROR('callPut（W）'!L42+'callPut（F）'!L42,0)/2</f>
        <v>0</v>
      </c>
      <c r="E42" s="82">
        <v>12763.82615612</v>
      </c>
      <c r="F42" s="82">
        <v>-17509.344425830008</v>
      </c>
      <c r="G42" s="82">
        <v>-4745.5182697100008</v>
      </c>
      <c r="I42" s="89">
        <f>MAX($A$2-B42,0)*MAX('籌碼表(W+F)'!D44,0)-MAX('籌碼表(W+F)'!D44,0)*C42</f>
        <v>0</v>
      </c>
      <c r="J42" s="89">
        <f>MAX(B42-$A$2,0)*MAX('籌碼表(W+F)'!F44,0)-MAX('籌碼表(W+F)'!F44,0)*D42</f>
        <v>0</v>
      </c>
      <c r="K42" s="89">
        <f>-MIN('籌碼表(W+F)'!D44,0)*C42  - MAX($A$2-B42,0) * (-MIN('籌碼表(W+F)'!D44,0))</f>
        <v>0</v>
      </c>
      <c r="L42" s="89">
        <f>-MIN('籌碼表(W+F)'!F44,0) * D42 -  MAX(B42-$A$2,0) * (-MIN('籌碼表(W+F)'!F44,0))</f>
        <v>0</v>
      </c>
    </row>
    <row r="43" spans="1:12" ht="13.5" customHeight="1" x14ac:dyDescent="0.25">
      <c r="A43" s="74">
        <v>17550</v>
      </c>
      <c r="B43" s="74">
        <v>17550</v>
      </c>
      <c r="C43" s="74">
        <f>IFERROR('callPut（W）'!D43+'callPut（F）'!D43,0)/2</f>
        <v>0</v>
      </c>
      <c r="D43" s="74">
        <f>IFERROR('callPut（W）'!L43+'callPut（F）'!L43,0)/2</f>
        <v>0</v>
      </c>
      <c r="E43" s="82">
        <v>12636.483256120006</v>
      </c>
      <c r="F43" s="82">
        <v>-17335.720045830007</v>
      </c>
      <c r="G43" s="82">
        <v>-4699.2367897099994</v>
      </c>
      <c r="I43" s="89">
        <f>MAX($A$2-B43,0)*MAX('籌碼表(W+F)'!D45,0)-MAX('籌碼表(W+F)'!D45,0)*C43</f>
        <v>0</v>
      </c>
      <c r="J43" s="89">
        <f>MAX(B43-$A$2,0)*MAX('籌碼表(W+F)'!F45,0)-MAX('籌碼表(W+F)'!F45,0)*D43</f>
        <v>0</v>
      </c>
      <c r="K43" s="89">
        <f>-MIN('籌碼表(W+F)'!D45,0)*C43  - MAX($A$2-B43,0) * (-MIN('籌碼表(W+F)'!D45,0))</f>
        <v>0</v>
      </c>
      <c r="L43" s="89">
        <f>-MIN('籌碼表(W+F)'!F45,0) * D43 -  MAX(B43-$A$2,0) * (-MIN('籌碼表(W+F)'!F45,0))</f>
        <v>0</v>
      </c>
    </row>
    <row r="44" spans="1:12" ht="13.5" customHeight="1" x14ac:dyDescent="0.25">
      <c r="A44" s="74">
        <v>17600</v>
      </c>
      <c r="B44" s="74">
        <v>17600</v>
      </c>
      <c r="C44" s="74">
        <f>IFERROR('callPut（W）'!D44+'callPut（F）'!D44,0)/2</f>
        <v>0</v>
      </c>
      <c r="D44" s="74">
        <f>IFERROR('callPut（W）'!L44+'callPut（F）'!L44,0)/2</f>
        <v>0</v>
      </c>
      <c r="E44" s="82">
        <v>12509.140356120002</v>
      </c>
      <c r="F44" s="82">
        <v>-17162.095665830006</v>
      </c>
      <c r="G44" s="82">
        <v>-4652.9553097099979</v>
      </c>
      <c r="I44" s="89">
        <f>MAX($A$2-B44,0)*MAX('籌碼表(W+F)'!D46,0)-MAX('籌碼表(W+F)'!D46,0)*C44</f>
        <v>0</v>
      </c>
      <c r="J44" s="89">
        <f>MAX(B44-$A$2,0)*MAX('籌碼表(W+F)'!F46,0)-MAX('籌碼表(W+F)'!F46,0)*D44</f>
        <v>0</v>
      </c>
      <c r="K44" s="89">
        <f>-MIN('籌碼表(W+F)'!D46,0)*C44  - MAX($A$2-B44,0) * (-MIN('籌碼表(W+F)'!D46,0))</f>
        <v>0</v>
      </c>
      <c r="L44" s="89">
        <f>-MIN('籌碼表(W+F)'!F46,0) * D44 -  MAX(B44-$A$2,0) * (-MIN('籌碼表(W+F)'!F46,0))</f>
        <v>0</v>
      </c>
    </row>
    <row r="45" spans="1:12" ht="13.5" customHeight="1" x14ac:dyDescent="0.25">
      <c r="A45" s="74">
        <v>17650</v>
      </c>
      <c r="B45" s="74">
        <v>17650</v>
      </c>
      <c r="C45" s="74">
        <f>IFERROR('callPut（W）'!D45+'callPut（F）'!D45,0)/2</f>
        <v>0</v>
      </c>
      <c r="D45" s="74">
        <f>IFERROR('callPut（W）'!L45+'callPut（F）'!L45,0)/2</f>
        <v>0</v>
      </c>
      <c r="E45" s="82">
        <v>12381.797456120003</v>
      </c>
      <c r="F45" s="82">
        <v>-16988.471285830008</v>
      </c>
      <c r="G45" s="82">
        <v>-4606.6738297100001</v>
      </c>
      <c r="I45" s="89">
        <f>MAX($A$2-B45,0)*MAX('籌碼表(W+F)'!D47,0)-MAX('籌碼表(W+F)'!D47,0)*C45</f>
        <v>0</v>
      </c>
      <c r="J45" s="89">
        <f>MAX(B45-$A$2,0)*MAX('籌碼表(W+F)'!F47,0)-MAX('籌碼表(W+F)'!F47,0)*D45</f>
        <v>0</v>
      </c>
      <c r="K45" s="89">
        <f>-MIN('籌碼表(W+F)'!D47,0)*C45  - MAX($A$2-B45,0) * (-MIN('籌碼表(W+F)'!D47,0))</f>
        <v>0</v>
      </c>
      <c r="L45" s="89">
        <f>-MIN('籌碼表(W+F)'!F47,0) * D45 -  MAX(B45-$A$2,0) * (-MIN('籌碼表(W+F)'!F47,0))</f>
        <v>0</v>
      </c>
    </row>
    <row r="46" spans="1:12" ht="13.5" customHeight="1" x14ac:dyDescent="0.25">
      <c r="A46" s="74">
        <v>17700</v>
      </c>
      <c r="B46" s="74">
        <v>17700</v>
      </c>
      <c r="C46" s="74">
        <f>IFERROR('callPut（W）'!D46+'callPut（F）'!D46,0)/2</f>
        <v>0</v>
      </c>
      <c r="D46" s="74">
        <f>IFERROR('callPut（W）'!L46+'callPut（F）'!L46,0)/2</f>
        <v>0</v>
      </c>
      <c r="E46" s="82">
        <v>12254.454556120001</v>
      </c>
      <c r="F46" s="82">
        <v>-16814.846905830007</v>
      </c>
      <c r="G46" s="82">
        <v>-4560.3923497099986</v>
      </c>
      <c r="I46" s="89">
        <f>MAX($A$2-B46,0)*MAX('籌碼表(W+F)'!D48,0)-MAX('籌碼表(W+F)'!D48,0)*C46</f>
        <v>0</v>
      </c>
      <c r="J46" s="89">
        <f>MAX(B46-$A$2,0)*MAX('籌碼表(W+F)'!F48,0)-MAX('籌碼表(W+F)'!F48,0)*D46</f>
        <v>0</v>
      </c>
      <c r="K46" s="89">
        <f>-MIN('籌碼表(W+F)'!D48,0)*C46  - MAX($A$2-B46,0) * (-MIN('籌碼表(W+F)'!D48,0))</f>
        <v>0</v>
      </c>
      <c r="L46" s="89">
        <f>-MIN('籌碼表(W+F)'!F48,0) * D46 -  MAX(B46-$A$2,0) * (-MIN('籌碼表(W+F)'!F48,0))</f>
        <v>0</v>
      </c>
    </row>
    <row r="47" spans="1:12" ht="13.5" customHeight="1" x14ac:dyDescent="0.25">
      <c r="A47" s="74">
        <v>17750</v>
      </c>
      <c r="B47" s="74">
        <v>17750</v>
      </c>
      <c r="C47" s="74">
        <f>IFERROR('callPut（W）'!D47+'callPut（F）'!D47,0)/2</f>
        <v>0</v>
      </c>
      <c r="D47" s="74">
        <f>IFERROR('callPut（W）'!L47+'callPut（F）'!L47,0)/2</f>
        <v>0</v>
      </c>
      <c r="E47" s="82">
        <v>12127.11165612</v>
      </c>
      <c r="F47" s="82">
        <v>-16641.222525830002</v>
      </c>
      <c r="G47" s="82">
        <v>-4514.110869709998</v>
      </c>
      <c r="I47" s="89">
        <f>MAX($A$2-B47,0)*MAX('籌碼表(W+F)'!D49,0)-MAX('籌碼表(W+F)'!D49,0)*C47</f>
        <v>0</v>
      </c>
      <c r="J47" s="89">
        <f>MAX(B47-$A$2,0)*MAX('籌碼表(W+F)'!F49,0)-MAX('籌碼表(W+F)'!F49,0)*D47</f>
        <v>0</v>
      </c>
      <c r="K47" s="89">
        <f>-MIN('籌碼表(W+F)'!D49,0)*C47  - MAX($A$2-B47,0) * (-MIN('籌碼表(W+F)'!D49,0))</f>
        <v>0</v>
      </c>
      <c r="L47" s="89">
        <f>-MIN('籌碼表(W+F)'!F49,0) * D47 -  MAX(B47-$A$2,0) * (-MIN('籌碼表(W+F)'!F49,0))</f>
        <v>0</v>
      </c>
    </row>
    <row r="48" spans="1:12" ht="13.5" customHeight="1" x14ac:dyDescent="0.25">
      <c r="A48" s="74">
        <v>17800</v>
      </c>
      <c r="B48" s="74">
        <v>17800</v>
      </c>
      <c r="C48" s="74">
        <f>IFERROR('callPut（W）'!D48+'callPut（F）'!D48,0)/2</f>
        <v>0</v>
      </c>
      <c r="D48" s="74">
        <f>IFERROR('callPut（W）'!L48+'callPut（F）'!L48,0)/2</f>
        <v>0</v>
      </c>
      <c r="E48" s="82">
        <v>11999.768756119998</v>
      </c>
      <c r="F48" s="82">
        <v>-16467.598145830001</v>
      </c>
      <c r="G48" s="82">
        <v>-4467.8293897099993</v>
      </c>
      <c r="I48" s="89">
        <f>MAX($A$2-B48,0)*MAX('籌碼表(W+F)'!D50,0)-MAX('籌碼表(W+F)'!D50,0)*C48</f>
        <v>0</v>
      </c>
      <c r="J48" s="89">
        <f>MAX(B48-$A$2,0)*MAX('籌碼表(W+F)'!F50,0)-MAX('籌碼表(W+F)'!F50,0)*D48</f>
        <v>0</v>
      </c>
      <c r="K48" s="89">
        <f>-MIN('籌碼表(W+F)'!D50,0)*C48  - MAX($A$2-B48,0) * (-MIN('籌碼表(W+F)'!D50,0))</f>
        <v>0</v>
      </c>
      <c r="L48" s="89">
        <f>-MIN('籌碼表(W+F)'!F50,0) * D48 -  MAX(B48-$A$2,0) * (-MIN('籌碼表(W+F)'!F50,0))</f>
        <v>0</v>
      </c>
    </row>
    <row r="49" spans="1:12" ht="13.5" customHeight="1" x14ac:dyDescent="0.25">
      <c r="A49" s="74">
        <v>17850</v>
      </c>
      <c r="B49" s="74">
        <v>17850</v>
      </c>
      <c r="C49" s="74">
        <f>IFERROR('callPut（W）'!D49+'callPut（F）'!D49,0)/2</f>
        <v>0</v>
      </c>
      <c r="D49" s="74">
        <f>IFERROR('callPut（W）'!L49+'callPut（F）'!L49,0)/2</f>
        <v>0</v>
      </c>
      <c r="E49" s="82">
        <v>11872.425856120002</v>
      </c>
      <c r="F49" s="82">
        <v>-16293.97376583</v>
      </c>
      <c r="G49" s="82">
        <v>-4421.5479097099997</v>
      </c>
      <c r="I49" s="89">
        <f>MAX($A$2-B49,0)*MAX('籌碼表(W+F)'!D51,0)-MAX('籌碼表(W+F)'!D51,0)*C49</f>
        <v>0</v>
      </c>
      <c r="J49" s="89">
        <f>MAX(B49-$A$2,0)*MAX('籌碼表(W+F)'!F51,0)-MAX('籌碼表(W+F)'!F51,0)*D49</f>
        <v>0</v>
      </c>
      <c r="K49" s="89">
        <f>-MIN('籌碼表(W+F)'!D51,0)*C49  - MAX($A$2-B49,0) * (-MIN('籌碼表(W+F)'!D51,0))</f>
        <v>0</v>
      </c>
      <c r="L49" s="89">
        <f>-MIN('籌碼表(W+F)'!F51,0) * D49 -  MAX(B49-$A$2,0) * (-MIN('籌碼表(W+F)'!F51,0))</f>
        <v>0</v>
      </c>
    </row>
    <row r="50" spans="1:12" ht="13.5" customHeight="1" x14ac:dyDescent="0.25">
      <c r="A50" s="74">
        <v>17900</v>
      </c>
      <c r="B50" s="74">
        <v>17900</v>
      </c>
      <c r="C50" s="74">
        <f>IFERROR('callPut（W）'!D50+'callPut（F）'!D50,0)/2</f>
        <v>0</v>
      </c>
      <c r="D50" s="74">
        <f>IFERROR('callPut（W）'!L50+'callPut（F）'!L50,0)/2</f>
        <v>0</v>
      </c>
      <c r="E50" s="82">
        <v>11745.082956120001</v>
      </c>
      <c r="F50" s="82">
        <v>-16120.349385830003</v>
      </c>
      <c r="G50" s="82">
        <v>-4375.2664297099991</v>
      </c>
      <c r="I50" s="89">
        <f>MAX($A$2-B50,0)*MAX('籌碼表(W+F)'!D52,0)-MAX('籌碼表(W+F)'!D52,0)*C50</f>
        <v>0</v>
      </c>
      <c r="J50" s="89">
        <f>MAX(B50-$A$2,0)*MAX('籌碼表(W+F)'!F52,0)-MAX('籌碼表(W+F)'!F52,0)*D50</f>
        <v>0</v>
      </c>
      <c r="K50" s="89">
        <f>-MIN('籌碼表(W+F)'!D52,0)*C50  - MAX($A$2-B50,0) * (-MIN('籌碼表(W+F)'!D52,0))</f>
        <v>0</v>
      </c>
      <c r="L50" s="89">
        <f>-MIN('籌碼表(W+F)'!F52,0) * D50 -  MAX(B50-$A$2,0) * (-MIN('籌碼表(W+F)'!F52,0))</f>
        <v>0</v>
      </c>
    </row>
    <row r="51" spans="1:12" ht="13.5" customHeight="1" x14ac:dyDescent="0.25">
      <c r="A51" s="74">
        <v>17950</v>
      </c>
      <c r="B51" s="74">
        <v>17950</v>
      </c>
      <c r="C51" s="74">
        <f>IFERROR('callPut（W）'!D51+'callPut（F）'!D51,0)/2</f>
        <v>0</v>
      </c>
      <c r="D51" s="74">
        <f>IFERROR('callPut（W）'!L51+'callPut（F）'!L51,0)/2</f>
        <v>0</v>
      </c>
      <c r="E51" s="82">
        <v>11617.740056119999</v>
      </c>
      <c r="F51" s="82">
        <v>-15946.725005830001</v>
      </c>
      <c r="G51" s="82">
        <v>-4328.9849497099995</v>
      </c>
      <c r="I51" s="89">
        <f>MAX($A$2-B51,0)*MAX('籌碼表(W+F)'!D53,0)-MAX('籌碼表(W+F)'!D53,0)*C51</f>
        <v>0</v>
      </c>
      <c r="J51" s="89">
        <f>MAX(B51-$A$2,0)*MAX('籌碼表(W+F)'!F53,0)-MAX('籌碼表(W+F)'!F53,0)*D51</f>
        <v>0</v>
      </c>
      <c r="K51" s="89">
        <f>-MIN('籌碼表(W+F)'!D53,0)*C51  - MAX($A$2-B51,0) * (-MIN('籌碼表(W+F)'!D53,0))</f>
        <v>0</v>
      </c>
      <c r="L51" s="89">
        <f>-MIN('籌碼表(W+F)'!F53,0) * D51 -  MAX(B51-$A$2,0) * (-MIN('籌碼表(W+F)'!F53,0))</f>
        <v>0</v>
      </c>
    </row>
    <row r="52" spans="1:12" ht="13.5" customHeight="1" x14ac:dyDescent="0.25">
      <c r="A52" s="74">
        <v>18000</v>
      </c>
      <c r="B52" s="74">
        <v>18000</v>
      </c>
      <c r="C52" s="74">
        <f>IFERROR('callPut（W）'!D52+'callPut（F）'!D52,0)/2</f>
        <v>0</v>
      </c>
      <c r="D52" s="74">
        <f>IFERROR('callPut（W）'!L52+'callPut（F）'!L52,0)/2</f>
        <v>0</v>
      </c>
      <c r="E52" s="82">
        <v>11490.397156120001</v>
      </c>
      <c r="F52" s="82">
        <v>-15773.100625829999</v>
      </c>
      <c r="G52" s="82">
        <v>-4282.7034697099971</v>
      </c>
      <c r="I52" s="89">
        <f>MAX($A$2-B52,0)*MAX('籌碼表(W+F)'!D54,0)-MAX('籌碼表(W+F)'!D54,0)*C52</f>
        <v>0</v>
      </c>
      <c r="J52" s="89">
        <f>MAX(B52-$A$2,0)*MAX('籌碼表(W+F)'!F54,0)-MAX('籌碼表(W+F)'!F54,0)*D52</f>
        <v>0</v>
      </c>
      <c r="K52" s="89">
        <f>-MIN('籌碼表(W+F)'!D54,0)*C52  - MAX($A$2-B52,0) * (-MIN('籌碼表(W+F)'!D54,0))</f>
        <v>0</v>
      </c>
      <c r="L52" s="89">
        <f>-MIN('籌碼表(W+F)'!F54,0) * D52 -  MAX(B52-$A$2,0) * (-MIN('籌碼表(W+F)'!F54,0))</f>
        <v>0</v>
      </c>
    </row>
    <row r="53" spans="1:12" ht="13.5" customHeight="1" x14ac:dyDescent="0.25">
      <c r="A53" s="74">
        <v>18050</v>
      </c>
      <c r="B53" s="74">
        <v>18050</v>
      </c>
      <c r="C53" s="74">
        <f>IFERROR('callPut（W）'!D53+'callPut（F）'!D53,0)/2</f>
        <v>0</v>
      </c>
      <c r="D53" s="74">
        <f>IFERROR('callPut（W）'!L53+'callPut（F）'!L53,0)/2</f>
        <v>0</v>
      </c>
      <c r="E53" s="82">
        <v>11363.054256120002</v>
      </c>
      <c r="F53" s="82">
        <v>-15599.476245829999</v>
      </c>
      <c r="G53" s="82">
        <v>-4236.4219897100011</v>
      </c>
      <c r="I53" s="89">
        <f>MAX($A$2-B53,0)*MAX('籌碼表(W+F)'!D55,0)-MAX('籌碼表(W+F)'!D55,0)*C53</f>
        <v>0</v>
      </c>
      <c r="J53" s="89">
        <f>MAX(B53-$A$2,0)*MAX('籌碼表(W+F)'!F55,0)-MAX('籌碼表(W+F)'!F55,0)*D53</f>
        <v>0</v>
      </c>
      <c r="K53" s="89">
        <f>-MIN('籌碼表(W+F)'!D55,0)*C53  - MAX($A$2-B53,0) * (-MIN('籌碼表(W+F)'!D55,0))</f>
        <v>0</v>
      </c>
      <c r="L53" s="89">
        <f>-MIN('籌碼表(W+F)'!F55,0) * D53 -  MAX(B53-$A$2,0) * (-MIN('籌碼表(W+F)'!F55,0))</f>
        <v>0</v>
      </c>
    </row>
    <row r="54" spans="1:12" ht="13.5" customHeight="1" x14ac:dyDescent="0.25">
      <c r="A54" s="74">
        <v>18100</v>
      </c>
      <c r="B54" s="74">
        <v>18100</v>
      </c>
      <c r="C54" s="74">
        <f>IFERROR('callPut（W）'!D54+'callPut（F）'!D54,0)/2</f>
        <v>0</v>
      </c>
      <c r="D54" s="74">
        <f>IFERROR('callPut（W）'!L54+'callPut（F）'!L54,0)/2</f>
        <v>0</v>
      </c>
      <c r="E54" s="82">
        <v>11235.711356120002</v>
      </c>
      <c r="F54" s="82">
        <v>-15425.85186583</v>
      </c>
      <c r="G54" s="82">
        <v>-4190.1405097100014</v>
      </c>
      <c r="I54" s="89">
        <f>MAX($A$2-B54,0)*MAX('籌碼表(W+F)'!D56,0)-MAX('籌碼表(W+F)'!D56,0)*C54</f>
        <v>0</v>
      </c>
      <c r="J54" s="89">
        <f>MAX(B54-$A$2,0)*MAX('籌碼表(W+F)'!F56,0)-MAX('籌碼表(W+F)'!F56,0)*D54</f>
        <v>0</v>
      </c>
      <c r="K54" s="89">
        <f>-MIN('籌碼表(W+F)'!D56,0)*C54  - MAX($A$2-B54,0) * (-MIN('籌碼表(W+F)'!D56,0))</f>
        <v>0</v>
      </c>
      <c r="L54" s="89">
        <f>-MIN('籌碼表(W+F)'!F56,0) * D54 -  MAX(B54-$A$2,0) * (-MIN('籌碼表(W+F)'!F56,0))</f>
        <v>0</v>
      </c>
    </row>
    <row r="55" spans="1:12" ht="13.5" customHeight="1" x14ac:dyDescent="0.25">
      <c r="A55" s="74">
        <v>18150</v>
      </c>
      <c r="B55" s="74">
        <v>18150</v>
      </c>
      <c r="C55" s="74">
        <f>IFERROR('callPut（W）'!D55+'callPut（F）'!D55,0)/2</f>
        <v>0</v>
      </c>
      <c r="D55" s="74">
        <f>IFERROR('callPut（W）'!L55+'callPut（F）'!L55,0)/2</f>
        <v>0</v>
      </c>
      <c r="E55" s="82">
        <v>11108.368456119999</v>
      </c>
      <c r="F55" s="82">
        <v>-15252.227485829999</v>
      </c>
      <c r="G55" s="82">
        <v>-4143.859029709999</v>
      </c>
      <c r="I55" s="89">
        <f>MAX($A$2-B55,0)*MAX('籌碼表(W+F)'!D57,0)-MAX('籌碼表(W+F)'!D57,0)*C55</f>
        <v>0</v>
      </c>
      <c r="J55" s="89">
        <f>MAX(B55-$A$2,0)*MAX('籌碼表(W+F)'!F57,0)-MAX('籌碼表(W+F)'!F57,0)*D55</f>
        <v>0</v>
      </c>
      <c r="K55" s="89">
        <f>-MIN('籌碼表(W+F)'!D57,0)*C55  - MAX($A$2-B55,0) * (-MIN('籌碼表(W+F)'!D57,0))</f>
        <v>0</v>
      </c>
      <c r="L55" s="89">
        <f>-MIN('籌碼表(W+F)'!F57,0) * D55 -  MAX(B55-$A$2,0) * (-MIN('籌碼表(W+F)'!F57,0))</f>
        <v>0</v>
      </c>
    </row>
    <row r="56" spans="1:12" ht="13.5" customHeight="1" x14ac:dyDescent="0.25">
      <c r="A56" s="74">
        <v>18200</v>
      </c>
      <c r="B56" s="74">
        <v>18200</v>
      </c>
      <c r="C56" s="74">
        <f>IFERROR('callPut（W）'!D56+'callPut（F）'!D56,0)/2</f>
        <v>0</v>
      </c>
      <c r="D56" s="74">
        <f>IFERROR('callPut（W）'!L56+'callPut（F）'!L56,0)/2</f>
        <v>0</v>
      </c>
      <c r="E56" s="82">
        <v>10981.025556120003</v>
      </c>
      <c r="F56" s="82">
        <v>-15078.603105829998</v>
      </c>
      <c r="G56" s="82">
        <v>-4097.5775497099994</v>
      </c>
      <c r="I56" s="89">
        <f>MAX($A$2-B56,0)*MAX('籌碼表(W+F)'!D58,0)-MAX('籌碼表(W+F)'!D58,0)*C56</f>
        <v>0</v>
      </c>
      <c r="J56" s="89">
        <f>MAX(B56-$A$2,0)*MAX('籌碼表(W+F)'!F58,0)-MAX('籌碼表(W+F)'!F58,0)*D56</f>
        <v>0</v>
      </c>
      <c r="K56" s="89">
        <f>-MIN('籌碼表(W+F)'!D58,0)*C56  - MAX($A$2-B56,0) * (-MIN('籌碼表(W+F)'!D58,0))</f>
        <v>0</v>
      </c>
      <c r="L56" s="89">
        <f>-MIN('籌碼表(W+F)'!F58,0) * D56 -  MAX(B56-$A$2,0) * (-MIN('籌碼表(W+F)'!F58,0))</f>
        <v>0</v>
      </c>
    </row>
    <row r="57" spans="1:12" ht="13.5" customHeight="1" x14ac:dyDescent="0.25">
      <c r="A57" s="74">
        <v>18250</v>
      </c>
      <c r="B57" s="74">
        <v>18250</v>
      </c>
      <c r="C57" s="74">
        <f>IFERROR('callPut（W）'!D57+'callPut（F）'!D57,0)/2</f>
        <v>0</v>
      </c>
      <c r="D57" s="74">
        <f>IFERROR('callPut（W）'!L57+'callPut（F）'!L57,0)/2</f>
        <v>0</v>
      </c>
      <c r="E57" s="82">
        <v>10853.682656119998</v>
      </c>
      <c r="F57" s="82">
        <v>-14904.97872583</v>
      </c>
      <c r="G57" s="82">
        <v>-4051.2960697099998</v>
      </c>
      <c r="I57" s="89">
        <f>MAX($A$2-B57,0)*MAX('籌碼表(W+F)'!D59,0)-MAX('籌碼表(W+F)'!D59,0)*C57</f>
        <v>0</v>
      </c>
      <c r="J57" s="89">
        <f>MAX(B57-$A$2,0)*MAX('籌碼表(W+F)'!F59,0)-MAX('籌碼表(W+F)'!F59,0)*D57</f>
        <v>0</v>
      </c>
      <c r="K57" s="89">
        <f>-MIN('籌碼表(W+F)'!D59,0)*C57  - MAX($A$2-B57,0) * (-MIN('籌碼表(W+F)'!D59,0))</f>
        <v>0</v>
      </c>
      <c r="L57" s="89">
        <f>-MIN('籌碼表(W+F)'!F59,0) * D57 -  MAX(B57-$A$2,0) * (-MIN('籌碼表(W+F)'!F59,0))</f>
        <v>0</v>
      </c>
    </row>
    <row r="58" spans="1:12" ht="13.5" customHeight="1" x14ac:dyDescent="0.25">
      <c r="A58" s="74">
        <v>18300</v>
      </c>
      <c r="B58" s="74">
        <v>18300</v>
      </c>
      <c r="C58" s="74">
        <f>IFERROR('callPut（W）'!D58+'callPut（F）'!D58,0)/2</f>
        <v>0</v>
      </c>
      <c r="D58" s="74">
        <f>IFERROR('callPut（W）'!L58+'callPut（F）'!L58,0)/2</f>
        <v>0</v>
      </c>
      <c r="E58" s="82">
        <v>10726.33975612</v>
      </c>
      <c r="F58" s="82">
        <v>-14731.354345829997</v>
      </c>
      <c r="G58" s="82">
        <v>-4005.0145897100001</v>
      </c>
      <c r="I58" s="89">
        <f>MAX($A$2-B58,0)*MAX('籌碼表(W+F)'!D60,0)-MAX('籌碼表(W+F)'!D60,0)*C58</f>
        <v>0</v>
      </c>
      <c r="J58" s="89">
        <f>MAX(B58-$A$2,0)*MAX('籌碼表(W+F)'!F60,0)-MAX('籌碼表(W+F)'!F60,0)*D58</f>
        <v>0</v>
      </c>
      <c r="K58" s="89">
        <f>-MIN('籌碼表(W+F)'!D60,0)*C58  - MAX($A$2-B58,0) * (-MIN('籌碼表(W+F)'!D60,0))</f>
        <v>0</v>
      </c>
      <c r="L58" s="89">
        <f>-MIN('籌碼表(W+F)'!F60,0) * D58 -  MAX(B58-$A$2,0) * (-MIN('籌碼表(W+F)'!F60,0))</f>
        <v>0</v>
      </c>
    </row>
    <row r="59" spans="1:12" ht="13.5" customHeight="1" x14ac:dyDescent="0.25">
      <c r="A59" s="74">
        <v>18350</v>
      </c>
      <c r="B59" s="74">
        <v>18350</v>
      </c>
      <c r="C59" s="74">
        <f>IFERROR('callPut（W）'!D59+'callPut（F）'!D59,0)/2</f>
        <v>0</v>
      </c>
      <c r="D59" s="74">
        <f>IFERROR('callPut（W）'!L59+'callPut（F）'!L59,0)/2</f>
        <v>0</v>
      </c>
      <c r="E59" s="82">
        <v>10598.99685612</v>
      </c>
      <c r="F59" s="82">
        <v>-14557.729965829998</v>
      </c>
      <c r="G59" s="82">
        <v>-3958.7331097099996</v>
      </c>
      <c r="I59" s="89">
        <f>MAX($A$2-B59,0)*MAX('籌碼表(W+F)'!D61,0)-MAX('籌碼表(W+F)'!D61,0)*C59</f>
        <v>0</v>
      </c>
      <c r="J59" s="89">
        <f>MAX(B59-$A$2,0)*MAX('籌碼表(W+F)'!F61,0)-MAX('籌碼表(W+F)'!F61,0)*D59</f>
        <v>0</v>
      </c>
      <c r="K59" s="89">
        <f>-MIN('籌碼表(W+F)'!D61,0)*C59  - MAX($A$2-B59,0) * (-MIN('籌碼表(W+F)'!D61,0))</f>
        <v>0</v>
      </c>
      <c r="L59" s="89">
        <f>-MIN('籌碼表(W+F)'!F61,0) * D59 -  MAX(B59-$A$2,0) * (-MIN('籌碼表(W+F)'!F61,0))</f>
        <v>0</v>
      </c>
    </row>
    <row r="60" spans="1:12" ht="13.5" customHeight="1" x14ac:dyDescent="0.25">
      <c r="A60" s="74">
        <v>18400</v>
      </c>
      <c r="B60" s="74">
        <v>18400</v>
      </c>
      <c r="C60" s="74">
        <f>IFERROR('callPut（W）'!D60+'callPut（F）'!D60,0)/2</f>
        <v>0</v>
      </c>
      <c r="D60" s="74">
        <f>IFERROR('callPut（W）'!L60+'callPut（F）'!L60,0)/2</f>
        <v>0</v>
      </c>
      <c r="E60" s="82">
        <v>10471.653956119999</v>
      </c>
      <c r="F60" s="82">
        <v>-14384.105585829999</v>
      </c>
      <c r="G60" s="82">
        <v>-3912.4516297100022</v>
      </c>
      <c r="I60" s="89">
        <f>MAX($A$2-B60,0)*MAX('籌碼表(W+F)'!D62,0)-MAX('籌碼表(W+F)'!D62,0)*C60</f>
        <v>0</v>
      </c>
      <c r="J60" s="89">
        <f>MAX(B60-$A$2,0)*MAX('籌碼表(W+F)'!F62,0)-MAX('籌碼表(W+F)'!F62,0)*D60</f>
        <v>0</v>
      </c>
      <c r="K60" s="89">
        <f>-MIN('籌碼表(W+F)'!D62,0)*C60  - MAX($A$2-B60,0) * (-MIN('籌碼表(W+F)'!D62,0))</f>
        <v>0</v>
      </c>
      <c r="L60" s="89">
        <f>-MIN('籌碼表(W+F)'!F62,0) * D60 -  MAX(B60-$A$2,0) * (-MIN('籌碼表(W+F)'!F62,0))</f>
        <v>0</v>
      </c>
    </row>
    <row r="61" spans="1:12" ht="13.5" customHeight="1" x14ac:dyDescent="0.25">
      <c r="A61" s="74">
        <v>18450</v>
      </c>
      <c r="B61" s="74">
        <v>18450</v>
      </c>
      <c r="C61" s="74">
        <f>IFERROR('callPut（W）'!D61+'callPut（F）'!D61,0)/2</f>
        <v>0</v>
      </c>
      <c r="D61" s="74">
        <f>IFERROR('callPut（W）'!L61+'callPut（F）'!L61,0)/2</f>
        <v>0</v>
      </c>
      <c r="E61" s="82">
        <v>10344.311056120001</v>
      </c>
      <c r="F61" s="82">
        <v>-14210.481205829998</v>
      </c>
      <c r="G61" s="82">
        <v>-3866.1701497099994</v>
      </c>
      <c r="I61" s="89">
        <f>MAX($A$2-B61,0)*MAX('籌碼表(W+F)'!D63,0)-MAX('籌碼表(W+F)'!D63,0)*C61</f>
        <v>0</v>
      </c>
      <c r="J61" s="89">
        <f>MAX(B61-$A$2,0)*MAX('籌碼表(W+F)'!F63,0)-MAX('籌碼表(W+F)'!F63,0)*D61</f>
        <v>0</v>
      </c>
      <c r="K61" s="89">
        <f>-MIN('籌碼表(W+F)'!D63,0)*C61  - MAX($A$2-B61,0) * (-MIN('籌碼表(W+F)'!D63,0))</f>
        <v>0</v>
      </c>
      <c r="L61" s="89">
        <f>-MIN('籌碼表(W+F)'!F63,0) * D61 -  MAX(B61-$A$2,0) * (-MIN('籌碼表(W+F)'!F63,0))</f>
        <v>0</v>
      </c>
    </row>
    <row r="62" spans="1:12" ht="13.5" customHeight="1" x14ac:dyDescent="0.25">
      <c r="A62" s="74">
        <v>18500</v>
      </c>
      <c r="B62" s="74">
        <v>18500</v>
      </c>
      <c r="C62" s="74">
        <f>IFERROR('callPut（W）'!D62+'callPut（F）'!D62,0)/2</f>
        <v>0</v>
      </c>
      <c r="D62" s="74">
        <f>IFERROR('callPut（W）'!L62+'callPut（F）'!L62,0)/2</f>
        <v>0</v>
      </c>
      <c r="E62" s="82">
        <v>10216.968156119998</v>
      </c>
      <c r="F62" s="82">
        <v>-14036.856825829998</v>
      </c>
      <c r="G62" s="82">
        <v>-3819.8886697099997</v>
      </c>
      <c r="I62" s="89">
        <f>MAX($A$2-B62,0)*MAX('籌碼表(W+F)'!D64,0)-MAX('籌碼表(W+F)'!D64,0)*C62</f>
        <v>0</v>
      </c>
      <c r="J62" s="89">
        <f>MAX(B62-$A$2,0)*MAX('籌碼表(W+F)'!F64,0)-MAX('籌碼表(W+F)'!F64,0)*D62</f>
        <v>0</v>
      </c>
      <c r="K62" s="89">
        <f>-MIN('籌碼表(W+F)'!D64,0)*C62  - MAX($A$2-B62,0) * (-MIN('籌碼表(W+F)'!D64,0))</f>
        <v>0</v>
      </c>
      <c r="L62" s="89">
        <f>-MIN('籌碼表(W+F)'!F64,0) * D62 -  MAX(B62-$A$2,0) * (-MIN('籌碼表(W+F)'!F64,0))</f>
        <v>0</v>
      </c>
    </row>
    <row r="63" spans="1:12" ht="13.5" customHeight="1" x14ac:dyDescent="0.25">
      <c r="A63" s="74">
        <v>18550</v>
      </c>
      <c r="B63" s="74">
        <v>18550</v>
      </c>
      <c r="C63" s="74">
        <f>IFERROR('callPut（W）'!D63+'callPut（F）'!D63,0)/2</f>
        <v>0</v>
      </c>
      <c r="D63" s="74">
        <f>IFERROR('callPut（W）'!L63+'callPut（F）'!L63,0)/2</f>
        <v>0</v>
      </c>
      <c r="E63" s="82">
        <v>10089.625256120004</v>
      </c>
      <c r="F63" s="82">
        <v>-13863.232445829999</v>
      </c>
      <c r="G63" s="82">
        <v>-3773.6071897099991</v>
      </c>
      <c r="I63" s="89">
        <f>MAX($A$2-B63,0)*MAX('籌碼表(W+F)'!D65,0)-MAX('籌碼表(W+F)'!D65,0)*C63</f>
        <v>0</v>
      </c>
      <c r="J63" s="89">
        <f>MAX(B63-$A$2,0)*MAX('籌碼表(W+F)'!F65,0)-MAX('籌碼表(W+F)'!F65,0)*D63</f>
        <v>0</v>
      </c>
      <c r="K63" s="89">
        <f>-MIN('籌碼表(W+F)'!D65,0)*C63  - MAX($A$2-B63,0) * (-MIN('籌碼表(W+F)'!D65,0))</f>
        <v>0</v>
      </c>
      <c r="L63" s="89">
        <f>-MIN('籌碼表(W+F)'!F65,0) * D63 -  MAX(B63-$A$2,0) * (-MIN('籌碼表(W+F)'!F65,0))</f>
        <v>0</v>
      </c>
    </row>
    <row r="64" spans="1:12" ht="13.5" customHeight="1" x14ac:dyDescent="0.25">
      <c r="A64" s="74">
        <v>18600</v>
      </c>
      <c r="B64" s="74">
        <v>18600</v>
      </c>
      <c r="C64" s="74">
        <f>IFERROR('callPut（W）'!D64+'callPut（F）'!D64,0)/2</f>
        <v>0</v>
      </c>
      <c r="D64" s="74">
        <f>IFERROR('callPut（W）'!L64+'callPut（F）'!L64,0)/2</f>
        <v>0</v>
      </c>
      <c r="E64" s="82">
        <v>9962.2823561200003</v>
      </c>
      <c r="F64" s="82">
        <v>-13689.60806583</v>
      </c>
      <c r="G64" s="82">
        <v>-3727.325709709999</v>
      </c>
      <c r="I64" s="89">
        <f>MAX($A$2-B64,0)*MAX('籌碼表(W+F)'!D66,0)-MAX('籌碼表(W+F)'!D66,0)*C64</f>
        <v>0</v>
      </c>
      <c r="J64" s="89">
        <f>MAX(B64-$A$2,0)*MAX('籌碼表(W+F)'!F66,0)-MAX('籌碼表(W+F)'!F66,0)*D64</f>
        <v>0</v>
      </c>
      <c r="K64" s="89">
        <f>-MIN('籌碼表(W+F)'!D66,0)*C64  - MAX($A$2-B64,0) * (-MIN('籌碼表(W+F)'!D66,0))</f>
        <v>0</v>
      </c>
      <c r="L64" s="89">
        <f>-MIN('籌碼表(W+F)'!F66,0) * D64 -  MAX(B64-$A$2,0) * (-MIN('籌碼表(W+F)'!F66,0))</f>
        <v>0</v>
      </c>
    </row>
    <row r="65" spans="1:12" ht="13.5" customHeight="1" x14ac:dyDescent="0.25">
      <c r="A65" s="74">
        <v>18650</v>
      </c>
      <c r="B65" s="74">
        <v>18650</v>
      </c>
      <c r="C65" s="74">
        <f>IFERROR('callPut（W）'!D65+'callPut（F）'!D65,0)/2</f>
        <v>0</v>
      </c>
      <c r="D65" s="74">
        <f>IFERROR('callPut（W）'!L65+'callPut（F）'!L65,0)/2</f>
        <v>0</v>
      </c>
      <c r="E65" s="82">
        <v>9834.9394561199988</v>
      </c>
      <c r="F65" s="82">
        <v>-13515.98368583</v>
      </c>
      <c r="G65" s="82">
        <v>-3681.0442297099999</v>
      </c>
      <c r="I65" s="89">
        <f>MAX($A$2-B65,0)*MAX('籌碼表(W+F)'!D67,0)-MAX('籌碼表(W+F)'!D67,0)*C65</f>
        <v>0</v>
      </c>
      <c r="J65" s="89">
        <f>MAX(B65-$A$2,0)*MAX('籌碼表(W+F)'!F67,0)-MAX('籌碼表(W+F)'!F67,0)*D65</f>
        <v>0</v>
      </c>
      <c r="K65" s="89">
        <f>-MIN('籌碼表(W+F)'!D67,0)*C65  - MAX($A$2-B65,0) * (-MIN('籌碼表(W+F)'!D67,0))</f>
        <v>0</v>
      </c>
      <c r="L65" s="89">
        <f>-MIN('籌碼表(W+F)'!F67,0) * D65 -  MAX(B65-$A$2,0) * (-MIN('籌碼表(W+F)'!F67,0))</f>
        <v>0</v>
      </c>
    </row>
    <row r="66" spans="1:12" ht="13.5" customHeight="1" x14ac:dyDescent="0.25">
      <c r="A66" s="74">
        <v>18700</v>
      </c>
      <c r="B66" s="74">
        <v>18700</v>
      </c>
      <c r="C66" s="74">
        <f>IFERROR('callPut（W）'!D66+'callPut（F）'!D66,0)/2</f>
        <v>0</v>
      </c>
      <c r="D66" s="74">
        <f>IFERROR('callPut（W）'!L66+'callPut（F）'!L66,0)/2</f>
        <v>0</v>
      </c>
      <c r="E66" s="82">
        <v>9707.5965561199991</v>
      </c>
      <c r="F66" s="82">
        <v>-13342.359305829999</v>
      </c>
      <c r="G66" s="82">
        <v>-3634.7627497099984</v>
      </c>
      <c r="I66" s="89">
        <f>MAX($A$2-B66,0)*MAX('籌碼表(W+F)'!D68,0)-MAX('籌碼表(W+F)'!D68,0)*C66</f>
        <v>0</v>
      </c>
      <c r="J66" s="89">
        <f>MAX(B66-$A$2,0)*MAX('籌碼表(W+F)'!F68,0)-MAX('籌碼表(W+F)'!F68,0)*D66</f>
        <v>0</v>
      </c>
      <c r="K66" s="89">
        <f>-MIN('籌碼表(W+F)'!D68,0)*C66  - MAX($A$2-B66,0) * (-MIN('籌碼表(W+F)'!D68,0))</f>
        <v>0</v>
      </c>
      <c r="L66" s="89">
        <f>-MIN('籌碼表(W+F)'!F68,0) * D66 -  MAX(B66-$A$2,0) * (-MIN('籌碼表(W+F)'!F68,0))</f>
        <v>0</v>
      </c>
    </row>
    <row r="67" spans="1:12" ht="13.5" customHeight="1" x14ac:dyDescent="0.25">
      <c r="A67" s="74">
        <v>18750</v>
      </c>
      <c r="B67" s="74">
        <v>18750</v>
      </c>
      <c r="C67" s="74">
        <f>IFERROR('callPut（W）'!D67+'callPut（F）'!D67,0)/2</f>
        <v>0</v>
      </c>
      <c r="D67" s="74">
        <f>IFERROR('callPut（W）'!L67+'callPut（F）'!L67,0)/2</f>
        <v>0</v>
      </c>
      <c r="E67" s="82">
        <v>9580.2536561199977</v>
      </c>
      <c r="F67" s="82">
        <v>-13168.734925829996</v>
      </c>
      <c r="G67" s="82">
        <v>-3588.4812697099992</v>
      </c>
      <c r="I67" s="89">
        <f>MAX($A$2-B67,0)*MAX('籌碼表(W+F)'!D69,0)-MAX('籌碼表(W+F)'!D69,0)*C67</f>
        <v>0</v>
      </c>
      <c r="J67" s="89">
        <f>MAX(B67-$A$2,0)*MAX('籌碼表(W+F)'!F69,0)-MAX('籌碼表(W+F)'!F69,0)*D67</f>
        <v>0</v>
      </c>
      <c r="K67" s="89">
        <f>-MIN('籌碼表(W+F)'!D69,0)*C67  - MAX($A$2-B67,0) * (-MIN('籌碼表(W+F)'!D69,0))</f>
        <v>0</v>
      </c>
      <c r="L67" s="89">
        <f>-MIN('籌碼表(W+F)'!F69,0) * D67 -  MAX(B67-$A$2,0) * (-MIN('籌碼表(W+F)'!F69,0))</f>
        <v>0</v>
      </c>
    </row>
    <row r="68" spans="1:12" ht="13.5" customHeight="1" x14ac:dyDescent="0.25">
      <c r="A68" s="74">
        <v>18800</v>
      </c>
      <c r="B68" s="74">
        <v>18800</v>
      </c>
      <c r="C68" s="74">
        <f>IFERROR('callPut（W）'!D68+'callPut（F）'!D68,0)/2</f>
        <v>0</v>
      </c>
      <c r="D68" s="74">
        <f>IFERROR('callPut（W）'!L68+'callPut（F）'!L68,0)/2</f>
        <v>0</v>
      </c>
      <c r="E68" s="82">
        <v>9452.9107561200017</v>
      </c>
      <c r="F68" s="82">
        <v>-12995.110545830001</v>
      </c>
      <c r="G68" s="82">
        <v>-3542.19978971</v>
      </c>
      <c r="I68" s="89">
        <f>MAX($A$2-B68,0)*MAX('籌碼表(W+F)'!D70,0)-MAX('籌碼表(W+F)'!D70,0)*C68</f>
        <v>0</v>
      </c>
      <c r="J68" s="89">
        <f>MAX(B68-$A$2,0)*MAX('籌碼表(W+F)'!F70,0)-MAX('籌碼表(W+F)'!F70,0)*D68</f>
        <v>0</v>
      </c>
      <c r="K68" s="89">
        <f>-MIN('籌碼表(W+F)'!D70,0)*C68  - MAX($A$2-B68,0) * (-MIN('籌碼表(W+F)'!D70,0))</f>
        <v>0</v>
      </c>
      <c r="L68" s="89">
        <f>-MIN('籌碼表(W+F)'!F70,0) * D68 -  MAX(B68-$A$2,0) * (-MIN('籌碼表(W+F)'!F70,0))</f>
        <v>0</v>
      </c>
    </row>
    <row r="69" spans="1:12" ht="13.5" customHeight="1" x14ac:dyDescent="0.25">
      <c r="A69" s="74">
        <v>18850</v>
      </c>
      <c r="B69" s="74">
        <v>18850</v>
      </c>
      <c r="C69" s="74">
        <f>IFERROR('callPut（W）'!D69+'callPut（F）'!D69,0)/2</f>
        <v>0</v>
      </c>
      <c r="D69" s="74">
        <f>IFERROR('callPut（W）'!L69+'callPut（F）'!L69,0)/2</f>
        <v>0</v>
      </c>
      <c r="E69" s="82">
        <v>9325.567856120002</v>
      </c>
      <c r="F69" s="82">
        <v>-12821.48616583</v>
      </c>
      <c r="G69" s="82">
        <v>-3495.9183097099994</v>
      </c>
      <c r="I69" s="89">
        <f>MAX($A$2-B69,0)*MAX('籌碼表(W+F)'!D71,0)-MAX('籌碼表(W+F)'!D71,0)*C69</f>
        <v>0</v>
      </c>
      <c r="J69" s="89">
        <f>MAX(B69-$A$2,0)*MAX('籌碼表(W+F)'!F71,0)-MAX('籌碼表(W+F)'!F71,0)*D69</f>
        <v>0</v>
      </c>
      <c r="K69" s="89">
        <f>-MIN('籌碼表(W+F)'!D71,0)*C69  - MAX($A$2-B69,0) * (-MIN('籌碼表(W+F)'!D71,0))</f>
        <v>0</v>
      </c>
      <c r="L69" s="89">
        <f>-MIN('籌碼表(W+F)'!F71,0) * D69 -  MAX(B69-$A$2,0) * (-MIN('籌碼表(W+F)'!F71,0))</f>
        <v>0</v>
      </c>
    </row>
    <row r="70" spans="1:12" ht="13.5" customHeight="1" x14ac:dyDescent="0.25">
      <c r="A70" s="74">
        <v>18900</v>
      </c>
      <c r="B70" s="74">
        <v>18900</v>
      </c>
      <c r="C70" s="74">
        <f>IFERROR('callPut（W）'!D70+'callPut（F）'!D70,0)/2</f>
        <v>0</v>
      </c>
      <c r="D70" s="74">
        <f>IFERROR('callPut（W）'!L70+'callPut（F）'!L70,0)/2</f>
        <v>0</v>
      </c>
      <c r="E70" s="82">
        <v>9198.2249561200006</v>
      </c>
      <c r="F70" s="82">
        <v>-12647.861785829999</v>
      </c>
      <c r="G70" s="82">
        <v>-3449.6368297100007</v>
      </c>
      <c r="I70" s="89">
        <f>MAX($A$2-B70,0)*MAX('籌碼表(W+F)'!D72,0)-MAX('籌碼表(W+F)'!D72,0)*C70</f>
        <v>0</v>
      </c>
      <c r="J70" s="89">
        <f>MAX(B70-$A$2,0)*MAX('籌碼表(W+F)'!F72,0)-MAX('籌碼表(W+F)'!F72,0)*D70</f>
        <v>0</v>
      </c>
      <c r="K70" s="89">
        <f>-MIN('籌碼表(W+F)'!D72,0)*C70  - MAX($A$2-B70,0) * (-MIN('籌碼表(W+F)'!D72,0))</f>
        <v>0</v>
      </c>
      <c r="L70" s="89">
        <f>-MIN('籌碼表(W+F)'!F72,0) * D70 -  MAX(B70-$A$2,0) * (-MIN('籌碼表(W+F)'!F72,0))</f>
        <v>0</v>
      </c>
    </row>
    <row r="71" spans="1:12" ht="13.5" customHeight="1" x14ac:dyDescent="0.25">
      <c r="A71" s="74">
        <v>18950</v>
      </c>
      <c r="B71" s="74">
        <v>18950</v>
      </c>
      <c r="C71" s="74">
        <f>IFERROR('callPut（W）'!D71+'callPut（F）'!D71,0)/2</f>
        <v>0</v>
      </c>
      <c r="D71" s="74">
        <f>IFERROR('callPut（W）'!L71+'callPut（F）'!L71,0)/2</f>
        <v>0</v>
      </c>
      <c r="E71" s="82">
        <v>9070.8820561200009</v>
      </c>
      <c r="F71" s="82">
        <v>-12474.237405830001</v>
      </c>
      <c r="G71" s="82">
        <v>-3403.3553497099997</v>
      </c>
      <c r="I71" s="89">
        <f>MAX($A$2-B71,0)*MAX('籌碼表(W+F)'!D73,0)-MAX('籌碼表(W+F)'!D73,0)*C71</f>
        <v>0</v>
      </c>
      <c r="J71" s="89">
        <f>MAX(B71-$A$2,0)*MAX('籌碼表(W+F)'!F73,0)-MAX('籌碼表(W+F)'!F73,0)*D71</f>
        <v>0</v>
      </c>
      <c r="K71" s="89">
        <f>-MIN('籌碼表(W+F)'!D73,0)*C71  - MAX($A$2-B71,0) * (-MIN('籌碼表(W+F)'!D73,0))</f>
        <v>0</v>
      </c>
      <c r="L71" s="89">
        <f>-MIN('籌碼表(W+F)'!F73,0) * D71 -  MAX(B71-$A$2,0) * (-MIN('籌碼表(W+F)'!F73,0))</f>
        <v>0</v>
      </c>
    </row>
    <row r="72" spans="1:12" ht="13.5" customHeight="1" x14ac:dyDescent="0.25">
      <c r="A72" s="74">
        <v>19000</v>
      </c>
      <c r="B72" s="74">
        <v>19000</v>
      </c>
      <c r="C72" s="74">
        <f>IFERROR('callPut（W）'!D72+'callPut（F）'!D72,0)/2</f>
        <v>0</v>
      </c>
      <c r="D72" s="74">
        <f>IFERROR('callPut（W）'!L72+'callPut（F）'!L72,0)/2</f>
        <v>0</v>
      </c>
      <c r="E72" s="82">
        <v>8943.5391561200031</v>
      </c>
      <c r="F72" s="82">
        <v>-12300.61302583</v>
      </c>
      <c r="G72" s="82">
        <v>-3357.0738697099996</v>
      </c>
      <c r="I72" s="89">
        <f>MAX($A$2-B72,0)*MAX('籌碼表(W+F)'!D74,0)-MAX('籌碼表(W+F)'!D74,0)*C72</f>
        <v>0</v>
      </c>
      <c r="J72" s="89">
        <f>MAX(B72-$A$2,0)*MAX('籌碼表(W+F)'!F74,0)-MAX('籌碼表(W+F)'!F74,0)*D72</f>
        <v>0</v>
      </c>
      <c r="K72" s="89">
        <f>-MIN('籌碼表(W+F)'!D74,0)*C72  - MAX($A$2-B72,0) * (-MIN('籌碼表(W+F)'!D74,0))</f>
        <v>0</v>
      </c>
      <c r="L72" s="89">
        <f>-MIN('籌碼表(W+F)'!F74,0) * D72 -  MAX(B72-$A$2,0) * (-MIN('籌碼表(W+F)'!F74,0))</f>
        <v>0</v>
      </c>
    </row>
    <row r="73" spans="1:12" ht="13.5" customHeight="1" x14ac:dyDescent="0.25">
      <c r="A73" s="74">
        <v>19050</v>
      </c>
      <c r="B73" s="74">
        <v>19050</v>
      </c>
      <c r="C73" s="74">
        <f>IFERROR('callPut（W）'!D73+'callPut（F）'!D73,0)/2</f>
        <v>0</v>
      </c>
      <c r="D73" s="74">
        <f>IFERROR('callPut（W）'!L73+'callPut（F）'!L73,0)/2</f>
        <v>0</v>
      </c>
      <c r="E73" s="82">
        <v>8816.1962561199998</v>
      </c>
      <c r="F73" s="82">
        <v>-12126.988645830002</v>
      </c>
      <c r="G73" s="82">
        <v>-3310.7923897100009</v>
      </c>
      <c r="I73" s="89">
        <f>MAX($A$2-B73,0)*MAX('籌碼表(W+F)'!D75,0)-MAX('籌碼表(W+F)'!D75,0)*C73</f>
        <v>0</v>
      </c>
      <c r="J73" s="89">
        <f>MAX(B73-$A$2,0)*MAX('籌碼表(W+F)'!F75,0)-MAX('籌碼表(W+F)'!F75,0)*D73</f>
        <v>0</v>
      </c>
      <c r="K73" s="89">
        <f>-MIN('籌碼表(W+F)'!D75,0)*C73  - MAX($A$2-B73,0) * (-MIN('籌碼表(W+F)'!D75,0))</f>
        <v>0</v>
      </c>
      <c r="L73" s="89">
        <f>-MIN('籌碼表(W+F)'!F75,0) * D73 -  MAX(B73-$A$2,0) * (-MIN('籌碼表(W+F)'!F75,0))</f>
        <v>0</v>
      </c>
    </row>
    <row r="74" spans="1:12" ht="13.5" customHeight="1" x14ac:dyDescent="0.25">
      <c r="A74" s="74">
        <v>19100</v>
      </c>
      <c r="B74" s="74">
        <v>19100</v>
      </c>
      <c r="C74" s="74">
        <f>IFERROR('callPut（W）'!D74+'callPut（F）'!D74,0)/2</f>
        <v>0</v>
      </c>
      <c r="D74" s="74">
        <f>IFERROR('callPut（W）'!L74+'callPut（F）'!L74,0)/2</f>
        <v>0</v>
      </c>
      <c r="E74" s="82">
        <v>8688.8533561200002</v>
      </c>
      <c r="F74" s="82">
        <v>-11953.36426583</v>
      </c>
      <c r="G74" s="82">
        <v>-3264.5109097099994</v>
      </c>
      <c r="I74" s="89">
        <f>MAX($A$2-B74,0)*MAX('籌碼表(W+F)'!D76,0)-MAX('籌碼表(W+F)'!D76,0)*C74</f>
        <v>0</v>
      </c>
      <c r="J74" s="89">
        <f>MAX(B74-$A$2,0)*MAX('籌碼表(W+F)'!F76,0)-MAX('籌碼表(W+F)'!F76,0)*D74</f>
        <v>0</v>
      </c>
      <c r="K74" s="89">
        <f>-MIN('籌碼表(W+F)'!D76,0)*C74  - MAX($A$2-B74,0) * (-MIN('籌碼表(W+F)'!D76,0))</f>
        <v>0</v>
      </c>
      <c r="L74" s="89">
        <f>-MIN('籌碼表(W+F)'!F76,0) * D74 -  MAX(B74-$A$2,0) * (-MIN('籌碼表(W+F)'!F76,0))</f>
        <v>0</v>
      </c>
    </row>
    <row r="75" spans="1:12" ht="13.5" customHeight="1" x14ac:dyDescent="0.25">
      <c r="A75" s="74">
        <v>19150</v>
      </c>
      <c r="B75" s="74">
        <v>19150</v>
      </c>
      <c r="C75" s="74">
        <f>IFERROR('callPut（W）'!D75+'callPut（F）'!D75,0)/2</f>
        <v>0</v>
      </c>
      <c r="D75" s="74">
        <f>IFERROR('callPut（W）'!L75+'callPut（F）'!L75,0)/2</f>
        <v>0</v>
      </c>
      <c r="E75" s="82">
        <v>8561.5104561200005</v>
      </c>
      <c r="F75" s="82">
        <v>-11779.73988583</v>
      </c>
      <c r="G75" s="82">
        <v>-3218.2294297099993</v>
      </c>
      <c r="I75" s="89">
        <f>MAX($A$2-B75,0)*MAX('籌碼表(W+F)'!D77,0)-MAX('籌碼表(W+F)'!D77,0)*C75</f>
        <v>0</v>
      </c>
      <c r="J75" s="89">
        <f>MAX(B75-$A$2,0)*MAX('籌碼表(W+F)'!F77,0)-MAX('籌碼表(W+F)'!F77,0)*D75</f>
        <v>0</v>
      </c>
      <c r="K75" s="89">
        <f>-MIN('籌碼表(W+F)'!D77,0)*C75  - MAX($A$2-B75,0) * (-MIN('籌碼表(W+F)'!D77,0))</f>
        <v>0</v>
      </c>
      <c r="L75" s="89">
        <f>-MIN('籌碼表(W+F)'!F77,0) * D75 -  MAX(B75-$A$2,0) * (-MIN('籌碼表(W+F)'!F77,0))</f>
        <v>0</v>
      </c>
    </row>
    <row r="76" spans="1:12" ht="13.5" customHeight="1" x14ac:dyDescent="0.25">
      <c r="A76" s="74">
        <v>19200</v>
      </c>
      <c r="B76" s="74">
        <v>19200</v>
      </c>
      <c r="C76" s="74">
        <f>IFERROR('callPut（W）'!D76+'callPut（F）'!D76,0)/2</f>
        <v>0</v>
      </c>
      <c r="D76" s="74">
        <f>IFERROR('callPut（W）'!L76+'callPut（F）'!L76,0)/2</f>
        <v>0</v>
      </c>
      <c r="E76" s="82">
        <v>8434.1675561199991</v>
      </c>
      <c r="F76" s="82">
        <v>-11606.115505829997</v>
      </c>
      <c r="G76" s="82">
        <v>-3171.9479497100001</v>
      </c>
      <c r="I76" s="89">
        <f>MAX($A$2-B76,0)*MAX('籌碼表(W+F)'!D78,0)-MAX('籌碼表(W+F)'!D78,0)*C76</f>
        <v>0</v>
      </c>
      <c r="J76" s="89">
        <f>MAX(B76-$A$2,0)*MAX('籌碼表(W+F)'!F78,0)-MAX('籌碼表(W+F)'!F78,0)*D76</f>
        <v>0</v>
      </c>
      <c r="K76" s="89">
        <f>-MIN('籌碼表(W+F)'!D78,0)*C76  - MAX($A$2-B76,0) * (-MIN('籌碼表(W+F)'!D78,0))</f>
        <v>0</v>
      </c>
      <c r="L76" s="89">
        <f>-MIN('籌碼表(W+F)'!F78,0) * D76 -  MAX(B76-$A$2,0) * (-MIN('籌碼表(W+F)'!F78,0))</f>
        <v>0</v>
      </c>
    </row>
    <row r="77" spans="1:12" ht="13.5" customHeight="1" x14ac:dyDescent="0.25">
      <c r="A77" s="74">
        <v>19250</v>
      </c>
      <c r="B77" s="74">
        <v>19250</v>
      </c>
      <c r="C77" s="74">
        <f>IFERROR('callPut（W）'!D77+'callPut（F）'!D77,0)/2</f>
        <v>0</v>
      </c>
      <c r="D77" s="74">
        <f>IFERROR('callPut（W）'!L77+'callPut（F）'!L77,0)/2</f>
        <v>0</v>
      </c>
      <c r="E77" s="82">
        <v>8306.8246561200012</v>
      </c>
      <c r="F77" s="82">
        <v>-11432.491125829996</v>
      </c>
      <c r="G77" s="82">
        <v>-3125.66646971</v>
      </c>
      <c r="I77" s="89">
        <f>MAX($A$2-B77,0)*MAX('籌碼表(W+F)'!D79,0)-MAX('籌碼表(W+F)'!D79,0)*C77</f>
        <v>0</v>
      </c>
      <c r="J77" s="89">
        <f>MAX(B77-$A$2,0)*MAX('籌碼表(W+F)'!F79,0)-MAX('籌碼表(W+F)'!F79,0)*D77</f>
        <v>0</v>
      </c>
      <c r="K77" s="89">
        <f>-MIN('籌碼表(W+F)'!D79,0)*C77  - MAX($A$2-B77,0) * (-MIN('籌碼表(W+F)'!D79,0))</f>
        <v>0</v>
      </c>
      <c r="L77" s="89">
        <f>-MIN('籌碼表(W+F)'!F79,0) * D77 -  MAX(B77-$A$2,0) * (-MIN('籌碼表(W+F)'!F79,0))</f>
        <v>0</v>
      </c>
    </row>
    <row r="78" spans="1:12" ht="13.5" customHeight="1" x14ac:dyDescent="0.25">
      <c r="A78" s="74">
        <v>19300</v>
      </c>
      <c r="B78" s="74">
        <v>19300</v>
      </c>
      <c r="C78" s="74">
        <f>IFERROR('callPut（W）'!D78+'callPut（F）'!D78,0)/2</f>
        <v>0</v>
      </c>
      <c r="D78" s="74">
        <f>IFERROR('callPut（W）'!L78+'callPut（F）'!L78,0)/2</f>
        <v>0</v>
      </c>
      <c r="E78" s="82">
        <v>8179.4817561200007</v>
      </c>
      <c r="F78" s="82">
        <v>-11258.866745830001</v>
      </c>
      <c r="G78" s="82">
        <v>-3079.3849897099994</v>
      </c>
      <c r="I78" s="89">
        <f>MAX($A$2-B78,0)*MAX('籌碼表(W+F)'!D80,0)-MAX('籌碼表(W+F)'!D80,0)*C78</f>
        <v>0</v>
      </c>
      <c r="J78" s="89">
        <f>MAX(B78-$A$2,0)*MAX('籌碼表(W+F)'!F80,0)-MAX('籌碼表(W+F)'!F80,0)*D78</f>
        <v>0</v>
      </c>
      <c r="K78" s="89">
        <f>-MIN('籌碼表(W+F)'!D80,0)*C78  - MAX($A$2-B78,0) * (-MIN('籌碼表(W+F)'!D80,0))</f>
        <v>0</v>
      </c>
      <c r="L78" s="89">
        <f>-MIN('籌碼表(W+F)'!F80,0) * D78 -  MAX(B78-$A$2,0) * (-MIN('籌碼表(W+F)'!F80,0))</f>
        <v>0</v>
      </c>
    </row>
    <row r="79" spans="1:12" ht="13.5" customHeight="1" x14ac:dyDescent="0.25">
      <c r="A79" s="74">
        <v>19350</v>
      </c>
      <c r="B79" s="74">
        <v>19350</v>
      </c>
      <c r="C79" s="74">
        <f>IFERROR('callPut（W）'!D79+'callPut（F）'!D79,0)/2</f>
        <v>0</v>
      </c>
      <c r="D79" s="74">
        <f>IFERROR('callPut（W）'!L79+'callPut（F）'!L79,0)/2</f>
        <v>0</v>
      </c>
      <c r="E79" s="82">
        <v>8052.1388561199992</v>
      </c>
      <c r="F79" s="82">
        <v>-11085.242365830001</v>
      </c>
      <c r="G79" s="82">
        <v>-3033.1035097100003</v>
      </c>
      <c r="I79" s="89">
        <f>MAX($A$2-B79,0)*MAX('籌碼表(W+F)'!D81,0)-MAX('籌碼表(W+F)'!D81,0)*C79</f>
        <v>0</v>
      </c>
      <c r="J79" s="89">
        <f>MAX(B79-$A$2,0)*MAX('籌碼表(W+F)'!F81,0)-MAX('籌碼表(W+F)'!F81,0)*D79</f>
        <v>0</v>
      </c>
      <c r="K79" s="89">
        <f>-MIN('籌碼表(W+F)'!D81,0)*C79  - MAX($A$2-B79,0) * (-MIN('籌碼表(W+F)'!D81,0))</f>
        <v>0</v>
      </c>
      <c r="L79" s="89">
        <f>-MIN('籌碼表(W+F)'!F81,0) * D79 -  MAX(B79-$A$2,0) * (-MIN('籌碼表(W+F)'!F81,0))</f>
        <v>0</v>
      </c>
    </row>
    <row r="80" spans="1:12" ht="13.5" customHeight="1" x14ac:dyDescent="0.25">
      <c r="A80" s="74">
        <v>19400</v>
      </c>
      <c r="B80" s="74">
        <v>19400</v>
      </c>
      <c r="C80" s="74">
        <f>IFERROR('callPut（W）'!D80+'callPut（F）'!D80,0)/2</f>
        <v>0</v>
      </c>
      <c r="D80" s="74">
        <f>IFERROR('callPut（W）'!L80+'callPut（F）'!L80,0)/2</f>
        <v>0</v>
      </c>
      <c r="E80" s="82">
        <v>7924.7959561200014</v>
      </c>
      <c r="F80" s="82">
        <v>-10911.617985829998</v>
      </c>
      <c r="G80" s="82">
        <v>-2986.8220297099997</v>
      </c>
      <c r="I80" s="89">
        <f>MAX($A$2-B80,0)*MAX('籌碼表(W+F)'!D82,0)-MAX('籌碼表(W+F)'!D82,0)*C80</f>
        <v>0</v>
      </c>
      <c r="J80" s="89">
        <f>MAX(B80-$A$2,0)*MAX('籌碼表(W+F)'!F82,0)-MAX('籌碼表(W+F)'!F82,0)*D80</f>
        <v>0</v>
      </c>
      <c r="K80" s="89">
        <f>-MIN('籌碼表(W+F)'!D82,0)*C80  - MAX($A$2-B80,0) * (-MIN('籌碼表(W+F)'!D82,0))</f>
        <v>0</v>
      </c>
      <c r="L80" s="89">
        <f>-MIN('籌碼表(W+F)'!F82,0) * D80 -  MAX(B80-$A$2,0) * (-MIN('籌碼表(W+F)'!F82,0))</f>
        <v>0</v>
      </c>
    </row>
    <row r="81" spans="1:12" ht="13.5" customHeight="1" x14ac:dyDescent="0.25">
      <c r="A81" s="74">
        <v>19450</v>
      </c>
      <c r="B81" s="74">
        <v>19450</v>
      </c>
      <c r="C81" s="74">
        <f>IFERROR('callPut（W）'!D81+'callPut（F）'!D81,0)/2</f>
        <v>0</v>
      </c>
      <c r="D81" s="74">
        <f>IFERROR('callPut（W）'!L81+'callPut（F）'!L81,0)/2</f>
        <v>0</v>
      </c>
      <c r="E81" s="82">
        <v>7797.4530561199981</v>
      </c>
      <c r="F81" s="82">
        <v>-10737.993605829997</v>
      </c>
      <c r="G81" s="82">
        <v>-2940.5405497099996</v>
      </c>
      <c r="I81" s="89">
        <f>MAX($A$2-B81,0)*MAX('籌碼表(W+F)'!D83,0)-MAX('籌碼表(W+F)'!D83,0)*C81</f>
        <v>0</v>
      </c>
      <c r="J81" s="89">
        <f>MAX(B81-$A$2,0)*MAX('籌碼表(W+F)'!F83,0)-MAX('籌碼表(W+F)'!F83,0)*D81</f>
        <v>0</v>
      </c>
      <c r="K81" s="89">
        <f>-MIN('籌碼表(W+F)'!D83,0)*C81  - MAX($A$2-B81,0) * (-MIN('籌碼表(W+F)'!D83,0))</f>
        <v>0</v>
      </c>
      <c r="L81" s="89">
        <f>-MIN('籌碼表(W+F)'!F83,0) * D81 -  MAX(B81-$A$2,0) * (-MIN('籌碼表(W+F)'!F83,0))</f>
        <v>0</v>
      </c>
    </row>
    <row r="82" spans="1:12" ht="13.5" customHeight="1" x14ac:dyDescent="0.25">
      <c r="A82" s="74">
        <v>19500</v>
      </c>
      <c r="B82" s="74">
        <v>19500</v>
      </c>
      <c r="C82" s="74">
        <f>IFERROR('callPut（W）'!D82+'callPut（F）'!D82,0)/2</f>
        <v>0</v>
      </c>
      <c r="D82" s="74">
        <f>IFERROR('callPut（W）'!L82+'callPut（F）'!L82,0)/2</f>
        <v>0</v>
      </c>
      <c r="E82" s="82">
        <v>7670.1101561200003</v>
      </c>
      <c r="F82" s="82">
        <v>-10564.369225829998</v>
      </c>
      <c r="G82" s="82">
        <v>-2894.2590697100009</v>
      </c>
      <c r="I82" s="89">
        <f>MAX($A$2-B82,0)*MAX('籌碼表(W+F)'!D84,0)-MAX('籌碼表(W+F)'!D84,0)*C82</f>
        <v>0</v>
      </c>
      <c r="J82" s="89">
        <f>MAX(B82-$A$2,0)*MAX('籌碼表(W+F)'!F84,0)-MAX('籌碼表(W+F)'!F84,0)*D82</f>
        <v>0</v>
      </c>
      <c r="K82" s="89">
        <f>-MIN('籌碼表(W+F)'!D84,0)*C82  - MAX($A$2-B82,0) * (-MIN('籌碼表(W+F)'!D84,0))</f>
        <v>0</v>
      </c>
      <c r="L82" s="89">
        <f>-MIN('籌碼表(W+F)'!F84,0) * D82 -  MAX(B82-$A$2,0) * (-MIN('籌碼表(W+F)'!F84,0))</f>
        <v>0</v>
      </c>
    </row>
    <row r="83" spans="1:12" ht="13.5" customHeight="1" x14ac:dyDescent="0.25">
      <c r="A83" s="74">
        <v>19550</v>
      </c>
      <c r="B83" s="74">
        <v>19550</v>
      </c>
      <c r="C83" s="74">
        <f>IFERROR('callPut（W）'!D83+'callPut（F）'!D83,0)/2</f>
        <v>0</v>
      </c>
      <c r="D83" s="74">
        <f>IFERROR('callPut（W）'!L83+'callPut（F）'!L83,0)/2</f>
        <v>0</v>
      </c>
      <c r="E83" s="82">
        <v>7542.7672561199997</v>
      </c>
      <c r="F83" s="82">
        <v>-10390.744845829999</v>
      </c>
      <c r="G83" s="82">
        <v>-2847.9775897100008</v>
      </c>
      <c r="I83" s="89">
        <f>MAX($A$2-B83,0)*MAX('籌碼表(W+F)'!D85,0)-MAX('籌碼表(W+F)'!D85,0)*C83</f>
        <v>0</v>
      </c>
      <c r="J83" s="89">
        <f>MAX(B83-$A$2,0)*MAX('籌碼表(W+F)'!F85,0)-MAX('籌碼表(W+F)'!F85,0)*D83</f>
        <v>0</v>
      </c>
      <c r="K83" s="89">
        <f>-MIN('籌碼表(W+F)'!D85,0)*C83  - MAX($A$2-B83,0) * (-MIN('籌碼表(W+F)'!D85,0))</f>
        <v>0</v>
      </c>
      <c r="L83" s="89">
        <f>-MIN('籌碼表(W+F)'!F85,0) * D83 -  MAX(B83-$A$2,0) * (-MIN('籌碼表(W+F)'!F85,0))</f>
        <v>0</v>
      </c>
    </row>
    <row r="84" spans="1:12" ht="13.5" customHeight="1" x14ac:dyDescent="0.25">
      <c r="A84" s="74">
        <v>19600</v>
      </c>
      <c r="B84" s="74">
        <v>19600</v>
      </c>
      <c r="C84" s="74">
        <f>IFERROR('callPut（W）'!D84+'callPut（F）'!D84,0)/2</f>
        <v>0</v>
      </c>
      <c r="D84" s="74">
        <f>IFERROR('callPut（W）'!L84+'callPut（F）'!L84,0)/2</f>
        <v>0</v>
      </c>
      <c r="E84" s="82">
        <v>7415.4243561200019</v>
      </c>
      <c r="F84" s="82">
        <v>-10217.120465829996</v>
      </c>
      <c r="G84" s="82">
        <v>-2801.6961097099997</v>
      </c>
      <c r="I84" s="89">
        <f>MAX($A$2-B84,0)*MAX('籌碼表(W+F)'!D86,0)-MAX('籌碼表(W+F)'!D86,0)*C84</f>
        <v>0</v>
      </c>
      <c r="J84" s="89">
        <f>MAX(B84-$A$2,0)*MAX('籌碼表(W+F)'!F86,0)-MAX('籌碼表(W+F)'!F86,0)*D84</f>
        <v>0</v>
      </c>
      <c r="K84" s="89">
        <f>-MIN('籌碼表(W+F)'!D86,0)*C84  - MAX($A$2-B84,0) * (-MIN('籌碼表(W+F)'!D86,0))</f>
        <v>0</v>
      </c>
      <c r="L84" s="89">
        <f>-MIN('籌碼表(W+F)'!F86,0) * D84 -  MAX(B84-$A$2,0) * (-MIN('籌碼表(W+F)'!F86,0))</f>
        <v>0</v>
      </c>
    </row>
    <row r="85" spans="1:12" ht="13.5" customHeight="1" x14ac:dyDescent="0.25">
      <c r="A85" s="74">
        <v>19650</v>
      </c>
      <c r="B85" s="74">
        <v>19650</v>
      </c>
      <c r="C85" s="74">
        <f>IFERROR('callPut（W）'!D85+'callPut（F）'!D85,0)/2</f>
        <v>0</v>
      </c>
      <c r="D85" s="74">
        <f>IFERROR('callPut（W）'!L85+'callPut（F）'!L85,0)/2</f>
        <v>0</v>
      </c>
      <c r="E85" s="82">
        <v>7288.0814561200004</v>
      </c>
      <c r="F85" s="82">
        <v>-10043.49608583</v>
      </c>
      <c r="G85" s="82">
        <v>-2755.4146297099996</v>
      </c>
      <c r="I85" s="89">
        <f>MAX($A$2-B85,0)*MAX('籌碼表(W+F)'!D87,0)-MAX('籌碼表(W+F)'!D87,0)*C85</f>
        <v>0</v>
      </c>
      <c r="J85" s="89">
        <f>MAX(B85-$A$2,0)*MAX('籌碼表(W+F)'!F87,0)-MAX('籌碼表(W+F)'!F87,0)*D85</f>
        <v>0</v>
      </c>
      <c r="K85" s="89">
        <f>-MIN('籌碼表(W+F)'!D87,0)*C85  - MAX($A$2-B85,0) * (-MIN('籌碼表(W+F)'!D87,0))</f>
        <v>0</v>
      </c>
      <c r="L85" s="89">
        <f>-MIN('籌碼表(W+F)'!F87,0) * D85 -  MAX(B85-$A$2,0) * (-MIN('籌碼表(W+F)'!F87,0))</f>
        <v>0</v>
      </c>
    </row>
    <row r="86" spans="1:12" ht="13.5" customHeight="1" x14ac:dyDescent="0.25">
      <c r="A86" s="74">
        <v>19700</v>
      </c>
      <c r="B86" s="74">
        <v>19700</v>
      </c>
      <c r="C86" s="74">
        <f>IFERROR('callPut（W）'!D86+'callPut（F）'!D86,0)/2</f>
        <v>0</v>
      </c>
      <c r="D86" s="74">
        <f>IFERROR('callPut（W）'!L86+'callPut（F）'!L86,0)/2</f>
        <v>0</v>
      </c>
      <c r="E86" s="82">
        <v>7160.7385561199999</v>
      </c>
      <c r="F86" s="82">
        <v>-9869.8717058299972</v>
      </c>
      <c r="G86" s="82">
        <v>-2709.1331497100005</v>
      </c>
      <c r="I86" s="89">
        <f>MAX($A$2-B86,0)*MAX('籌碼表(W+F)'!D88,0)-MAX('籌碼表(W+F)'!D88,0)*C86</f>
        <v>0</v>
      </c>
      <c r="J86" s="89">
        <f>MAX(B86-$A$2,0)*MAX('籌碼表(W+F)'!F88,0)-MAX('籌碼表(W+F)'!F88,0)*D86</f>
        <v>0</v>
      </c>
      <c r="K86" s="89">
        <f>-MIN('籌碼表(W+F)'!D88,0)*C86  - MAX($A$2-B86,0) * (-MIN('籌碼表(W+F)'!D88,0))</f>
        <v>0</v>
      </c>
      <c r="L86" s="89">
        <f>-MIN('籌碼表(W+F)'!F88,0) * D86 -  MAX(B86-$A$2,0) * (-MIN('籌碼表(W+F)'!F88,0))</f>
        <v>0</v>
      </c>
    </row>
    <row r="87" spans="1:12" ht="13.5" customHeight="1" x14ac:dyDescent="0.25">
      <c r="A87" s="74">
        <v>19750</v>
      </c>
      <c r="B87" s="74">
        <v>19750</v>
      </c>
      <c r="C87" s="74">
        <f>IFERROR('callPut（W）'!D87+'callPut（F）'!D87,0)/2</f>
        <v>0</v>
      </c>
      <c r="D87" s="74">
        <f>IFERROR('callPut（W）'!L87+'callPut（F）'!L87,0)/2</f>
        <v>0</v>
      </c>
      <c r="E87" s="82">
        <v>7033.3956561200002</v>
      </c>
      <c r="F87" s="82">
        <v>-9696.2473258299979</v>
      </c>
      <c r="G87" s="82">
        <v>-2662.8516697100013</v>
      </c>
      <c r="I87" s="89">
        <f>MAX($A$2-B87,0)*MAX('籌碼表(W+F)'!D89,0)-MAX('籌碼表(W+F)'!D89,0)*C87</f>
        <v>0</v>
      </c>
      <c r="J87" s="89">
        <f>MAX(B87-$A$2,0)*MAX('籌碼表(W+F)'!F89,0)-MAX('籌碼表(W+F)'!F89,0)*D87</f>
        <v>0</v>
      </c>
      <c r="K87" s="89">
        <f>-MIN('籌碼表(W+F)'!D89,0)*C87  - MAX($A$2-B87,0) * (-MIN('籌碼表(W+F)'!D89,0))</f>
        <v>0</v>
      </c>
      <c r="L87" s="89">
        <f>-MIN('籌碼表(W+F)'!F89,0) * D87 -  MAX(B87-$A$2,0) * (-MIN('籌碼表(W+F)'!F89,0))</f>
        <v>0</v>
      </c>
    </row>
    <row r="88" spans="1:12" ht="13.5" customHeight="1" x14ac:dyDescent="0.25">
      <c r="A88" s="74">
        <v>19800</v>
      </c>
      <c r="B88" s="74">
        <v>19800</v>
      </c>
      <c r="C88" s="74">
        <f>IFERROR('callPut（W）'!D88+'callPut（F）'!D88,0)/2</f>
        <v>0</v>
      </c>
      <c r="D88" s="74">
        <f>IFERROR('callPut（W）'!L88+'callPut（F）'!L88,0)/2</f>
        <v>0</v>
      </c>
      <c r="E88" s="82">
        <v>6906.0527561199988</v>
      </c>
      <c r="F88" s="82">
        <v>-9522.6229458299968</v>
      </c>
      <c r="G88" s="82">
        <v>-2616.5701897099998</v>
      </c>
      <c r="I88" s="89">
        <f>MAX($A$2-B88,0)*MAX('籌碼表(W+F)'!D90,0)-MAX('籌碼表(W+F)'!D90,0)*C88</f>
        <v>0</v>
      </c>
      <c r="J88" s="89">
        <f>MAX(B88-$A$2,0)*MAX('籌碼表(W+F)'!F90,0)-MAX('籌碼表(W+F)'!F90,0)*D88</f>
        <v>0</v>
      </c>
      <c r="K88" s="89">
        <f>-MIN('籌碼表(W+F)'!D90,0)*C88  - MAX($A$2-B88,0) * (-MIN('籌碼表(W+F)'!D90,0))</f>
        <v>0</v>
      </c>
      <c r="L88" s="89">
        <f>-MIN('籌碼表(W+F)'!F90,0) * D88 -  MAX(B88-$A$2,0) * (-MIN('籌碼表(W+F)'!F90,0))</f>
        <v>0</v>
      </c>
    </row>
    <row r="89" spans="1:12" ht="13.5" customHeight="1" x14ac:dyDescent="0.25">
      <c r="A89" s="74">
        <v>19850</v>
      </c>
      <c r="B89" s="74">
        <v>19850</v>
      </c>
      <c r="C89" s="74">
        <f>IFERROR('callPut（W）'!D89+'callPut（F）'!D89,0)/2</f>
        <v>0</v>
      </c>
      <c r="D89" s="74">
        <f>IFERROR('callPut（W）'!L89+'callPut（F）'!L89,0)/2</f>
        <v>0</v>
      </c>
      <c r="E89" s="82">
        <v>6778.7098561200009</v>
      </c>
      <c r="F89" s="82">
        <v>-9348.9985658300011</v>
      </c>
      <c r="G89" s="82">
        <v>-2570.2887097099997</v>
      </c>
      <c r="I89" s="89">
        <f>MAX($A$2-B89,0)*MAX('籌碼表(W+F)'!D91,0)-MAX('籌碼表(W+F)'!D91,0)*C89</f>
        <v>0</v>
      </c>
      <c r="J89" s="89">
        <f>MAX(B89-$A$2,0)*MAX('籌碼表(W+F)'!F91,0)-MAX('籌碼表(W+F)'!F91,0)*D89</f>
        <v>0</v>
      </c>
      <c r="K89" s="89">
        <f>-MIN('籌碼表(W+F)'!D91,0)*C89  - MAX($A$2-B89,0) * (-MIN('籌碼表(W+F)'!D91,0))</f>
        <v>0</v>
      </c>
      <c r="L89" s="89">
        <f>-MIN('籌碼表(W+F)'!F91,0) * D89 -  MAX(B89-$A$2,0) * (-MIN('籌碼表(W+F)'!F91,0))</f>
        <v>0</v>
      </c>
    </row>
    <row r="90" spans="1:12" ht="13.5" customHeight="1" x14ac:dyDescent="0.25">
      <c r="A90" s="74">
        <v>19900</v>
      </c>
      <c r="B90" s="74">
        <v>19900</v>
      </c>
      <c r="C90" s="74">
        <f>IFERROR('callPut（W）'!D90+'callPut（F）'!D90,0)/2</f>
        <v>0</v>
      </c>
      <c r="D90" s="74">
        <f>IFERROR('callPut（W）'!L90+'callPut（F）'!L90,0)/2</f>
        <v>0</v>
      </c>
      <c r="E90" s="82">
        <v>6651.3669561200004</v>
      </c>
      <c r="F90" s="82">
        <v>-9175.3741858299963</v>
      </c>
      <c r="G90" s="82">
        <v>-2524.007229710001</v>
      </c>
      <c r="I90" s="89">
        <f>MAX($A$2-B90,0)*MAX('籌碼表(W+F)'!D92,0)-MAX('籌碼表(W+F)'!D92,0)*C90</f>
        <v>0</v>
      </c>
      <c r="J90" s="89">
        <f>MAX(B90-$A$2,0)*MAX('籌碼表(W+F)'!F92,0)-MAX('籌碼表(W+F)'!F92,0)*D90</f>
        <v>0</v>
      </c>
      <c r="K90" s="89">
        <f>-MIN('籌碼表(W+F)'!D92,0)*C90  - MAX($A$2-B90,0) * (-MIN('籌碼表(W+F)'!D92,0))</f>
        <v>0</v>
      </c>
      <c r="L90" s="89">
        <f>-MIN('籌碼表(W+F)'!F92,0) * D90 -  MAX(B90-$A$2,0) * (-MIN('籌碼表(W+F)'!F92,0))</f>
        <v>0</v>
      </c>
    </row>
    <row r="91" spans="1:12" ht="13.5" customHeight="1" x14ac:dyDescent="0.25">
      <c r="A91" s="74">
        <v>19950</v>
      </c>
      <c r="B91" s="74">
        <v>19950</v>
      </c>
      <c r="C91" s="74">
        <f>IFERROR('callPut（W）'!D91+'callPut（F）'!D91,0)/2</f>
        <v>0</v>
      </c>
      <c r="D91" s="74">
        <f>IFERROR('callPut（W）'!L91+'callPut（F）'!L91,0)/2</f>
        <v>0</v>
      </c>
      <c r="E91" s="82">
        <v>6524.0240561200008</v>
      </c>
      <c r="F91" s="82">
        <v>-9001.7498058299971</v>
      </c>
      <c r="G91" s="82">
        <v>-2477.7257497099986</v>
      </c>
      <c r="I91" s="89">
        <f>MAX($A$2-B91,0)*MAX('籌碼表(W+F)'!D93,0)-MAX('籌碼表(W+F)'!D93,0)*C91</f>
        <v>0</v>
      </c>
      <c r="J91" s="89">
        <f>MAX(B91-$A$2,0)*MAX('籌碼表(W+F)'!F93,0)-MAX('籌碼表(W+F)'!F93,0)*D91</f>
        <v>0</v>
      </c>
      <c r="K91" s="89">
        <f>-MIN('籌碼表(W+F)'!D93,0)*C91  - MAX($A$2-B91,0) * (-MIN('籌碼表(W+F)'!D93,0))</f>
        <v>0</v>
      </c>
      <c r="L91" s="89">
        <f>-MIN('籌碼表(W+F)'!F93,0) * D91 -  MAX(B91-$A$2,0) * (-MIN('籌碼表(W+F)'!F93,0))</f>
        <v>0</v>
      </c>
    </row>
    <row r="92" spans="1:12" ht="13.5" customHeight="1" x14ac:dyDescent="0.25">
      <c r="A92" s="74">
        <v>20000</v>
      </c>
      <c r="B92" s="74">
        <v>20000</v>
      </c>
      <c r="C92" s="74">
        <f>IFERROR('callPut（W）'!D92+'callPut（F）'!D92,0)/2</f>
        <v>0</v>
      </c>
      <c r="D92" s="74">
        <f>IFERROR('callPut（W）'!L92+'callPut（F）'!L92,0)/2</f>
        <v>0</v>
      </c>
      <c r="E92" s="82">
        <v>6396.6811561200011</v>
      </c>
      <c r="F92" s="82">
        <v>-8828.1254258299978</v>
      </c>
      <c r="G92" s="82">
        <v>-2431.4442697099994</v>
      </c>
      <c r="I92" s="89">
        <f>MAX($A$2-B92,0)*MAX('籌碼表(W+F)'!D94,0)-MAX('籌碼表(W+F)'!D94,0)*C92</f>
        <v>0</v>
      </c>
      <c r="J92" s="89">
        <f>MAX(B92-$A$2,0)*MAX('籌碼表(W+F)'!F94,0)-MAX('籌碼表(W+F)'!F94,0)*D92</f>
        <v>0</v>
      </c>
      <c r="K92" s="89">
        <f>-MIN('籌碼表(W+F)'!D94,0)*C92  - MAX($A$2-B92,0) * (-MIN('籌碼表(W+F)'!D94,0))</f>
        <v>0</v>
      </c>
      <c r="L92" s="89">
        <f>-MIN('籌碼表(W+F)'!F94,0) * D92 -  MAX(B92-$A$2,0) * (-MIN('籌碼表(W+F)'!F94,0))</f>
        <v>0</v>
      </c>
    </row>
    <row r="93" spans="1:12" ht="13.5" customHeight="1" x14ac:dyDescent="0.25">
      <c r="A93" s="74">
        <v>20050</v>
      </c>
      <c r="B93" s="74">
        <v>20050</v>
      </c>
      <c r="C93" s="74">
        <f>IFERROR('callPut（W）'!D93+'callPut（F）'!D93,0)/2</f>
        <v>0</v>
      </c>
      <c r="D93" s="74">
        <f>IFERROR('callPut（W）'!L93+'callPut（F）'!L93,0)/2</f>
        <v>0</v>
      </c>
      <c r="E93" s="82">
        <v>6269.3382561199996</v>
      </c>
      <c r="F93" s="82">
        <v>-8654.5010458299985</v>
      </c>
      <c r="G93" s="82">
        <v>-2385.1627897100007</v>
      </c>
      <c r="I93" s="89">
        <f>MAX($A$2-B93,0)*MAX('籌碼表(W+F)'!D95,0)-MAX('籌碼表(W+F)'!D95,0)*C93</f>
        <v>0</v>
      </c>
      <c r="J93" s="89">
        <f>MAX(B93-$A$2,0)*MAX('籌碼表(W+F)'!F95,0)-MAX('籌碼表(W+F)'!F95,0)*D93</f>
        <v>0</v>
      </c>
      <c r="K93" s="89">
        <f>-MIN('籌碼表(W+F)'!D95,0)*C93  - MAX($A$2-B93,0) * (-MIN('籌碼表(W+F)'!D95,0))</f>
        <v>0</v>
      </c>
      <c r="L93" s="89">
        <f>-MIN('籌碼表(W+F)'!F95,0) * D93 -  MAX(B93-$A$2,0) * (-MIN('籌碼表(W+F)'!F95,0))</f>
        <v>0</v>
      </c>
    </row>
    <row r="94" spans="1:12" ht="13.5" customHeight="1" x14ac:dyDescent="0.25">
      <c r="A94" s="74">
        <v>20100</v>
      </c>
      <c r="B94" s="74">
        <v>20100</v>
      </c>
      <c r="C94" s="74">
        <f>IFERROR('callPut（W）'!D94+'callPut（F）'!D94,0)/2</f>
        <v>0</v>
      </c>
      <c r="D94" s="74">
        <f>IFERROR('callPut（W）'!L94+'callPut（F）'!L94,0)/2</f>
        <v>0.5</v>
      </c>
      <c r="E94" s="82">
        <v>6141.9953561200009</v>
      </c>
      <c r="F94" s="82">
        <v>-8480.8766658299955</v>
      </c>
      <c r="G94" s="82">
        <v>-2338.881309710001</v>
      </c>
      <c r="I94" s="89">
        <f>MAX($A$2-B94,0)*MAX('籌碼表(W+F)'!D96,0)-MAX('籌碼表(W+F)'!D96,0)*C94</f>
        <v>0</v>
      </c>
      <c r="J94" s="89">
        <f>MAX(B94-$A$2,0)*MAX('籌碼表(W+F)'!F96,0)-MAX('籌碼表(W+F)'!F96,0)*D94</f>
        <v>0</v>
      </c>
      <c r="K94" s="89">
        <f>-MIN('籌碼表(W+F)'!D96,0)*C94  - MAX($A$2-B94,0) * (-MIN('籌碼表(W+F)'!D96,0))</f>
        <v>0</v>
      </c>
      <c r="L94" s="89">
        <f>-MIN('籌碼表(W+F)'!F96,0) * D94 -  MAX(B94-$A$2,0) * (-MIN('籌碼表(W+F)'!F96,0))</f>
        <v>-890518.39399999985</v>
      </c>
    </row>
    <row r="95" spans="1:12" ht="13.5" customHeight="1" x14ac:dyDescent="0.25">
      <c r="A95" s="74">
        <v>20150</v>
      </c>
      <c r="B95" s="74">
        <v>20150</v>
      </c>
      <c r="C95" s="74">
        <f>IFERROR('callPut（W）'!D95+'callPut（F）'!D95,0)/2</f>
        <v>0</v>
      </c>
      <c r="D95" s="74">
        <f>IFERROR('callPut（W）'!L95+'callPut（F）'!L95,0)/2</f>
        <v>0</v>
      </c>
      <c r="E95" s="82">
        <v>6014.6524561199994</v>
      </c>
      <c r="F95" s="82">
        <v>-8316.9328858299996</v>
      </c>
      <c r="G95" s="82">
        <v>-2302.2804297100015</v>
      </c>
      <c r="I95" s="89">
        <f>MAX($A$2-B95,0)*MAX('籌碼表(W+F)'!D97,0)-MAX('籌碼表(W+F)'!D97,0)*C95</f>
        <v>0</v>
      </c>
      <c r="J95" s="89">
        <f>MAX(B95-$A$2,0)*MAX('籌碼表(W+F)'!F97,0)-MAX('籌碼表(W+F)'!F97,0)*D95</f>
        <v>0</v>
      </c>
      <c r="K95" s="89">
        <f>-MIN('籌碼表(W+F)'!D97,0)*C95  - MAX($A$2-B95,0) * (-MIN('籌碼表(W+F)'!D97,0))</f>
        <v>0</v>
      </c>
      <c r="L95" s="89">
        <f>-MIN('籌碼表(W+F)'!F97,0) * D95 -  MAX(B95-$A$2,0) * (-MIN('籌碼表(W+F)'!F97,0))</f>
        <v>0</v>
      </c>
    </row>
    <row r="96" spans="1:12" ht="13.5" customHeight="1" x14ac:dyDescent="0.25">
      <c r="A96" s="74">
        <v>20200</v>
      </c>
      <c r="B96" s="74">
        <v>20200</v>
      </c>
      <c r="C96" s="74">
        <f>IFERROR('callPut（W）'!D96+'callPut（F）'!D96,0)/2</f>
        <v>0</v>
      </c>
      <c r="D96" s="74">
        <f>IFERROR('callPut（W）'!L96+'callPut（F）'!L96,0)/2</f>
        <v>0.5</v>
      </c>
      <c r="E96" s="82">
        <v>5887.3095561199998</v>
      </c>
      <c r="F96" s="82">
        <v>-8152.9891058299991</v>
      </c>
      <c r="G96" s="82">
        <v>-2265.679549710002</v>
      </c>
      <c r="I96" s="89">
        <f>MAX($A$2-B96,0)*MAX('籌碼表(W+F)'!D98,0)-MAX('籌碼表(W+F)'!D98,0)*C96</f>
        <v>0</v>
      </c>
      <c r="J96" s="89">
        <f>MAX(B96-$A$2,0)*MAX('籌碼表(W+F)'!F98,0)-MAX('籌碼表(W+F)'!F98,0)*D96</f>
        <v>0</v>
      </c>
      <c r="K96" s="89">
        <f>-MIN('籌碼表(W+F)'!D98,0)*C96  - MAX($A$2-B96,0) * (-MIN('籌碼表(W+F)'!D98,0))</f>
        <v>0</v>
      </c>
      <c r="L96" s="89">
        <f>-MIN('籌碼表(W+F)'!F98,0) * D96 -  MAX(B96-$A$2,0) * (-MIN('籌碼表(W+F)'!F98,0))</f>
        <v>-23494.680300000004</v>
      </c>
    </row>
    <row r="97" spans="1:12" ht="13.5" customHeight="1" x14ac:dyDescent="0.25">
      <c r="A97" s="74">
        <v>20250</v>
      </c>
      <c r="B97" s="74">
        <v>20250</v>
      </c>
      <c r="C97" s="74">
        <f>IFERROR('callPut（W）'!D97+'callPut（F）'!D97,0)/2</f>
        <v>0</v>
      </c>
      <c r="D97" s="74">
        <f>IFERROR('callPut（W）'!L97+'callPut（F）'!L97,0)/2</f>
        <v>0</v>
      </c>
      <c r="E97" s="82">
        <v>5759.9666561200002</v>
      </c>
      <c r="F97" s="82">
        <v>-7989.2952958299993</v>
      </c>
      <c r="G97" s="82">
        <v>-2229.3286397099992</v>
      </c>
      <c r="I97" s="89">
        <f>MAX($A$2-B97,0)*MAX('籌碼表(W+F)'!D99,0)-MAX('籌碼表(W+F)'!D99,0)*C97</f>
        <v>0</v>
      </c>
      <c r="J97" s="89">
        <f>MAX(B97-$A$2,0)*MAX('籌碼表(W+F)'!F99,0)-MAX('籌碼表(W+F)'!F99,0)*D97</f>
        <v>0</v>
      </c>
      <c r="K97" s="89">
        <f>-MIN('籌碼表(W+F)'!D99,0)*C97  - MAX($A$2-B97,0) * (-MIN('籌碼表(W+F)'!D99,0))</f>
        <v>0</v>
      </c>
      <c r="L97" s="89">
        <f>-MIN('籌碼表(W+F)'!F99,0) * D97 -  MAX(B97-$A$2,0) * (-MIN('籌碼表(W+F)'!F99,0))</f>
        <v>0</v>
      </c>
    </row>
    <row r="98" spans="1:12" ht="13.5" customHeight="1" x14ac:dyDescent="0.25">
      <c r="A98" s="74">
        <v>20300</v>
      </c>
      <c r="B98" s="74">
        <v>20300</v>
      </c>
      <c r="C98" s="74">
        <f>IFERROR('callPut（W）'!D98+'callPut（F）'!D98,0)/2</f>
        <v>0</v>
      </c>
      <c r="D98" s="74">
        <f>IFERROR('callPut（W）'!L98+'callPut（F）'!L98,0)/2</f>
        <v>2.15</v>
      </c>
      <c r="E98" s="82">
        <v>5632.6237561200014</v>
      </c>
      <c r="F98" s="82">
        <v>-7825.6014858299995</v>
      </c>
      <c r="G98" s="82">
        <v>-2192.9777297099981</v>
      </c>
      <c r="I98" s="89">
        <f>MAX($A$2-B98,0)*MAX('籌碼表(W+F)'!D100,0)-MAX('籌碼表(W+F)'!D100,0)*C98</f>
        <v>0</v>
      </c>
      <c r="J98" s="89">
        <f>MAX(B98-$A$2,0)*MAX('籌碼表(W+F)'!F100,0)-MAX('籌碼表(W+F)'!F100,0)*D98</f>
        <v>0</v>
      </c>
      <c r="K98" s="89">
        <f>-MIN('籌碼表(W+F)'!D100,0)*C98  - MAX($A$2-B98,0) * (-MIN('籌碼表(W+F)'!D100,0))</f>
        <v>0</v>
      </c>
      <c r="L98" s="89">
        <f>-MIN('籌碼表(W+F)'!F100,0) * D98 -  MAX(B98-$A$2,0) * (-MIN('籌碼表(W+F)'!F100,0))</f>
        <v>-4802.6478499999976</v>
      </c>
    </row>
    <row r="99" spans="1:12" ht="13.5" customHeight="1" x14ac:dyDescent="0.25">
      <c r="A99" s="74">
        <v>20350</v>
      </c>
      <c r="B99" s="74">
        <v>20350</v>
      </c>
      <c r="C99" s="74">
        <f>IFERROR('callPut（W）'!D99+'callPut（F）'!D99,0)/2</f>
        <v>0</v>
      </c>
      <c r="D99" s="74">
        <f>IFERROR('callPut（W）'!L99+'callPut（F）'!L99,0)/2</f>
        <v>0</v>
      </c>
      <c r="E99" s="82">
        <v>5505.2808561200018</v>
      </c>
      <c r="F99" s="82">
        <v>-7661.9577258299987</v>
      </c>
      <c r="G99" s="82">
        <v>-2156.6768697099988</v>
      </c>
      <c r="I99" s="89">
        <f>MAX($A$2-B99,0)*MAX('籌碼表(W+F)'!D101,0)-MAX('籌碼表(W+F)'!D101,0)*C99</f>
        <v>0</v>
      </c>
      <c r="J99" s="89">
        <f>MAX(B99-$A$2,0)*MAX('籌碼表(W+F)'!F101,0)-MAX('籌碼表(W+F)'!F101,0)*D99</f>
        <v>0</v>
      </c>
      <c r="K99" s="89">
        <f>-MIN('籌碼表(W+F)'!D101,0)*C99  - MAX($A$2-B99,0) * (-MIN('籌碼表(W+F)'!D101,0))</f>
        <v>0</v>
      </c>
      <c r="L99" s="89">
        <f>-MIN('籌碼表(W+F)'!F101,0) * D99 -  MAX(B99-$A$2,0) * (-MIN('籌碼表(W+F)'!F101,0))</f>
        <v>0</v>
      </c>
    </row>
    <row r="100" spans="1:12" ht="13.5" customHeight="1" x14ac:dyDescent="0.25">
      <c r="A100" s="74">
        <v>20400</v>
      </c>
      <c r="B100" s="74">
        <v>20400</v>
      </c>
      <c r="C100" s="74">
        <f>IFERROR('callPut（W）'!D100+'callPut（F）'!D100,0)/2</f>
        <v>0</v>
      </c>
      <c r="D100" s="74">
        <f>IFERROR('callPut（W）'!L100+'callPut（F）'!L100,0)/2</f>
        <v>0</v>
      </c>
      <c r="E100" s="82">
        <v>5377.9379561200012</v>
      </c>
      <c r="F100" s="82">
        <v>-7498.3139658299988</v>
      </c>
      <c r="G100" s="82">
        <v>-2120.3760097100003</v>
      </c>
      <c r="I100" s="89">
        <f>MAX($A$2-B100,0)*MAX('籌碼表(W+F)'!D102,0)-MAX('籌碼表(W+F)'!D102,0)*C100</f>
        <v>0</v>
      </c>
      <c r="J100" s="89">
        <f>MAX(B100-$A$2,0)*MAX('籌碼表(W+F)'!F102,0)-MAX('籌碼表(W+F)'!F102,0)*D100</f>
        <v>0</v>
      </c>
      <c r="K100" s="89">
        <f>-MIN('籌碼表(W+F)'!D102,0)*C100  - MAX($A$2-B100,0) * (-MIN('籌碼表(W+F)'!D102,0))</f>
        <v>0</v>
      </c>
      <c r="L100" s="89">
        <f>-MIN('籌碼表(W+F)'!F102,0) * D100 -  MAX(B100-$A$2,0) * (-MIN('籌碼表(W+F)'!F102,0))</f>
        <v>-24500</v>
      </c>
    </row>
    <row r="101" spans="1:12" ht="13.5" customHeight="1" x14ac:dyDescent="0.25">
      <c r="A101" s="74">
        <v>20450</v>
      </c>
      <c r="B101" s="74">
        <v>20450</v>
      </c>
      <c r="C101" s="74">
        <f>IFERROR('callPut（W）'!D101+'callPut（F）'!D101,0)/2</f>
        <v>0</v>
      </c>
      <c r="D101" s="74">
        <f>IFERROR('callPut（W）'!L101+'callPut（F）'!L101,0)/2</f>
        <v>0</v>
      </c>
      <c r="E101" s="82">
        <v>5250.5950561199988</v>
      </c>
      <c r="F101" s="82">
        <v>-7334.9202058299998</v>
      </c>
      <c r="G101" s="82">
        <v>-2084.3251497099996</v>
      </c>
      <c r="I101" s="89">
        <f>MAX($A$2-B101,0)*MAX('籌碼表(W+F)'!D103,0)-MAX('籌碼表(W+F)'!D103,0)*C101</f>
        <v>0</v>
      </c>
      <c r="J101" s="89">
        <f>MAX(B101-$A$2,0)*MAX('籌碼表(W+F)'!F103,0)-MAX('籌碼表(W+F)'!F103,0)*D101</f>
        <v>0</v>
      </c>
      <c r="K101" s="89">
        <f>-MIN('籌碼表(W+F)'!D103,0)*C101  - MAX($A$2-B101,0) * (-MIN('籌碼表(W+F)'!D103,0))</f>
        <v>0</v>
      </c>
      <c r="L101" s="89">
        <f>-MIN('籌碼表(W+F)'!F103,0) * D101 -  MAX(B101-$A$2,0) * (-MIN('籌碼表(W+F)'!F103,0))</f>
        <v>0</v>
      </c>
    </row>
    <row r="102" spans="1:12" ht="13.5" customHeight="1" x14ac:dyDescent="0.25">
      <c r="A102" s="74">
        <v>20500</v>
      </c>
      <c r="B102" s="74">
        <v>20500</v>
      </c>
      <c r="C102" s="74">
        <f>IFERROR('callPut（W）'!D102+'callPut（F）'!D102,0)/2</f>
        <v>0</v>
      </c>
      <c r="D102" s="74">
        <f>IFERROR('callPut（W）'!L102+'callPut（F）'!L102,0)/2</f>
        <v>0</v>
      </c>
      <c r="E102" s="82">
        <v>5123.2521561200001</v>
      </c>
      <c r="F102" s="82">
        <v>-7171.5264458299989</v>
      </c>
      <c r="G102" s="82">
        <v>-2048.2742897100002</v>
      </c>
      <c r="I102" s="89">
        <f>MAX($A$2-B102,0)*MAX('籌碼表(W+F)'!D104,0)-MAX('籌碼表(W+F)'!D104,0)*C102</f>
        <v>0</v>
      </c>
      <c r="J102" s="89">
        <f>MAX(B102-$A$2,0)*MAX('籌碼表(W+F)'!F104,0)-MAX('籌碼表(W+F)'!F104,0)*D102</f>
        <v>15000</v>
      </c>
      <c r="K102" s="89">
        <f>-MIN('籌碼表(W+F)'!D104,0)*C102  - MAX($A$2-B102,0) * (-MIN('籌碼表(W+F)'!D104,0))</f>
        <v>0</v>
      </c>
      <c r="L102" s="89">
        <f>-MIN('籌碼表(W+F)'!F104,0) * D102 -  MAX(B102-$A$2,0) * (-MIN('籌碼表(W+F)'!F104,0))</f>
        <v>0</v>
      </c>
    </row>
    <row r="103" spans="1:12" ht="13.5" customHeight="1" x14ac:dyDescent="0.25">
      <c r="A103" s="74">
        <v>20550</v>
      </c>
      <c r="B103" s="74">
        <v>20550</v>
      </c>
      <c r="C103" s="74">
        <f>IFERROR('callPut（W）'!D103+'callPut（F）'!D103,0)/2</f>
        <v>0</v>
      </c>
      <c r="D103" s="74">
        <f>IFERROR('callPut（W）'!L103+'callPut（F）'!L103,0)/2</f>
        <v>0</v>
      </c>
      <c r="E103" s="82">
        <v>4996.0592561200001</v>
      </c>
      <c r="F103" s="82">
        <v>-7008.1326858299981</v>
      </c>
      <c r="G103" s="82">
        <v>-2012.0734297100007</v>
      </c>
      <c r="I103" s="89">
        <f>MAX($A$2-B103,0)*MAX('籌碼表(W+F)'!D105,0)-MAX('籌碼表(W+F)'!D105,0)*C103</f>
        <v>0</v>
      </c>
      <c r="J103" s="89">
        <f>MAX(B103-$A$2,0)*MAX('籌碼表(W+F)'!F105,0)-MAX('籌碼表(W+F)'!F105,0)*D103</f>
        <v>0</v>
      </c>
      <c r="K103" s="89">
        <f>-MIN('籌碼表(W+F)'!D105,0)*C103  - MAX($A$2-B103,0) * (-MIN('籌碼表(W+F)'!D105,0))</f>
        <v>0</v>
      </c>
      <c r="L103" s="89">
        <f>-MIN('籌碼表(W+F)'!F105,0) * D103 -  MAX(B103-$A$2,0) * (-MIN('籌碼表(W+F)'!F105,0))</f>
        <v>0</v>
      </c>
    </row>
    <row r="104" spans="1:12" ht="13.5" customHeight="1" x14ac:dyDescent="0.25">
      <c r="A104" s="74">
        <v>20600</v>
      </c>
      <c r="B104" s="74">
        <v>20600</v>
      </c>
      <c r="C104" s="74">
        <f>IFERROR('callPut（W）'!D104+'callPut（F）'!D104,0)/2</f>
        <v>0</v>
      </c>
      <c r="D104" s="74">
        <f>IFERROR('callPut（W）'!L104+'callPut（F）'!L104,0)/2</f>
        <v>0</v>
      </c>
      <c r="E104" s="82">
        <v>4868.8663561200001</v>
      </c>
      <c r="F104" s="82">
        <v>-6844.7389258299982</v>
      </c>
      <c r="G104" s="82">
        <v>-1975.8725697100006</v>
      </c>
      <c r="I104" s="89">
        <f>MAX($A$2-B104,0)*MAX('籌碼表(W+F)'!D106,0)-MAX('籌碼表(W+F)'!D106,0)*C104</f>
        <v>0</v>
      </c>
      <c r="J104" s="89">
        <f>MAX(B104-$A$2,0)*MAX('籌碼表(W+F)'!F106,0)-MAX('籌碼表(W+F)'!F106,0)*D104</f>
        <v>0</v>
      </c>
      <c r="K104" s="89">
        <f>-MIN('籌碼表(W+F)'!D106,0)*C104  - MAX($A$2-B104,0) * (-MIN('籌碼表(W+F)'!D106,0))</f>
        <v>0</v>
      </c>
      <c r="L104" s="89">
        <f>-MIN('籌碼表(W+F)'!F106,0) * D104 -  MAX(B104-$A$2,0) * (-MIN('籌碼表(W+F)'!F106,0))</f>
        <v>-5101.0199999999995</v>
      </c>
    </row>
    <row r="105" spans="1:12" ht="13.5" customHeight="1" x14ac:dyDescent="0.25">
      <c r="A105" s="74">
        <v>20650</v>
      </c>
      <c r="B105" s="74">
        <v>20650</v>
      </c>
      <c r="C105" s="74">
        <f>IFERROR('callPut（W）'!D105+'callPut（F）'!D105,0)/2</f>
        <v>0</v>
      </c>
      <c r="D105" s="74">
        <f>IFERROR('callPut（W）'!L105+'callPut（F）'!L105,0)/2</f>
        <v>0</v>
      </c>
      <c r="E105" s="82">
        <v>4741.673456120001</v>
      </c>
      <c r="F105" s="82">
        <v>-6681.3951758299982</v>
      </c>
      <c r="G105" s="82">
        <v>-1939.7217197100001</v>
      </c>
      <c r="I105" s="89">
        <f>MAX($A$2-B105,0)*MAX('籌碼表(W+F)'!D107,0)-MAX('籌碼表(W+F)'!D107,0)*C105</f>
        <v>0</v>
      </c>
      <c r="J105" s="89">
        <f>MAX(B105-$A$2,0)*MAX('籌碼表(W+F)'!F107,0)-MAX('籌碼表(W+F)'!F107,0)*D105</f>
        <v>0</v>
      </c>
      <c r="K105" s="89">
        <f>-MIN('籌碼表(W+F)'!D107,0)*C105  - MAX($A$2-B105,0) * (-MIN('籌碼表(W+F)'!D107,0))</f>
        <v>0</v>
      </c>
      <c r="L105" s="89">
        <f>-MIN('籌碼表(W+F)'!F107,0) * D105 -  MAX(B105-$A$2,0) * (-MIN('籌碼表(W+F)'!F107,0))</f>
        <v>0</v>
      </c>
    </row>
    <row r="106" spans="1:12" ht="13.5" customHeight="1" x14ac:dyDescent="0.25">
      <c r="A106" s="74">
        <v>20700</v>
      </c>
      <c r="B106" s="74">
        <v>20700</v>
      </c>
      <c r="C106" s="74">
        <f>IFERROR('callPut（W）'!D106+'callPut（F）'!D106,0)/2</f>
        <v>0</v>
      </c>
      <c r="D106" s="74">
        <f>IFERROR('callPut（W）'!L106+'callPut（F）'!L106,0)/2</f>
        <v>0</v>
      </c>
      <c r="E106" s="82">
        <v>4614.4805561199992</v>
      </c>
      <c r="F106" s="82">
        <v>-6518.0514258299991</v>
      </c>
      <c r="G106" s="82">
        <v>-1903.5708697099997</v>
      </c>
      <c r="I106" s="89">
        <f>MAX($A$2-B106,0)*MAX('籌碼表(W+F)'!D108,0)-MAX('籌碼表(W+F)'!D108,0)*C106</f>
        <v>0</v>
      </c>
      <c r="J106" s="89">
        <f>MAX(B106-$A$2,0)*MAX('籌碼表(W+F)'!F108,0)-MAX('籌碼表(W+F)'!F108,0)*D106</f>
        <v>0</v>
      </c>
      <c r="K106" s="89">
        <f>-MIN('籌碼表(W+F)'!D108,0)*C106  - MAX($A$2-B106,0) * (-MIN('籌碼表(W+F)'!D108,0))</f>
        <v>0</v>
      </c>
      <c r="L106" s="89">
        <f>-MIN('籌碼表(W+F)'!F108,0) * D106 -  MAX(B106-$A$2,0) * (-MIN('籌碼表(W+F)'!F108,0))</f>
        <v>-10400</v>
      </c>
    </row>
    <row r="107" spans="1:12" ht="13.5" customHeight="1" x14ac:dyDescent="0.25">
      <c r="A107" s="74">
        <v>20750</v>
      </c>
      <c r="B107" s="74">
        <v>20750</v>
      </c>
      <c r="C107" s="74">
        <f>IFERROR('callPut（W）'!D107+'callPut（F）'!D107,0)/2</f>
        <v>0</v>
      </c>
      <c r="D107" s="74">
        <f>IFERROR('callPut（W）'!L107+'callPut（F）'!L107,0)/2</f>
        <v>0</v>
      </c>
      <c r="E107" s="82">
        <v>4487.2876561199992</v>
      </c>
      <c r="F107" s="82">
        <v>-6354.8076758300003</v>
      </c>
      <c r="G107" s="82">
        <v>-1867.5200197099998</v>
      </c>
      <c r="I107" s="89">
        <f>MAX($A$2-B107,0)*MAX('籌碼表(W+F)'!D109,0)-MAX('籌碼表(W+F)'!D109,0)*C107</f>
        <v>0</v>
      </c>
      <c r="J107" s="89">
        <f>MAX(B107-$A$2,0)*MAX('籌碼表(W+F)'!F109,0)-MAX('籌碼表(W+F)'!F109,0)*D107</f>
        <v>0</v>
      </c>
      <c r="K107" s="89">
        <f>-MIN('籌碼表(W+F)'!D109,0)*C107  - MAX($A$2-B107,0) * (-MIN('籌碼表(W+F)'!D109,0))</f>
        <v>0</v>
      </c>
      <c r="L107" s="89">
        <f>-MIN('籌碼表(W+F)'!F109,0) * D107 -  MAX(B107-$A$2,0) * (-MIN('籌碼表(W+F)'!F109,0))</f>
        <v>0</v>
      </c>
    </row>
    <row r="108" spans="1:12" ht="13.5" customHeight="1" x14ac:dyDescent="0.25">
      <c r="A108" s="74">
        <v>20800</v>
      </c>
      <c r="B108" s="74">
        <v>20800</v>
      </c>
      <c r="C108" s="74">
        <f>IFERROR('callPut（W）'!D108+'callPut（F）'!D108,0)/2</f>
        <v>0</v>
      </c>
      <c r="D108" s="74">
        <f>IFERROR('callPut（W）'!L108+'callPut（F）'!L108,0)/2</f>
        <v>0</v>
      </c>
      <c r="E108" s="82">
        <v>4360.094756120001</v>
      </c>
      <c r="F108" s="82">
        <v>-6191.5639258299998</v>
      </c>
      <c r="G108" s="82">
        <v>-1831.4691697099995</v>
      </c>
      <c r="I108" s="89">
        <f>MAX($A$2-B108,0)*MAX('籌碼表(W+F)'!D110,0)-MAX('籌碼表(W+F)'!D110,0)*C108</f>
        <v>0</v>
      </c>
      <c r="J108" s="89">
        <f>MAX(B108-$A$2,0)*MAX('籌碼表(W+F)'!F110,0)-MAX('籌碼表(W+F)'!F110,0)*D108</f>
        <v>0</v>
      </c>
      <c r="K108" s="89">
        <f>-MIN('籌碼表(W+F)'!D110,0)*C108  - MAX($A$2-B108,0) * (-MIN('籌碼表(W+F)'!D110,0))</f>
        <v>0</v>
      </c>
      <c r="L108" s="89">
        <f>-MIN('籌碼表(W+F)'!F110,0) * D108 -  MAX(B108-$A$2,0) * (-MIN('籌碼表(W+F)'!F110,0))</f>
        <v>0</v>
      </c>
    </row>
    <row r="109" spans="1:12" ht="13.5" customHeight="1" x14ac:dyDescent="0.25">
      <c r="A109" s="74">
        <v>20850</v>
      </c>
      <c r="B109" s="74">
        <v>20850</v>
      </c>
      <c r="C109" s="74">
        <f>IFERROR('callPut（W）'!D109+'callPut（F）'!D109,0)/2</f>
        <v>0</v>
      </c>
      <c r="D109" s="74">
        <f>IFERROR('callPut（W）'!L109+'callPut（F）'!L109,0)/2</f>
        <v>0</v>
      </c>
      <c r="E109" s="82">
        <v>4232.90185612</v>
      </c>
      <c r="F109" s="82">
        <v>-6028.3201758299992</v>
      </c>
      <c r="G109" s="82">
        <v>-1795.4183197099994</v>
      </c>
      <c r="I109" s="89">
        <f>MAX($A$2-B109,0)*MAX('籌碼表(W+F)'!D111,0)-MAX('籌碼表(W+F)'!D111,0)*C109</f>
        <v>0</v>
      </c>
      <c r="J109" s="89">
        <f>MAX(B109-$A$2,0)*MAX('籌碼表(W+F)'!F111,0)-MAX('籌碼表(W+F)'!F111,0)*D109</f>
        <v>0</v>
      </c>
      <c r="K109" s="89">
        <f>-MIN('籌碼表(W+F)'!D111,0)*C109  - MAX($A$2-B109,0) * (-MIN('籌碼表(W+F)'!D111,0))</f>
        <v>0</v>
      </c>
      <c r="L109" s="89">
        <f>-MIN('籌碼表(W+F)'!F111,0) * D109 -  MAX(B109-$A$2,0) * (-MIN('籌碼表(W+F)'!F111,0))</f>
        <v>0</v>
      </c>
    </row>
    <row r="110" spans="1:12" ht="13.5" customHeight="1" x14ac:dyDescent="0.25">
      <c r="A110" s="74">
        <v>20900</v>
      </c>
      <c r="B110" s="74">
        <v>20900</v>
      </c>
      <c r="C110" s="74">
        <f>IFERROR('callPut（W）'!D110+'callPut（F）'!D110,0)/2</f>
        <v>0</v>
      </c>
      <c r="D110" s="74">
        <f>IFERROR('callPut（W）'!L110+'callPut（F）'!L110,0)/2</f>
        <v>0</v>
      </c>
      <c r="E110" s="82">
        <v>4105.7089561200009</v>
      </c>
      <c r="F110" s="82">
        <v>-5865.0764258300014</v>
      </c>
      <c r="G110" s="82">
        <v>-1759.3674697100003</v>
      </c>
      <c r="I110" s="89">
        <f>MAX($A$2-B110,0)*MAX('籌碼表(W+F)'!D112,0)-MAX('籌碼表(W+F)'!D112,0)*C110</f>
        <v>0</v>
      </c>
      <c r="J110" s="89">
        <f>MAX(B110-$A$2,0)*MAX('籌碼表(W+F)'!F112,0)-MAX('籌碼表(W+F)'!F112,0)*D110</f>
        <v>113400</v>
      </c>
      <c r="K110" s="89">
        <f>-MIN('籌碼表(W+F)'!D112,0)*C110  - MAX($A$2-B110,0) * (-MIN('籌碼表(W+F)'!D112,0))</f>
        <v>0</v>
      </c>
      <c r="L110" s="89">
        <f>-MIN('籌碼表(W+F)'!F112,0) * D110 -  MAX(B110-$A$2,0) * (-MIN('籌碼表(W+F)'!F112,0))</f>
        <v>0</v>
      </c>
    </row>
    <row r="111" spans="1:12" ht="13.5" customHeight="1" x14ac:dyDescent="0.25">
      <c r="A111" s="74">
        <v>20950</v>
      </c>
      <c r="B111" s="74">
        <v>20950</v>
      </c>
      <c r="C111" s="74">
        <f>IFERROR('callPut（W）'!D111+'callPut（F）'!D111,0)/2</f>
        <v>0</v>
      </c>
      <c r="D111" s="74">
        <f>IFERROR('callPut（W）'!L111+'callPut（F）'!L111,0)/2</f>
        <v>0</v>
      </c>
      <c r="E111" s="82">
        <v>3979.5660561200007</v>
      </c>
      <c r="F111" s="82">
        <v>-5701.8326758299991</v>
      </c>
      <c r="G111" s="82">
        <v>-1722.2666197100002</v>
      </c>
      <c r="I111" s="89">
        <f>MAX($A$2-B111,0)*MAX('籌碼表(W+F)'!D113,0)-MAX('籌碼表(W+F)'!D113,0)*C111</f>
        <v>0</v>
      </c>
      <c r="J111" s="89">
        <f>MAX(B111-$A$2,0)*MAX('籌碼表(W+F)'!F113,0)-MAX('籌碼表(W+F)'!F113,0)*D111</f>
        <v>0</v>
      </c>
      <c r="K111" s="89">
        <f>-MIN('籌碼表(W+F)'!D113,0)*C111  - MAX($A$2-B111,0) * (-MIN('籌碼表(W+F)'!D113,0))</f>
        <v>0</v>
      </c>
      <c r="L111" s="89">
        <f>-MIN('籌碼表(W+F)'!F113,0) * D111 -  MAX(B111-$A$2,0) * (-MIN('籌碼表(W+F)'!F113,0))</f>
        <v>0</v>
      </c>
    </row>
    <row r="112" spans="1:12" ht="13.5" customHeight="1" x14ac:dyDescent="0.25">
      <c r="A112" s="74">
        <v>21000</v>
      </c>
      <c r="B112" s="74">
        <v>21000</v>
      </c>
      <c r="C112" s="74">
        <f>IFERROR('callPut（W）'!D112+'callPut（F）'!D112,0)/2</f>
        <v>0</v>
      </c>
      <c r="D112" s="74">
        <f>IFERROR('callPut（W）'!L112+'callPut（F）'!L112,0)/2</f>
        <v>0</v>
      </c>
      <c r="E112" s="82">
        <v>3853.4231561200008</v>
      </c>
      <c r="F112" s="82">
        <v>-5538.5889258299994</v>
      </c>
      <c r="G112" s="82">
        <v>-1685.1657697100002</v>
      </c>
      <c r="I112" s="89">
        <f>MAX($A$2-B112,0)*MAX('籌碼表(W+F)'!D114,0)-MAX('籌碼表(W+F)'!D114,0)*C112</f>
        <v>0</v>
      </c>
      <c r="J112" s="89">
        <f>MAX(B112-$A$2,0)*MAX('籌碼表(W+F)'!F114,0)-MAX('籌碼表(W+F)'!F114,0)*D112</f>
        <v>148540.69999999998</v>
      </c>
      <c r="K112" s="89">
        <f>-MIN('籌碼表(W+F)'!D114,0)*C112  - MAX($A$2-B112,0) * (-MIN('籌碼表(W+F)'!D114,0))</f>
        <v>0</v>
      </c>
      <c r="L112" s="89">
        <f>-MIN('籌碼表(W+F)'!F114,0) * D112 -  MAX(B112-$A$2,0) * (-MIN('籌碼表(W+F)'!F114,0))</f>
        <v>0</v>
      </c>
    </row>
    <row r="113" spans="1:24" ht="13.5" customHeight="1" x14ac:dyDescent="0.25">
      <c r="A113" s="74">
        <v>21050</v>
      </c>
      <c r="B113" s="74">
        <v>21050</v>
      </c>
      <c r="C113" s="74">
        <f>IFERROR('callPut（W）'!D113+'callPut（F）'!D113,0)/2</f>
        <v>0</v>
      </c>
      <c r="D113" s="74">
        <f>IFERROR('callPut（W）'!L113+'callPut（F）'!L113,0)/2</f>
        <v>0</v>
      </c>
      <c r="E113" s="82">
        <v>3728.6806261200004</v>
      </c>
      <c r="F113" s="82">
        <v>-5375.3451758299989</v>
      </c>
      <c r="G113" s="82">
        <v>-1646.6645497099994</v>
      </c>
      <c r="I113" s="89">
        <f>MAX($A$2-B113,0)*MAX('籌碼表(W+F)'!D115,0)-MAX('籌碼表(W+F)'!D115,0)*C113</f>
        <v>0</v>
      </c>
      <c r="J113" s="89">
        <f>MAX(B113-$A$2,0)*MAX('籌碼表(W+F)'!F115,0)-MAX('籌碼表(W+F)'!F115,0)*D113</f>
        <v>0</v>
      </c>
      <c r="K113" s="89">
        <f>-MIN('籌碼表(W+F)'!D115,0)*C113  - MAX($A$2-B113,0) * (-MIN('籌碼表(W+F)'!D115,0))</f>
        <v>0</v>
      </c>
      <c r="L113" s="89">
        <f>-MIN('籌碼表(W+F)'!F115,0) * D113 -  MAX(B113-$A$2,0) * (-MIN('籌碼表(W+F)'!F115,0))</f>
        <v>0</v>
      </c>
    </row>
    <row r="114" spans="1:24" ht="13.5" customHeight="1" x14ac:dyDescent="0.25">
      <c r="A114" s="74">
        <v>21100</v>
      </c>
      <c r="B114" s="74">
        <v>21100</v>
      </c>
      <c r="C114" s="74">
        <f>IFERROR('callPut（W）'!D114+'callPut（F）'!D114,0)/2</f>
        <v>0</v>
      </c>
      <c r="D114" s="74">
        <f>IFERROR('callPut（W）'!L114+'callPut（F）'!L114,0)/2</f>
        <v>4.3999999999999995</v>
      </c>
      <c r="E114" s="82">
        <v>3603.9380961200009</v>
      </c>
      <c r="F114" s="82">
        <v>-5212.1014258299992</v>
      </c>
      <c r="G114" s="82">
        <v>-1608.1633297100002</v>
      </c>
      <c r="I114" s="89">
        <f>MAX($A$2-B114,0)*MAX('籌碼表(W+F)'!D116,0)-MAX('籌碼表(W+F)'!D116,0)*C114</f>
        <v>0</v>
      </c>
      <c r="J114" s="89">
        <f>MAX(B114-$A$2,0)*MAX('籌碼表(W+F)'!F116,0)-MAX('籌碼表(W+F)'!F116,0)*D114</f>
        <v>0</v>
      </c>
      <c r="K114" s="89">
        <f>-MIN('籌碼表(W+F)'!D116,0)*C114  - MAX($A$2-B114,0) * (-MIN('籌碼表(W+F)'!D116,0))</f>
        <v>0</v>
      </c>
      <c r="L114" s="89">
        <f>-MIN('籌碼表(W+F)'!F116,0) * D114 -  MAX(B114-$A$2,0) * (-MIN('籌碼表(W+F)'!F116,0))</f>
        <v>0</v>
      </c>
    </row>
    <row r="115" spans="1:24" ht="13.5" customHeight="1" x14ac:dyDescent="0.25">
      <c r="A115" s="74">
        <v>21150</v>
      </c>
      <c r="B115" s="74">
        <v>21150</v>
      </c>
      <c r="C115" s="74">
        <f>IFERROR('callPut（W）'!D115+'callPut（F）'!D115,0)/2</f>
        <v>0</v>
      </c>
      <c r="D115" s="74">
        <f>IFERROR('callPut（W）'!L115+'callPut（F）'!L115,0)/2</f>
        <v>0</v>
      </c>
      <c r="E115" s="82">
        <v>3479.19556612</v>
      </c>
      <c r="F115" s="82">
        <v>-5048.8576758300005</v>
      </c>
      <c r="G115" s="82">
        <v>-1569.6621097100001</v>
      </c>
      <c r="I115" s="89">
        <f>MAX($A$2-B115,0)*MAX('籌碼表(W+F)'!D117,0)-MAX('籌碼表(W+F)'!D117,0)*C115</f>
        <v>0</v>
      </c>
      <c r="J115" s="89">
        <f>MAX(B115-$A$2,0)*MAX('籌碼表(W+F)'!F117,0)-MAX('籌碼表(W+F)'!F117,0)*D115</f>
        <v>0</v>
      </c>
      <c r="K115" s="89">
        <f>-MIN('籌碼表(W+F)'!D117,0)*C115  - MAX($A$2-B115,0) * (-MIN('籌碼表(W+F)'!D117,0))</f>
        <v>0</v>
      </c>
      <c r="L115" s="89">
        <f>-MIN('籌碼表(W+F)'!F117,0) * D115 -  MAX(B115-$A$2,0) * (-MIN('籌碼表(W+F)'!F117,0))</f>
        <v>0</v>
      </c>
    </row>
    <row r="116" spans="1:24" ht="13.5" customHeight="1" x14ac:dyDescent="0.25">
      <c r="A116" s="74">
        <v>21200</v>
      </c>
      <c r="B116" s="74">
        <v>21200</v>
      </c>
      <c r="C116" s="74">
        <f>IFERROR('callPut（W）'!D116+'callPut（F）'!D116,0)/2</f>
        <v>0</v>
      </c>
      <c r="D116" s="74">
        <f>IFERROR('callPut（W）'!L116+'callPut（F）'!L116,0)/2</f>
        <v>4.0999999999999996</v>
      </c>
      <c r="E116" s="82">
        <v>3354.4530361200009</v>
      </c>
      <c r="F116" s="82">
        <v>-4885.61392583</v>
      </c>
      <c r="G116" s="82">
        <v>-1531.1608897099993</v>
      </c>
      <c r="I116" s="89">
        <f>MAX($A$2-B116,0)*MAX('籌碼表(W+F)'!D118,0)-MAX('籌碼表(W+F)'!D118,0)*C116</f>
        <v>0</v>
      </c>
      <c r="J116" s="89">
        <f>MAX(B116-$A$2,0)*MAX('籌碼表(W+F)'!F118,0)-MAX('籌碼表(W+F)'!F118,0)*D116</f>
        <v>9491.6477599999998</v>
      </c>
      <c r="K116" s="89">
        <f>-MIN('籌碼表(W+F)'!D118,0)*C116  - MAX($A$2-B116,0) * (-MIN('籌碼表(W+F)'!D118,0))</f>
        <v>0</v>
      </c>
      <c r="L116" s="89">
        <f>-MIN('籌碼表(W+F)'!F118,0) * D116 -  MAX(B116-$A$2,0) * (-MIN('籌碼表(W+F)'!F118,0))</f>
        <v>0</v>
      </c>
    </row>
    <row r="117" spans="1:24" ht="13.5" customHeight="1" x14ac:dyDescent="0.25">
      <c r="A117" s="74">
        <v>21250</v>
      </c>
      <c r="B117" s="74">
        <v>21250</v>
      </c>
      <c r="C117" s="74">
        <f>IFERROR('callPut（W）'!D117+'callPut（F）'!D117,0)/2</f>
        <v>0</v>
      </c>
      <c r="D117" s="74">
        <f>IFERROR('callPut（W）'!L117+'callPut（F）'!L117,0)/2</f>
        <v>0</v>
      </c>
      <c r="E117" s="82">
        <v>3229.7938261200011</v>
      </c>
      <c r="F117" s="82">
        <v>-4722.3701758299994</v>
      </c>
      <c r="G117" s="82">
        <v>-1492.5763497099999</v>
      </c>
      <c r="I117" s="89">
        <f>MAX($A$2-B117,0)*MAX('籌碼表(W+F)'!D119,0)-MAX('籌碼表(W+F)'!D119,0)*C117</f>
        <v>0</v>
      </c>
      <c r="J117" s="89">
        <f>MAX(B117-$A$2,0)*MAX('籌碼表(W+F)'!F119,0)-MAX('籌碼表(W+F)'!F119,0)*D117</f>
        <v>0</v>
      </c>
      <c r="K117" s="89">
        <f>-MIN('籌碼表(W+F)'!D119,0)*C117  - MAX($A$2-B117,0) * (-MIN('籌碼表(W+F)'!D119,0))</f>
        <v>0</v>
      </c>
      <c r="L117" s="89">
        <f>-MIN('籌碼表(W+F)'!F119,0) * D117 -  MAX(B117-$A$2,0) * (-MIN('籌碼表(W+F)'!F119,0))</f>
        <v>0</v>
      </c>
    </row>
    <row r="118" spans="1:24" ht="13.5" customHeight="1" x14ac:dyDescent="0.25">
      <c r="A118" s="74">
        <v>21300</v>
      </c>
      <c r="B118" s="74">
        <v>21300</v>
      </c>
      <c r="C118" s="74">
        <f>IFERROR('callPut（W）'!D118+'callPut（F）'!D118,0)/2</f>
        <v>0</v>
      </c>
      <c r="D118" s="74">
        <f>IFERROR('callPut（W）'!L118+'callPut（F）'!L118,0)/2</f>
        <v>4.3499999999999996</v>
      </c>
      <c r="E118" s="82">
        <v>3105.1346161200008</v>
      </c>
      <c r="F118" s="82">
        <v>-4559.1264258299998</v>
      </c>
      <c r="G118" s="82">
        <v>-1453.9918097099999</v>
      </c>
      <c r="I118" s="89">
        <f>MAX($A$2-B118,0)*MAX('籌碼表(W+F)'!D120,0)-MAX('籌碼表(W+F)'!D120,0)*C118</f>
        <v>0</v>
      </c>
      <c r="J118" s="89">
        <f>MAX(B118-$A$2,0)*MAX('籌碼表(W+F)'!F120,0)-MAX('籌碼表(W+F)'!F120,0)*D118</f>
        <v>0</v>
      </c>
      <c r="K118" s="89">
        <f>-MIN('籌碼表(W+F)'!D120,0)*C118  - MAX($A$2-B118,0) * (-MIN('籌碼表(W+F)'!D120,0))</f>
        <v>0</v>
      </c>
      <c r="L118" s="89">
        <f>-MIN('籌碼表(W+F)'!F120,0) * D118 -  MAX(B118-$A$2,0) * (-MIN('籌碼表(W+F)'!F120,0))</f>
        <v>-538995.44999999995</v>
      </c>
    </row>
    <row r="119" spans="1:24" ht="13.5" customHeight="1" x14ac:dyDescent="0.25">
      <c r="A119" s="74">
        <v>21350</v>
      </c>
      <c r="B119" s="74">
        <v>21350</v>
      </c>
      <c r="C119" s="74">
        <f>IFERROR('callPut（W）'!D119+'callPut（F）'!D119,0)/2</f>
        <v>0</v>
      </c>
      <c r="D119" s="74">
        <f>IFERROR('callPut（W）'!L119+'callPut（F）'!L119,0)/2</f>
        <v>0</v>
      </c>
      <c r="E119" s="82">
        <v>2980.475406120001</v>
      </c>
      <c r="F119" s="82">
        <v>-4400.532675829998</v>
      </c>
      <c r="G119" s="82">
        <v>-1420.0572697099997</v>
      </c>
      <c r="I119" s="89">
        <f>MAX($A$2-B119,0)*MAX('籌碼表(W+F)'!D121,0)-MAX('籌碼表(W+F)'!D121,0)*C119</f>
        <v>0</v>
      </c>
      <c r="J119" s="89">
        <f>MAX(B119-$A$2,0)*MAX('籌碼表(W+F)'!F121,0)-MAX('籌碼表(W+F)'!F121,0)*D119</f>
        <v>0</v>
      </c>
      <c r="K119" s="89">
        <f>-MIN('籌碼表(W+F)'!D121,0)*C119  - MAX($A$2-B119,0) * (-MIN('籌碼表(W+F)'!D121,0))</f>
        <v>0</v>
      </c>
      <c r="L119" s="89">
        <f>-MIN('籌碼表(W+F)'!F121,0) * D119 -  MAX(B119-$A$2,0) * (-MIN('籌碼表(W+F)'!F121,0))</f>
        <v>0</v>
      </c>
    </row>
    <row r="120" spans="1:24" ht="13.5" customHeight="1" x14ac:dyDescent="0.25">
      <c r="A120" s="74">
        <v>21400</v>
      </c>
      <c r="B120" s="74">
        <v>21400</v>
      </c>
      <c r="C120" s="74">
        <f>IFERROR('callPut（W）'!D120+'callPut（F）'!D120,0)/2</f>
        <v>0</v>
      </c>
      <c r="D120" s="74">
        <f>IFERROR('callPut（W）'!L120+'callPut（F）'!L120,0)/2</f>
        <v>0</v>
      </c>
      <c r="E120" s="82">
        <v>2855.8161961200003</v>
      </c>
      <c r="F120" s="82">
        <v>-4241.9389258299998</v>
      </c>
      <c r="G120" s="82">
        <v>-1386.1227297100006</v>
      </c>
      <c r="I120" s="89">
        <f>MAX($A$2-B120,0)*MAX('籌碼表(W+F)'!D122,0)-MAX('籌碼表(W+F)'!D122,0)*C120</f>
        <v>0</v>
      </c>
      <c r="J120" s="89">
        <f>MAX(B120-$A$2,0)*MAX('籌碼表(W+F)'!F122,0)-MAX('籌碼表(W+F)'!F122,0)*D120</f>
        <v>0</v>
      </c>
      <c r="K120" s="89">
        <f>-MIN('籌碼表(W+F)'!D122,0)*C120  - MAX($A$2-B120,0) * (-MIN('籌碼表(W+F)'!D122,0))</f>
        <v>0</v>
      </c>
      <c r="L120" s="89">
        <f>-MIN('籌碼表(W+F)'!F122,0) * D120 -  MAX(B120-$A$2,0) * (-MIN('籌碼表(W+F)'!F122,0))</f>
        <v>-76718.880000000005</v>
      </c>
    </row>
    <row r="121" spans="1:24" ht="13.5" customHeight="1" x14ac:dyDescent="0.25">
      <c r="A121" s="74">
        <v>21450</v>
      </c>
      <c r="B121" s="74">
        <v>21450</v>
      </c>
      <c r="C121" s="74">
        <f>IFERROR('callPut（W）'!D121+'callPut（F）'!D121,0)/2</f>
        <v>0</v>
      </c>
      <c r="D121" s="74">
        <f>IFERROR('callPut（W）'!L121+'callPut（F）'!L121,0)/2</f>
        <v>0</v>
      </c>
      <c r="E121" s="82">
        <v>2731.156986120001</v>
      </c>
      <c r="F121" s="82">
        <v>-4083.9953358300013</v>
      </c>
      <c r="G121" s="82">
        <v>-1352.8383497099996</v>
      </c>
      <c r="I121" s="89">
        <f>MAX($A$2-B121,0)*MAX('籌碼表(W+F)'!D123,0)-MAX('籌碼表(W+F)'!D123,0)*C121</f>
        <v>0</v>
      </c>
      <c r="J121" s="89">
        <f>MAX(B121-$A$2,0)*MAX('籌碼表(W+F)'!F123,0)-MAX('籌碼表(W+F)'!F123,0)*D121</f>
        <v>0</v>
      </c>
      <c r="K121" s="89">
        <f>-MIN('籌碼表(W+F)'!D123,0)*C121  - MAX($A$2-B121,0) * (-MIN('籌碼表(W+F)'!D123,0))</f>
        <v>0</v>
      </c>
      <c r="L121" s="89">
        <f>-MIN('籌碼表(W+F)'!F123,0) * D121 -  MAX(B121-$A$2,0) * (-MIN('籌碼表(W+F)'!F123,0))</f>
        <v>0</v>
      </c>
    </row>
    <row r="122" spans="1:24" ht="13.5" customHeight="1" x14ac:dyDescent="0.25">
      <c r="A122" s="74">
        <v>21500</v>
      </c>
      <c r="B122" s="74">
        <v>21500</v>
      </c>
      <c r="C122" s="74">
        <f>IFERROR('callPut（W）'!D122+'callPut（F）'!D122,0)/2</f>
        <v>0</v>
      </c>
      <c r="D122" s="74">
        <f>IFERROR('callPut（W）'!L122+'callPut（F）'!L122,0)/2</f>
        <v>5.8</v>
      </c>
      <c r="E122" s="82">
        <v>2606.4977761200012</v>
      </c>
      <c r="F122" s="82">
        <v>-3926.0517458300005</v>
      </c>
      <c r="G122" s="82">
        <v>-1319.5539697100003</v>
      </c>
      <c r="I122" s="89">
        <f>MAX($A$2-B122,0)*MAX('籌碼表(W+F)'!D124,0)-MAX('籌碼表(W+F)'!D124,0)*C122</f>
        <v>0</v>
      </c>
      <c r="J122" s="89">
        <f>MAX(B122-$A$2,0)*MAX('籌碼表(W+F)'!F124,0)-MAX('籌碼表(W+F)'!F124,0)*D122</f>
        <v>41935.423200000019</v>
      </c>
      <c r="K122" s="89">
        <f>-MIN('籌碼表(W+F)'!D124,0)*C122  - MAX($A$2-B122,0) * (-MIN('籌碼表(W+F)'!D124,0))</f>
        <v>0</v>
      </c>
      <c r="L122" s="89">
        <f>-MIN('籌碼表(W+F)'!F124,0) * D122 -  MAX(B122-$A$2,0) * (-MIN('籌碼表(W+F)'!F124,0))</f>
        <v>0</v>
      </c>
      <c r="N122" s="84"/>
      <c r="O122" s="84"/>
      <c r="P122" s="84"/>
      <c r="Q122" s="84"/>
      <c r="R122" s="84"/>
      <c r="T122" s="84"/>
      <c r="U122" s="84"/>
      <c r="V122" s="84"/>
      <c r="W122" s="84"/>
      <c r="X122" s="84"/>
    </row>
    <row r="123" spans="1:24" ht="13.5" customHeight="1" x14ac:dyDescent="0.25">
      <c r="A123" s="74">
        <v>21550</v>
      </c>
      <c r="B123" s="74">
        <v>21550</v>
      </c>
      <c r="C123" s="74">
        <f>IFERROR('callPut（W）'!D123+'callPut（F）'!D123,0)/2</f>
        <v>0</v>
      </c>
      <c r="D123" s="74">
        <f>IFERROR('callPut（W）'!L123+'callPut（F）'!L123,0)/2</f>
        <v>0</v>
      </c>
      <c r="E123" s="82">
        <v>2482.1883661200004</v>
      </c>
      <c r="F123" s="82">
        <v>-3768.1081558300007</v>
      </c>
      <c r="G123" s="82">
        <v>-1285.9197897099998</v>
      </c>
      <c r="I123" s="89">
        <f>MAX($A$2-B123,0)*MAX('籌碼表(W+F)'!D125,0)-MAX('籌碼表(W+F)'!D125,0)*C123</f>
        <v>0</v>
      </c>
      <c r="J123" s="89">
        <f>MAX(B123-$A$2,0)*MAX('籌碼表(W+F)'!F125,0)-MAX('籌碼表(W+F)'!F125,0)*D123</f>
        <v>0</v>
      </c>
      <c r="K123" s="89">
        <f>-MIN('籌碼表(W+F)'!D125,0)*C123  - MAX($A$2-B123,0) * (-MIN('籌碼表(W+F)'!D125,0))</f>
        <v>0</v>
      </c>
      <c r="L123" s="89">
        <f>-MIN('籌碼表(W+F)'!F125,0) * D123 -  MAX(B123-$A$2,0) * (-MIN('籌碼表(W+F)'!F125,0))</f>
        <v>0</v>
      </c>
      <c r="N123" s="84"/>
      <c r="O123" s="84"/>
      <c r="P123" s="84"/>
      <c r="Q123" s="84"/>
      <c r="R123" s="84"/>
      <c r="T123" s="84"/>
      <c r="U123" s="84"/>
      <c r="V123" s="84"/>
      <c r="W123" s="84"/>
      <c r="X123" s="84"/>
    </row>
    <row r="124" spans="1:24" ht="13.5" customHeight="1" x14ac:dyDescent="0.25">
      <c r="A124" s="74">
        <v>21600</v>
      </c>
      <c r="B124" s="74">
        <v>21600</v>
      </c>
      <c r="C124" s="74">
        <f>IFERROR('callPut（W）'!D124+'callPut（F）'!D124,0)/2</f>
        <v>0</v>
      </c>
      <c r="D124" s="74">
        <f>IFERROR('callPut（W）'!L124+'callPut（F）'!L124,0)/2</f>
        <v>5.05</v>
      </c>
      <c r="E124" s="82">
        <v>2357.8789561200001</v>
      </c>
      <c r="F124" s="82">
        <v>-3610.1645658300008</v>
      </c>
      <c r="G124" s="82">
        <v>-1252.2856097100007</v>
      </c>
      <c r="I124" s="89">
        <f>MAX($A$2-B124,0)*MAX('籌碼表(W+F)'!D126,0)-MAX('籌碼表(W+F)'!D126,0)*C124</f>
        <v>0</v>
      </c>
      <c r="J124" s="89">
        <f>MAX(B124-$A$2,0)*MAX('籌碼表(W+F)'!F126,0)-MAX('籌碼表(W+F)'!F126,0)*D124</f>
        <v>225471.70433999997</v>
      </c>
      <c r="K124" s="89">
        <f>-MIN('籌碼表(W+F)'!D126,0)*C124  - MAX($A$2-B124,0) * (-MIN('籌碼表(W+F)'!D126,0))</f>
        <v>0</v>
      </c>
      <c r="L124" s="89">
        <f>-MIN('籌碼表(W+F)'!F126,0) * D124 -  MAX(B124-$A$2,0) * (-MIN('籌碼表(W+F)'!F126,0))</f>
        <v>0</v>
      </c>
      <c r="N124" s="84"/>
      <c r="O124" s="84"/>
      <c r="P124" s="84"/>
      <c r="Q124" s="84"/>
      <c r="R124" s="84"/>
      <c r="T124" s="84"/>
      <c r="U124" s="84"/>
      <c r="V124" s="84"/>
      <c r="W124" s="84"/>
      <c r="X124" s="84"/>
    </row>
    <row r="125" spans="1:24" ht="13.5" customHeight="1" x14ac:dyDescent="0.25">
      <c r="A125" s="74">
        <v>21650</v>
      </c>
      <c r="B125" s="74">
        <v>21650</v>
      </c>
      <c r="C125" s="74">
        <f>IFERROR('callPut（W）'!D125+'callPut（F）'!D125,0)/2</f>
        <v>0</v>
      </c>
      <c r="D125" s="74">
        <f>IFERROR('callPut（W）'!L125+'callPut（F）'!L125,0)/2</f>
        <v>0</v>
      </c>
      <c r="E125" s="82">
        <v>2235.4192061200006</v>
      </c>
      <c r="F125" s="82">
        <v>-3452.2209758300014</v>
      </c>
      <c r="G125" s="82">
        <v>-1216.8017697100001</v>
      </c>
      <c r="I125" s="89">
        <f>MAX($A$2-B125,0)*MAX('籌碼表(W+F)'!D127,0)-MAX('籌碼表(W+F)'!D127,0)*C125</f>
        <v>0</v>
      </c>
      <c r="J125" s="89">
        <f>MAX(B125-$A$2,0)*MAX('籌碼表(W+F)'!F127,0)-MAX('籌碼表(W+F)'!F127,0)*D125</f>
        <v>0</v>
      </c>
      <c r="K125" s="89">
        <f>-MIN('籌碼表(W+F)'!D127,0)*C125  - MAX($A$2-B125,0) * (-MIN('籌碼表(W+F)'!D127,0))</f>
        <v>0</v>
      </c>
      <c r="L125" s="89">
        <f>-MIN('籌碼表(W+F)'!F127,0) * D125 -  MAX(B125-$A$2,0) * (-MIN('籌碼表(W+F)'!F127,0))</f>
        <v>0</v>
      </c>
      <c r="N125" s="84"/>
      <c r="O125" s="84"/>
      <c r="P125" s="84"/>
      <c r="Q125" s="84"/>
      <c r="R125" s="84"/>
      <c r="T125" s="84"/>
      <c r="U125" s="84"/>
      <c r="V125" s="84"/>
      <c r="W125" s="84"/>
      <c r="X125" s="84"/>
    </row>
    <row r="126" spans="1:24" ht="13.5" customHeight="1" x14ac:dyDescent="0.25">
      <c r="A126" s="74">
        <v>21700</v>
      </c>
      <c r="B126" s="74">
        <v>21700</v>
      </c>
      <c r="C126" s="74">
        <f>IFERROR('callPut（W）'!D126+'callPut（F）'!D126,0)/2</f>
        <v>0</v>
      </c>
      <c r="D126" s="74">
        <f>IFERROR('callPut（W）'!L126+'callPut（F）'!L126,0)/2</f>
        <v>6.5</v>
      </c>
      <c r="E126" s="82">
        <v>2112.9594561200006</v>
      </c>
      <c r="F126" s="82">
        <v>-3294.2773858300015</v>
      </c>
      <c r="G126" s="82">
        <v>-1181.3179297099998</v>
      </c>
      <c r="I126" s="89">
        <f>MAX($A$2-B126,0)*MAX('籌碼表(W+F)'!D128,0)-MAX('籌碼表(W+F)'!D128,0)*C126</f>
        <v>0</v>
      </c>
      <c r="J126" s="89">
        <f>MAX(B126-$A$2,0)*MAX('籌碼表(W+F)'!F128,0)-MAX('籌碼表(W+F)'!F128,0)*D126</f>
        <v>43355.738700000002</v>
      </c>
      <c r="K126" s="89">
        <f>-MIN('籌碼表(W+F)'!D128,0)*C126  - MAX($A$2-B126,0) * (-MIN('籌碼表(W+F)'!D128,0))</f>
        <v>0</v>
      </c>
      <c r="L126" s="89">
        <f>-MIN('籌碼表(W+F)'!F128,0) * D126 -  MAX(B126-$A$2,0) * (-MIN('籌碼表(W+F)'!F128,0))</f>
        <v>0</v>
      </c>
      <c r="N126" s="84"/>
      <c r="O126" s="84"/>
      <c r="P126" s="84"/>
      <c r="Q126" s="84"/>
      <c r="R126" s="84"/>
      <c r="T126" s="84"/>
      <c r="U126" s="84"/>
      <c r="V126" s="84"/>
      <c r="W126" s="84"/>
      <c r="X126" s="84"/>
    </row>
    <row r="127" spans="1:24" ht="13.5" customHeight="1" x14ac:dyDescent="0.25">
      <c r="A127" s="74">
        <v>21750</v>
      </c>
      <c r="B127" s="74">
        <v>21750</v>
      </c>
      <c r="C127" s="74">
        <f>IFERROR('callPut（W）'!D127+'callPut（F）'!D127,0)/2</f>
        <v>0</v>
      </c>
      <c r="D127" s="74">
        <f>IFERROR('callPut（W）'!L127+'callPut（F）'!L127,0)/2</f>
        <v>0.95</v>
      </c>
      <c r="E127" s="82">
        <v>1990.8497161200005</v>
      </c>
      <c r="F127" s="82">
        <v>-3136.3337958300012</v>
      </c>
      <c r="G127" s="82">
        <v>-1145.4840797099998</v>
      </c>
      <c r="I127" s="89">
        <f>MAX($A$2-B127,0)*MAX('籌碼表(W+F)'!D129,0)-MAX('籌碼表(W+F)'!D129,0)*C127</f>
        <v>0</v>
      </c>
      <c r="J127" s="89">
        <f>MAX(B127-$A$2,0)*MAX('籌碼表(W+F)'!F129,0)-MAX('籌碼表(W+F)'!F129,0)*D127</f>
        <v>0</v>
      </c>
      <c r="K127" s="89">
        <f>-MIN('籌碼表(W+F)'!D129,0)*C127  - MAX($A$2-B127,0) * (-MIN('籌碼表(W+F)'!D129,0))</f>
        <v>0</v>
      </c>
      <c r="L127" s="89">
        <f>-MIN('籌碼表(W+F)'!F129,0) * D127 -  MAX(B127-$A$2,0) * (-MIN('籌碼表(W+F)'!F129,0))</f>
        <v>0</v>
      </c>
      <c r="N127" s="84"/>
      <c r="O127" s="84"/>
      <c r="P127" s="84"/>
      <c r="Q127" s="84"/>
      <c r="R127" s="84"/>
      <c r="T127" s="84"/>
      <c r="U127" s="84"/>
      <c r="V127" s="84"/>
      <c r="W127" s="84"/>
      <c r="X127" s="84"/>
    </row>
    <row r="128" spans="1:24" ht="13.5" customHeight="1" x14ac:dyDescent="0.25">
      <c r="A128" s="74">
        <v>21800</v>
      </c>
      <c r="B128" s="74">
        <v>21800</v>
      </c>
      <c r="C128" s="74">
        <f>IFERROR('callPut（W）'!D128+'callPut（F）'!D128,0)/2</f>
        <v>0</v>
      </c>
      <c r="D128" s="74">
        <f>IFERROR('callPut（W）'!L128+'callPut（F）'!L128,0)/2</f>
        <v>8.35</v>
      </c>
      <c r="E128" s="82">
        <v>1868.7399761200002</v>
      </c>
      <c r="F128" s="82">
        <v>-2978.3902058300014</v>
      </c>
      <c r="G128" s="82">
        <v>-1109.6502297100003</v>
      </c>
      <c r="I128" s="89">
        <f>MAX($A$2-B128,0)*MAX('籌碼表(W+F)'!D130,0)-MAX('籌碼表(W+F)'!D130,0)*C128</f>
        <v>0</v>
      </c>
      <c r="J128" s="89">
        <f>MAX(B128-$A$2,0)*MAX('籌碼表(W+F)'!F130,0)-MAX('籌碼表(W+F)'!F130,0)*D128</f>
        <v>0</v>
      </c>
      <c r="K128" s="89">
        <f>-MIN('籌碼表(W+F)'!D130,0)*C128  - MAX($A$2-B128,0) * (-MIN('籌碼表(W+F)'!D130,0))</f>
        <v>0</v>
      </c>
      <c r="L128" s="89">
        <f>-MIN('籌碼表(W+F)'!F130,0) * D128 -  MAX(B128-$A$2,0) * (-MIN('籌碼表(W+F)'!F130,0))</f>
        <v>-830497.8</v>
      </c>
      <c r="N128" s="84"/>
      <c r="O128" s="84"/>
      <c r="P128" s="84"/>
      <c r="Q128" s="84"/>
      <c r="R128" s="84"/>
      <c r="T128" s="84"/>
      <c r="U128" s="84"/>
      <c r="V128" s="84"/>
      <c r="W128" s="84"/>
      <c r="X128" s="84"/>
    </row>
    <row r="129" spans="1:24" ht="13.5" customHeight="1" x14ac:dyDescent="0.25">
      <c r="A129" s="74">
        <v>21850</v>
      </c>
      <c r="B129" s="74">
        <v>21850</v>
      </c>
      <c r="C129" s="74">
        <f>IFERROR('callPut（W）'!D129+'callPut（F）'!D129,0)/2</f>
        <v>0</v>
      </c>
      <c r="D129" s="74">
        <f>IFERROR('callPut（W）'!L129+'callPut（F）'!L129,0)/2</f>
        <v>1.65</v>
      </c>
      <c r="E129" s="82">
        <v>1746.6302361200003</v>
      </c>
      <c r="F129" s="82">
        <v>-2827.046615830001</v>
      </c>
      <c r="G129" s="82">
        <v>-1080.41637971</v>
      </c>
      <c r="I129" s="89">
        <f>MAX($A$2-B129,0)*MAX('籌碼表(W+F)'!D131,0)-MAX('籌碼表(W+F)'!D131,0)*C129</f>
        <v>0</v>
      </c>
      <c r="J129" s="89">
        <f>MAX(B129-$A$2,0)*MAX('籌碼表(W+F)'!F131,0)-MAX('籌碼表(W+F)'!F131,0)*D129</f>
        <v>82537.437690000006</v>
      </c>
      <c r="K129" s="89">
        <f>-MIN('籌碼表(W+F)'!D131,0)*C129  - MAX($A$2-B129,0) * (-MIN('籌碼表(W+F)'!D131,0))</f>
        <v>0</v>
      </c>
      <c r="L129" s="89">
        <f>-MIN('籌碼表(W+F)'!F131,0) * D129 -  MAX(B129-$A$2,0) * (-MIN('籌碼表(W+F)'!F131,0))</f>
        <v>0</v>
      </c>
      <c r="N129" s="84"/>
      <c r="O129" s="84"/>
      <c r="P129" s="84"/>
      <c r="Q129" s="84"/>
      <c r="R129" s="84"/>
      <c r="T129" s="84"/>
      <c r="U129" s="84"/>
      <c r="V129" s="84"/>
      <c r="W129" s="84"/>
      <c r="X129" s="84"/>
    </row>
    <row r="130" spans="1:24" ht="13.5" customHeight="1" x14ac:dyDescent="0.25">
      <c r="A130" s="74">
        <v>21900</v>
      </c>
      <c r="B130" s="74">
        <v>21900</v>
      </c>
      <c r="C130" s="74">
        <f>IFERROR('callPut（W）'!D130+'callPut（F）'!D130,0)/2</f>
        <v>0</v>
      </c>
      <c r="D130" s="74">
        <f>IFERROR('callPut（W）'!L130+'callPut（F）'!L130,0)/2</f>
        <v>9.35</v>
      </c>
      <c r="E130" s="82">
        <v>1625.1705661200001</v>
      </c>
      <c r="F130" s="82">
        <v>-2675.703025830001</v>
      </c>
      <c r="G130" s="82">
        <v>-1050.5324597100002</v>
      </c>
      <c r="I130" s="89">
        <f>MAX($A$2-B130,0)*MAX('籌碼表(W+F)'!D132,0)-MAX('籌碼表(W+F)'!D132,0)*C130</f>
        <v>0</v>
      </c>
      <c r="J130" s="89">
        <f>MAX(B130-$A$2,0)*MAX('籌碼表(W+F)'!F132,0)-MAX('籌碼表(W+F)'!F132,0)*D130</f>
        <v>574771.22661000013</v>
      </c>
      <c r="K130" s="89">
        <f>-MIN('籌碼表(W+F)'!D132,0)*C130  - MAX($A$2-B130,0) * (-MIN('籌碼表(W+F)'!D132,0))</f>
        <v>0</v>
      </c>
      <c r="L130" s="89">
        <f>-MIN('籌碼表(W+F)'!F132,0) * D130 -  MAX(B130-$A$2,0) * (-MIN('籌碼表(W+F)'!F132,0))</f>
        <v>0</v>
      </c>
      <c r="N130" s="84"/>
      <c r="O130" s="84"/>
      <c r="P130" s="84"/>
      <c r="Q130" s="84"/>
      <c r="R130" s="84"/>
      <c r="T130" s="84"/>
      <c r="U130" s="84"/>
      <c r="V130" s="84"/>
      <c r="W130" s="84"/>
      <c r="X130" s="84"/>
    </row>
    <row r="131" spans="1:24" ht="13.5" customHeight="1" x14ac:dyDescent="0.25">
      <c r="A131" s="74">
        <v>21950</v>
      </c>
      <c r="B131" s="74">
        <v>21950</v>
      </c>
      <c r="C131" s="74">
        <f>IFERROR('callPut（W）'!D131+'callPut（F）'!D131,0)/2</f>
        <v>0</v>
      </c>
      <c r="D131" s="74">
        <f>IFERROR('callPut（W）'!L131+'callPut（F）'!L131,0)/2</f>
        <v>10</v>
      </c>
      <c r="E131" s="82">
        <v>1508.2078661199998</v>
      </c>
      <c r="F131" s="82">
        <v>-2524.3594358300011</v>
      </c>
      <c r="G131" s="82">
        <v>-1016.1515697100002</v>
      </c>
      <c r="I131" s="89">
        <f>MAX($A$2-B131,0)*MAX('籌碼表(W+F)'!D133,0)-MAX('籌碼表(W+F)'!D133,0)*C131</f>
        <v>0</v>
      </c>
      <c r="J131" s="89">
        <f>MAX(B131-$A$2,0)*MAX('籌碼表(W+F)'!F133,0)-MAX('籌碼表(W+F)'!F133,0)*D131</f>
        <v>91055.15999999996</v>
      </c>
      <c r="K131" s="89">
        <f>-MIN('籌碼表(W+F)'!D133,0)*C131  - MAX($A$2-B131,0) * (-MIN('籌碼表(W+F)'!D133,0))</f>
        <v>0</v>
      </c>
      <c r="L131" s="89">
        <f>-MIN('籌碼表(W+F)'!F133,0) * D131 -  MAX(B131-$A$2,0) * (-MIN('籌碼表(W+F)'!F133,0))</f>
        <v>0</v>
      </c>
      <c r="N131" s="84"/>
      <c r="O131" s="84"/>
      <c r="P131" s="84"/>
      <c r="Q131" s="84"/>
      <c r="R131" s="84"/>
      <c r="T131" s="84"/>
      <c r="U131" s="84"/>
      <c r="V131" s="84"/>
      <c r="W131" s="84"/>
      <c r="X131" s="84"/>
    </row>
    <row r="132" spans="1:24" ht="13.5" customHeight="1" x14ac:dyDescent="0.25">
      <c r="A132" s="74">
        <v>22000</v>
      </c>
      <c r="B132" s="74">
        <v>22000</v>
      </c>
      <c r="C132" s="74">
        <f>IFERROR('callPut（W）'!D132+'callPut（F）'!D132,0)/2</f>
        <v>0</v>
      </c>
      <c r="D132" s="74">
        <f>IFERROR('callPut（W）'!L132+'callPut（F）'!L132,0)/2</f>
        <v>10.8</v>
      </c>
      <c r="E132" s="82">
        <v>1391.9521161200005</v>
      </c>
      <c r="F132" s="82">
        <v>-2373.0158458300007</v>
      </c>
      <c r="G132" s="82">
        <v>-981.06372970999973</v>
      </c>
      <c r="I132" s="89">
        <f>MAX($A$2-B132,0)*MAX('籌碼表(W+F)'!D134,0)-MAX('籌碼表(W+F)'!D134,0)*C132</f>
        <v>0</v>
      </c>
      <c r="J132" s="89">
        <f>MAX(B132-$A$2,0)*MAX('籌碼表(W+F)'!F134,0)-MAX('籌碼表(W+F)'!F134,0)*D132</f>
        <v>1777825.3585599998</v>
      </c>
      <c r="K132" s="89">
        <f>-MIN('籌碼表(W+F)'!D134,0)*C132  - MAX($A$2-B132,0) * (-MIN('籌碼表(W+F)'!D134,0))</f>
        <v>0</v>
      </c>
      <c r="L132" s="89">
        <f>-MIN('籌碼表(W+F)'!F134,0) * D132 -  MAX(B132-$A$2,0) * (-MIN('籌碼表(W+F)'!F134,0))</f>
        <v>0</v>
      </c>
      <c r="N132" s="84"/>
      <c r="O132" s="84"/>
      <c r="P132" s="84"/>
      <c r="Q132" s="84"/>
      <c r="R132" s="84"/>
      <c r="T132" s="84"/>
      <c r="U132" s="84"/>
      <c r="V132" s="84"/>
      <c r="W132" s="84"/>
      <c r="X132" s="84"/>
    </row>
    <row r="133" spans="1:24" ht="13.5" customHeight="1" x14ac:dyDescent="0.25">
      <c r="A133" s="74">
        <v>22050</v>
      </c>
      <c r="B133" s="74">
        <v>22050</v>
      </c>
      <c r="C133" s="74">
        <f>IFERROR('callPut（W）'!D133+'callPut（F）'!D133,0)/2</f>
        <v>0</v>
      </c>
      <c r="D133" s="74">
        <f>IFERROR('callPut（W）'!L133+'callPut（F）'!L133,0)/2</f>
        <v>0</v>
      </c>
      <c r="E133" s="82">
        <v>1289.3947061199999</v>
      </c>
      <c r="F133" s="82">
        <v>-2221.6722558300012</v>
      </c>
      <c r="G133" s="82">
        <v>-932.27754971000013</v>
      </c>
      <c r="I133" s="89">
        <f>MAX($A$2-B133,0)*MAX('籌碼表(W+F)'!D135,0)-MAX('籌碼表(W+F)'!D135,0)*C133</f>
        <v>0</v>
      </c>
      <c r="J133" s="89">
        <f>MAX(B133-$A$2,0)*MAX('籌碼表(W+F)'!F135,0)-MAX('籌碼表(W+F)'!F135,0)*D133</f>
        <v>0</v>
      </c>
      <c r="K133" s="89">
        <f>-MIN('籌碼表(W+F)'!D135,0)*C133  - MAX($A$2-B133,0) * (-MIN('籌碼表(W+F)'!D135,0))</f>
        <v>0</v>
      </c>
      <c r="L133" s="89">
        <f>-MIN('籌碼表(W+F)'!F135,0) * D133 -  MAX(B133-$A$2,0) * (-MIN('籌碼表(W+F)'!F135,0))</f>
        <v>-45847.380000000005</v>
      </c>
      <c r="N133" s="84"/>
      <c r="O133" s="84"/>
      <c r="P133" s="84"/>
      <c r="Q133" s="84"/>
      <c r="R133" s="84"/>
      <c r="T133" s="84"/>
      <c r="U133" s="84"/>
      <c r="V133" s="84"/>
      <c r="W133" s="84"/>
      <c r="X133" s="84"/>
    </row>
    <row r="134" spans="1:24" ht="13.5" customHeight="1" x14ac:dyDescent="0.25">
      <c r="A134" s="74">
        <v>22100</v>
      </c>
      <c r="B134" s="74">
        <v>22100</v>
      </c>
      <c r="C134" s="74">
        <f>IFERROR('callPut（W）'!D134+'callPut（F）'!D134,0)/2</f>
        <v>0</v>
      </c>
      <c r="D134" s="74">
        <f>IFERROR('callPut（W）'!L134+'callPut（F）'!L134,0)/2</f>
        <v>12.05</v>
      </c>
      <c r="E134" s="82">
        <v>1186.83729612</v>
      </c>
      <c r="F134" s="82">
        <v>-2070.6786458300007</v>
      </c>
      <c r="G134" s="82">
        <v>-883.84134971000003</v>
      </c>
      <c r="I134" s="89">
        <f>MAX($A$2-B134,0)*MAX('籌碼表(W+F)'!D136,0)-MAX('籌碼表(W+F)'!D136,0)*C134</f>
        <v>0</v>
      </c>
      <c r="J134" s="89">
        <f>MAX(B134-$A$2,0)*MAX('籌碼表(W+F)'!F136,0)-MAX('籌碼表(W+F)'!F136,0)*D134</f>
        <v>0</v>
      </c>
      <c r="K134" s="89">
        <f>-MIN('籌碼表(W+F)'!D136,0)*C134  - MAX($A$2-B134,0) * (-MIN('籌碼表(W+F)'!D136,0))</f>
        <v>0</v>
      </c>
      <c r="L134" s="89">
        <f>-MIN('籌碼表(W+F)'!F136,0) * D134 -  MAX(B134-$A$2,0) * (-MIN('籌碼表(W+F)'!F136,0))</f>
        <v>-26425.585040000009</v>
      </c>
      <c r="N134" s="84"/>
      <c r="O134" s="84"/>
      <c r="P134" s="84"/>
      <c r="Q134" s="84"/>
      <c r="R134" s="84"/>
      <c r="T134" s="84"/>
      <c r="U134" s="84"/>
      <c r="V134" s="84"/>
      <c r="W134" s="84"/>
      <c r="X134" s="84"/>
    </row>
    <row r="135" spans="1:24" ht="13.5" customHeight="1" x14ac:dyDescent="0.25">
      <c r="A135" s="74">
        <v>22150</v>
      </c>
      <c r="B135" s="74">
        <v>22150</v>
      </c>
      <c r="C135" s="74">
        <f>IFERROR('callPut（W）'!D135+'callPut（F）'!D135,0)/2</f>
        <v>0</v>
      </c>
      <c r="D135" s="74">
        <f>IFERROR('callPut（W）'!L135+'callPut（F）'!L135,0)/2</f>
        <v>12.75</v>
      </c>
      <c r="E135" s="82">
        <v>1084.2798861200001</v>
      </c>
      <c r="F135" s="82">
        <v>-1919.8855958300001</v>
      </c>
      <c r="G135" s="82">
        <v>-835.60570971000027</v>
      </c>
      <c r="I135" s="89">
        <f>MAX($A$2-B135,0)*MAX('籌碼表(W+F)'!D137,0)-MAX('籌碼表(W+F)'!D137,0)*C135</f>
        <v>0</v>
      </c>
      <c r="J135" s="89">
        <f>MAX(B135-$A$2,0)*MAX('籌碼表(W+F)'!F137,0)-MAX('籌碼表(W+F)'!F137,0)*D135</f>
        <v>351702.56770000001</v>
      </c>
      <c r="K135" s="89">
        <f>-MIN('籌碼表(W+F)'!D137,0)*C135  - MAX($A$2-B135,0) * (-MIN('籌碼表(W+F)'!D137,0))</f>
        <v>0</v>
      </c>
      <c r="L135" s="89">
        <f>-MIN('籌碼表(W+F)'!F137,0) * D135 -  MAX(B135-$A$2,0) * (-MIN('籌碼表(W+F)'!F137,0))</f>
        <v>0</v>
      </c>
      <c r="N135" s="84"/>
      <c r="O135" s="84"/>
      <c r="P135" s="84"/>
      <c r="Q135" s="84"/>
      <c r="R135" s="84"/>
      <c r="T135" s="84"/>
      <c r="U135" s="84"/>
      <c r="V135" s="84"/>
      <c r="W135" s="84"/>
      <c r="X135" s="84"/>
    </row>
    <row r="136" spans="1:24" ht="13.5" customHeight="1" x14ac:dyDescent="0.25">
      <c r="A136" s="74">
        <v>22200</v>
      </c>
      <c r="B136" s="74">
        <v>22200</v>
      </c>
      <c r="C136" s="74">
        <f>IFERROR('callPut（W）'!D136+'callPut（F）'!D136,0)/2</f>
        <v>0</v>
      </c>
      <c r="D136" s="74">
        <f>IFERROR('callPut（W）'!L136+'callPut（F）'!L136,0)/2</f>
        <v>13.5</v>
      </c>
      <c r="E136" s="82">
        <v>984.37193612000021</v>
      </c>
      <c r="F136" s="82">
        <v>-1769.0925458300003</v>
      </c>
      <c r="G136" s="82">
        <v>-784.72060971000008</v>
      </c>
      <c r="I136" s="89">
        <f>MAX($A$2-B136,0)*MAX('籌碼表(W+F)'!D138,0)-MAX('籌碼表(W+F)'!D138,0)*C136</f>
        <v>0</v>
      </c>
      <c r="J136" s="89">
        <f>MAX(B136-$A$2,0)*MAX('籌碼表(W+F)'!F138,0)-MAX('籌碼表(W+F)'!F138,0)*D136</f>
        <v>0</v>
      </c>
      <c r="K136" s="89">
        <f>-MIN('籌碼表(W+F)'!D138,0)*C136  - MAX($A$2-B136,0) * (-MIN('籌碼表(W+F)'!D138,0))</f>
        <v>0</v>
      </c>
      <c r="L136" s="89">
        <f>-MIN('籌碼表(W+F)'!F138,0) * D136 -  MAX(B136-$A$2,0) * (-MIN('籌碼表(W+F)'!F138,0))</f>
        <v>-39886.30979999985</v>
      </c>
      <c r="N136" s="84"/>
      <c r="O136" s="84"/>
      <c r="P136" s="84"/>
      <c r="Q136" s="84"/>
      <c r="R136" s="84"/>
      <c r="T136" s="84"/>
      <c r="U136" s="84"/>
      <c r="V136" s="84"/>
      <c r="W136" s="84"/>
      <c r="X136" s="84"/>
    </row>
    <row r="137" spans="1:24" ht="13.5" customHeight="1" x14ac:dyDescent="0.25">
      <c r="A137" s="74">
        <v>22250</v>
      </c>
      <c r="B137" s="74">
        <v>22250</v>
      </c>
      <c r="C137" s="74">
        <f>IFERROR('callPut（W）'!D137+'callPut（F）'!D137,0)/2</f>
        <v>0</v>
      </c>
      <c r="D137" s="74">
        <f>IFERROR('callPut（W）'!L137+'callPut（F）'!L137,0)/2</f>
        <v>19</v>
      </c>
      <c r="E137" s="82">
        <v>884.4639861200003</v>
      </c>
      <c r="F137" s="82">
        <v>-1618.5977558299999</v>
      </c>
      <c r="G137" s="82">
        <v>-734.13376970999991</v>
      </c>
      <c r="I137" s="89">
        <f>MAX($A$2-B137,0)*MAX('籌碼表(W+F)'!D139,0)-MAX('籌碼表(W+F)'!D139,0)*C137</f>
        <v>0</v>
      </c>
      <c r="J137" s="89">
        <f>MAX(B137-$A$2,0)*MAX('籌碼表(W+F)'!F139,0)-MAX('籌碼表(W+F)'!F139,0)*D137</f>
        <v>249096.80939999991</v>
      </c>
      <c r="K137" s="89">
        <f>-MIN('籌碼表(W+F)'!D139,0)*C137  - MAX($A$2-B137,0) * (-MIN('籌碼表(W+F)'!D139,0))</f>
        <v>0</v>
      </c>
      <c r="L137" s="89">
        <f>-MIN('籌碼表(W+F)'!F139,0) * D137 -  MAX(B137-$A$2,0) * (-MIN('籌碼表(W+F)'!F139,0))</f>
        <v>0</v>
      </c>
      <c r="N137" s="84"/>
      <c r="O137" s="84"/>
      <c r="P137" s="84"/>
      <c r="Q137" s="84"/>
      <c r="R137" s="84"/>
      <c r="T137" s="84"/>
      <c r="U137" s="84"/>
      <c r="V137" s="84"/>
      <c r="W137" s="84"/>
      <c r="X137" s="84"/>
    </row>
    <row r="138" spans="1:24" ht="13.5" customHeight="1" x14ac:dyDescent="0.25">
      <c r="A138" s="74">
        <v>22300</v>
      </c>
      <c r="B138" s="74">
        <v>22300</v>
      </c>
      <c r="C138" s="74">
        <f>IFERROR('callPut（W）'!D138+'callPut（F）'!D138,0)/2</f>
        <v>0</v>
      </c>
      <c r="D138" s="74">
        <f>IFERROR('callPut（W）'!L138+'callPut（F）'!L138,0)/2</f>
        <v>16.25</v>
      </c>
      <c r="E138" s="82">
        <v>786.40640612000016</v>
      </c>
      <c r="F138" s="82">
        <v>-1468.1029658300001</v>
      </c>
      <c r="G138" s="82">
        <v>-681.69655970999997</v>
      </c>
      <c r="I138" s="89">
        <f>MAX($A$2-B138,0)*MAX('籌碼表(W+F)'!D140,0)-MAX('籌碼表(W+F)'!D140,0)*C138</f>
        <v>0</v>
      </c>
      <c r="J138" s="89">
        <f>MAX(B138-$A$2,0)*MAX('籌碼表(W+F)'!F140,0)-MAX('籌碼表(W+F)'!F140,0)*D138</f>
        <v>956088.15749999986</v>
      </c>
      <c r="K138" s="89">
        <f>-MIN('籌碼表(W+F)'!D140,0)*C138  - MAX($A$2-B138,0) * (-MIN('籌碼表(W+F)'!D140,0))</f>
        <v>0</v>
      </c>
      <c r="L138" s="89">
        <f>-MIN('籌碼表(W+F)'!F140,0) * D138 -  MAX(B138-$A$2,0) * (-MIN('籌碼表(W+F)'!F140,0))</f>
        <v>0</v>
      </c>
      <c r="N138" s="84"/>
      <c r="O138" s="84"/>
      <c r="P138" s="84"/>
      <c r="Q138" s="84"/>
      <c r="R138" s="84"/>
      <c r="T138" s="84"/>
      <c r="U138" s="84"/>
      <c r="V138" s="84"/>
      <c r="W138" s="84"/>
      <c r="X138" s="84"/>
    </row>
    <row r="139" spans="1:24" ht="13.5" customHeight="1" x14ac:dyDescent="0.25">
      <c r="A139" s="74">
        <v>22350</v>
      </c>
      <c r="B139" s="74">
        <v>22350</v>
      </c>
      <c r="C139" s="74">
        <f>IFERROR('callPut（W）'!D139+'callPut（F）'!D139,0)/2</f>
        <v>0</v>
      </c>
      <c r="D139" s="74">
        <f>IFERROR('callPut（W）'!L139+'callPut（F）'!L139,0)/2</f>
        <v>16</v>
      </c>
      <c r="E139" s="82">
        <v>695.39572612000006</v>
      </c>
      <c r="F139" s="82">
        <v>-1317.7081758299998</v>
      </c>
      <c r="G139" s="82">
        <v>-622.31244971000012</v>
      </c>
      <c r="I139" s="89">
        <f>MAX($A$2-B139,0)*MAX('籌碼表(W+F)'!D141,0)-MAX('籌碼表(W+F)'!D141,0)*C139</f>
        <v>0</v>
      </c>
      <c r="J139" s="89">
        <f>MAX(B139-$A$2,0)*MAX('籌碼表(W+F)'!F141,0)-MAX('籌碼表(W+F)'!F141,0)*D139</f>
        <v>0</v>
      </c>
      <c r="K139" s="89">
        <f>-MIN('籌碼表(W+F)'!D141,0)*C139  - MAX($A$2-B139,0) * (-MIN('籌碼表(W+F)'!D141,0))</f>
        <v>0</v>
      </c>
      <c r="L139" s="89">
        <f>-MIN('籌碼表(W+F)'!F141,0) * D139 -  MAX(B139-$A$2,0) * (-MIN('籌碼表(W+F)'!F141,0))</f>
        <v>-252864.83399999997</v>
      </c>
      <c r="N139" s="84"/>
      <c r="O139" s="84"/>
      <c r="P139" s="84"/>
      <c r="Q139" s="84"/>
      <c r="R139" s="84"/>
      <c r="T139" s="84"/>
      <c r="U139" s="84"/>
      <c r="V139" s="84"/>
      <c r="W139" s="84"/>
      <c r="X139" s="84"/>
    </row>
    <row r="140" spans="1:24" ht="13.5" customHeight="1" x14ac:dyDescent="0.25">
      <c r="A140" s="74">
        <v>22400</v>
      </c>
      <c r="B140" s="74">
        <v>22400</v>
      </c>
      <c r="C140" s="74">
        <f>IFERROR('callPut（W）'!D140+'callPut（F）'!D140,0)/2</f>
        <v>0</v>
      </c>
      <c r="D140" s="74">
        <f>IFERROR('callPut（W）'!L140+'callPut（F）'!L140,0)/2</f>
        <v>17.05</v>
      </c>
      <c r="E140" s="82">
        <v>604.38504612000008</v>
      </c>
      <c r="F140" s="82">
        <v>-1169.16343583</v>
      </c>
      <c r="G140" s="82">
        <v>-564.77838970999994</v>
      </c>
      <c r="I140" s="89">
        <f>MAX($A$2-B140,0)*MAX('籌碼表(W+F)'!D142,0)-MAX('籌碼表(W+F)'!D142,0)*C140</f>
        <v>0</v>
      </c>
      <c r="J140" s="89">
        <f>MAX(B140-$A$2,0)*MAX('籌碼表(W+F)'!F142,0)-MAX('籌碼表(W+F)'!F142,0)*D140</f>
        <v>40714.02584000006</v>
      </c>
      <c r="K140" s="89">
        <f>-MIN('籌碼表(W+F)'!D142,0)*C140  - MAX($A$2-B140,0) * (-MIN('籌碼表(W+F)'!D142,0))</f>
        <v>0</v>
      </c>
      <c r="L140" s="89">
        <f>-MIN('籌碼表(W+F)'!F142,0) * D140 -  MAX(B140-$A$2,0) * (-MIN('籌碼表(W+F)'!F142,0))</f>
        <v>0</v>
      </c>
      <c r="N140" s="84"/>
      <c r="O140" s="84"/>
      <c r="P140" s="84"/>
      <c r="Q140" s="84"/>
      <c r="R140" s="84"/>
      <c r="T140" s="84"/>
      <c r="U140" s="84"/>
      <c r="V140" s="84"/>
      <c r="W140" s="84"/>
      <c r="X140" s="84"/>
    </row>
    <row r="141" spans="1:24" ht="13.5" customHeight="1" x14ac:dyDescent="0.25">
      <c r="A141" s="74">
        <v>22450</v>
      </c>
      <c r="B141" s="74">
        <v>22450</v>
      </c>
      <c r="C141" s="74">
        <f>IFERROR('callPut（W）'!D141+'callPut（F）'!D141,0)/2</f>
        <v>0</v>
      </c>
      <c r="D141" s="74">
        <f>IFERROR('callPut（W）'!L141+'callPut（F）'!L141,0)/2</f>
        <v>21.15</v>
      </c>
      <c r="E141" s="82">
        <v>513.72012612000003</v>
      </c>
      <c r="F141" s="82">
        <v>-1020.6186958299999</v>
      </c>
      <c r="G141" s="82">
        <v>-506.89856971000012</v>
      </c>
      <c r="I141" s="89">
        <f>MAX($A$2-B141,0)*MAX('籌碼表(W+F)'!D143,0)-MAX('籌碼表(W+F)'!D143,0)*C141</f>
        <v>0</v>
      </c>
      <c r="J141" s="89">
        <f>MAX(B141-$A$2,0)*MAX('籌碼表(W+F)'!F143,0)-MAX('籌碼表(W+F)'!F143,0)*D141</f>
        <v>536897.18571999995</v>
      </c>
      <c r="K141" s="89">
        <f>-MIN('籌碼表(W+F)'!D143,0)*C141  - MAX($A$2-B141,0) * (-MIN('籌碼表(W+F)'!D143,0))</f>
        <v>0</v>
      </c>
      <c r="L141" s="89">
        <f>-MIN('籌碼表(W+F)'!F143,0) * D141 -  MAX(B141-$A$2,0) * (-MIN('籌碼表(W+F)'!F143,0))</f>
        <v>0</v>
      </c>
      <c r="N141" s="84"/>
      <c r="O141" s="84"/>
      <c r="P141" s="84"/>
      <c r="Q141" s="84"/>
      <c r="R141" s="84"/>
      <c r="T141" s="84"/>
      <c r="U141" s="84"/>
      <c r="V141" s="84"/>
      <c r="W141" s="84"/>
      <c r="X141" s="84"/>
    </row>
    <row r="142" spans="1:24" ht="13.5" customHeight="1" x14ac:dyDescent="0.25">
      <c r="A142" s="74">
        <v>22500</v>
      </c>
      <c r="B142" s="74">
        <v>22500</v>
      </c>
      <c r="C142" s="74">
        <f>IFERROR('callPut（W）'!D142+'callPut（F）'!D142,0)/2</f>
        <v>0</v>
      </c>
      <c r="D142" s="74">
        <f>IFERROR('callPut（W）'!L142+'callPut（F）'!L142,0)/2</f>
        <v>24</v>
      </c>
      <c r="E142" s="82">
        <v>426.92956612000012</v>
      </c>
      <c r="F142" s="82">
        <v>-872.07395583000005</v>
      </c>
      <c r="G142" s="82">
        <v>-445.14438971000004</v>
      </c>
      <c r="I142" s="89">
        <f>MAX($A$2-B142,0)*MAX('籌碼表(W+F)'!D144,0)-MAX('籌碼表(W+F)'!D144,0)*C142</f>
        <v>0</v>
      </c>
      <c r="J142" s="89">
        <f>MAX(B142-$A$2,0)*MAX('籌碼表(W+F)'!F144,0)-MAX('籌碼表(W+F)'!F144,0)*D142</f>
        <v>2957766.7967999997</v>
      </c>
      <c r="K142" s="89">
        <f>-MIN('籌碼表(W+F)'!D144,0)*C142  - MAX($A$2-B142,0) * (-MIN('籌碼表(W+F)'!D144,0))</f>
        <v>0</v>
      </c>
      <c r="L142" s="89">
        <f>-MIN('籌碼表(W+F)'!F144,0) * D142 -  MAX(B142-$A$2,0) * (-MIN('籌碼表(W+F)'!F144,0))</f>
        <v>0</v>
      </c>
      <c r="N142" s="84"/>
      <c r="O142" s="84"/>
      <c r="P142" s="84"/>
      <c r="Q142" s="84"/>
      <c r="R142" s="84"/>
      <c r="T142" s="84"/>
      <c r="U142" s="84"/>
      <c r="V142" s="84"/>
      <c r="W142" s="84"/>
      <c r="X142" s="84"/>
    </row>
    <row r="143" spans="1:24" ht="13.5" customHeight="1" x14ac:dyDescent="0.25">
      <c r="A143" s="74">
        <v>22550</v>
      </c>
      <c r="B143" s="74">
        <v>22550</v>
      </c>
      <c r="C143" s="74">
        <f>IFERROR('callPut（W）'!D143+'callPut（F）'!D143,0)/2</f>
        <v>0</v>
      </c>
      <c r="D143" s="74">
        <f>IFERROR('callPut（W）'!L143+'callPut（F）'!L143,0)/2</f>
        <v>25</v>
      </c>
      <c r="E143" s="82">
        <v>361.33859612000009</v>
      </c>
      <c r="F143" s="82">
        <v>-723.77923582999995</v>
      </c>
      <c r="G143" s="82">
        <v>-362.44063970999997</v>
      </c>
      <c r="I143" s="89">
        <f>MAX($A$2-B143,0)*MAX('籌碼表(W+F)'!D145,0)-MAX('籌碼表(W+F)'!D145,0)*C143</f>
        <v>0</v>
      </c>
      <c r="J143" s="89">
        <f>MAX(B143-$A$2,0)*MAX('籌碼表(W+F)'!F145,0)-MAX('籌碼表(W+F)'!F145,0)*D143</f>
        <v>1791448.0599999996</v>
      </c>
      <c r="K143" s="89">
        <f>-MIN('籌碼表(W+F)'!D145,0)*C143  - MAX($A$2-B143,0) * (-MIN('籌碼表(W+F)'!D145,0))</f>
        <v>0</v>
      </c>
      <c r="L143" s="89">
        <f>-MIN('籌碼表(W+F)'!F145,0) * D143 -  MAX(B143-$A$2,0) * (-MIN('籌碼表(W+F)'!F145,0))</f>
        <v>0</v>
      </c>
      <c r="N143" s="84"/>
      <c r="O143" s="84"/>
      <c r="P143" s="84"/>
      <c r="Q143" s="84"/>
      <c r="R143" s="84"/>
      <c r="T143" s="84"/>
      <c r="U143" s="84"/>
      <c r="V143" s="84"/>
      <c r="W143" s="84"/>
      <c r="X143" s="84"/>
    </row>
    <row r="144" spans="1:24" ht="13.5" customHeight="1" x14ac:dyDescent="0.25">
      <c r="A144" s="74">
        <v>22600</v>
      </c>
      <c r="B144" s="74">
        <v>22600</v>
      </c>
      <c r="C144" s="74">
        <f>IFERROR('callPut（W）'!D144+'callPut（F）'!D144,0)/2</f>
        <v>0</v>
      </c>
      <c r="D144" s="74">
        <f>IFERROR('callPut（W）'!L144+'callPut（F）'!L144,0)/2</f>
        <v>27</v>
      </c>
      <c r="E144" s="82">
        <v>308.49814612000006</v>
      </c>
      <c r="F144" s="82">
        <v>-575.53451582999992</v>
      </c>
      <c r="G144" s="82">
        <v>-267.03636971000003</v>
      </c>
      <c r="I144" s="89">
        <f>MAX($A$2-B144,0)*MAX('籌碼表(W+F)'!D146,0)-MAX('籌碼表(W+F)'!D146,0)*C144</f>
        <v>0</v>
      </c>
      <c r="J144" s="89">
        <f>MAX(B144-$A$2,0)*MAX('籌碼表(W+F)'!F146,0)-MAX('籌碼表(W+F)'!F146,0)*D144</f>
        <v>1125778.2888000002</v>
      </c>
      <c r="K144" s="89">
        <f>-MIN('籌碼表(W+F)'!D146,0)*C144  - MAX($A$2-B144,0) * (-MIN('籌碼表(W+F)'!D146,0))</f>
        <v>0</v>
      </c>
      <c r="L144" s="89">
        <f>-MIN('籌碼表(W+F)'!F146,0) * D144 -  MAX(B144-$A$2,0) * (-MIN('籌碼表(W+F)'!F146,0))</f>
        <v>0</v>
      </c>
      <c r="N144" s="84"/>
      <c r="O144" s="84"/>
      <c r="P144" s="84"/>
      <c r="Q144" s="84"/>
      <c r="R144" s="84"/>
      <c r="T144" s="84"/>
      <c r="U144" s="84"/>
      <c r="V144" s="84"/>
      <c r="W144" s="84"/>
      <c r="X144" s="84"/>
    </row>
    <row r="145" spans="1:24" ht="13.5" customHeight="1" x14ac:dyDescent="0.25">
      <c r="A145" s="74">
        <v>22650</v>
      </c>
      <c r="B145" s="74">
        <v>22650</v>
      </c>
      <c r="C145" s="74">
        <f>IFERROR('callPut（W）'!D145+'callPut（F）'!D145,0)/2</f>
        <v>0</v>
      </c>
      <c r="D145" s="74">
        <f>IFERROR('callPut（W）'!L145+'callPut（F）'!L145,0)/2</f>
        <v>29.5</v>
      </c>
      <c r="E145" s="82">
        <v>264.11597612000003</v>
      </c>
      <c r="F145" s="82">
        <v>-427.28979583000012</v>
      </c>
      <c r="G145" s="82">
        <v>-163.17381971000009</v>
      </c>
      <c r="I145" s="89">
        <f>MAX($A$2-B145,0)*MAX('籌碼表(W+F)'!D147,0)-MAX('籌碼表(W+F)'!D147,0)*C145</f>
        <v>0</v>
      </c>
      <c r="J145" s="89">
        <f>MAX(B145-$A$2,0)*MAX('籌碼表(W+F)'!F147,0)-MAX('籌碼表(W+F)'!F147,0)*D145</f>
        <v>606924.36210000038</v>
      </c>
      <c r="K145" s="89">
        <f>-MIN('籌碼表(W+F)'!D147,0)*C145  - MAX($A$2-B145,0) * (-MIN('籌碼表(W+F)'!D147,0))</f>
        <v>0</v>
      </c>
      <c r="L145" s="89">
        <f>-MIN('籌碼表(W+F)'!F147,0) * D145 -  MAX(B145-$A$2,0) * (-MIN('籌碼表(W+F)'!F147,0))</f>
        <v>0</v>
      </c>
      <c r="N145" s="84"/>
      <c r="O145" s="84"/>
      <c r="P145" s="84"/>
      <c r="Q145" s="84"/>
      <c r="R145" s="84"/>
      <c r="T145" s="84"/>
      <c r="U145" s="84"/>
      <c r="V145" s="84"/>
      <c r="W145" s="84"/>
      <c r="X145" s="84"/>
    </row>
    <row r="146" spans="1:24" ht="13.5" customHeight="1" x14ac:dyDescent="0.25">
      <c r="A146" s="74">
        <v>22700</v>
      </c>
      <c r="B146" s="74">
        <v>22700</v>
      </c>
      <c r="C146" s="74">
        <f>IFERROR('callPut（W）'!D146+'callPut（F）'!D146,0)/2</f>
        <v>617.5</v>
      </c>
      <c r="D146" s="74">
        <f>IFERROR('callPut（W）'!L146+'callPut（F）'!L146,0)/2</f>
        <v>32.75</v>
      </c>
      <c r="E146" s="82">
        <v>224.09561612000007</v>
      </c>
      <c r="F146" s="82">
        <v>-279.0450758300002</v>
      </c>
      <c r="G146" s="82">
        <v>-54.949459709999964</v>
      </c>
      <c r="I146" s="89">
        <f>MAX($A$2-B146,0)*MAX('籌碼表(W+F)'!D148,0)-MAX('籌碼表(W+F)'!D148,0)*C146</f>
        <v>0</v>
      </c>
      <c r="J146" s="89">
        <f>MAX(B146-$A$2,0)*MAX('籌碼表(W+F)'!F148,0)-MAX('籌碼表(W+F)'!F148,0)*D146</f>
        <v>710856.4556999997</v>
      </c>
      <c r="K146" s="89">
        <f>-MIN('籌碼表(W+F)'!D148,0)*C146  - MAX($A$2-B146,0) * (-MIN('籌碼表(W+F)'!D148,0))</f>
        <v>3705</v>
      </c>
      <c r="L146" s="89">
        <f>-MIN('籌碼表(W+F)'!F148,0) * D146 -  MAX(B146-$A$2,0) * (-MIN('籌碼表(W+F)'!F148,0))</f>
        <v>0</v>
      </c>
      <c r="N146" s="84"/>
      <c r="O146" s="84"/>
      <c r="P146" s="84"/>
      <c r="Q146" s="84"/>
      <c r="R146" s="84"/>
      <c r="T146" s="84"/>
      <c r="U146" s="84"/>
      <c r="V146" s="84"/>
      <c r="W146" s="84"/>
      <c r="X146" s="84"/>
    </row>
    <row r="147" spans="1:24" ht="13.5" customHeight="1" x14ac:dyDescent="0.25">
      <c r="A147" s="74">
        <v>22750</v>
      </c>
      <c r="B147" s="74">
        <v>22750</v>
      </c>
      <c r="C147" s="74">
        <f>IFERROR('callPut（W）'!D147+'callPut（F）'!D147,0)/2</f>
        <v>0</v>
      </c>
      <c r="D147" s="74">
        <f>IFERROR('callPut（W）'!L147+'callPut（F）'!L147,0)/2</f>
        <v>38.5</v>
      </c>
      <c r="E147" s="82">
        <v>189.03431612000008</v>
      </c>
      <c r="F147" s="82">
        <v>-131.1003558300001</v>
      </c>
      <c r="G147" s="82">
        <v>57.93396029000003</v>
      </c>
      <c r="I147" s="89">
        <f>MAX($A$2-B147,0)*MAX('籌碼表(W+F)'!D149,0)-MAX('籌碼表(W+F)'!D149,0)*C147</f>
        <v>0</v>
      </c>
      <c r="J147" s="89">
        <f>MAX(B147-$A$2,0)*MAX('籌碼表(W+F)'!F149,0)-MAX('籌碼表(W+F)'!F149,0)*D147</f>
        <v>0</v>
      </c>
      <c r="K147" s="89">
        <f>-MIN('籌碼表(W+F)'!D149,0)*C147  - MAX($A$2-B147,0) * (-MIN('籌碼表(W+F)'!D149,0))</f>
        <v>0</v>
      </c>
      <c r="L147" s="89">
        <f>-MIN('籌碼表(W+F)'!F149,0) * D147 -  MAX(B147-$A$2,0) * (-MIN('籌碼表(W+F)'!F149,0))</f>
        <v>-1611761.5962</v>
      </c>
      <c r="N147" s="84"/>
      <c r="O147" s="84"/>
      <c r="P147" s="84"/>
      <c r="Q147" s="84"/>
      <c r="R147" s="84"/>
      <c r="T147" s="84"/>
      <c r="U147" s="84"/>
      <c r="V147" s="84"/>
      <c r="W147" s="84"/>
      <c r="X147" s="84"/>
    </row>
    <row r="148" spans="1:24" ht="13.5" customHeight="1" x14ac:dyDescent="0.25">
      <c r="A148" s="74">
        <v>22800</v>
      </c>
      <c r="B148" s="74">
        <v>22800</v>
      </c>
      <c r="C148" s="74">
        <f>IFERROR('callPut（W）'!D148+'callPut（F）'!D148,0)/2</f>
        <v>0</v>
      </c>
      <c r="D148" s="74">
        <f>IFERROR('callPut（W）'!L148+'callPut（F）'!L148,0)/2</f>
        <v>46.75</v>
      </c>
      <c r="E148" s="82">
        <v>154.02301612000005</v>
      </c>
      <c r="F148" s="82">
        <v>5.6694241699999388</v>
      </c>
      <c r="G148" s="82">
        <v>159.69244028999995</v>
      </c>
      <c r="I148" s="89">
        <f>MAX($A$2-B148,0)*MAX('籌碼表(W+F)'!D150,0)-MAX('籌碼表(W+F)'!D150,0)*C148</f>
        <v>0</v>
      </c>
      <c r="J148" s="89">
        <f>MAX(B148-$A$2,0)*MAX('籌碼表(W+F)'!F150,0)-MAX('籌碼表(W+F)'!F150,0)*D148</f>
        <v>0</v>
      </c>
      <c r="K148" s="89">
        <f>-MIN('籌碼表(W+F)'!D150,0)*C148  - MAX($A$2-B148,0) * (-MIN('籌碼表(W+F)'!D150,0))</f>
        <v>0</v>
      </c>
      <c r="L148" s="89">
        <f>-MIN('籌碼表(W+F)'!F150,0) * D148 -  MAX(B148-$A$2,0) * (-MIN('籌碼表(W+F)'!F150,0))</f>
        <v>-2536284.5456999997</v>
      </c>
      <c r="N148" s="84"/>
      <c r="O148" s="84"/>
      <c r="P148" s="84"/>
      <c r="Q148" s="84"/>
      <c r="R148" s="84"/>
      <c r="T148" s="84"/>
      <c r="U148" s="84"/>
      <c r="V148" s="84"/>
      <c r="W148" s="84"/>
      <c r="X148" s="84"/>
    </row>
    <row r="149" spans="1:24" ht="13.5" customHeight="1" x14ac:dyDescent="0.25">
      <c r="A149" s="74">
        <v>22850</v>
      </c>
      <c r="B149" s="74">
        <v>22850</v>
      </c>
      <c r="C149" s="74">
        <f>IFERROR('callPut（W）'!D149+'callPut（F）'!D149,0)/2</f>
        <v>0</v>
      </c>
      <c r="D149" s="74">
        <f>IFERROR('callPut（W）'!L149+'callPut（F）'!L149,0)/2</f>
        <v>58</v>
      </c>
      <c r="E149" s="82">
        <v>119.06175612000007</v>
      </c>
      <c r="F149" s="82">
        <v>124.95542416999994</v>
      </c>
      <c r="G149" s="82">
        <v>244.01718029</v>
      </c>
      <c r="I149" s="89">
        <f>MAX($A$2-B149,0)*MAX('籌碼表(W+F)'!D151,0)-MAX('籌碼表(W+F)'!D151,0)*C149</f>
        <v>0</v>
      </c>
      <c r="J149" s="89">
        <f>MAX(B149-$A$2,0)*MAX('籌碼表(W+F)'!F151,0)-MAX('籌碼表(W+F)'!F151,0)*D149</f>
        <v>0</v>
      </c>
      <c r="K149" s="89">
        <f>-MIN('籌碼表(W+F)'!D151,0)*C149  - MAX($A$2-B149,0) * (-MIN('籌碼表(W+F)'!D151,0))</f>
        <v>0</v>
      </c>
      <c r="L149" s="89">
        <f>-MIN('籌碼表(W+F)'!F151,0) * D149 -  MAX(B149-$A$2,0) * (-MIN('籌碼表(W+F)'!F151,0))</f>
        <v>-2760497.4384000003</v>
      </c>
      <c r="N149" s="84"/>
      <c r="O149" s="84"/>
      <c r="P149" s="84"/>
      <c r="Q149" s="84"/>
      <c r="R149" s="84"/>
      <c r="T149" s="84"/>
      <c r="U149" s="84"/>
      <c r="V149" s="84"/>
      <c r="W149" s="84"/>
      <c r="X149" s="84"/>
    </row>
    <row r="150" spans="1:24" ht="13.5" customHeight="1" x14ac:dyDescent="0.25">
      <c r="A150" s="74">
        <v>22900</v>
      </c>
      <c r="B150" s="74">
        <v>22900</v>
      </c>
      <c r="C150" s="74">
        <f>IFERROR('callPut（W）'!D150+'callPut（F）'!D150,0)/2</f>
        <v>461</v>
      </c>
      <c r="D150" s="74">
        <f>IFERROR('callPut（W）'!L150+'callPut（F）'!L150,0)/2</f>
        <v>59.25</v>
      </c>
      <c r="E150" s="82">
        <v>84.300496120000062</v>
      </c>
      <c r="F150" s="82">
        <v>225.31316416999991</v>
      </c>
      <c r="G150" s="82">
        <v>309.61366028999998</v>
      </c>
      <c r="I150" s="89">
        <f>MAX($A$2-B150,0)*MAX('籌碼表(W+F)'!D152,0)-MAX('籌碼表(W+F)'!D152,0)*C150</f>
        <v>0</v>
      </c>
      <c r="J150" s="89">
        <f>MAX(B150-$A$2,0)*MAX('籌碼表(W+F)'!F152,0)-MAX('籌碼表(W+F)'!F152,0)*D150</f>
        <v>0</v>
      </c>
      <c r="K150" s="89">
        <f>-MIN('籌碼表(W+F)'!D152,0)*C150  - MAX($A$2-B150,0) * (-MIN('籌碼表(W+F)'!D152,0))</f>
        <v>12129.4632</v>
      </c>
      <c r="L150" s="89">
        <f>-MIN('籌碼表(W+F)'!F152,0) * D150 -  MAX(B150-$A$2,0) * (-MIN('籌碼表(W+F)'!F152,0))</f>
        <v>-461787.49654999946</v>
      </c>
      <c r="N150" s="84"/>
      <c r="O150" s="84"/>
      <c r="P150" s="84"/>
      <c r="Q150" s="84"/>
      <c r="R150" s="84"/>
      <c r="T150" s="84"/>
      <c r="U150" s="84"/>
      <c r="V150" s="84"/>
      <c r="W150" s="84"/>
      <c r="X150" s="84"/>
    </row>
    <row r="151" spans="1:24" ht="13.5" customHeight="1" x14ac:dyDescent="0.25">
      <c r="A151" s="74">
        <v>22950</v>
      </c>
      <c r="B151" s="74">
        <v>22950</v>
      </c>
      <c r="C151" s="74">
        <f>IFERROR('callPut（W）'!D151+'callPut（F）'!D151,0)/2</f>
        <v>0</v>
      </c>
      <c r="D151" s="74">
        <f>IFERROR('callPut（W）'!L151+'callPut（F）'!L151,0)/2</f>
        <v>73.75</v>
      </c>
      <c r="E151" s="82">
        <v>49.539236120000041</v>
      </c>
      <c r="F151" s="82">
        <v>321.2099741699999</v>
      </c>
      <c r="G151" s="82">
        <v>370.74921028999989</v>
      </c>
      <c r="I151" s="89">
        <f>MAX($A$2-B151,0)*MAX('籌碼表(W+F)'!D153,0)-MAX('籌碼表(W+F)'!D153,0)*C151</f>
        <v>0</v>
      </c>
      <c r="J151" s="89">
        <f>MAX(B151-$A$2,0)*MAX('籌碼表(W+F)'!F153,0)-MAX('籌碼表(W+F)'!F153,0)*D151</f>
        <v>0</v>
      </c>
      <c r="K151" s="89">
        <f>-MIN('籌碼表(W+F)'!D153,0)*C151  - MAX($A$2-B151,0) * (-MIN('籌碼表(W+F)'!D153,0))</f>
        <v>0</v>
      </c>
      <c r="L151" s="89">
        <f>-MIN('籌碼表(W+F)'!F153,0) * D151 -  MAX(B151-$A$2,0) * (-MIN('籌碼表(W+F)'!F153,0))</f>
        <v>-644656.22025000025</v>
      </c>
      <c r="N151" s="84"/>
      <c r="O151" s="84"/>
      <c r="P151" s="84"/>
      <c r="Q151" s="84"/>
      <c r="R151" s="84"/>
      <c r="T151" s="84"/>
      <c r="U151" s="84"/>
      <c r="V151" s="84"/>
      <c r="W151" s="84"/>
      <c r="X151" s="84"/>
    </row>
    <row r="152" spans="1:24" ht="13.5" customHeight="1" x14ac:dyDescent="0.25">
      <c r="A152" s="74">
        <v>23000</v>
      </c>
      <c r="B152" s="74">
        <v>23000</v>
      </c>
      <c r="C152" s="74">
        <f>IFERROR('callPut（W）'!D152+'callPut（F）'!D152,0)/2</f>
        <v>357</v>
      </c>
      <c r="D152" s="74">
        <f>IFERROR('callPut（W）'!L152+'callPut（F）'!L152,0)/2</f>
        <v>81</v>
      </c>
      <c r="E152" s="82">
        <v>15.427966120000031</v>
      </c>
      <c r="F152" s="82">
        <v>412.73697416999977</v>
      </c>
      <c r="G152" s="82">
        <v>428.16494028999989</v>
      </c>
      <c r="I152" s="89">
        <f>MAX($A$2-B152,0)*MAX('籌碼表(W+F)'!D154,0)-MAX('籌碼表(W+F)'!D154,0)*C152</f>
        <v>0</v>
      </c>
      <c r="J152" s="89">
        <f>MAX(B152-$A$2,0)*MAX('籌碼表(W+F)'!F154,0)-MAX('籌碼表(W+F)'!F154,0)*D152</f>
        <v>0</v>
      </c>
      <c r="K152" s="89">
        <f>-MIN('籌碼表(W+F)'!D154,0)*C152  - MAX($A$2-B152,0) * (-MIN('籌碼表(W+F)'!D154,0))</f>
        <v>12010.907999999998</v>
      </c>
      <c r="L152" s="89">
        <f>-MIN('籌碼表(W+F)'!F154,0) * D152 -  MAX(B152-$A$2,0) * (-MIN('籌碼表(W+F)'!F154,0))</f>
        <v>-1378948.7568000008</v>
      </c>
      <c r="N152" s="84"/>
      <c r="O152" s="84"/>
      <c r="P152" s="84"/>
      <c r="Q152" s="84"/>
      <c r="R152" s="84"/>
      <c r="T152" s="84"/>
      <c r="U152" s="84"/>
      <c r="V152" s="84"/>
      <c r="W152" s="84"/>
      <c r="X152" s="84"/>
    </row>
    <row r="153" spans="1:24" ht="13.5" customHeight="1" x14ac:dyDescent="0.25">
      <c r="A153" s="74">
        <v>23050</v>
      </c>
      <c r="B153" s="74">
        <v>23050</v>
      </c>
      <c r="C153" s="74">
        <f>IFERROR('callPut（W）'!D153+'callPut（F）'!D153,0)/2</f>
        <v>0</v>
      </c>
      <c r="D153" s="74">
        <f>IFERROR('callPut（W）'!L153+'callPut（F）'!L153,0)/2</f>
        <v>96.5</v>
      </c>
      <c r="E153" s="82">
        <v>-18.683303879999986</v>
      </c>
      <c r="F153" s="82">
        <v>493.28841417000007</v>
      </c>
      <c r="G153" s="82">
        <v>474.60511028999986</v>
      </c>
      <c r="I153" s="89">
        <f>MAX($A$2-B153,0)*MAX('籌碼表(W+F)'!D155,0)-MAX('籌碼表(W+F)'!D155,0)*C153</f>
        <v>0</v>
      </c>
      <c r="J153" s="89">
        <f>MAX(B153-$A$2,0)*MAX('籌碼表(W+F)'!F155,0)-MAX('籌碼表(W+F)'!F155,0)*D153</f>
        <v>3826936.9656000012</v>
      </c>
      <c r="K153" s="89">
        <f>-MIN('籌碼表(W+F)'!D155,0)*C153  - MAX($A$2-B153,0) * (-MIN('籌碼表(W+F)'!D155,0))</f>
        <v>0</v>
      </c>
      <c r="L153" s="89">
        <f>-MIN('籌碼表(W+F)'!F155,0) * D153 -  MAX(B153-$A$2,0) * (-MIN('籌碼表(W+F)'!F155,0))</f>
        <v>0</v>
      </c>
      <c r="N153" s="84"/>
      <c r="O153" s="84"/>
      <c r="P153" s="84"/>
      <c r="Q153" s="84"/>
      <c r="R153" s="84"/>
      <c r="T153" s="84"/>
      <c r="U153" s="84"/>
      <c r="V153" s="84"/>
      <c r="W153" s="84"/>
      <c r="X153" s="84"/>
    </row>
    <row r="154" spans="1:24" ht="13.5" customHeight="1" x14ac:dyDescent="0.25">
      <c r="A154" s="74">
        <v>23100</v>
      </c>
      <c r="B154" s="74">
        <v>23100</v>
      </c>
      <c r="C154" s="74">
        <f>IFERROR('callPut（W）'!D154+'callPut（F）'!D154,0)/2</f>
        <v>273.5</v>
      </c>
      <c r="D154" s="74">
        <f>IFERROR('callPut（W）'!L154+'callPut（F）'!L154,0)/2</f>
        <v>101</v>
      </c>
      <c r="E154" s="82">
        <v>-23.949093879999978</v>
      </c>
      <c r="F154" s="82">
        <v>573.83985417000008</v>
      </c>
      <c r="G154" s="82">
        <v>549.89076029000012</v>
      </c>
      <c r="I154" s="89">
        <f>MAX($A$2-B154,0)*MAX('籌碼表(W+F)'!D156,0)-MAX('籌碼表(W+F)'!D156,0)*C154</f>
        <v>0</v>
      </c>
      <c r="J154" s="89">
        <f>MAX(B154-$A$2,0)*MAX('籌碼表(W+F)'!F156,0)-MAX('籌碼表(W+F)'!F156,0)*D154</f>
        <v>0</v>
      </c>
      <c r="K154" s="89">
        <f>-MIN('籌碼表(W+F)'!D156,0)*C154  - MAX($A$2-B154,0) * (-MIN('籌碼表(W+F)'!D156,0))</f>
        <v>50601.711900000009</v>
      </c>
      <c r="L154" s="89">
        <f>-MIN('籌碼表(W+F)'!F156,0) * D154 -  MAX(B154-$A$2,0) * (-MIN('籌碼表(W+F)'!F156,0))</f>
        <v>-435619.90959999873</v>
      </c>
      <c r="N154" s="84"/>
      <c r="O154" s="84"/>
      <c r="P154" s="84"/>
      <c r="Q154" s="84"/>
      <c r="R154" s="84"/>
      <c r="T154" s="84"/>
      <c r="U154" s="84"/>
      <c r="V154" s="84"/>
      <c r="W154" s="84"/>
      <c r="X154" s="84"/>
    </row>
    <row r="155" spans="1:24" ht="13.5" customHeight="1" x14ac:dyDescent="0.25">
      <c r="A155" s="74">
        <v>23150</v>
      </c>
      <c r="B155" s="74">
        <v>23150</v>
      </c>
      <c r="C155" s="74">
        <f>IFERROR('callPut（W）'!D155+'callPut（F）'!D155,0)/2</f>
        <v>246.5</v>
      </c>
      <c r="D155" s="74">
        <f>IFERROR('callPut（W）'!L155+'callPut（F）'!L155,0)/2</f>
        <v>121</v>
      </c>
      <c r="E155" s="82">
        <v>-29.214883879999984</v>
      </c>
      <c r="F155" s="82">
        <v>642.23600417000011</v>
      </c>
      <c r="G155" s="82">
        <v>613.02112029000011</v>
      </c>
      <c r="I155" s="89">
        <f>MAX($A$2-B155,0)*MAX('籌碼表(W+F)'!D157,0)-MAX('籌碼表(W+F)'!D157,0)*C155</f>
        <v>0</v>
      </c>
      <c r="J155" s="89">
        <f>MAX(B155-$A$2,0)*MAX('籌碼表(W+F)'!F157,0)-MAX('籌碼表(W+F)'!F157,0)*D155</f>
        <v>0</v>
      </c>
      <c r="K155" s="89">
        <f>-MIN('籌碼表(W+F)'!D157,0)*C155  - MAX($A$2-B155,0) * (-MIN('籌碼表(W+F)'!D157,0))</f>
        <v>21258.505099999998</v>
      </c>
      <c r="L155" s="89">
        <f>-MIN('籌碼表(W+F)'!F157,0) * D155 -  MAX(B155-$A$2,0) * (-MIN('籌碼表(W+F)'!F157,0))</f>
        <v>-1058950.8383999988</v>
      </c>
      <c r="N155" s="84"/>
      <c r="O155" s="84"/>
      <c r="P155" s="84"/>
      <c r="Q155" s="84"/>
      <c r="R155" s="84"/>
      <c r="T155" s="84"/>
      <c r="U155" s="84"/>
      <c r="V155" s="84"/>
      <c r="W155" s="84"/>
      <c r="X155" s="84"/>
    </row>
    <row r="156" spans="1:24" ht="13.5" customHeight="1" x14ac:dyDescent="0.25">
      <c r="A156" s="74">
        <v>23200</v>
      </c>
      <c r="B156" s="74">
        <v>23200</v>
      </c>
      <c r="C156" s="74">
        <f>IFERROR('callPut（W）'!D156+'callPut（F）'!D156,0)/2</f>
        <v>211</v>
      </c>
      <c r="D156" s="74">
        <f>IFERROR('callPut（W）'!L156+'callPut（F）'!L156,0)/2</f>
        <v>143.5</v>
      </c>
      <c r="E156" s="82">
        <v>-34.480673879999998</v>
      </c>
      <c r="F156" s="82">
        <v>699.28760417000024</v>
      </c>
      <c r="G156" s="82">
        <v>664.80693029000008</v>
      </c>
      <c r="I156" s="89">
        <f>MAX($A$2-B156,0)*MAX('籌碼表(W+F)'!D158,0)-MAX('籌碼表(W+F)'!D158,0)*C156</f>
        <v>0</v>
      </c>
      <c r="J156" s="89">
        <f>MAX(B156-$A$2,0)*MAX('籌碼表(W+F)'!F158,0)-MAX('籌碼表(W+F)'!F158,0)*D156</f>
        <v>0</v>
      </c>
      <c r="K156" s="89">
        <f>-MIN('籌碼表(W+F)'!D158,0)*C156  - MAX($A$2-B156,0) * (-MIN('籌碼表(W+F)'!D158,0))</f>
        <v>61899.044400000006</v>
      </c>
      <c r="L156" s="89">
        <f>-MIN('籌碼表(W+F)'!F158,0) * D156 -  MAX(B156-$A$2,0) * (-MIN('籌碼表(W+F)'!F158,0))</f>
        <v>-5264524.3833000045</v>
      </c>
      <c r="N156" s="84"/>
      <c r="O156" s="84"/>
      <c r="P156" s="84"/>
      <c r="Q156" s="84"/>
      <c r="R156" s="84"/>
      <c r="T156" s="84"/>
      <c r="U156" s="84"/>
      <c r="V156" s="84"/>
      <c r="W156" s="84"/>
      <c r="X156" s="84"/>
    </row>
    <row r="157" spans="1:24" ht="13.5" customHeight="1" x14ac:dyDescent="0.25">
      <c r="A157" s="74">
        <v>23250</v>
      </c>
      <c r="B157" s="74">
        <v>23250</v>
      </c>
      <c r="C157" s="74">
        <f>IFERROR('callPut（W）'!D157+'callPut（F）'!D157,0)/2</f>
        <v>181</v>
      </c>
      <c r="D157" s="74">
        <f>IFERROR('callPut（W）'!L157+'callPut（F）'!L157,0)/2</f>
        <v>154.5</v>
      </c>
      <c r="E157" s="82">
        <v>-39.746463879999993</v>
      </c>
      <c r="F157" s="82">
        <v>706.83677417000024</v>
      </c>
      <c r="G157" s="82">
        <v>667.09031029000005</v>
      </c>
      <c r="I157" s="89">
        <f>MAX($A$2-B157,0)*MAX('籌碼表(W+F)'!D159,0)-MAX('籌碼表(W+F)'!D159,0)*C157</f>
        <v>0</v>
      </c>
      <c r="J157" s="89">
        <f>MAX(B157-$A$2,0)*MAX('籌碼表(W+F)'!F159,0)-MAX('籌碼表(W+F)'!F159,0)*D157</f>
        <v>0</v>
      </c>
      <c r="K157" s="89">
        <f>-MIN('籌碼表(W+F)'!D159,0)*C157  - MAX($A$2-B157,0) * (-MIN('籌碼表(W+F)'!D159,0))</f>
        <v>27982.81719999999</v>
      </c>
      <c r="L157" s="89">
        <f>-MIN('籌碼表(W+F)'!F159,0) * D157 -  MAX(B157-$A$2,0) * (-MIN('籌碼表(W+F)'!F159,0))</f>
        <v>-403977.30119999917</v>
      </c>
      <c r="N157" s="84"/>
      <c r="O157" s="84"/>
      <c r="P157" s="84"/>
      <c r="Q157" s="84"/>
      <c r="R157" s="84"/>
      <c r="T157" s="84"/>
      <c r="U157" s="84"/>
      <c r="V157" s="84"/>
      <c r="W157" s="84"/>
      <c r="X157" s="84"/>
    </row>
    <row r="158" spans="1:24" ht="13.5" customHeight="1" x14ac:dyDescent="0.25">
      <c r="A158" s="74">
        <v>23300</v>
      </c>
      <c r="B158" s="74">
        <v>23300</v>
      </c>
      <c r="C158" s="74">
        <f>IFERROR('callPut（W）'!D158+'callPut（F）'!D158,0)/2</f>
        <v>154</v>
      </c>
      <c r="D158" s="74">
        <f>IFERROR('callPut（W）'!L158+'callPut（F）'!L158,0)/2</f>
        <v>179</v>
      </c>
      <c r="E158" s="82">
        <v>-45.012253879999996</v>
      </c>
      <c r="F158" s="82">
        <v>703.99656417000006</v>
      </c>
      <c r="G158" s="82">
        <v>658.98431028999994</v>
      </c>
      <c r="I158" s="89">
        <f>MAX($A$2-B158,0)*MAX('籌碼表(W+F)'!D160,0)-MAX('籌碼表(W+F)'!D160,0)*C158</f>
        <v>0</v>
      </c>
      <c r="J158" s="89">
        <f>MAX(B158-$A$2,0)*MAX('籌碼表(W+F)'!F160,0)-MAX('籌碼表(W+F)'!F160,0)*D158</f>
        <v>0</v>
      </c>
      <c r="K158" s="89">
        <f>-MIN('籌碼表(W+F)'!D160,0)*C158  - MAX($A$2-B158,0) * (-MIN('籌碼表(W+F)'!D160,0))</f>
        <v>73611.075999999957</v>
      </c>
      <c r="L158" s="89">
        <f>-MIN('籌碼表(W+F)'!F160,0) * D158 -  MAX(B158-$A$2,0) * (-MIN('籌碼表(W+F)'!F160,0))</f>
        <v>-2766022.1353999996</v>
      </c>
      <c r="N158" s="84"/>
      <c r="O158" s="84"/>
      <c r="P158" s="84"/>
      <c r="Q158" s="84"/>
      <c r="R158" s="84"/>
      <c r="T158" s="84"/>
      <c r="U158" s="84"/>
      <c r="V158" s="84"/>
      <c r="W158" s="84"/>
      <c r="X158" s="84"/>
    </row>
    <row r="159" spans="1:24" ht="13.5" customHeight="1" x14ac:dyDescent="0.25">
      <c r="A159" s="74">
        <v>23350</v>
      </c>
      <c r="B159" s="74">
        <v>23350</v>
      </c>
      <c r="C159" s="74">
        <f>IFERROR('callPut（W）'!D159+'callPut（F）'!D159,0)/2</f>
        <v>132</v>
      </c>
      <c r="D159" s="74">
        <f>IFERROR('callPut（W）'!L159+'callPut（F）'!L159,0)/2</f>
        <v>214.5</v>
      </c>
      <c r="E159" s="82">
        <v>-50.278043879999998</v>
      </c>
      <c r="F159" s="82">
        <v>659.10928417000025</v>
      </c>
      <c r="G159" s="82">
        <v>608.83124028999998</v>
      </c>
      <c r="I159" s="89">
        <f>MAX($A$2-B159,0)*MAX('籌碼表(W+F)'!D161,0)-MAX('籌碼表(W+F)'!D161,0)*C159</f>
        <v>0</v>
      </c>
      <c r="J159" s="89">
        <f>MAX(B159-$A$2,0)*MAX('籌碼表(W+F)'!F161,0)-MAX('籌碼表(W+F)'!F161,0)*D159</f>
        <v>0</v>
      </c>
      <c r="K159" s="89">
        <f>-MIN('籌碼表(W+F)'!D161,0)*C159  - MAX($A$2-B159,0) * (-MIN('籌碼表(W+F)'!D161,0))</f>
        <v>41156.755200000007</v>
      </c>
      <c r="L159" s="89">
        <f>-MIN('籌碼表(W+F)'!F161,0) * D159 -  MAX(B159-$A$2,0) * (-MIN('籌碼表(W+F)'!F161,0))</f>
        <v>-1085328.2951999991</v>
      </c>
      <c r="N159" s="84"/>
      <c r="O159" s="84"/>
      <c r="P159" s="84"/>
      <c r="Q159" s="84"/>
      <c r="R159" s="84"/>
      <c r="T159" s="84"/>
      <c r="U159" s="84"/>
      <c r="V159" s="84"/>
      <c r="W159" s="84"/>
      <c r="X159" s="84"/>
    </row>
    <row r="160" spans="1:24" ht="13.5" customHeight="1" x14ac:dyDescent="0.25">
      <c r="A160" s="74">
        <v>23400</v>
      </c>
      <c r="B160" s="74">
        <v>23400</v>
      </c>
      <c r="C160" s="74">
        <f>IFERROR('callPut（W）'!D160+'callPut（F）'!D160,0)/2</f>
        <v>103</v>
      </c>
      <c r="D160" s="74">
        <f>IFERROR('callPut（W）'!L160+'callPut（F）'!L160,0)/2</f>
        <v>237.5</v>
      </c>
      <c r="E160" s="82">
        <v>-55.543833880000008</v>
      </c>
      <c r="F160" s="82">
        <v>591.52520417000017</v>
      </c>
      <c r="G160" s="82">
        <v>535.9813702900002</v>
      </c>
      <c r="I160" s="89">
        <f>MAX($A$2-B160,0)*MAX('籌碼表(W+F)'!D162,0)-MAX('籌碼表(W+F)'!D162,0)*C160</f>
        <v>0</v>
      </c>
      <c r="J160" s="89">
        <f>MAX(B160-$A$2,0)*MAX('籌碼表(W+F)'!F162,0)-MAX('籌碼表(W+F)'!F162,0)*D160</f>
        <v>0</v>
      </c>
      <c r="K160" s="89">
        <f>-MIN('籌碼表(W+F)'!D162,0)*C160  - MAX($A$2-B160,0) * (-MIN('籌碼表(W+F)'!D162,0))</f>
        <v>56604.165000000008</v>
      </c>
      <c r="L160" s="89">
        <f>-MIN('籌碼表(W+F)'!F162,0) * D160 -  MAX(B160-$A$2,0) * (-MIN('籌碼表(W+F)'!F162,0))</f>
        <v>-1327077.5700000015</v>
      </c>
      <c r="N160" s="84"/>
      <c r="O160" s="84"/>
      <c r="P160" s="84"/>
      <c r="Q160" s="84"/>
      <c r="R160" s="84"/>
      <c r="T160" s="84"/>
      <c r="U160" s="84"/>
      <c r="V160" s="84"/>
      <c r="W160" s="84"/>
      <c r="X160" s="84"/>
    </row>
    <row r="161" spans="1:24" ht="13.5" customHeight="1" x14ac:dyDescent="0.25">
      <c r="A161" s="74">
        <v>23450</v>
      </c>
      <c r="B161" s="74">
        <v>23450</v>
      </c>
      <c r="C161" s="74">
        <f>IFERROR('callPut（W）'!D161+'callPut（F）'!D161,0)/2</f>
        <v>87.5</v>
      </c>
      <c r="D161" s="74">
        <f>IFERROR('callPut（W）'!L161+'callPut（F）'!L161,0)/2</f>
        <v>264</v>
      </c>
      <c r="E161" s="82">
        <v>-60.809623879999997</v>
      </c>
      <c r="F161" s="82">
        <v>487.80381417000001</v>
      </c>
      <c r="G161" s="82">
        <v>426.99419028999995</v>
      </c>
      <c r="I161" s="89">
        <f>MAX($A$2-B161,0)*MAX('籌碼表(W+F)'!D163,0)-MAX('籌碼表(W+F)'!D163,0)*C161</f>
        <v>0</v>
      </c>
      <c r="J161" s="89">
        <f>MAX(B161-$A$2,0)*MAX('籌碼表(W+F)'!F163,0)-MAX('籌碼表(W+F)'!F163,0)*D161</f>
        <v>676338.79320000042</v>
      </c>
      <c r="K161" s="89">
        <f>-MIN('籌碼表(W+F)'!D163,0)*C161  - MAX($A$2-B161,0) * (-MIN('籌碼表(W+F)'!D163,0))</f>
        <v>42498.750000000007</v>
      </c>
      <c r="L161" s="89">
        <f>-MIN('籌碼表(W+F)'!F163,0) * D161 -  MAX(B161-$A$2,0) * (-MIN('籌碼表(W+F)'!F163,0))</f>
        <v>0</v>
      </c>
      <c r="N161" s="84"/>
      <c r="O161" s="84"/>
      <c r="P161" s="84"/>
      <c r="Q161" s="84"/>
      <c r="R161" s="84"/>
      <c r="T161" s="84"/>
      <c r="U161" s="84"/>
      <c r="V161" s="84"/>
      <c r="W161" s="84"/>
      <c r="X161" s="84"/>
    </row>
    <row r="162" spans="1:24" ht="13.5" customHeight="1" x14ac:dyDescent="0.25">
      <c r="A162" s="74">
        <v>23500</v>
      </c>
      <c r="B162" s="74">
        <v>23500</v>
      </c>
      <c r="C162" s="74">
        <f>IFERROR('callPut（W）'!D162+'callPut（F）'!D162,0)/2</f>
        <v>69.5</v>
      </c>
      <c r="D162" s="74">
        <f>IFERROR('callPut（W）'!L162+'callPut（F）'!L162,0)/2</f>
        <v>0</v>
      </c>
      <c r="E162" s="82">
        <v>-61.675603880000011</v>
      </c>
      <c r="F162" s="82">
        <v>359.79742417000006</v>
      </c>
      <c r="G162" s="82">
        <v>298.12182029000002</v>
      </c>
      <c r="I162" s="89">
        <f>MAX($A$2-B162,0)*MAX('籌碼表(W+F)'!D164,0)-MAX('籌碼表(W+F)'!D164,0)*C162</f>
        <v>0</v>
      </c>
      <c r="J162" s="89">
        <f>MAX(B162-$A$2,0)*MAX('籌碼表(W+F)'!F164,0)-MAX('籌碼表(W+F)'!F164,0)*D162</f>
        <v>781619.20000000042</v>
      </c>
      <c r="K162" s="89">
        <f>-MIN('籌碼表(W+F)'!D164,0)*C162  - MAX($A$2-B162,0) * (-MIN('籌碼表(W+F)'!D164,0))</f>
        <v>59588.591100000012</v>
      </c>
      <c r="L162" s="89">
        <f>-MIN('籌碼表(W+F)'!F164,0) * D162 -  MAX(B162-$A$2,0) * (-MIN('籌碼表(W+F)'!F164,0))</f>
        <v>0</v>
      </c>
      <c r="N162" s="84"/>
      <c r="O162" s="84"/>
      <c r="P162" s="84"/>
      <c r="Q162" s="84"/>
      <c r="R162" s="84"/>
    </row>
    <row r="163" spans="1:24" ht="13.5" customHeight="1" x14ac:dyDescent="0.25">
      <c r="A163" s="74">
        <v>23550</v>
      </c>
      <c r="B163" s="74">
        <v>23550</v>
      </c>
      <c r="C163" s="74">
        <f>IFERROR('callPut（W）'!D163+'callPut（F）'!D163,0)/2</f>
        <v>54.25</v>
      </c>
      <c r="D163" s="74">
        <f>IFERROR('callPut（W）'!L163+'callPut（F）'!L163,0)/2</f>
        <v>0</v>
      </c>
      <c r="E163" s="82">
        <v>-57.656463880000011</v>
      </c>
      <c r="F163" s="82">
        <v>188.92154417000003</v>
      </c>
      <c r="G163" s="82">
        <v>131.2650802900001</v>
      </c>
      <c r="I163" s="89">
        <f>MAX($A$2-B163,0)*MAX('籌碼表(W+F)'!D165,0)-MAX('籌碼表(W+F)'!D165,0)*C163</f>
        <v>0</v>
      </c>
      <c r="J163" s="89">
        <f>MAX(B163-$A$2,0)*MAX('籌碼表(W+F)'!F165,0)-MAX('籌碼表(W+F)'!F165,0)*D163</f>
        <v>49047.039999999892</v>
      </c>
      <c r="K163" s="89">
        <f>-MIN('籌碼表(W+F)'!D165,0)*C163  - MAX($A$2-B163,0) * (-MIN('籌碼表(W+F)'!D165,0))</f>
        <v>16084.875450000001</v>
      </c>
      <c r="L163" s="89">
        <f>-MIN('籌碼表(W+F)'!F165,0) * D163 -  MAX(B163-$A$2,0) * (-MIN('籌碼表(W+F)'!F165,0))</f>
        <v>0</v>
      </c>
      <c r="N163" s="84"/>
      <c r="O163" s="84"/>
      <c r="P163" s="84"/>
      <c r="Q163" s="84"/>
      <c r="R163" s="84"/>
    </row>
    <row r="164" spans="1:24" ht="13.5" customHeight="1" x14ac:dyDescent="0.25">
      <c r="A164" s="74">
        <v>23600</v>
      </c>
      <c r="B164" s="74">
        <v>23600</v>
      </c>
      <c r="C164" s="74">
        <f>IFERROR('callPut（W）'!D164+'callPut（F）'!D164,0)/2</f>
        <v>42.75</v>
      </c>
      <c r="D164" s="74">
        <f>IFERROR('callPut（W）'!L164+'callPut（F）'!L164,0)/2</f>
        <v>356.5</v>
      </c>
      <c r="E164" s="82">
        <v>-53.332683880000005</v>
      </c>
      <c r="F164" s="82">
        <v>3.2208941700001246</v>
      </c>
      <c r="G164" s="82">
        <v>-50.111789709999897</v>
      </c>
      <c r="I164" s="89">
        <f>MAX($A$2-B164,0)*MAX('籌碼表(W+F)'!D166,0)-MAX('籌碼表(W+F)'!D166,0)*C164</f>
        <v>0</v>
      </c>
      <c r="J164" s="89">
        <f>MAX(B164-$A$2,0)*MAX('籌碼表(W+F)'!F166,0)-MAX('籌碼表(W+F)'!F166,0)*D164</f>
        <v>0</v>
      </c>
      <c r="K164" s="89">
        <f>-MIN('籌碼表(W+F)'!D166,0)*C164  - MAX($A$2-B164,0) * (-MIN('籌碼表(W+F)'!D166,0))</f>
        <v>22175.074799999995</v>
      </c>
      <c r="L164" s="89">
        <f>-MIN('籌碼表(W+F)'!F166,0) * D164 -  MAX(B164-$A$2,0) * (-MIN('籌碼表(W+F)'!F166,0))</f>
        <v>-109090.42800000004</v>
      </c>
      <c r="N164" s="84"/>
      <c r="O164" s="84"/>
      <c r="P164" s="84"/>
      <c r="Q164" s="84"/>
      <c r="R164" s="84"/>
    </row>
    <row r="165" spans="1:24" ht="13.5" customHeight="1" x14ac:dyDescent="0.25">
      <c r="A165" s="74">
        <v>23650</v>
      </c>
      <c r="B165" s="74">
        <v>23650</v>
      </c>
      <c r="C165" s="74">
        <f>IFERROR('callPut（W）'!D165+'callPut（F）'!D165,0)/2</f>
        <v>33.25</v>
      </c>
      <c r="D165" s="74">
        <f>IFERROR('callPut（W）'!L165+'callPut（F）'!L165,0)/2</f>
        <v>0</v>
      </c>
      <c r="E165" s="82">
        <v>-49.008903879999998</v>
      </c>
      <c r="F165" s="82">
        <v>-209.11991582999991</v>
      </c>
      <c r="G165" s="82">
        <v>-258.12881970999996</v>
      </c>
      <c r="I165" s="89">
        <f>MAX($A$2-B165,0)*MAX('籌碼表(W+F)'!D167,0)-MAX('籌碼表(W+F)'!D167,0)*C165</f>
        <v>-3145.5763499999935</v>
      </c>
      <c r="J165" s="89">
        <f>MAX(B165-$A$2,0)*MAX('籌碼表(W+F)'!F167,0)-MAX('籌碼表(W+F)'!F167,0)*D165</f>
        <v>73292.949999999983</v>
      </c>
      <c r="K165" s="89">
        <f>-MIN('籌碼表(W+F)'!D167,0)*C165  - MAX($A$2-B165,0) * (-MIN('籌碼表(W+F)'!D167,0))</f>
        <v>0</v>
      </c>
      <c r="L165" s="89">
        <f>-MIN('籌碼表(W+F)'!F167,0) * D165 -  MAX(B165-$A$2,0) * (-MIN('籌碼表(W+F)'!F167,0))</f>
        <v>0</v>
      </c>
      <c r="N165" s="84"/>
      <c r="O165" s="84"/>
      <c r="P165" s="84"/>
      <c r="Q165" s="84"/>
      <c r="R165" s="84"/>
    </row>
    <row r="166" spans="1:24" ht="13.5" customHeight="1" x14ac:dyDescent="0.25">
      <c r="A166" s="74">
        <v>23700</v>
      </c>
      <c r="B166" s="74">
        <v>23700</v>
      </c>
      <c r="C166" s="74">
        <f>IFERROR('callPut（W）'!D166+'callPut（F）'!D166,0)/2</f>
        <v>28.25</v>
      </c>
      <c r="D166" s="74">
        <f>IFERROR('callPut（W）'!L166+'callPut（F）'!L166,0)/2</f>
        <v>427.5</v>
      </c>
      <c r="E166" s="82">
        <v>-39.505283880000007</v>
      </c>
      <c r="F166" s="82">
        <v>-421.46072582999994</v>
      </c>
      <c r="G166" s="82">
        <v>-460.96600971000004</v>
      </c>
      <c r="I166" s="89">
        <f>MAX($A$2-B166,0)*MAX('籌碼表(W+F)'!D168,0)-MAX('籌碼表(W+F)'!D168,0)*C166</f>
        <v>0</v>
      </c>
      <c r="J166" s="89">
        <f>MAX(B166-$A$2,0)*MAX('籌碼表(W+F)'!F168,0)-MAX('籌碼表(W+F)'!F168,0)*D166</f>
        <v>0</v>
      </c>
      <c r="K166" s="89">
        <f>-MIN('籌碼表(W+F)'!D168,0)*C166  - MAX($A$2-B166,0) * (-MIN('籌碼表(W+F)'!D168,0))</f>
        <v>8259.7349999999969</v>
      </c>
      <c r="L166" s="89">
        <f>-MIN('籌碼表(W+F)'!F168,0) * D166 -  MAX(B166-$A$2,0) * (-MIN('籌碼表(W+F)'!F168,0))</f>
        <v>-124360</v>
      </c>
      <c r="N166" s="84"/>
      <c r="O166" s="84"/>
      <c r="P166" s="84"/>
      <c r="Q166" s="84"/>
      <c r="R166" s="84"/>
    </row>
    <row r="167" spans="1:24" ht="13.5" customHeight="1" x14ac:dyDescent="0.25">
      <c r="A167" s="74">
        <v>23750</v>
      </c>
      <c r="B167" s="74">
        <v>23750</v>
      </c>
      <c r="C167" s="74">
        <f>IFERROR('callPut（W）'!D167+'callPut（F）'!D167,0)/2</f>
        <v>22</v>
      </c>
      <c r="D167" s="74">
        <f>IFERROR('callPut（W）'!L167+'callPut（F）'!L167,0)/2</f>
        <v>0</v>
      </c>
      <c r="E167" s="82">
        <v>-30.001663880000009</v>
      </c>
      <c r="F167" s="82">
        <v>-649.22053582999979</v>
      </c>
      <c r="G167" s="82">
        <v>-679.22219970999993</v>
      </c>
      <c r="I167" s="89">
        <f>MAX($A$2-B167,0)*MAX('籌碼表(W+F)'!D169,0)-MAX('籌碼表(W+F)'!D169,0)*C167</f>
        <v>0</v>
      </c>
      <c r="J167" s="89">
        <f>MAX(B167-$A$2,0)*MAX('籌碼表(W+F)'!F169,0)-MAX('籌碼表(W+F)'!F169,0)*D167</f>
        <v>0</v>
      </c>
      <c r="K167" s="89">
        <f>-MIN('籌碼表(W+F)'!D169,0)*C167  - MAX($A$2-B167,0) * (-MIN('籌碼表(W+F)'!D169,0))</f>
        <v>626.62160000000119</v>
      </c>
      <c r="L167" s="89">
        <f>-MIN('籌碼表(W+F)'!F169,0) * D167 -  MAX(B167-$A$2,0) * (-MIN('籌碼表(W+F)'!F169,0))</f>
        <v>-165000</v>
      </c>
      <c r="N167" s="84"/>
      <c r="O167" s="84"/>
      <c r="P167" s="84"/>
      <c r="Q167" s="84"/>
      <c r="R167" s="84"/>
    </row>
    <row r="168" spans="1:24" ht="13.5" customHeight="1" x14ac:dyDescent="0.25">
      <c r="A168" s="74">
        <v>23800</v>
      </c>
      <c r="B168" s="74">
        <v>23800</v>
      </c>
      <c r="C168" s="74">
        <f>IFERROR('callPut（W）'!D168+'callPut（F）'!D168,0)/2</f>
        <v>16.850000000000001</v>
      </c>
      <c r="D168" s="74">
        <f>IFERROR('callPut（W）'!L168+'callPut（F）'!L168,0)/2</f>
        <v>0</v>
      </c>
      <c r="E168" s="82">
        <v>-20.498043880000022</v>
      </c>
      <c r="F168" s="82">
        <v>-879.40448582999977</v>
      </c>
      <c r="G168" s="82">
        <v>-899.90252970999995</v>
      </c>
      <c r="I168" s="89">
        <f>MAX($A$2-B168,0)*MAX('籌碼表(W+F)'!D170,0)-MAX('籌碼表(W+F)'!D170,0)*C168</f>
        <v>0</v>
      </c>
      <c r="J168" s="89">
        <f>MAX(B168-$A$2,0)*MAX('籌碼表(W+F)'!F170,0)-MAX('籌碼表(W+F)'!F170,0)*D168</f>
        <v>0</v>
      </c>
      <c r="K168" s="89">
        <f>-MIN('籌碼表(W+F)'!D170,0)*C168  - MAX($A$2-B168,0) * (-MIN('籌碼表(W+F)'!D170,0))</f>
        <v>4613.5434800000021</v>
      </c>
      <c r="L168" s="89">
        <f>-MIN('籌碼表(W+F)'!F170,0) * D168 -  MAX(B168-$A$2,0) * (-MIN('籌碼表(W+F)'!F170,0))</f>
        <v>-24906.639999999999</v>
      </c>
      <c r="N168" s="84"/>
      <c r="O168" s="84"/>
      <c r="P168" s="84"/>
      <c r="Q168" s="84"/>
      <c r="R168" s="84"/>
    </row>
    <row r="169" spans="1:24" ht="13.5" customHeight="1" x14ac:dyDescent="0.25">
      <c r="A169" s="74">
        <v>23850</v>
      </c>
      <c r="B169" s="74">
        <v>23850</v>
      </c>
      <c r="C169" s="74">
        <f>IFERROR('callPut（W）'!D169+'callPut（F）'!D169,0)/2</f>
        <v>0</v>
      </c>
      <c r="D169" s="74">
        <f>IFERROR('callPut（W）'!L169+'callPut（F）'!L169,0)/2</f>
        <v>0</v>
      </c>
      <c r="E169" s="82">
        <v>-10.994423880000031</v>
      </c>
      <c r="F169" s="82">
        <v>-1123.4285158299997</v>
      </c>
      <c r="G169" s="82">
        <v>-1134.4229397099998</v>
      </c>
      <c r="I169" s="89">
        <f>MAX($A$2-B169,0)*MAX('籌碼表(W+F)'!D171,0)-MAX('籌碼表(W+F)'!D171,0)*C169</f>
        <v>0</v>
      </c>
      <c r="J169" s="89">
        <f>MAX(B169-$A$2,0)*MAX('籌碼表(W+F)'!F171,0)-MAX('籌碼表(W+F)'!F171,0)*D169</f>
        <v>0</v>
      </c>
      <c r="K169" s="89">
        <f>-MIN('籌碼表(W+F)'!D171,0)*C169  - MAX($A$2-B169,0) * (-MIN('籌碼表(W+F)'!D171,0))</f>
        <v>0</v>
      </c>
      <c r="L169" s="89">
        <f>-MIN('籌碼表(W+F)'!F171,0) * D169 -  MAX(B169-$A$2,0) * (-MIN('籌碼表(W+F)'!F171,0))</f>
        <v>0</v>
      </c>
      <c r="N169" s="84"/>
      <c r="O169" s="84"/>
      <c r="P169" s="84"/>
      <c r="Q169" s="84"/>
      <c r="R169" s="84"/>
    </row>
    <row r="170" spans="1:24" ht="13.5" customHeight="1" x14ac:dyDescent="0.25">
      <c r="A170" s="74">
        <v>23900</v>
      </c>
      <c r="B170" s="74">
        <v>23900</v>
      </c>
      <c r="C170" s="74">
        <f>IFERROR('callPut（W）'!D170+'callPut（F）'!D170,0)/2</f>
        <v>11</v>
      </c>
      <c r="D170" s="74">
        <f>IFERROR('callPut（W）'!L170+'callPut（F）'!L170,0)/2</f>
        <v>0</v>
      </c>
      <c r="E170" s="82">
        <v>-1.4908038800000358</v>
      </c>
      <c r="F170" s="82">
        <v>-1367.4525458299997</v>
      </c>
      <c r="G170" s="82">
        <v>-1368.9433497099997</v>
      </c>
      <c r="I170" s="89">
        <f>MAX($A$2-B170,0)*MAX('籌碼表(W+F)'!D172,0)-MAX('籌碼表(W+F)'!D172,0)*C170</f>
        <v>0</v>
      </c>
      <c r="J170" s="89">
        <f>MAX(B170-$A$2,0)*MAX('籌碼表(W+F)'!F172,0)-MAX('籌碼表(W+F)'!F172,0)*D170</f>
        <v>0</v>
      </c>
      <c r="K170" s="89">
        <f>-MIN('籌碼表(W+F)'!D172,0)*C170  - MAX($A$2-B170,0) * (-MIN('籌碼表(W+F)'!D172,0))</f>
        <v>740.73120000000063</v>
      </c>
      <c r="L170" s="89">
        <f>-MIN('籌碼表(W+F)'!F172,0) * D170 -  MAX(B170-$A$2,0) * (-MIN('籌碼表(W+F)'!F172,0))</f>
        <v>-25200</v>
      </c>
    </row>
    <row r="171" spans="1:24" ht="13.5" customHeight="1" x14ac:dyDescent="0.25">
      <c r="A171" s="74">
        <v>23950</v>
      </c>
      <c r="B171" s="74">
        <v>23950</v>
      </c>
      <c r="C171" s="74">
        <f>IFERROR('callPut（W）'!D171+'callPut（F）'!D171,0)/2</f>
        <v>0</v>
      </c>
      <c r="D171" s="74">
        <f>IFERROR('callPut（W）'!L171+'callPut（F）'!L171,0)/2</f>
        <v>0</v>
      </c>
      <c r="E171" s="82">
        <v>8.012816119999945</v>
      </c>
      <c r="F171" s="82">
        <v>-1614.9935358299999</v>
      </c>
      <c r="G171" s="82">
        <v>-1606.9807197100001</v>
      </c>
      <c r="I171" s="89">
        <f>MAX($A$2-B171,0)*MAX('籌碼表(W+F)'!D173,0)-MAX('籌碼表(W+F)'!D173,0)*C171</f>
        <v>0</v>
      </c>
      <c r="J171" s="89">
        <f>MAX(B171-$A$2,0)*MAX('籌碼表(W+F)'!F173,0)-MAX('籌碼表(W+F)'!F173,0)*D171</f>
        <v>0</v>
      </c>
      <c r="K171" s="89">
        <f>-MIN('籌碼表(W+F)'!D173,0)*C171  - MAX($A$2-B171,0) * (-MIN('籌碼表(W+F)'!D173,0))</f>
        <v>0</v>
      </c>
      <c r="L171" s="89">
        <f>-MIN('籌碼表(W+F)'!F173,0) * D171 -  MAX(B171-$A$2,0) * (-MIN('籌碼表(W+F)'!F173,0))</f>
        <v>0</v>
      </c>
    </row>
    <row r="172" spans="1:24" ht="13.5" customHeight="1" x14ac:dyDescent="0.25">
      <c r="A172" s="74">
        <v>24000</v>
      </c>
      <c r="B172" s="74">
        <v>24000</v>
      </c>
      <c r="C172" s="74">
        <f>IFERROR('callPut（W）'!D172+'callPut（F）'!D172,0)/2</f>
        <v>8.5500000000000007</v>
      </c>
      <c r="D172" s="74">
        <f>IFERROR('callPut（W）'!L172+'callPut（F）'!L172,0)/2</f>
        <v>0</v>
      </c>
      <c r="E172" s="82">
        <v>17.516436119999941</v>
      </c>
      <c r="F172" s="82">
        <v>-1862.5345258299997</v>
      </c>
      <c r="G172" s="82">
        <v>-1845.0180897099997</v>
      </c>
      <c r="I172" s="89">
        <f>MAX($A$2-B172,0)*MAX('籌碼表(W+F)'!D174,0)-MAX('籌碼表(W+F)'!D174,0)*C172</f>
        <v>-4427.1489599999995</v>
      </c>
      <c r="J172" s="89">
        <f>MAX(B172-$A$2,0)*MAX('籌碼表(W+F)'!F174,0)-MAX('籌碼表(W+F)'!F174,0)*D172</f>
        <v>0</v>
      </c>
      <c r="K172" s="89">
        <f>-MIN('籌碼表(W+F)'!D174,0)*C172  - MAX($A$2-B172,0) * (-MIN('籌碼表(W+F)'!D174,0))</f>
        <v>0</v>
      </c>
      <c r="L172" s="89">
        <f>-MIN('籌碼表(W+F)'!F174,0) * D172 -  MAX(B172-$A$2,0) * (-MIN('籌碼表(W+F)'!F174,0))</f>
        <v>-17000</v>
      </c>
    </row>
    <row r="173" spans="1:24" ht="13.5" customHeight="1" x14ac:dyDescent="0.25">
      <c r="A173" s="74">
        <v>24050</v>
      </c>
      <c r="B173" s="74">
        <v>24050</v>
      </c>
      <c r="C173" s="74">
        <f>IFERROR('callPut（W）'!D173+'callPut（F）'!D173,0)/2</f>
        <v>0</v>
      </c>
      <c r="D173" s="74">
        <f>IFERROR('callPut（W）'!L173+'callPut（F）'!L173,0)/2</f>
        <v>0</v>
      </c>
      <c r="E173" s="82">
        <v>52.909816119999924</v>
      </c>
      <c r="F173" s="82">
        <v>-2110.1755158300002</v>
      </c>
      <c r="G173" s="82">
        <v>-2057.2656997100003</v>
      </c>
      <c r="I173" s="89">
        <f>MAX($A$2-B173,0)*MAX('籌碼表(W+F)'!D175,0)-MAX('籌碼表(W+F)'!D175,0)*C173</f>
        <v>0</v>
      </c>
      <c r="J173" s="89">
        <f>MAX(B173-$A$2,0)*MAX('籌碼表(W+F)'!F175,0)-MAX('籌碼表(W+F)'!F175,0)*D173</f>
        <v>0</v>
      </c>
      <c r="K173" s="89">
        <f>-MIN('籌碼表(W+F)'!D175,0)*C173  - MAX($A$2-B173,0) * (-MIN('籌碼表(W+F)'!D175,0))</f>
        <v>0</v>
      </c>
      <c r="L173" s="89">
        <f>-MIN('籌碼表(W+F)'!F175,0) * D173 -  MAX(B173-$A$2,0) * (-MIN('籌碼表(W+F)'!F175,0))</f>
        <v>0</v>
      </c>
    </row>
    <row r="174" spans="1:24" ht="13.5" customHeight="1" x14ac:dyDescent="0.25">
      <c r="A174" s="74">
        <v>24100</v>
      </c>
      <c r="B174" s="74">
        <v>24100</v>
      </c>
      <c r="C174" s="74">
        <f>IFERROR('callPut（W）'!D174+'callPut（F）'!D174,0)/2</f>
        <v>4.5</v>
      </c>
      <c r="D174" s="74">
        <f>IFERROR('callPut（W）'!L174+'callPut（F）'!L174,0)/2</f>
        <v>0</v>
      </c>
      <c r="E174" s="82">
        <v>88.30319611999991</v>
      </c>
      <c r="F174" s="82">
        <v>-2357.8165058300006</v>
      </c>
      <c r="G174" s="82">
        <v>-2269.5133097099997</v>
      </c>
      <c r="I174" s="89">
        <f>MAX($A$2-B174,0)*MAX('籌碼表(W+F)'!D176,0)-MAX('籌碼表(W+F)'!D176,0)*C174</f>
        <v>-706.89239999999984</v>
      </c>
      <c r="J174" s="89">
        <f>MAX(B174-$A$2,0)*MAX('籌碼表(W+F)'!F176,0)-MAX('籌碼表(W+F)'!F176,0)*D174</f>
        <v>0</v>
      </c>
      <c r="K174" s="89">
        <f>-MIN('籌碼表(W+F)'!D176,0)*C174  - MAX($A$2-B174,0) * (-MIN('籌碼表(W+F)'!D176,0))</f>
        <v>0</v>
      </c>
      <c r="L174" s="89">
        <f>-MIN('籌碼表(W+F)'!F176,0) * D174 -  MAX(B174-$A$2,0) * (-MIN('籌碼表(W+F)'!F176,0))</f>
        <v>0</v>
      </c>
    </row>
    <row r="175" spans="1:24" ht="13.5" customHeight="1" x14ac:dyDescent="0.25">
      <c r="A175" s="74">
        <v>24150</v>
      </c>
      <c r="B175" s="74">
        <v>24150</v>
      </c>
      <c r="C175" s="74">
        <f>IFERROR('callPut（W）'!D175+'callPut（F）'!D175,0)/2</f>
        <v>0</v>
      </c>
      <c r="D175" s="74">
        <f>IFERROR('callPut（W）'!L175+'callPut（F）'!L175,0)/2</f>
        <v>0</v>
      </c>
      <c r="E175" s="82">
        <v>131.5509361199999</v>
      </c>
      <c r="F175" s="82">
        <v>-2605.45749583</v>
      </c>
      <c r="G175" s="82">
        <v>-2473.9065597099998</v>
      </c>
      <c r="I175" s="89">
        <f>MAX($A$2-B175,0)*MAX('籌碼表(W+F)'!D177,0)-MAX('籌碼表(W+F)'!D177,0)*C175</f>
        <v>0</v>
      </c>
      <c r="J175" s="89">
        <f>MAX(B175-$A$2,0)*MAX('籌碼表(W+F)'!F177,0)-MAX('籌碼表(W+F)'!F177,0)*D175</f>
        <v>0</v>
      </c>
      <c r="K175" s="89">
        <f>-MIN('籌碼表(W+F)'!D177,0)*C175  - MAX($A$2-B175,0) * (-MIN('籌碼表(W+F)'!D177,0))</f>
        <v>0</v>
      </c>
      <c r="L175" s="89">
        <f>-MIN('籌碼表(W+F)'!F177,0) * D175 -  MAX(B175-$A$2,0) * (-MIN('籌碼表(W+F)'!F177,0))</f>
        <v>0</v>
      </c>
    </row>
    <row r="176" spans="1:24" ht="13.5" customHeight="1" x14ac:dyDescent="0.25">
      <c r="A176" s="74">
        <v>24200</v>
      </c>
      <c r="B176" s="74">
        <v>24200</v>
      </c>
      <c r="C176" s="74">
        <f>IFERROR('callPut（W）'!D176+'callPut（F）'!D176,0)/2</f>
        <v>2.5499999999999998</v>
      </c>
      <c r="D176" s="74">
        <f>IFERROR('callPut（W）'!L176+'callPut（F）'!L176,0)/2</f>
        <v>0</v>
      </c>
      <c r="E176" s="82">
        <v>174.7986761199999</v>
      </c>
      <c r="F176" s="82">
        <v>-2853.0984858300003</v>
      </c>
      <c r="G176" s="82">
        <v>-2678.2998097100003</v>
      </c>
      <c r="I176" s="89">
        <f>MAX($A$2-B176,0)*MAX('籌碼表(W+F)'!D178,0)-MAX('籌碼表(W+F)'!D178,0)*C176</f>
        <v>-662.68839000000014</v>
      </c>
      <c r="J176" s="89">
        <f>MAX(B176-$A$2,0)*MAX('籌碼表(W+F)'!F178,0)-MAX('籌碼表(W+F)'!F178,0)*D176</f>
        <v>0</v>
      </c>
      <c r="K176" s="89">
        <f>-MIN('籌碼表(W+F)'!D178,0)*C176  - MAX($A$2-B176,0) * (-MIN('籌碼表(W+F)'!D178,0))</f>
        <v>0</v>
      </c>
      <c r="L176" s="89">
        <f>-MIN('籌碼表(W+F)'!F178,0) * D176 -  MAX(B176-$A$2,0) * (-MIN('籌碼表(W+F)'!F178,0))</f>
        <v>0</v>
      </c>
    </row>
    <row r="177" spans="1:12" ht="13.5" customHeight="1" x14ac:dyDescent="0.25">
      <c r="A177" s="74">
        <v>24250</v>
      </c>
      <c r="B177" s="74">
        <v>24250</v>
      </c>
      <c r="C177" s="74">
        <f>IFERROR('callPut（W）'!D177+'callPut（F）'!D177,0)/2</f>
        <v>0</v>
      </c>
      <c r="D177" s="74">
        <f>IFERROR('callPut（W）'!L177+'callPut（F）'!L177,0)/2</f>
        <v>0</v>
      </c>
      <c r="E177" s="82">
        <v>231.04030611999988</v>
      </c>
      <c r="F177" s="82">
        <v>-3100.7394758300002</v>
      </c>
      <c r="G177" s="82">
        <v>-2869.6991697100007</v>
      </c>
      <c r="I177" s="89">
        <f>MAX($A$2-B177,0)*MAX('籌碼表(W+F)'!D179,0)-MAX('籌碼表(W+F)'!D179,0)*C177</f>
        <v>0</v>
      </c>
      <c r="J177" s="89">
        <f>MAX(B177-$A$2,0)*MAX('籌碼表(W+F)'!F179,0)-MAX('籌碼表(W+F)'!F179,0)*D177</f>
        <v>0</v>
      </c>
      <c r="K177" s="89">
        <f>-MIN('籌碼表(W+F)'!D179,0)*C177  - MAX($A$2-B177,0) * (-MIN('籌碼表(W+F)'!D179,0))</f>
        <v>0</v>
      </c>
      <c r="L177" s="89">
        <f>-MIN('籌碼表(W+F)'!F179,0) * D177 -  MAX(B177-$A$2,0) * (-MIN('籌碼表(W+F)'!F179,0))</f>
        <v>0</v>
      </c>
    </row>
    <row r="178" spans="1:12" ht="13.5" customHeight="1" x14ac:dyDescent="0.25">
      <c r="A178" s="74">
        <v>24300</v>
      </c>
      <c r="B178" s="74">
        <v>24300</v>
      </c>
      <c r="C178" s="74">
        <f>IFERROR('callPut（W）'!D178+'callPut（F）'!D178,0)/2</f>
        <v>2.5</v>
      </c>
      <c r="D178" s="74">
        <f>IFERROR('callPut（W）'!L178+'callPut（F）'!L178,0)/2</f>
        <v>0</v>
      </c>
      <c r="E178" s="82">
        <v>287.28193611999984</v>
      </c>
      <c r="F178" s="82">
        <v>-3348.38046583</v>
      </c>
      <c r="G178" s="82">
        <v>-3061.0985297100001</v>
      </c>
      <c r="I178" s="89">
        <f>MAX($A$2-B178,0)*MAX('籌碼表(W+F)'!D180,0)-MAX('籌碼表(W+F)'!D180,0)*C178</f>
        <v>-307.5929999999999</v>
      </c>
      <c r="J178" s="89">
        <f>MAX(B178-$A$2,0)*MAX('籌碼表(W+F)'!F180,0)-MAX('籌碼表(W+F)'!F180,0)*D178</f>
        <v>0</v>
      </c>
      <c r="K178" s="89">
        <f>-MIN('籌碼表(W+F)'!D180,0)*C178  - MAX($A$2-B178,0) * (-MIN('籌碼表(W+F)'!D180,0))</f>
        <v>0</v>
      </c>
      <c r="L178" s="89">
        <f>-MIN('籌碼表(W+F)'!F180,0) * D178 -  MAX(B178-$A$2,0) * (-MIN('籌碼表(W+F)'!F180,0))</f>
        <v>0</v>
      </c>
    </row>
    <row r="179" spans="1:12" ht="13.5" customHeight="1" x14ac:dyDescent="0.25">
      <c r="A179" s="74">
        <v>24350</v>
      </c>
      <c r="B179" s="74">
        <v>24350</v>
      </c>
      <c r="C179" s="74">
        <f>IFERROR('callPut（W）'!D179+'callPut（F）'!D179,0)/2</f>
        <v>0</v>
      </c>
      <c r="D179" s="74">
        <f>IFERROR('callPut（W）'!L179+'callPut（F）'!L179,0)/2</f>
        <v>0</v>
      </c>
      <c r="E179" s="82">
        <v>349.67542611999988</v>
      </c>
      <c r="F179" s="82">
        <v>-3596.0214558300004</v>
      </c>
      <c r="G179" s="82">
        <v>-3246.34602971</v>
      </c>
      <c r="I179" s="89">
        <f>MAX($A$2-B179,0)*MAX('籌碼表(W+F)'!D181,0)-MAX('籌碼表(W+F)'!D181,0)*C179</f>
        <v>0</v>
      </c>
      <c r="J179" s="89">
        <f>MAX(B179-$A$2,0)*MAX('籌碼表(W+F)'!F181,0)-MAX('籌碼表(W+F)'!F181,0)*D179</f>
        <v>0</v>
      </c>
      <c r="K179" s="89">
        <f>-MIN('籌碼表(W+F)'!D181,0)*C179  - MAX($A$2-B179,0) * (-MIN('籌碼表(W+F)'!D181,0))</f>
        <v>0</v>
      </c>
      <c r="L179" s="89">
        <f>-MIN('籌碼表(W+F)'!F181,0) * D179 -  MAX(B179-$A$2,0) * (-MIN('籌碼表(W+F)'!F181,0))</f>
        <v>0</v>
      </c>
    </row>
    <row r="180" spans="1:12" ht="13.5" customHeight="1" x14ac:dyDescent="0.25">
      <c r="A180" s="74">
        <v>24400</v>
      </c>
      <c r="B180" s="74">
        <v>24400</v>
      </c>
      <c r="C180" s="74">
        <f>IFERROR('callPut（W）'!D180+'callPut（F）'!D180,0)/2</f>
        <v>1.75</v>
      </c>
      <c r="D180" s="74">
        <f>IFERROR('callPut（W）'!L180+'callPut（F）'!L180,0)/2</f>
        <v>0</v>
      </c>
      <c r="E180" s="82">
        <v>412.06891611999981</v>
      </c>
      <c r="F180" s="82">
        <v>-3843.6624458300007</v>
      </c>
      <c r="G180" s="82">
        <v>-3431.5935297100009</v>
      </c>
      <c r="I180" s="89">
        <f>MAX($A$2-B180,0)*MAX('籌碼表(W+F)'!D182,0)-MAX('籌碼表(W+F)'!D182,0)*C180</f>
        <v>0</v>
      </c>
      <c r="J180" s="89">
        <f>MAX(B180-$A$2,0)*MAX('籌碼表(W+F)'!F182,0)-MAX('籌碼表(W+F)'!F182,0)*D180</f>
        <v>8900</v>
      </c>
      <c r="K180" s="89">
        <f>-MIN('籌碼表(W+F)'!D182,0)*C180  - MAX($A$2-B180,0) * (-MIN('籌碼表(W+F)'!D182,0))</f>
        <v>198.60399999999998</v>
      </c>
      <c r="L180" s="89">
        <f>-MIN('籌碼表(W+F)'!F182,0) * D180 -  MAX(B180-$A$2,0) * (-MIN('籌碼表(W+F)'!F182,0))</f>
        <v>0</v>
      </c>
    </row>
    <row r="181" spans="1:12" ht="13.5" customHeight="1" x14ac:dyDescent="0.25">
      <c r="A181" s="74">
        <v>24450</v>
      </c>
      <c r="B181" s="74">
        <v>24450</v>
      </c>
      <c r="C181" s="74">
        <f>IFERROR('callPut（W）'!D181+'callPut（F）'!D181,0)/2</f>
        <v>0</v>
      </c>
      <c r="D181" s="74">
        <f>IFERROR('callPut（W）'!L181+'callPut（F）'!L181,0)/2</f>
        <v>0</v>
      </c>
      <c r="E181" s="82">
        <v>474.51240611999992</v>
      </c>
      <c r="F181" s="82">
        <v>-4096.9778358300009</v>
      </c>
      <c r="G181" s="82">
        <v>-3622.4654297100014</v>
      </c>
      <c r="I181" s="89">
        <f>MAX($A$2-B181,0)*MAX('籌碼表(W+F)'!D183,0)-MAX('籌碼表(W+F)'!D183,0)*C181</f>
        <v>0</v>
      </c>
      <c r="J181" s="89">
        <f>MAX(B181-$A$2,0)*MAX('籌碼表(W+F)'!F183,0)-MAX('籌碼表(W+F)'!F183,0)*D181</f>
        <v>0</v>
      </c>
      <c r="K181" s="89">
        <f>-MIN('籌碼表(W+F)'!D183,0)*C181  - MAX($A$2-B181,0) * (-MIN('籌碼表(W+F)'!D183,0))</f>
        <v>0</v>
      </c>
      <c r="L181" s="89">
        <f>-MIN('籌碼表(W+F)'!F183,0) * D181 -  MAX(B181-$A$2,0) * (-MIN('籌碼表(W+F)'!F183,0))</f>
        <v>0</v>
      </c>
    </row>
    <row r="182" spans="1:12" ht="13.5" customHeight="1" x14ac:dyDescent="0.25">
      <c r="A182" s="74">
        <v>24500</v>
      </c>
      <c r="B182" s="74">
        <v>24500</v>
      </c>
      <c r="C182" s="74">
        <f>IFERROR('callPut（W）'!D182+'callPut（F）'!D182,0)/2</f>
        <v>3</v>
      </c>
      <c r="D182" s="74">
        <f>IFERROR('callPut（W）'!L182+'callPut（F）'!L182,0)/2</f>
        <v>0</v>
      </c>
      <c r="E182" s="82">
        <v>536.95589611999981</v>
      </c>
      <c r="F182" s="82">
        <v>-4350.2932258300007</v>
      </c>
      <c r="G182" s="82">
        <v>-3813.3373297100002</v>
      </c>
      <c r="I182" s="89">
        <f>MAX($A$2-B182,0)*MAX('籌碼表(W+F)'!D184,0)-MAX('籌碼表(W+F)'!D184,0)*C182</f>
        <v>0</v>
      </c>
      <c r="J182" s="89">
        <f>MAX(B182-$A$2,0)*MAX('籌碼表(W+F)'!F184,0)-MAX('籌碼表(W+F)'!F184,0)*D182</f>
        <v>0</v>
      </c>
      <c r="K182" s="89">
        <f>-MIN('籌碼表(W+F)'!D184,0)*C182  - MAX($A$2-B182,0) * (-MIN('籌碼表(W+F)'!D184,0))</f>
        <v>10.053600000000035</v>
      </c>
      <c r="L182" s="89">
        <f>-MIN('籌碼表(W+F)'!F184,0) * D182 -  MAX(B182-$A$2,0) * (-MIN('籌碼表(W+F)'!F184,0))</f>
        <v>0</v>
      </c>
    </row>
    <row r="183" spans="1:12" ht="13.5" customHeight="1" x14ac:dyDescent="0.25">
      <c r="A183" s="74">
        <v>24550</v>
      </c>
      <c r="B183" s="74">
        <v>24550</v>
      </c>
      <c r="C183" s="74">
        <f>IFERROR('callPut（W）'!D183+'callPut（F）'!D183,0)/2</f>
        <v>0</v>
      </c>
      <c r="D183" s="74">
        <f>IFERROR('callPut（W）'!L183+'callPut（F）'!L183,0)/2</f>
        <v>0</v>
      </c>
      <c r="E183" s="82">
        <v>599.39938611999969</v>
      </c>
      <c r="F183" s="82">
        <v>-4603.7761758300012</v>
      </c>
      <c r="G183" s="82">
        <v>-4004.3767897100001</v>
      </c>
      <c r="I183" s="89">
        <f>MAX($A$2-B183,0)*MAX('籌碼表(W+F)'!D185,0)-MAX('籌碼表(W+F)'!D185,0)*C183</f>
        <v>0</v>
      </c>
      <c r="J183" s="89">
        <f>MAX(B183-$A$2,0)*MAX('籌碼表(W+F)'!F185,0)-MAX('籌碼表(W+F)'!F185,0)*D183</f>
        <v>0</v>
      </c>
      <c r="K183" s="89">
        <f>-MIN('籌碼表(W+F)'!D185,0)*C183  - MAX($A$2-B183,0) * (-MIN('籌碼表(W+F)'!D185,0))</f>
        <v>0</v>
      </c>
      <c r="L183" s="89">
        <f>-MIN('籌碼表(W+F)'!F185,0) * D183 -  MAX(B183-$A$2,0) * (-MIN('籌碼表(W+F)'!F185,0))</f>
        <v>0</v>
      </c>
    </row>
    <row r="184" spans="1:12" ht="13.5" customHeight="1" x14ac:dyDescent="0.25">
      <c r="A184" s="74">
        <v>24600</v>
      </c>
      <c r="B184" s="74">
        <v>24600</v>
      </c>
      <c r="C184" s="74">
        <f>IFERROR('callPut（W）'!D184+'callPut（F）'!D184,0)/2</f>
        <v>1.65</v>
      </c>
      <c r="D184" s="74">
        <f>IFERROR('callPut（W）'!L184+'callPut（F）'!L184,0)/2</f>
        <v>0</v>
      </c>
      <c r="E184" s="82">
        <v>661.8428761199998</v>
      </c>
      <c r="F184" s="82">
        <v>-4857.2591258299999</v>
      </c>
      <c r="G184" s="82">
        <v>-4195.4162497100006</v>
      </c>
      <c r="I184" s="89">
        <f>MAX($A$2-B184,0)*MAX('籌碼表(W+F)'!D186,0)-MAX('籌碼表(W+F)'!D186,0)*C184</f>
        <v>0</v>
      </c>
      <c r="J184" s="89">
        <f>MAX(B184-$A$2,0)*MAX('籌碼表(W+F)'!F186,0)-MAX('籌碼表(W+F)'!F186,0)*D184</f>
        <v>0</v>
      </c>
      <c r="K184" s="89">
        <f>-MIN('籌碼表(W+F)'!D186,0)*C184  - MAX($A$2-B184,0) * (-MIN('籌碼表(W+F)'!D186,0))</f>
        <v>517.08393000000001</v>
      </c>
      <c r="L184" s="89">
        <f>-MIN('籌碼表(W+F)'!F186,0) * D184 -  MAX(B184-$A$2,0) * (-MIN('籌碼表(W+F)'!F186,0))</f>
        <v>0</v>
      </c>
    </row>
    <row r="185" spans="1:12" ht="13.5" customHeight="1" x14ac:dyDescent="0.25">
      <c r="A185" s="74">
        <v>24650</v>
      </c>
      <c r="B185" s="74">
        <v>24650</v>
      </c>
      <c r="C185" s="74">
        <f>IFERROR('callPut（W）'!D185+'callPut（F）'!D185,0)/2</f>
        <v>0</v>
      </c>
      <c r="D185" s="74">
        <f>IFERROR('callPut（W）'!L185+'callPut（F）'!L185,0)/2</f>
        <v>0</v>
      </c>
      <c r="E185" s="82">
        <v>724.2863661199998</v>
      </c>
      <c r="F185" s="82">
        <v>-5126.4112858299995</v>
      </c>
      <c r="G185" s="82">
        <v>-4402.1249197099987</v>
      </c>
      <c r="I185" s="89">
        <f>MAX($A$2-B185,0)*MAX('籌碼表(W+F)'!D187,0)-MAX('籌碼表(W+F)'!D187,0)*C185</f>
        <v>0</v>
      </c>
      <c r="J185" s="89">
        <f>MAX(B185-$A$2,0)*MAX('籌碼表(W+F)'!F187,0)-MAX('籌碼表(W+F)'!F187,0)*D185</f>
        <v>0</v>
      </c>
      <c r="K185" s="89">
        <f>-MIN('籌碼表(W+F)'!D187,0)*C185  - MAX($A$2-B185,0) * (-MIN('籌碼表(W+F)'!D187,0))</f>
        <v>0</v>
      </c>
      <c r="L185" s="89">
        <f>-MIN('籌碼表(W+F)'!F187,0) * D185 -  MAX(B185-$A$2,0) * (-MIN('籌碼表(W+F)'!F187,0))</f>
        <v>0</v>
      </c>
    </row>
    <row r="186" spans="1:12" ht="13.5" customHeight="1" x14ac:dyDescent="0.25">
      <c r="A186" s="74">
        <v>24700</v>
      </c>
      <c r="B186" s="74">
        <v>24700</v>
      </c>
      <c r="C186" s="74">
        <f>IFERROR('callPut（W）'!D186+'callPut（F）'!D186,0)/2</f>
        <v>0.8</v>
      </c>
      <c r="D186" s="74">
        <f>IFERROR('callPut（W）'!L186+'callPut（F）'!L186,0)/2</f>
        <v>0</v>
      </c>
      <c r="E186" s="82">
        <v>786.72985611999991</v>
      </c>
      <c r="F186" s="82">
        <v>-5395.5634458299992</v>
      </c>
      <c r="G186" s="82">
        <v>-4608.8335897100005</v>
      </c>
      <c r="I186" s="89">
        <f>MAX($A$2-B186,0)*MAX('籌碼表(W+F)'!D188,0)-MAX('籌碼表(W+F)'!D188,0)*C186</f>
        <v>0</v>
      </c>
      <c r="J186" s="89">
        <f>MAX(B186-$A$2,0)*MAX('籌碼表(W+F)'!F188,0)-MAX('籌碼表(W+F)'!F188,0)*D186</f>
        <v>0</v>
      </c>
      <c r="K186" s="89">
        <f>-MIN('籌碼表(W+F)'!D188,0)*C186  - MAX($A$2-B186,0) * (-MIN('籌碼表(W+F)'!D188,0))</f>
        <v>284.8</v>
      </c>
      <c r="L186" s="89">
        <f>-MIN('籌碼表(W+F)'!F188,0) * D186 -  MAX(B186-$A$2,0) * (-MIN('籌碼表(W+F)'!F188,0))</f>
        <v>0</v>
      </c>
    </row>
    <row r="187" spans="1:12" ht="13.5" customHeight="1" x14ac:dyDescent="0.25">
      <c r="A187" s="74">
        <v>24750</v>
      </c>
      <c r="B187" s="74">
        <v>24750</v>
      </c>
      <c r="C187" s="74">
        <f>IFERROR('callPut（W）'!D187+'callPut（F）'!D187,0)/2</f>
        <v>0</v>
      </c>
      <c r="D187" s="74">
        <f>IFERROR('callPut（W）'!L187+'callPut（F）'!L187,0)/2</f>
        <v>0</v>
      </c>
      <c r="E187" s="82">
        <v>849.17334611999979</v>
      </c>
      <c r="F187" s="82">
        <v>-5682.515605829999</v>
      </c>
      <c r="G187" s="82">
        <v>-4833.3422597099989</v>
      </c>
      <c r="I187" s="89">
        <f>MAX($A$2-B187,0)*MAX('籌碼表(W+F)'!D189,0)-MAX('籌碼表(W+F)'!D189,0)*C187</f>
        <v>0</v>
      </c>
      <c r="J187" s="89">
        <f>MAX(B187-$A$2,0)*MAX('籌碼表(W+F)'!F189,0)-MAX('籌碼表(W+F)'!F189,0)*D187</f>
        <v>0</v>
      </c>
      <c r="K187" s="89">
        <f>-MIN('籌碼表(W+F)'!D189,0)*C187  - MAX($A$2-B187,0) * (-MIN('籌碼表(W+F)'!D189,0))</f>
        <v>0</v>
      </c>
      <c r="L187" s="89">
        <f>-MIN('籌碼表(W+F)'!F189,0) * D187 -  MAX(B187-$A$2,0) * (-MIN('籌碼表(W+F)'!F189,0))</f>
        <v>0</v>
      </c>
    </row>
    <row r="188" spans="1:12" ht="13.5" customHeight="1" x14ac:dyDescent="0.25">
      <c r="A188" s="74">
        <v>24800</v>
      </c>
      <c r="B188" s="74">
        <v>24800</v>
      </c>
      <c r="C188" s="74">
        <f>IFERROR('callPut（W）'!D188+'callPut（F）'!D188,0)/2</f>
        <v>0.65</v>
      </c>
      <c r="D188" s="74">
        <f>IFERROR('callPut（W）'!L188+'callPut（F）'!L188,0)/2</f>
        <v>0</v>
      </c>
      <c r="E188" s="82">
        <v>911.61683611999979</v>
      </c>
      <c r="F188" s="82">
        <v>-5969.4677658299988</v>
      </c>
      <c r="G188" s="82">
        <v>-5057.8509297099999</v>
      </c>
      <c r="I188" s="89">
        <f>MAX($A$2-B188,0)*MAX('籌碼表(W+F)'!D190,0)-MAX('籌碼表(W+F)'!D190,0)*C188</f>
        <v>0</v>
      </c>
      <c r="J188" s="89">
        <f>MAX(B188-$A$2,0)*MAX('籌碼表(W+F)'!F190,0)-MAX('籌碼表(W+F)'!F190,0)*D188</f>
        <v>0</v>
      </c>
      <c r="K188" s="89">
        <f>-MIN('籌碼表(W+F)'!D190,0)*C188  - MAX($A$2-B188,0) * (-MIN('籌碼表(W+F)'!D190,0))</f>
        <v>166.4</v>
      </c>
      <c r="L188" s="89">
        <f>-MIN('籌碼表(W+F)'!F190,0) * D188 -  MAX(B188-$A$2,0) * (-MIN('籌碼表(W+F)'!F190,0))</f>
        <v>0</v>
      </c>
    </row>
    <row r="189" spans="1:12" ht="13.5" customHeight="1" x14ac:dyDescent="0.25">
      <c r="A189" s="74">
        <v>24850</v>
      </c>
      <c r="B189" s="74">
        <v>24850</v>
      </c>
      <c r="C189" s="74">
        <f>IFERROR('callPut（W）'!D189+'callPut（F）'!D189,0)/2</f>
        <v>0</v>
      </c>
      <c r="D189" s="74">
        <f>IFERROR('callPut（W）'!L189+'callPut（F）'!L189,0)/2</f>
        <v>0</v>
      </c>
      <c r="E189" s="82">
        <v>974.06032611999967</v>
      </c>
      <c r="F189" s="82">
        <v>-6269.2199258299988</v>
      </c>
      <c r="G189" s="82">
        <v>-5295.1595997099985</v>
      </c>
      <c r="I189" s="89">
        <f>MAX($A$2-B189,0)*MAX('籌碼表(W+F)'!D191,0)-MAX('籌碼表(W+F)'!D191,0)*C189</f>
        <v>0</v>
      </c>
      <c r="J189" s="89">
        <f>MAX(B189-$A$2,0)*MAX('籌碼表(W+F)'!F191,0)-MAX('籌碼表(W+F)'!F191,0)*D189</f>
        <v>0</v>
      </c>
      <c r="K189" s="89">
        <f>-MIN('籌碼表(W+F)'!D191,0)*C189  - MAX($A$2-B189,0) * (-MIN('籌碼表(W+F)'!D191,0))</f>
        <v>0</v>
      </c>
      <c r="L189" s="89">
        <f>-MIN('籌碼表(W+F)'!F191,0) * D189 -  MAX(B189-$A$2,0) * (-MIN('籌碼表(W+F)'!F191,0))</f>
        <v>0</v>
      </c>
    </row>
    <row r="190" spans="1:12" ht="13.5" customHeight="1" x14ac:dyDescent="0.25">
      <c r="A190" s="74">
        <v>24900</v>
      </c>
      <c r="B190" s="74">
        <v>24900</v>
      </c>
      <c r="C190" s="74">
        <f>IFERROR('callPut（W）'!D190+'callPut（F）'!D190,0)/2</f>
        <v>0</v>
      </c>
      <c r="D190" s="74">
        <f>IFERROR('callPut（W）'!L190+'callPut（F）'!L190,0)/2</f>
        <v>0</v>
      </c>
      <c r="E190" s="82">
        <v>1036.5038161199998</v>
      </c>
      <c r="F190" s="82">
        <v>-6568.9720858300007</v>
      </c>
      <c r="G190" s="82">
        <v>-5532.4682697100006</v>
      </c>
      <c r="I190" s="89">
        <f>MAX($A$2-B190,0)*MAX('籌碼表(W+F)'!D192,0)-MAX('籌碼表(W+F)'!D192,0)*C190</f>
        <v>0</v>
      </c>
      <c r="J190" s="89">
        <f>MAX(B190-$A$2,0)*MAX('籌碼表(W+F)'!F192,0)-MAX('籌碼表(W+F)'!F192,0)*D190</f>
        <v>0</v>
      </c>
      <c r="K190" s="89">
        <f>-MIN('籌碼表(W+F)'!D192,0)*C190  - MAX($A$2-B190,0) * (-MIN('籌碼表(W+F)'!D192,0))</f>
        <v>0</v>
      </c>
      <c r="L190" s="89">
        <f>-MIN('籌碼表(W+F)'!F192,0) * D190 -  MAX(B190-$A$2,0) * (-MIN('籌碼表(W+F)'!F192,0))</f>
        <v>0</v>
      </c>
    </row>
    <row r="191" spans="1:12" ht="13.5" customHeight="1" x14ac:dyDescent="0.25">
      <c r="A191" s="74">
        <v>24950</v>
      </c>
      <c r="B191" s="74">
        <v>24950</v>
      </c>
      <c r="C191" s="74">
        <f>IFERROR('callPut（W）'!D191+'callPut（F）'!D191,0)/2</f>
        <v>0</v>
      </c>
      <c r="D191" s="74">
        <f>IFERROR('callPut（W）'!L191+'callPut（F）'!L191,0)/2</f>
        <v>0</v>
      </c>
      <c r="E191" s="82">
        <v>1099.0973061199995</v>
      </c>
      <c r="F191" s="82">
        <v>-6868.7242458300007</v>
      </c>
      <c r="G191" s="82">
        <v>-5769.6269397099995</v>
      </c>
      <c r="I191" s="89">
        <f>MAX($A$2-B191,0)*MAX('籌碼表(W+F)'!D193,0)-MAX('籌碼表(W+F)'!D193,0)*C191</f>
        <v>0</v>
      </c>
      <c r="J191" s="89">
        <f>MAX(B191-$A$2,0)*MAX('籌碼表(W+F)'!F193,0)-MAX('籌碼表(W+F)'!F193,0)*D191</f>
        <v>0</v>
      </c>
      <c r="K191" s="89">
        <f>-MIN('籌碼表(W+F)'!D193,0)*C191  - MAX($A$2-B191,0) * (-MIN('籌碼表(W+F)'!D193,0))</f>
        <v>0</v>
      </c>
      <c r="L191" s="89">
        <f>-MIN('籌碼表(W+F)'!F193,0) * D191 -  MAX(B191-$A$2,0) * (-MIN('籌碼表(W+F)'!F193,0))</f>
        <v>0</v>
      </c>
    </row>
    <row r="192" spans="1:12" ht="13.5" customHeight="1" x14ac:dyDescent="0.25">
      <c r="A192" s="74">
        <v>25000</v>
      </c>
      <c r="B192" s="74">
        <v>25000</v>
      </c>
      <c r="C192" s="74">
        <f>IFERROR('callPut（W）'!D192+'callPut（F）'!D192,0)/2</f>
        <v>0</v>
      </c>
      <c r="D192" s="74">
        <f>IFERROR('callPut（W）'!L192+'callPut（F）'!L192,0)/2</f>
        <v>0</v>
      </c>
      <c r="E192" s="82">
        <v>1161.6907961199995</v>
      </c>
      <c r="F192" s="82">
        <v>-7168.4764058299988</v>
      </c>
      <c r="G192" s="82">
        <v>-6006.7856097099975</v>
      </c>
      <c r="I192" s="89">
        <f>MAX($A$2-B192,0)*MAX('籌碼表(W+F)'!D194,0)-MAX('籌碼表(W+F)'!D194,0)*C192</f>
        <v>0</v>
      </c>
      <c r="J192" s="89">
        <f>MAX(B192-$A$2,0)*MAX('籌碼表(W+F)'!F194,0)-MAX('籌碼表(W+F)'!F194,0)*D192</f>
        <v>0</v>
      </c>
      <c r="K192" s="89">
        <f>-MIN('籌碼表(W+F)'!D194,0)*C192  - MAX($A$2-B192,0) * (-MIN('籌碼表(W+F)'!D194,0))</f>
        <v>0</v>
      </c>
      <c r="L192" s="89">
        <f>-MIN('籌碼表(W+F)'!F194,0) * D192 -  MAX(B192-$A$2,0) * (-MIN('籌碼表(W+F)'!F194,0))</f>
        <v>0</v>
      </c>
    </row>
    <row r="193" spans="1:12" ht="13.5" customHeight="1" x14ac:dyDescent="0.25">
      <c r="A193" s="74">
        <v>25050</v>
      </c>
      <c r="B193" s="74">
        <v>25050</v>
      </c>
      <c r="C193" s="74">
        <f>IFERROR('callPut（W）'!D193+'callPut（F）'!D193,0)/2</f>
        <v>0</v>
      </c>
      <c r="D193" s="74">
        <f>IFERROR('callPut（W）'!L193+'callPut（F）'!L193,0)/2</f>
        <v>0</v>
      </c>
      <c r="E193" s="82">
        <v>1224.2842861199999</v>
      </c>
      <c r="F193" s="82">
        <v>-7468.2285658299988</v>
      </c>
      <c r="G193" s="82">
        <v>-6243.94427971</v>
      </c>
      <c r="I193" s="89">
        <f>MAX($A$2-B193,0)*MAX('籌碼表(W+F)'!D195,0)-MAX('籌碼表(W+F)'!D195,0)*C193</f>
        <v>0</v>
      </c>
      <c r="J193" s="89">
        <f>MAX(B193-$A$2,0)*MAX('籌碼表(W+F)'!F195,0)-MAX('籌碼表(W+F)'!F195,0)*D193</f>
        <v>0</v>
      </c>
      <c r="K193" s="89">
        <f>-MIN('籌碼表(W+F)'!D195,0)*C193  - MAX($A$2-B193,0) * (-MIN('籌碼表(W+F)'!D195,0))</f>
        <v>0</v>
      </c>
      <c r="L193" s="89">
        <f>-MIN('籌碼表(W+F)'!F195,0) * D193 -  MAX(B193-$A$2,0) * (-MIN('籌碼表(W+F)'!F195,0))</f>
        <v>0</v>
      </c>
    </row>
    <row r="194" spans="1:12" ht="13.5" customHeight="1" x14ac:dyDescent="0.25">
      <c r="A194" s="74">
        <v>25100</v>
      </c>
      <c r="B194" s="74">
        <v>25100</v>
      </c>
      <c r="C194" s="74">
        <f>IFERROR('callPut（W）'!D194+'callPut（F）'!D194,0)/2</f>
        <v>0</v>
      </c>
      <c r="D194" s="74">
        <f>IFERROR('callPut（W）'!L194+'callPut（F）'!L194,0)/2</f>
        <v>0</v>
      </c>
      <c r="E194" s="82">
        <v>1286.8777761199995</v>
      </c>
      <c r="F194" s="82">
        <v>-7767.9807258299998</v>
      </c>
      <c r="G194" s="82">
        <v>-6481.1029497100008</v>
      </c>
      <c r="I194" s="89">
        <f>MAX($A$2-B194,0)*MAX('籌碼表(W+F)'!D196,0)-MAX('籌碼表(W+F)'!D196,0)*C194</f>
        <v>0</v>
      </c>
      <c r="J194" s="89">
        <f>MAX(B194-$A$2,0)*MAX('籌碼表(W+F)'!F196,0)-MAX('籌碼表(W+F)'!F196,0)*D194</f>
        <v>0</v>
      </c>
      <c r="K194" s="89">
        <f>-MIN('籌碼表(W+F)'!D196,0)*C194  - MAX($A$2-B194,0) * (-MIN('籌碼表(W+F)'!D196,0))</f>
        <v>0</v>
      </c>
      <c r="L194" s="89">
        <f>-MIN('籌碼表(W+F)'!F196,0) * D194 -  MAX(B194-$A$2,0) * (-MIN('籌碼表(W+F)'!F196,0))</f>
        <v>0</v>
      </c>
    </row>
    <row r="195" spans="1:12" ht="13.5" customHeight="1" x14ac:dyDescent="0.25">
      <c r="A195" s="74">
        <v>25150</v>
      </c>
      <c r="B195" s="74">
        <v>25150</v>
      </c>
      <c r="C195" s="74">
        <f>IFERROR('callPut（W）'!D195+'callPut（F）'!D195,0)/2</f>
        <v>0</v>
      </c>
      <c r="D195" s="74">
        <f>IFERROR('callPut（W）'!L195+'callPut（F）'!L195,0)/2</f>
        <v>0</v>
      </c>
      <c r="E195" s="82">
        <v>1349.4712661199997</v>
      </c>
      <c r="F195" s="82">
        <v>-8067.7328858299988</v>
      </c>
      <c r="G195" s="82">
        <v>-6718.2616197099996</v>
      </c>
      <c r="I195" s="89">
        <f>MAX($A$2-B195,0)*MAX('籌碼表(W+F)'!D197,0)-MAX('籌碼表(W+F)'!D197,0)*C195</f>
        <v>0</v>
      </c>
      <c r="J195" s="89">
        <f>MAX(B195-$A$2,0)*MAX('籌碼表(W+F)'!F197,0)-MAX('籌碼表(W+F)'!F197,0)*D195</f>
        <v>0</v>
      </c>
      <c r="K195" s="89">
        <f>-MIN('籌碼表(W+F)'!D197,0)*C195  - MAX($A$2-B195,0) * (-MIN('籌碼表(W+F)'!D197,0))</f>
        <v>0</v>
      </c>
      <c r="L195" s="89">
        <f>-MIN('籌碼表(W+F)'!F197,0) * D195 -  MAX(B195-$A$2,0) * (-MIN('籌碼表(W+F)'!F197,0))</f>
        <v>0</v>
      </c>
    </row>
    <row r="196" spans="1:12" ht="13.5" customHeight="1" x14ac:dyDescent="0.25">
      <c r="A196" s="74">
        <v>25200</v>
      </c>
      <c r="B196" s="74">
        <v>25200</v>
      </c>
      <c r="C196" s="74">
        <f>IFERROR('callPut（W）'!D196+'callPut（F）'!D196,0)/2</f>
        <v>0</v>
      </c>
      <c r="D196" s="74">
        <f>IFERROR('callPut（W）'!L196+'callPut（F）'!L196,0)/2</f>
        <v>0</v>
      </c>
      <c r="E196" s="82">
        <v>1412.0647561199994</v>
      </c>
      <c r="F196" s="82">
        <v>-8367.4850458299989</v>
      </c>
      <c r="G196" s="82">
        <v>-6955.4202897099995</v>
      </c>
      <c r="I196" s="89">
        <f>MAX($A$2-B196,0)*MAX('籌碼表(W+F)'!D198,0)-MAX('籌碼表(W+F)'!D198,0)*C196</f>
        <v>0</v>
      </c>
      <c r="J196" s="89">
        <f>MAX(B196-$A$2,0)*MAX('籌碼表(W+F)'!F198,0)-MAX('籌碼表(W+F)'!F198,0)*D196</f>
        <v>0</v>
      </c>
      <c r="K196" s="89">
        <f>-MIN('籌碼表(W+F)'!D198,0)*C196  - MAX($A$2-B196,0) * (-MIN('籌碼表(W+F)'!D198,0))</f>
        <v>0</v>
      </c>
      <c r="L196" s="89">
        <f>-MIN('籌碼表(W+F)'!F198,0) * D196 -  MAX(B196-$A$2,0) * (-MIN('籌碼表(W+F)'!F198,0))</f>
        <v>0</v>
      </c>
    </row>
    <row r="197" spans="1:12" ht="13.5" customHeight="1" x14ac:dyDescent="0.25">
      <c r="A197" s="74">
        <v>25250</v>
      </c>
      <c r="B197" s="74">
        <v>25250</v>
      </c>
      <c r="C197" s="74">
        <f>IFERROR('callPut（W）'!D197+'callPut（F）'!D197,0)/2</f>
        <v>0</v>
      </c>
      <c r="D197" s="74">
        <f>IFERROR('callPut（W）'!L197+'callPut（F）'!L197,0)/2</f>
        <v>0</v>
      </c>
      <c r="E197" s="82">
        <v>1474.6582461199998</v>
      </c>
      <c r="F197" s="82">
        <v>-8667.2872058299963</v>
      </c>
      <c r="G197" s="82">
        <v>-7192.6289597100013</v>
      </c>
      <c r="I197" s="89">
        <f>MAX($A$2-B197,0)*MAX('籌碼表(W+F)'!D199,0)-MAX('籌碼表(W+F)'!D199,0)*C197</f>
        <v>0</v>
      </c>
      <c r="J197" s="89">
        <f>MAX(B197-$A$2,0)*MAX('籌碼表(W+F)'!F199,0)-MAX('籌碼表(W+F)'!F199,0)*D197</f>
        <v>0</v>
      </c>
      <c r="K197" s="89">
        <f>-MIN('籌碼表(W+F)'!D199,0)*C197  - MAX($A$2-B197,0) * (-MIN('籌碼表(W+F)'!D199,0))</f>
        <v>0</v>
      </c>
      <c r="L197" s="89">
        <f>-MIN('籌碼表(W+F)'!F199,0) * D197 -  MAX(B197-$A$2,0) * (-MIN('籌碼表(W+F)'!F199,0))</f>
        <v>0</v>
      </c>
    </row>
    <row r="198" spans="1:12" ht="13.5" customHeight="1" x14ac:dyDescent="0.25">
      <c r="A198" s="74">
        <v>25300</v>
      </c>
      <c r="B198" s="74">
        <v>25300</v>
      </c>
      <c r="C198" s="74">
        <f>IFERROR('callPut（W）'!D198+'callPut（F）'!D198,0)/2</f>
        <v>0</v>
      </c>
      <c r="D198" s="74">
        <f>IFERROR('callPut（W）'!L198+'callPut（F）'!L198,0)/2</f>
        <v>0</v>
      </c>
      <c r="E198" s="82">
        <v>1537.2517361199996</v>
      </c>
      <c r="F198" s="82">
        <v>-8967.0893658299992</v>
      </c>
      <c r="G198" s="82">
        <v>-7429.8376297099976</v>
      </c>
      <c r="I198" s="89">
        <f>MAX($A$2-B198,0)*MAX('籌碼表(W+F)'!D200,0)-MAX('籌碼表(W+F)'!D200,0)*C198</f>
        <v>0</v>
      </c>
      <c r="J198" s="89">
        <f>MAX(B198-$A$2,0)*MAX('籌碼表(W+F)'!F200,0)-MAX('籌碼表(W+F)'!F200,0)*D198</f>
        <v>0</v>
      </c>
      <c r="K198" s="89">
        <f>-MIN('籌碼表(W+F)'!D200,0)*C198  - MAX($A$2-B198,0) * (-MIN('籌碼表(W+F)'!D200,0))</f>
        <v>0</v>
      </c>
      <c r="L198" s="89">
        <f>-MIN('籌碼表(W+F)'!F200,0) * D198 -  MAX(B198-$A$2,0) * (-MIN('籌碼表(W+F)'!F200,0))</f>
        <v>0</v>
      </c>
    </row>
    <row r="199" spans="1:12" ht="13.5" customHeight="1" x14ac:dyDescent="0.25">
      <c r="A199" s="74">
        <v>25350</v>
      </c>
      <c r="B199" s="74">
        <v>25350</v>
      </c>
      <c r="C199" s="74">
        <f>IFERROR('callPut（W）'!D199+'callPut（F）'!D199,0)/2</f>
        <v>0</v>
      </c>
      <c r="D199" s="74">
        <f>IFERROR('callPut（W）'!L199+'callPut（F）'!L199,0)/2</f>
        <v>0</v>
      </c>
      <c r="E199" s="82">
        <v>1599.8452261199996</v>
      </c>
      <c r="F199" s="82">
        <v>-9266.941525829996</v>
      </c>
      <c r="G199" s="82">
        <v>-7667.0962997100014</v>
      </c>
      <c r="I199" s="89">
        <f>MAX($A$2-B199,0)*MAX('籌碼表(W+F)'!D201,0)-MAX('籌碼表(W+F)'!D201,0)*C199</f>
        <v>0</v>
      </c>
      <c r="J199" s="89">
        <f>MAX(B199-$A$2,0)*MAX('籌碼表(W+F)'!F201,0)-MAX('籌碼表(W+F)'!F201,0)*D199</f>
        <v>0</v>
      </c>
      <c r="K199" s="89">
        <f>-MIN('籌碼表(W+F)'!D201,0)*C199  - MAX($A$2-B199,0) * (-MIN('籌碼表(W+F)'!D201,0))</f>
        <v>0</v>
      </c>
      <c r="L199" s="89">
        <f>-MIN('籌碼表(W+F)'!F201,0) * D199 -  MAX(B199-$A$2,0) * (-MIN('籌碼表(W+F)'!F201,0))</f>
        <v>0</v>
      </c>
    </row>
    <row r="200" spans="1:12" ht="13.5" customHeight="1" x14ac:dyDescent="0.25">
      <c r="A200" s="74">
        <v>25400</v>
      </c>
      <c r="B200" s="74">
        <v>25400</v>
      </c>
      <c r="C200" s="74">
        <f>IFERROR('callPut（W）'!D200+'callPut（F）'!D200,0)/2</f>
        <v>0.2</v>
      </c>
      <c r="D200" s="74">
        <f>IFERROR('callPut（W）'!L200+'callPut（F）'!L200,0)/2</f>
        <v>0</v>
      </c>
      <c r="E200" s="82">
        <v>1662.4387161199995</v>
      </c>
      <c r="F200" s="82">
        <v>-9566.7936858299963</v>
      </c>
      <c r="G200" s="82">
        <v>-7904.3549697099998</v>
      </c>
      <c r="I200" s="89">
        <f>MAX($A$2-B200,0)*MAX('籌碼表(W+F)'!D202,0)-MAX('籌碼表(W+F)'!D202,0)*C200</f>
        <v>0</v>
      </c>
      <c r="J200" s="89">
        <f>MAX(B200-$A$2,0)*MAX('籌碼表(W+F)'!F202,0)-MAX('籌碼表(W+F)'!F202,0)*D200</f>
        <v>0</v>
      </c>
      <c r="K200" s="89">
        <f>-MIN('籌碼表(W+F)'!D202,0)*C200  - MAX($A$2-B200,0) * (-MIN('籌碼表(W+F)'!D202,0))</f>
        <v>0.8</v>
      </c>
      <c r="L200" s="89">
        <f>-MIN('籌碼表(W+F)'!F202,0) * D200 -  MAX(B200-$A$2,0) * (-MIN('籌碼表(W+F)'!F202,0))</f>
        <v>0</v>
      </c>
    </row>
    <row r="201" spans="1:12" ht="13.5" customHeight="1" x14ac:dyDescent="0.25">
      <c r="A201" s="74">
        <v>25450</v>
      </c>
      <c r="B201" s="74">
        <v>25450</v>
      </c>
      <c r="C201" s="74">
        <f>IFERROR('callPut（W）'!D201+'callPut（F）'!D201,0)/2</f>
        <v>0</v>
      </c>
      <c r="D201" s="74">
        <f>IFERROR('callPut（W）'!L201+'callPut（F）'!L201,0)/2</f>
        <v>0</v>
      </c>
      <c r="E201" s="82">
        <v>1725.0322061199993</v>
      </c>
      <c r="F201" s="82">
        <v>-9866.8458458299956</v>
      </c>
      <c r="G201" s="82">
        <v>-8141.8136397099979</v>
      </c>
      <c r="I201" s="89">
        <f>MAX($A$2-B201,0)*MAX('籌碼表(W+F)'!D203,0)-MAX('籌碼表(W+F)'!D203,0)*C201</f>
        <v>0</v>
      </c>
      <c r="J201" s="89">
        <f>MAX(B201-$A$2,0)*MAX('籌碼表(W+F)'!F203,0)-MAX('籌碼表(W+F)'!F203,0)*D201</f>
        <v>0</v>
      </c>
      <c r="K201" s="89">
        <f>-MIN('籌碼表(W+F)'!D203,0)*C201  - MAX($A$2-B201,0) * (-MIN('籌碼表(W+F)'!D203,0))</f>
        <v>0</v>
      </c>
      <c r="L201" s="89">
        <f>-MIN('籌碼表(W+F)'!F203,0) * D201 -  MAX(B201-$A$2,0) * (-MIN('籌碼表(W+F)'!F203,0))</f>
        <v>0</v>
      </c>
    </row>
    <row r="202" spans="1:12" ht="13.5" customHeight="1" x14ac:dyDescent="0.25">
      <c r="A202" s="74">
        <v>25500</v>
      </c>
      <c r="B202" s="74">
        <v>25500</v>
      </c>
      <c r="C202" s="74">
        <f>IFERROR('callPut（W）'!D202+'callPut（F）'!D202,0)/2</f>
        <v>0.2</v>
      </c>
      <c r="D202" s="74">
        <f>IFERROR('callPut（W）'!L202+'callPut（F）'!L202,0)/2</f>
        <v>0</v>
      </c>
      <c r="E202" s="82">
        <v>1787.6256961199995</v>
      </c>
      <c r="F202" s="82">
        <v>-10166.898005829999</v>
      </c>
      <c r="G202" s="82">
        <v>-8379.2723097099988</v>
      </c>
      <c r="I202" s="89">
        <f>MAX($A$2-B202,0)*MAX('籌碼表(W+F)'!D204,0)-MAX('籌碼表(W+F)'!D204,0)*C202</f>
        <v>0</v>
      </c>
      <c r="J202" s="89">
        <f>MAX(B202-$A$2,0)*MAX('籌碼表(W+F)'!F204,0)-MAX('籌碼表(W+F)'!F204,0)*D202</f>
        <v>0</v>
      </c>
      <c r="K202" s="89">
        <f>-MIN('籌碼表(W+F)'!D204,0)*C202  - MAX($A$2-B202,0) * (-MIN('籌碼表(W+F)'!D204,0))</f>
        <v>1.8</v>
      </c>
      <c r="L202" s="89">
        <f>-MIN('籌碼表(W+F)'!F204,0) * D202 -  MAX(B202-$A$2,0) * (-MIN('籌碼表(W+F)'!F204,0))</f>
        <v>0</v>
      </c>
    </row>
    <row r="203" spans="1:12" ht="13.5" customHeight="1" x14ac:dyDescent="0.25">
      <c r="A203" s="74">
        <v>25550</v>
      </c>
      <c r="B203" s="74">
        <v>25550</v>
      </c>
      <c r="C203" s="74">
        <f>IFERROR('callPut（W）'!D203+'callPut（F）'!D203,0)/2</f>
        <v>0</v>
      </c>
      <c r="D203" s="74">
        <f>IFERROR('callPut（W）'!L203+'callPut（F）'!L203,0)/2</f>
        <v>0</v>
      </c>
      <c r="E203" s="82">
        <v>1850.2191861199994</v>
      </c>
      <c r="F203" s="82">
        <v>-10467.400165829997</v>
      </c>
      <c r="G203" s="82">
        <v>-8617.1809797099959</v>
      </c>
      <c r="I203" s="89">
        <f>MAX($A$2-B203,0)*MAX('籌碼表(W+F)'!D205,0)-MAX('籌碼表(W+F)'!D205,0)*C203</f>
        <v>0</v>
      </c>
      <c r="J203" s="89">
        <f>MAX(B203-$A$2,0)*MAX('籌碼表(W+F)'!F205,0)-MAX('籌碼表(W+F)'!F205,0)*D203</f>
        <v>0</v>
      </c>
      <c r="K203" s="89">
        <f>-MIN('籌碼表(W+F)'!D205,0)*C203  - MAX($A$2-B203,0) * (-MIN('籌碼表(W+F)'!D205,0))</f>
        <v>0</v>
      </c>
      <c r="L203" s="89">
        <f>-MIN('籌碼表(W+F)'!F205,0) * D203 -  MAX(B203-$A$2,0) * (-MIN('籌碼表(W+F)'!F205,0))</f>
        <v>0</v>
      </c>
    </row>
    <row r="204" spans="1:12" ht="13.5" customHeight="1" x14ac:dyDescent="0.25">
      <c r="A204" s="74">
        <v>25600</v>
      </c>
      <c r="B204" s="74">
        <v>25600</v>
      </c>
      <c r="C204" s="74">
        <f>IFERROR('callPut（W）'!D204+'callPut（F）'!D204,0)/2</f>
        <v>0</v>
      </c>
      <c r="D204" s="74">
        <f>IFERROR('callPut（W）'!L204+'callPut（F）'!L204,0)/2</f>
        <v>0</v>
      </c>
      <c r="E204" s="82">
        <v>1912.8126761199994</v>
      </c>
      <c r="F204" s="82">
        <v>-10767.902325829999</v>
      </c>
      <c r="G204" s="82">
        <v>-8855.0896497099966</v>
      </c>
      <c r="I204" s="89">
        <f>MAX($A$2-B204,0)*MAX('籌碼表(W+F)'!D206,0)-MAX('籌碼表(W+F)'!D206,0)*C204</f>
        <v>0</v>
      </c>
      <c r="J204" s="89">
        <f>MAX(B204-$A$2,0)*MAX('籌碼表(W+F)'!F206,0)-MAX('籌碼表(W+F)'!F206,0)*D204</f>
        <v>0</v>
      </c>
      <c r="K204" s="89">
        <f>-MIN('籌碼表(W+F)'!D206,0)*C204  - MAX($A$2-B204,0) * (-MIN('籌碼表(W+F)'!D206,0))</f>
        <v>0</v>
      </c>
      <c r="L204" s="89">
        <f>-MIN('籌碼表(W+F)'!F206,0) * D204 -  MAX(B204-$A$2,0) * (-MIN('籌碼表(W+F)'!F206,0))</f>
        <v>0</v>
      </c>
    </row>
    <row r="205" spans="1:12" ht="13.5" customHeight="1" x14ac:dyDescent="0.25">
      <c r="A205" s="74">
        <v>25650</v>
      </c>
      <c r="B205" s="74">
        <v>25650</v>
      </c>
      <c r="C205" s="74">
        <f>IFERROR('callPut（W）'!D205+'callPut（F）'!D205,0)/2</f>
        <v>0</v>
      </c>
      <c r="D205" s="74">
        <f>IFERROR('callPut（W）'!L205+'callPut（F）'!L205,0)/2</f>
        <v>0</v>
      </c>
      <c r="E205" s="82">
        <v>1975.4061661199992</v>
      </c>
      <c r="F205" s="82">
        <v>-11068.404485829999</v>
      </c>
      <c r="G205" s="82">
        <v>-9092.9983197099973</v>
      </c>
      <c r="I205" s="89">
        <f>MAX($A$2-B205,0)*MAX('籌碼表(W+F)'!D207,0)-MAX('籌碼表(W+F)'!D207,0)*C205</f>
        <v>0</v>
      </c>
      <c r="J205" s="89">
        <f>MAX(B205-$A$2,0)*MAX('籌碼表(W+F)'!F207,0)-MAX('籌碼表(W+F)'!F207,0)*D205</f>
        <v>0</v>
      </c>
      <c r="K205" s="89">
        <f>-MIN('籌碼表(W+F)'!D207,0)*C205  - MAX($A$2-B205,0) * (-MIN('籌碼表(W+F)'!D207,0))</f>
        <v>0</v>
      </c>
      <c r="L205" s="89">
        <f>-MIN('籌碼表(W+F)'!F207,0) * D205 -  MAX(B205-$A$2,0) * (-MIN('籌碼表(W+F)'!F207,0))</f>
        <v>0</v>
      </c>
    </row>
    <row r="206" spans="1:12" ht="13.5" customHeight="1" x14ac:dyDescent="0.25">
      <c r="A206" s="74">
        <v>25700</v>
      </c>
      <c r="B206" s="74">
        <v>25700</v>
      </c>
      <c r="C206" s="74">
        <f>IFERROR('callPut（W）'!D206+'callPut（F）'!D206,0)/2</f>
        <v>0</v>
      </c>
      <c r="D206" s="74">
        <f>IFERROR('callPut（W）'!L206+'callPut（F）'!L206,0)/2</f>
        <v>0</v>
      </c>
      <c r="E206" s="82">
        <v>2037.9996561199996</v>
      </c>
      <c r="F206" s="82">
        <v>-11368.906645829999</v>
      </c>
      <c r="G206" s="82">
        <v>-9330.9069897099998</v>
      </c>
      <c r="I206" s="89">
        <f>MAX($A$2-B206,0)*MAX('籌碼表(W+F)'!D208,0)-MAX('籌碼表(W+F)'!D208,0)*C206</f>
        <v>0</v>
      </c>
      <c r="J206" s="89">
        <f>MAX(B206-$A$2,0)*MAX('籌碼表(W+F)'!F208,0)-MAX('籌碼表(W+F)'!F208,0)*D206</f>
        <v>0</v>
      </c>
      <c r="K206" s="89">
        <f>-MIN('籌碼表(W+F)'!D208,0)*C206  - MAX($A$2-B206,0) * (-MIN('籌碼表(W+F)'!D208,0))</f>
        <v>0</v>
      </c>
      <c r="L206" s="89">
        <f>-MIN('籌碼表(W+F)'!F208,0) * D206 -  MAX(B206-$A$2,0) * (-MIN('籌碼表(W+F)'!F208,0))</f>
        <v>0</v>
      </c>
    </row>
    <row r="207" spans="1:12" ht="13.5" customHeight="1" x14ac:dyDescent="0.25">
      <c r="A207" s="74">
        <v>25750</v>
      </c>
      <c r="B207" s="74">
        <v>25750</v>
      </c>
      <c r="C207" s="74">
        <f>IFERROR('callPut（W）'!D207+'callPut（F）'!D207,0)/2</f>
        <v>0</v>
      </c>
      <c r="D207" s="74">
        <f>IFERROR('callPut（W）'!L207+'callPut（F）'!L207,0)/2</f>
        <v>0</v>
      </c>
      <c r="E207" s="82">
        <v>2100.5931461199993</v>
      </c>
      <c r="F207" s="82">
        <v>-11669.408805829997</v>
      </c>
      <c r="G207" s="82">
        <v>-9568.8156597099969</v>
      </c>
      <c r="I207" s="89">
        <f>MAX($A$2-B207,0)*MAX('籌碼表(W+F)'!D209,0)-MAX('籌碼表(W+F)'!D209,0)*C207</f>
        <v>0</v>
      </c>
      <c r="J207" s="89">
        <f>MAX(B207-$A$2,0)*MAX('籌碼表(W+F)'!F209,0)-MAX('籌碼表(W+F)'!F209,0)*D207</f>
        <v>0</v>
      </c>
      <c r="K207" s="89">
        <f>-MIN('籌碼表(W+F)'!D209,0)*C207  - MAX($A$2-B207,0) * (-MIN('籌碼表(W+F)'!D209,0))</f>
        <v>0</v>
      </c>
      <c r="L207" s="89">
        <f>-MIN('籌碼表(W+F)'!F209,0) * D207 -  MAX(B207-$A$2,0) * (-MIN('籌碼表(W+F)'!F209,0))</f>
        <v>0</v>
      </c>
    </row>
    <row r="208" spans="1:12" ht="13.5" customHeight="1" x14ac:dyDescent="0.25">
      <c r="A208" s="74">
        <v>25800</v>
      </c>
      <c r="B208" s="74">
        <v>25800</v>
      </c>
      <c r="C208" s="74">
        <f>IFERROR('callPut（W）'!D208+'callPut（F）'!D208,0)/2</f>
        <v>0</v>
      </c>
      <c r="D208" s="74">
        <f>IFERROR('callPut（W）'!L208+'callPut（F）'!L208,0)/2</f>
        <v>0</v>
      </c>
      <c r="E208" s="82">
        <v>2163.1866361199995</v>
      </c>
      <c r="F208" s="82">
        <v>-11969.91096583</v>
      </c>
      <c r="G208" s="82">
        <v>-9806.7243297099994</v>
      </c>
      <c r="I208" s="89">
        <f>MAX($A$2-B208,0)*MAX('籌碼表(W+F)'!D210,0)-MAX('籌碼表(W+F)'!D210,0)*C208</f>
        <v>0</v>
      </c>
      <c r="J208" s="89">
        <f>MAX(B208-$A$2,0)*MAX('籌碼表(W+F)'!F210,0)-MAX('籌碼表(W+F)'!F210,0)*D208</f>
        <v>0</v>
      </c>
      <c r="K208" s="89">
        <f>-MIN('籌碼表(W+F)'!D210,0)*C208  - MAX($A$2-B208,0) * (-MIN('籌碼表(W+F)'!D210,0))</f>
        <v>0</v>
      </c>
      <c r="L208" s="89">
        <f>-MIN('籌碼表(W+F)'!F210,0) * D208 -  MAX(B208-$A$2,0) * (-MIN('籌碼表(W+F)'!F210,0))</f>
        <v>0</v>
      </c>
    </row>
    <row r="209" spans="1:12" ht="13.5" customHeight="1" x14ac:dyDescent="0.25">
      <c r="A209" s="74">
        <v>25850</v>
      </c>
      <c r="B209" s="74">
        <v>25850</v>
      </c>
      <c r="C209" s="74">
        <f>IFERROR('callPut（W）'!D209+'callPut（F）'!D209,0)/2</f>
        <v>0</v>
      </c>
      <c r="D209" s="74">
        <f>IFERROR('callPut（W）'!L209+'callPut（F）'!L209,0)/2</f>
        <v>0</v>
      </c>
      <c r="E209" s="82">
        <v>2225.7801261199993</v>
      </c>
      <c r="F209" s="82">
        <v>-12270.413125829999</v>
      </c>
      <c r="G209" s="82">
        <v>-10044.63299971</v>
      </c>
      <c r="I209" s="89">
        <f>MAX($A$2-B209,0)*MAX('籌碼表(W+F)'!D211,0)-MAX('籌碼表(W+F)'!D211,0)*C209</f>
        <v>0</v>
      </c>
      <c r="J209" s="89">
        <f>MAX(B209-$A$2,0)*MAX('籌碼表(W+F)'!F211,0)-MAX('籌碼表(W+F)'!F211,0)*D209</f>
        <v>0</v>
      </c>
      <c r="K209" s="89">
        <f>-MIN('籌碼表(W+F)'!D211,0)*C209  - MAX($A$2-B209,0) * (-MIN('籌碼表(W+F)'!D211,0))</f>
        <v>0</v>
      </c>
      <c r="L209" s="89">
        <f>-MIN('籌碼表(W+F)'!F211,0) * D209 -  MAX(B209-$A$2,0) * (-MIN('籌碼表(W+F)'!F211,0))</f>
        <v>0</v>
      </c>
    </row>
    <row r="210" spans="1:12" ht="13.5" customHeight="1" x14ac:dyDescent="0.25">
      <c r="A210" s="74">
        <v>25900</v>
      </c>
      <c r="B210" s="74">
        <v>25900</v>
      </c>
      <c r="C210" s="74">
        <f>IFERROR('callPut（W）'!D210+'callPut（F）'!D210,0)/2</f>
        <v>0</v>
      </c>
      <c r="D210" s="74">
        <f>IFERROR('callPut（W）'!L210+'callPut（F）'!L210,0)/2</f>
        <v>0</v>
      </c>
      <c r="E210" s="82">
        <v>2288.3736161199995</v>
      </c>
      <c r="F210" s="82">
        <v>-12570.915285829997</v>
      </c>
      <c r="G210" s="82">
        <v>-10282.541669709997</v>
      </c>
      <c r="I210" s="89">
        <f>MAX($A$2-B210,0)*MAX('籌碼表(W+F)'!D212,0)-MAX('籌碼表(W+F)'!D212,0)*C210</f>
        <v>0</v>
      </c>
      <c r="J210" s="89">
        <f>MAX(B210-$A$2,0)*MAX('籌碼表(W+F)'!F212,0)-MAX('籌碼表(W+F)'!F212,0)*D210</f>
        <v>0</v>
      </c>
      <c r="K210" s="89">
        <f>-MIN('籌碼表(W+F)'!D212,0)*C210  - MAX($A$2-B210,0) * (-MIN('籌碼表(W+F)'!D212,0))</f>
        <v>0</v>
      </c>
      <c r="L210" s="89">
        <f>-MIN('籌碼表(W+F)'!F212,0) * D210 -  MAX(B210-$A$2,0) * (-MIN('籌碼表(W+F)'!F212,0))</f>
        <v>0</v>
      </c>
    </row>
    <row r="211" spans="1:12" ht="13.5" customHeight="1" x14ac:dyDescent="0.25">
      <c r="A211" s="74">
        <v>25950</v>
      </c>
      <c r="B211" s="74">
        <v>25950</v>
      </c>
      <c r="C211" s="74">
        <f>IFERROR('callPut（W）'!D211+'callPut（F）'!D211,0)/2</f>
        <v>0</v>
      </c>
      <c r="D211" s="74">
        <f>IFERROR('callPut（W）'!L211+'callPut（F）'!L211,0)/2</f>
        <v>0</v>
      </c>
      <c r="E211" s="82">
        <v>2350.9671061199997</v>
      </c>
      <c r="F211" s="82">
        <v>-12871.417445829999</v>
      </c>
      <c r="G211" s="82">
        <v>-10520.450339709998</v>
      </c>
      <c r="I211" s="89">
        <f>MAX($A$2-B211,0)*MAX('籌碼表(W+F)'!D213,0)-MAX('籌碼表(W+F)'!D213,0)*C211</f>
        <v>0</v>
      </c>
      <c r="J211" s="89">
        <f>MAX(B211-$A$2,0)*MAX('籌碼表(W+F)'!F213,0)-MAX('籌碼表(W+F)'!F213,0)*D211</f>
        <v>0</v>
      </c>
      <c r="K211" s="89">
        <f>-MIN('籌碼表(W+F)'!D213,0)*C211  - MAX($A$2-B211,0) * (-MIN('籌碼表(W+F)'!D213,0))</f>
        <v>0</v>
      </c>
      <c r="L211" s="89">
        <f>-MIN('籌碼表(W+F)'!F213,0) * D211 -  MAX(B211-$A$2,0) * (-MIN('籌碼表(W+F)'!F213,0))</f>
        <v>0</v>
      </c>
    </row>
    <row r="212" spans="1:12" ht="13.5" customHeight="1" x14ac:dyDescent="0.25">
      <c r="A212" s="74">
        <v>26000</v>
      </c>
      <c r="B212" s="74">
        <v>26000</v>
      </c>
      <c r="C212" s="74">
        <f>IFERROR('callPut（W）'!D212+'callPut（F）'!D212,0)/2</f>
        <v>0</v>
      </c>
      <c r="D212" s="74">
        <f>IFERROR('callPut（W）'!L212+'callPut（F）'!L212,0)/2</f>
        <v>0</v>
      </c>
      <c r="E212" s="82">
        <v>2413.5605961199994</v>
      </c>
      <c r="F212" s="82">
        <v>-13171.919605829999</v>
      </c>
      <c r="G212" s="82">
        <v>-10758.359009709999</v>
      </c>
      <c r="I212" s="89">
        <f>MAX($A$2-B212,0)*MAX('籌碼表(W+F)'!D214,0)-MAX('籌碼表(W+F)'!D214,0)*C212</f>
        <v>0</v>
      </c>
      <c r="J212" s="89">
        <f>MAX(B212-$A$2,0)*MAX('籌碼表(W+F)'!F214,0)-MAX('籌碼表(W+F)'!F214,0)*D212</f>
        <v>0</v>
      </c>
      <c r="K212" s="89">
        <f>-MIN('籌碼表(W+F)'!D214,0)*C212  - MAX($A$2-B212,0) * (-MIN('籌碼表(W+F)'!D214,0))</f>
        <v>0</v>
      </c>
      <c r="L212" s="89">
        <f>-MIN('籌碼表(W+F)'!F214,0) * D212 -  MAX(B212-$A$2,0) * (-MIN('籌碼表(W+F)'!F214,0))</f>
        <v>0</v>
      </c>
    </row>
    <row r="213" spans="1:12" ht="13.5" customHeight="1" x14ac:dyDescent="0.25">
      <c r="A213" s="74">
        <v>26050</v>
      </c>
      <c r="B213" s="74">
        <v>26050</v>
      </c>
      <c r="C213" s="74">
        <f>IFERROR('callPut（W）'!D213+'callPut（F）'!D213,0)/2</f>
        <v>0</v>
      </c>
      <c r="D213" s="74">
        <f>IFERROR('callPut（W）'!L213+'callPut（F）'!L213,0)/2</f>
        <v>0</v>
      </c>
      <c r="E213" s="82">
        <v>2476.1540861199996</v>
      </c>
      <c r="F213" s="82">
        <v>-13472.421765829995</v>
      </c>
      <c r="G213" s="82">
        <v>-10996.267679709998</v>
      </c>
      <c r="I213" s="89">
        <f>MAX($A$2-B213,0)*MAX('籌碼表(W+F)'!D215,0)-MAX('籌碼表(W+F)'!D215,0)*C213</f>
        <v>0</v>
      </c>
      <c r="J213" s="89">
        <f>MAX(B213-$A$2,0)*MAX('籌碼表(W+F)'!F215,0)-MAX('籌碼表(W+F)'!F215,0)*D213</f>
        <v>0</v>
      </c>
      <c r="K213" s="89">
        <f>-MIN('籌碼表(W+F)'!D215,0)*C213  - MAX($A$2-B213,0) * (-MIN('籌碼表(W+F)'!D215,0))</f>
        <v>0</v>
      </c>
      <c r="L213" s="89">
        <f>-MIN('籌碼表(W+F)'!F215,0) * D213 -  MAX(B213-$A$2,0) * (-MIN('籌碼表(W+F)'!F215,0))</f>
        <v>0</v>
      </c>
    </row>
    <row r="214" spans="1:12" ht="13.5" customHeight="1" x14ac:dyDescent="0.25">
      <c r="A214" s="74">
        <v>26100</v>
      </c>
      <c r="B214" s="74">
        <v>26100</v>
      </c>
      <c r="C214" s="74">
        <f>IFERROR('callPut（W）'!D214+'callPut（F）'!D214,0)/2</f>
        <v>0</v>
      </c>
      <c r="D214" s="74">
        <f>IFERROR('callPut（W）'!L214+'callPut（F）'!L214,0)/2</f>
        <v>0</v>
      </c>
      <c r="E214" s="82">
        <v>2538.7475761199994</v>
      </c>
      <c r="F214" s="82">
        <v>-13772.923925829997</v>
      </c>
      <c r="G214" s="82">
        <v>-11234.176349709996</v>
      </c>
      <c r="I214" s="89">
        <f>MAX($A$2-B214,0)*MAX('籌碼表(W+F)'!D216,0)-MAX('籌碼表(W+F)'!D216,0)*C214</f>
        <v>0</v>
      </c>
      <c r="J214" s="89">
        <f>MAX(B214-$A$2,0)*MAX('籌碼表(W+F)'!F216,0)-MAX('籌碼表(W+F)'!F216,0)*D214</f>
        <v>0</v>
      </c>
      <c r="K214" s="89">
        <f>-MIN('籌碼表(W+F)'!D216,0)*C214  - MAX($A$2-B214,0) * (-MIN('籌碼表(W+F)'!D216,0))</f>
        <v>0</v>
      </c>
      <c r="L214" s="89">
        <f>-MIN('籌碼表(W+F)'!F216,0) * D214 -  MAX(B214-$A$2,0) * (-MIN('籌碼表(W+F)'!F216,0))</f>
        <v>0</v>
      </c>
    </row>
    <row r="215" spans="1:12" ht="13.5" customHeight="1" x14ac:dyDescent="0.25">
      <c r="A215" s="74">
        <v>26150</v>
      </c>
      <c r="B215" s="74">
        <v>26150</v>
      </c>
      <c r="C215" s="74">
        <f>IFERROR('callPut（W）'!D215+'callPut（F）'!D215,0)/2</f>
        <v>0</v>
      </c>
      <c r="D215" s="74">
        <f>IFERROR('callPut（W）'!L215+'callPut（F）'!L215,0)/2</f>
        <v>0</v>
      </c>
      <c r="E215" s="82">
        <v>2601.3410661199996</v>
      </c>
      <c r="F215" s="82">
        <v>-14073.426085829999</v>
      </c>
      <c r="G215" s="82">
        <v>-11472.085019709999</v>
      </c>
      <c r="I215" s="89">
        <f>MAX($A$2-B215,0)*MAX('籌碼表(W+F)'!D217,0)-MAX('籌碼表(W+F)'!D217,0)*C215</f>
        <v>0</v>
      </c>
      <c r="J215" s="89">
        <f>MAX(B215-$A$2,0)*MAX('籌碼表(W+F)'!F217,0)-MAX('籌碼表(W+F)'!F217,0)*D215</f>
        <v>0</v>
      </c>
      <c r="K215" s="89">
        <f>-MIN('籌碼表(W+F)'!D217,0)*C215  - MAX($A$2-B215,0) * (-MIN('籌碼表(W+F)'!D217,0))</f>
        <v>0</v>
      </c>
      <c r="L215" s="89">
        <f>-MIN('籌碼表(W+F)'!F217,0) * D215 -  MAX(B215-$A$2,0) * (-MIN('籌碼表(W+F)'!F217,0))</f>
        <v>0</v>
      </c>
    </row>
    <row r="216" spans="1:12" ht="13.5" customHeight="1" x14ac:dyDescent="0.25">
      <c r="A216" s="74">
        <v>26200</v>
      </c>
      <c r="B216" s="74">
        <v>26200</v>
      </c>
      <c r="C216" s="74">
        <f>IFERROR('callPut（W）'!D216+'callPut（F）'!D216,0)/2</f>
        <v>0</v>
      </c>
      <c r="D216" s="74">
        <f>IFERROR('callPut（W）'!L216+'callPut（F）'!L216,0)/2</f>
        <v>0</v>
      </c>
      <c r="E216" s="82">
        <v>2663.9345561199993</v>
      </c>
      <c r="F216" s="82">
        <v>-14373.928245829999</v>
      </c>
      <c r="G216" s="82">
        <v>-11709.99368971</v>
      </c>
      <c r="I216" s="89">
        <f>MAX($A$2-B216,0)*MAX('籌碼表(W+F)'!D218,0)-MAX('籌碼表(W+F)'!D218,0)*C216</f>
        <v>0</v>
      </c>
      <c r="J216" s="89">
        <f>MAX(B216-$A$2,0)*MAX('籌碼表(W+F)'!F218,0)-MAX('籌碼表(W+F)'!F218,0)*D216</f>
        <v>0</v>
      </c>
      <c r="K216" s="89">
        <f>-MIN('籌碼表(W+F)'!D218,0)*C216  - MAX($A$2-B216,0) * (-MIN('籌碼表(W+F)'!D218,0))</f>
        <v>0</v>
      </c>
      <c r="L216" s="89">
        <f>-MIN('籌碼表(W+F)'!F218,0) * D216 -  MAX(B216-$A$2,0) * (-MIN('籌碼表(W+F)'!F218,0))</f>
        <v>0</v>
      </c>
    </row>
    <row r="217" spans="1:12" ht="13.5" customHeight="1" x14ac:dyDescent="0.25">
      <c r="A217" s="74">
        <v>26250</v>
      </c>
      <c r="B217" s="74">
        <v>26250</v>
      </c>
      <c r="C217" s="74">
        <f>IFERROR('callPut（W）'!D217+'callPut（F）'!D217,0)/2</f>
        <v>0</v>
      </c>
      <c r="D217" s="74">
        <f>IFERROR('callPut（W）'!L217+'callPut（F）'!L217,0)/2</f>
        <v>0</v>
      </c>
      <c r="E217" s="82">
        <v>2726.5280461199991</v>
      </c>
      <c r="F217" s="82">
        <v>-14674.430405829999</v>
      </c>
      <c r="G217" s="82">
        <v>-11947.902359709997</v>
      </c>
      <c r="I217" s="89">
        <f>MAX($A$2-B217,0)*MAX('籌碼表(W+F)'!D219,0)-MAX('籌碼表(W+F)'!D219,0)*C217</f>
        <v>0</v>
      </c>
      <c r="J217" s="89">
        <f>MAX(B217-$A$2,0)*MAX('籌碼表(W+F)'!F219,0)-MAX('籌碼表(W+F)'!F219,0)*D217</f>
        <v>0</v>
      </c>
      <c r="K217" s="89">
        <f>-MIN('籌碼表(W+F)'!D219,0)*C217  - MAX($A$2-B217,0) * (-MIN('籌碼表(W+F)'!D219,0))</f>
        <v>0</v>
      </c>
      <c r="L217" s="89">
        <f>-MIN('籌碼表(W+F)'!F219,0) * D217 -  MAX(B217-$A$2,0) * (-MIN('籌碼表(W+F)'!F219,0))</f>
        <v>0</v>
      </c>
    </row>
    <row r="218" spans="1:12" ht="13.5" customHeight="1" x14ac:dyDescent="0.25">
      <c r="A218" s="74">
        <v>26300</v>
      </c>
      <c r="B218" s="74">
        <v>26300</v>
      </c>
      <c r="C218" s="74">
        <f>IFERROR('callPut（W）'!D218+'callPut（F）'!D218,0)/2</f>
        <v>0</v>
      </c>
      <c r="D218" s="74">
        <f>IFERROR('callPut（W）'!L218+'callPut（F）'!L218,0)/2</f>
        <v>0</v>
      </c>
      <c r="E218" s="82">
        <v>2789.1215361199993</v>
      </c>
      <c r="F218" s="82">
        <v>-14974.932565829997</v>
      </c>
      <c r="G218" s="82">
        <v>-12185.811029709999</v>
      </c>
      <c r="I218" s="89">
        <f>MAX($A$2-B218,0)*MAX('籌碼表(W+F)'!D220,0)-MAX('籌碼表(W+F)'!D220,0)*C218</f>
        <v>0</v>
      </c>
      <c r="J218" s="89">
        <f>MAX(B218-$A$2,0)*MAX('籌碼表(W+F)'!F220,0)-MAX('籌碼表(W+F)'!F220,0)*D218</f>
        <v>0</v>
      </c>
      <c r="K218" s="89">
        <f>-MIN('籌碼表(W+F)'!D220,0)*C218  - MAX($A$2-B218,0) * (-MIN('籌碼表(W+F)'!D220,0))</f>
        <v>0</v>
      </c>
      <c r="L218" s="89">
        <f>-MIN('籌碼表(W+F)'!F220,0) * D218 -  MAX(B218-$A$2,0) * (-MIN('籌碼表(W+F)'!F220,0))</f>
        <v>0</v>
      </c>
    </row>
    <row r="219" spans="1:12" ht="13.5" customHeight="1" x14ac:dyDescent="0.25">
      <c r="A219" s="74">
        <v>26350</v>
      </c>
      <c r="B219" s="74">
        <v>26350</v>
      </c>
      <c r="C219" s="74">
        <f>IFERROR('callPut（W）'!D219+'callPut（F）'!D219,0)/2</f>
        <v>0</v>
      </c>
      <c r="D219" s="74">
        <f>IFERROR('callPut（W）'!L219+'callPut（F）'!L219,0)/2</f>
        <v>0</v>
      </c>
      <c r="E219" s="82">
        <v>2851.715026119999</v>
      </c>
      <c r="F219" s="82">
        <v>-15275.434725829999</v>
      </c>
      <c r="G219" s="82">
        <v>-12423.71969971</v>
      </c>
      <c r="I219" s="89">
        <f>MAX($A$2-B219,0)*MAX('籌碼表(W+F)'!D221,0)-MAX('籌碼表(W+F)'!D221,0)*C219</f>
        <v>0</v>
      </c>
      <c r="J219" s="89">
        <f>MAX(B219-$A$2,0)*MAX('籌碼表(W+F)'!F221,0)-MAX('籌碼表(W+F)'!F221,0)*D219</f>
        <v>0</v>
      </c>
      <c r="K219" s="89">
        <f>-MIN('籌碼表(W+F)'!D221,0)*C219  - MAX($A$2-B219,0) * (-MIN('籌碼表(W+F)'!D221,0))</f>
        <v>0</v>
      </c>
      <c r="L219" s="89">
        <f>-MIN('籌碼表(W+F)'!F221,0) * D219 -  MAX(B219-$A$2,0) * (-MIN('籌碼表(W+F)'!F221,0))</f>
        <v>0</v>
      </c>
    </row>
    <row r="220" spans="1:12" ht="13.5" customHeight="1" x14ac:dyDescent="0.25">
      <c r="A220" s="74">
        <v>26400</v>
      </c>
      <c r="B220" s="74">
        <v>26400</v>
      </c>
      <c r="C220" s="74">
        <f>IFERROR('callPut（W）'!D220+'callPut（F）'!D220,0)/2</f>
        <v>0</v>
      </c>
      <c r="D220" s="74">
        <f>IFERROR('callPut（W）'!L220+'callPut（F）'!L220,0)/2</f>
        <v>0</v>
      </c>
      <c r="E220" s="82">
        <v>2914.3085161199988</v>
      </c>
      <c r="F220" s="82">
        <v>-15575.936885829997</v>
      </c>
      <c r="G220" s="82">
        <v>-12661.628369709995</v>
      </c>
      <c r="I220" s="89">
        <f>MAX($A$2-B220,0)*MAX('籌碼表(W+F)'!D222,0)-MAX('籌碼表(W+F)'!D222,0)*C220</f>
        <v>0</v>
      </c>
      <c r="J220" s="89">
        <f>MAX(B220-$A$2,0)*MAX('籌碼表(W+F)'!F222,0)-MAX('籌碼表(W+F)'!F222,0)*D220</f>
        <v>0</v>
      </c>
      <c r="K220" s="89">
        <f>-MIN('籌碼表(W+F)'!D222,0)*C220  - MAX($A$2-B220,0) * (-MIN('籌碼表(W+F)'!D222,0))</f>
        <v>0</v>
      </c>
      <c r="L220" s="89">
        <f>-MIN('籌碼表(W+F)'!F222,0) * D220 -  MAX(B220-$A$2,0) * (-MIN('籌碼表(W+F)'!F222,0))</f>
        <v>0</v>
      </c>
    </row>
    <row r="221" spans="1:12" ht="13.5" customHeight="1" x14ac:dyDescent="0.25">
      <c r="A221" s="74">
        <v>26450</v>
      </c>
      <c r="B221" s="74">
        <v>26450</v>
      </c>
      <c r="C221" s="74">
        <f>IFERROR('callPut（W）'!D221+'callPut（F）'!D221,0)/2</f>
        <v>0</v>
      </c>
      <c r="D221" s="74">
        <f>IFERROR('callPut（W）'!L221+'callPut（F）'!L221,0)/2</f>
        <v>0</v>
      </c>
      <c r="E221" s="82">
        <v>2976.902006119999</v>
      </c>
      <c r="F221" s="82">
        <v>-15876.439045829997</v>
      </c>
      <c r="G221" s="82">
        <v>-12899.537039709994</v>
      </c>
      <c r="I221" s="89">
        <f>MAX($A$2-B221,0)*MAX('籌碼表(W+F)'!D223,0)-MAX('籌碼表(W+F)'!D223,0)*C221</f>
        <v>0</v>
      </c>
      <c r="J221" s="89">
        <f>MAX(B221-$A$2,0)*MAX('籌碼表(W+F)'!F223,0)-MAX('籌碼表(W+F)'!F223,0)*D221</f>
        <v>0</v>
      </c>
      <c r="K221" s="89">
        <f>-MIN('籌碼表(W+F)'!D223,0)*C221  - MAX($A$2-B221,0) * (-MIN('籌碼表(W+F)'!D223,0))</f>
        <v>0</v>
      </c>
      <c r="L221" s="89">
        <f>-MIN('籌碼表(W+F)'!F223,0) * D221 -  MAX(B221-$A$2,0) * (-MIN('籌碼表(W+F)'!F223,0))</f>
        <v>0</v>
      </c>
    </row>
    <row r="222" spans="1:12" ht="13.5" customHeight="1" x14ac:dyDescent="0.25">
      <c r="A222" s="74">
        <v>26500</v>
      </c>
      <c r="B222" s="74">
        <v>26500</v>
      </c>
      <c r="C222" s="74">
        <f>IFERROR('callPut（W）'!D222+'callPut（F）'!D222,0)/2</f>
        <v>0</v>
      </c>
      <c r="D222" s="74">
        <f>IFERROR('callPut（W）'!L222+'callPut（F）'!L222,0)/2</f>
        <v>0</v>
      </c>
      <c r="E222" s="82">
        <v>3039.4954961199992</v>
      </c>
      <c r="F222" s="82">
        <v>-16176.941205829995</v>
      </c>
      <c r="G222" s="82">
        <v>-13137.445709709998</v>
      </c>
      <c r="I222" s="89">
        <f>MAX($A$2-B222,0)*MAX('籌碼表(W+F)'!D224,0)-MAX('籌碼表(W+F)'!D224,0)*C222</f>
        <v>0</v>
      </c>
      <c r="J222" s="89">
        <f>MAX(B222-$A$2,0)*MAX('籌碼表(W+F)'!F224,0)-MAX('籌碼表(W+F)'!F224,0)*D222</f>
        <v>0</v>
      </c>
      <c r="K222" s="89">
        <f>-MIN('籌碼表(W+F)'!D224,0)*C222  - MAX($A$2-B222,0) * (-MIN('籌碼表(W+F)'!D224,0))</f>
        <v>0</v>
      </c>
      <c r="L222" s="89">
        <f>-MIN('籌碼表(W+F)'!F224,0) * D222 -  MAX(B222-$A$2,0) * (-MIN('籌碼表(W+F)'!F224,0))</f>
        <v>0</v>
      </c>
    </row>
    <row r="223" spans="1:12" ht="13.5" customHeight="1" x14ac:dyDescent="0.25">
      <c r="A223" s="74">
        <v>26550</v>
      </c>
      <c r="B223" s="74">
        <v>26550</v>
      </c>
      <c r="C223" s="74">
        <f>IFERROR('callPut（W）'!D223+'callPut（F）'!D223,0)/2</f>
        <v>0</v>
      </c>
      <c r="D223" s="74">
        <f>IFERROR('callPut（W）'!L223+'callPut（F）'!L223,0)/2</f>
        <v>0</v>
      </c>
      <c r="E223" s="82">
        <v>3102.0889861199994</v>
      </c>
      <c r="F223" s="82">
        <v>-16477.443365829997</v>
      </c>
      <c r="G223" s="82">
        <v>-13375.354379709996</v>
      </c>
      <c r="I223" s="89">
        <f>MAX($A$2-B223,0)*MAX('籌碼表(W+F)'!D225,0)-MAX('籌碼表(W+F)'!D225,0)*C223</f>
        <v>0</v>
      </c>
      <c r="J223" s="89">
        <f>MAX(B223-$A$2,0)*MAX('籌碼表(W+F)'!F225,0)-MAX('籌碼表(W+F)'!F225,0)*D223</f>
        <v>0</v>
      </c>
      <c r="K223" s="89">
        <f>-MIN('籌碼表(W+F)'!D225,0)*C223  - MAX($A$2-B223,0) * (-MIN('籌碼表(W+F)'!D225,0))</f>
        <v>0</v>
      </c>
      <c r="L223" s="89">
        <f>-MIN('籌碼表(W+F)'!F225,0) * D223 -  MAX(B223-$A$2,0) * (-MIN('籌碼表(W+F)'!F225,0))</f>
        <v>0</v>
      </c>
    </row>
    <row r="224" spans="1:12" ht="13.5" customHeight="1" x14ac:dyDescent="0.25">
      <c r="A224" s="74">
        <v>26600</v>
      </c>
      <c r="B224" s="74">
        <v>26600</v>
      </c>
      <c r="C224" s="74">
        <f>IFERROR('callPut（W）'!D224+'callPut（F）'!D224,0)/2</f>
        <v>0</v>
      </c>
      <c r="D224" s="74">
        <f>IFERROR('callPut（W）'!L224+'callPut（F）'!L224,0)/2</f>
        <v>0</v>
      </c>
      <c r="E224" s="82">
        <v>3164.6824761199991</v>
      </c>
      <c r="F224" s="82">
        <v>-16777.945525829997</v>
      </c>
      <c r="G224" s="82">
        <v>-13613.263049709998</v>
      </c>
      <c r="I224" s="89">
        <f>MAX($A$2-B224,0)*MAX('籌碼表(W+F)'!D226,0)-MAX('籌碼表(W+F)'!D226,0)*C224</f>
        <v>0</v>
      </c>
      <c r="J224" s="89">
        <f>MAX(B224-$A$2,0)*MAX('籌碼表(W+F)'!F226,0)-MAX('籌碼表(W+F)'!F226,0)*D224</f>
        <v>0</v>
      </c>
      <c r="K224" s="89">
        <f>-MIN('籌碼表(W+F)'!D226,0)*C224  - MAX($A$2-B224,0) * (-MIN('籌碼表(W+F)'!D226,0))</f>
        <v>0</v>
      </c>
      <c r="L224" s="89">
        <f>-MIN('籌碼表(W+F)'!F226,0) * D224 -  MAX(B224-$A$2,0) * (-MIN('籌碼表(W+F)'!F226,0))</f>
        <v>0</v>
      </c>
    </row>
    <row r="225" spans="1:12" ht="13.5" customHeight="1" x14ac:dyDescent="0.25">
      <c r="A225" s="74">
        <v>26650</v>
      </c>
      <c r="B225" s="74">
        <v>26650</v>
      </c>
      <c r="C225" s="74">
        <f>IFERROR('callPut（W）'!D225+'callPut（F）'!D225,0)/2</f>
        <v>0</v>
      </c>
      <c r="D225" s="74">
        <f>IFERROR('callPut（W）'!L225+'callPut（F）'!L225,0)/2</f>
        <v>0</v>
      </c>
      <c r="E225" s="82">
        <v>3227.2759661199993</v>
      </c>
      <c r="F225" s="82">
        <v>-17078.44768583</v>
      </c>
      <c r="G225" s="82">
        <v>-13851.171719710001</v>
      </c>
      <c r="I225" s="89">
        <f>MAX($A$2-B225,0)*MAX('籌碼表(W+F)'!D227,0)-MAX('籌碼表(W+F)'!D227,0)*C225</f>
        <v>0</v>
      </c>
      <c r="J225" s="89">
        <f>MAX(B225-$A$2,0)*MAX('籌碼表(W+F)'!F227,0)-MAX('籌碼表(W+F)'!F227,0)*D225</f>
        <v>0</v>
      </c>
      <c r="K225" s="89">
        <f>-MIN('籌碼表(W+F)'!D227,0)*C225  - MAX($A$2-B225,0) * (-MIN('籌碼表(W+F)'!D227,0))</f>
        <v>0</v>
      </c>
      <c r="L225" s="89">
        <f>-MIN('籌碼表(W+F)'!F227,0) * D225 -  MAX(B225-$A$2,0) * (-MIN('籌碼表(W+F)'!F227,0))</f>
        <v>0</v>
      </c>
    </row>
    <row r="226" spans="1:12" ht="13.5" customHeight="1" x14ac:dyDescent="0.25">
      <c r="A226" s="74">
        <v>26700</v>
      </c>
      <c r="B226" s="74">
        <v>26700</v>
      </c>
      <c r="C226" s="74">
        <f>IFERROR('callPut（W）'!D226+'callPut（F）'!D226,0)/2</f>
        <v>0</v>
      </c>
      <c r="D226" s="74">
        <f>IFERROR('callPut（W）'!L226+'callPut（F）'!L226,0)/2</f>
        <v>0</v>
      </c>
      <c r="E226" s="82">
        <v>3289.8694561199991</v>
      </c>
      <c r="F226" s="82">
        <v>-17378.949845829997</v>
      </c>
      <c r="G226" s="82">
        <v>-14089.080389709998</v>
      </c>
      <c r="I226" s="89">
        <f>MAX($A$2-B226,0)*MAX('籌碼表(W+F)'!D228,0)-MAX('籌碼表(W+F)'!D228,0)*C226</f>
        <v>0</v>
      </c>
      <c r="J226" s="89">
        <f>MAX(B226-$A$2,0)*MAX('籌碼表(W+F)'!F228,0)-MAX('籌碼表(W+F)'!F228,0)*D226</f>
        <v>0</v>
      </c>
      <c r="K226" s="89">
        <f>-MIN('籌碼表(W+F)'!D228,0)*C226  - MAX($A$2-B226,0) * (-MIN('籌碼表(W+F)'!D228,0))</f>
        <v>0</v>
      </c>
      <c r="L226" s="89">
        <f>-MIN('籌碼表(W+F)'!F228,0) * D226 -  MAX(B226-$A$2,0) * (-MIN('籌碼表(W+F)'!F228,0))</f>
        <v>0</v>
      </c>
    </row>
    <row r="227" spans="1:12" ht="13.5" customHeight="1" x14ac:dyDescent="0.25">
      <c r="A227" s="74">
        <v>26750</v>
      </c>
      <c r="B227" s="74">
        <v>26750</v>
      </c>
      <c r="C227" s="74">
        <f>IFERROR('callPut（W）'!D227+'callPut（F）'!D227,0)/2</f>
        <v>0</v>
      </c>
      <c r="D227" s="74">
        <f>IFERROR('callPut（W）'!L227+'callPut（F）'!L227,0)/2</f>
        <v>0</v>
      </c>
      <c r="E227" s="82">
        <v>3352.4629461199993</v>
      </c>
      <c r="F227" s="82">
        <v>-17679.45200583</v>
      </c>
      <c r="G227" s="82">
        <v>-14326.989059709995</v>
      </c>
      <c r="I227" s="89">
        <f>MAX($A$2-B227,0)*MAX('籌碼表(W+F)'!D229,0)-MAX('籌碼表(W+F)'!D229,0)*C227</f>
        <v>0</v>
      </c>
      <c r="J227" s="89">
        <f>MAX(B227-$A$2,0)*MAX('籌碼表(W+F)'!F229,0)-MAX('籌碼表(W+F)'!F229,0)*D227</f>
        <v>0</v>
      </c>
      <c r="K227" s="89">
        <f>-MIN('籌碼表(W+F)'!D229,0)*C227  - MAX($A$2-B227,0) * (-MIN('籌碼表(W+F)'!D229,0))</f>
        <v>0</v>
      </c>
      <c r="L227" s="89">
        <f>-MIN('籌碼表(W+F)'!F229,0) * D227 -  MAX(B227-$A$2,0) * (-MIN('籌碼表(W+F)'!F229,0))</f>
        <v>0</v>
      </c>
    </row>
    <row r="228" spans="1:12" ht="13.5" customHeight="1" x14ac:dyDescent="0.25">
      <c r="A228" s="74">
        <v>26800</v>
      </c>
      <c r="B228" s="74">
        <v>26800</v>
      </c>
      <c r="C228" s="74">
        <f>IFERROR('callPut（W）'!D228+'callPut（F）'!D228,0)/2</f>
        <v>0</v>
      </c>
      <c r="D228" s="74">
        <f>IFERROR('callPut（W）'!L228+'callPut（F）'!L228,0)/2</f>
        <v>0</v>
      </c>
      <c r="E228" s="82">
        <v>3415.0564361199986</v>
      </c>
      <c r="F228" s="82">
        <v>-17979.954165829997</v>
      </c>
      <c r="G228" s="82">
        <v>-14564.897729709999</v>
      </c>
      <c r="I228" s="89">
        <f>MAX($A$2-B228,0)*MAX('籌碼表(W+F)'!D230,0)-MAX('籌碼表(W+F)'!D230,0)*C228</f>
        <v>0</v>
      </c>
      <c r="J228" s="89">
        <f>MAX(B228-$A$2,0)*MAX('籌碼表(W+F)'!F230,0)-MAX('籌碼表(W+F)'!F230,0)*D228</f>
        <v>0</v>
      </c>
      <c r="K228" s="89">
        <f>-MIN('籌碼表(W+F)'!D230,0)*C228  - MAX($A$2-B228,0) * (-MIN('籌碼表(W+F)'!D230,0))</f>
        <v>0</v>
      </c>
      <c r="L228" s="89">
        <f>-MIN('籌碼表(W+F)'!F230,0) * D228 -  MAX(B228-$A$2,0) * (-MIN('籌碼表(W+F)'!F230,0))</f>
        <v>0</v>
      </c>
    </row>
    <row r="229" spans="1:12" ht="13.5" customHeight="1" x14ac:dyDescent="0.25">
      <c r="A229" s="74">
        <v>26850</v>
      </c>
      <c r="B229" s="74">
        <v>26850</v>
      </c>
      <c r="C229" s="74">
        <f>IFERROR('callPut（W）'!D229+'callPut（F）'!D229,0)/2</f>
        <v>0</v>
      </c>
      <c r="D229" s="74">
        <f>IFERROR('callPut（W）'!L229+'callPut（F）'!L229,0)/2</f>
        <v>0</v>
      </c>
      <c r="E229" s="82">
        <v>3477.6499261199997</v>
      </c>
      <c r="F229" s="82">
        <v>-18280.456325829997</v>
      </c>
      <c r="G229" s="82">
        <v>-14802.806399709998</v>
      </c>
      <c r="I229" s="89">
        <f>MAX($A$2-B229,0)*MAX('籌碼表(W+F)'!D231,0)-MAX('籌碼表(W+F)'!D231,0)*C229</f>
        <v>0</v>
      </c>
      <c r="J229" s="89">
        <f>MAX(B229-$A$2,0)*MAX('籌碼表(W+F)'!F231,0)-MAX('籌碼表(W+F)'!F231,0)*D229</f>
        <v>0</v>
      </c>
      <c r="K229" s="89">
        <f>-MIN('籌碼表(W+F)'!D231,0)*C229  - MAX($A$2-B229,0) * (-MIN('籌碼表(W+F)'!D231,0))</f>
        <v>0</v>
      </c>
      <c r="L229" s="89">
        <f>-MIN('籌碼表(W+F)'!F231,0) * D229 -  MAX(B229-$A$2,0) * (-MIN('籌碼表(W+F)'!F231,0))</f>
        <v>0</v>
      </c>
    </row>
    <row r="230" spans="1:12" ht="13.5" customHeight="1" x14ac:dyDescent="0.25">
      <c r="A230" s="74">
        <v>26900</v>
      </c>
      <c r="B230" s="74">
        <v>26900</v>
      </c>
      <c r="C230" s="74">
        <f>IFERROR('callPut（W）'!D230+'callPut（F）'!D230,0)/2</f>
        <v>0</v>
      </c>
      <c r="D230" s="74">
        <f>IFERROR('callPut（W）'!L230+'callPut（F）'!L230,0)/2</f>
        <v>0</v>
      </c>
      <c r="E230" s="82">
        <v>3540.2434161199994</v>
      </c>
      <c r="F230" s="82">
        <v>-18580.958485829997</v>
      </c>
      <c r="G230" s="82">
        <v>-15040.715069709993</v>
      </c>
      <c r="I230" s="89">
        <f>MAX($A$2-B230,0)*MAX('籌碼表(W+F)'!D232,0)-MAX('籌碼表(W+F)'!D232,0)*C230</f>
        <v>0</v>
      </c>
      <c r="J230" s="89">
        <f>MAX(B230-$A$2,0)*MAX('籌碼表(W+F)'!F232,0)-MAX('籌碼表(W+F)'!F232,0)*D230</f>
        <v>0</v>
      </c>
      <c r="K230" s="89">
        <f>-MIN('籌碼表(W+F)'!D232,0)*C230  - MAX($A$2-B230,0) * (-MIN('籌碼表(W+F)'!D232,0))</f>
        <v>0</v>
      </c>
      <c r="L230" s="89">
        <f>-MIN('籌碼表(W+F)'!F232,0) * D230 -  MAX(B230-$A$2,0) * (-MIN('籌碼表(W+F)'!F232,0))</f>
        <v>0</v>
      </c>
    </row>
    <row r="231" spans="1:12" ht="13.5" customHeight="1" x14ac:dyDescent="0.25">
      <c r="A231" s="74">
        <v>26950</v>
      </c>
      <c r="B231" s="74">
        <v>26950</v>
      </c>
      <c r="C231" s="74">
        <f>IFERROR('callPut（W）'!D231+'callPut（F）'!D231,0)/2</f>
        <v>0</v>
      </c>
      <c r="D231" s="74">
        <f>IFERROR('callPut（W）'!L231+'callPut（F）'!L231,0)/2</f>
        <v>0</v>
      </c>
      <c r="E231" s="82">
        <v>3602.8369061199992</v>
      </c>
      <c r="F231" s="82">
        <v>-18881.460645829997</v>
      </c>
      <c r="G231" s="82">
        <v>-15278.623739709998</v>
      </c>
      <c r="I231" s="89">
        <f>MAX($A$2-B231,0)*MAX('籌碼表(W+F)'!D233,0)-MAX('籌碼表(W+F)'!D233,0)*C231</f>
        <v>0</v>
      </c>
      <c r="J231" s="89">
        <f>MAX(B231-$A$2,0)*MAX('籌碼表(W+F)'!F233,0)-MAX('籌碼表(W+F)'!F233,0)*D231</f>
        <v>0</v>
      </c>
      <c r="K231" s="89">
        <f>-MIN('籌碼表(W+F)'!D233,0)*C231  - MAX($A$2-B231,0) * (-MIN('籌碼表(W+F)'!D233,0))</f>
        <v>0</v>
      </c>
      <c r="L231" s="89">
        <f>-MIN('籌碼表(W+F)'!F233,0) * D231 -  MAX(B231-$A$2,0) * (-MIN('籌碼表(W+F)'!F233,0))</f>
        <v>0</v>
      </c>
    </row>
    <row r="232" spans="1:12" ht="13.5" customHeight="1" x14ac:dyDescent="0.25">
      <c r="A232" s="74">
        <v>27000</v>
      </c>
      <c r="B232" s="74">
        <v>27000</v>
      </c>
      <c r="C232" s="74">
        <f>IFERROR('callPut（W）'!D232+'callPut（F）'!D232,0)/2</f>
        <v>0</v>
      </c>
      <c r="D232" s="74">
        <f>IFERROR('callPut（W）'!L232+'callPut（F）'!L232,0)/2</f>
        <v>0</v>
      </c>
      <c r="E232" s="82">
        <v>3665.4303961199989</v>
      </c>
      <c r="F232" s="82">
        <v>-19181.962805830004</v>
      </c>
      <c r="G232" s="82">
        <v>-15516.53240971</v>
      </c>
      <c r="I232" s="89">
        <f>MAX($A$2-B232,0)*MAX('籌碼表(W+F)'!D234,0)-MAX('籌碼表(W+F)'!D234,0)*C232</f>
        <v>0</v>
      </c>
      <c r="J232" s="89">
        <f>MAX(B232-$A$2,0)*MAX('籌碼表(W+F)'!F234,0)-MAX('籌碼表(W+F)'!F234,0)*D232</f>
        <v>0</v>
      </c>
      <c r="K232" s="89">
        <f>-MIN('籌碼表(W+F)'!D234,0)*C232  - MAX($A$2-B232,0) * (-MIN('籌碼表(W+F)'!D234,0))</f>
        <v>0</v>
      </c>
      <c r="L232" s="89">
        <f>-MIN('籌碼表(W+F)'!F234,0) * D232 -  MAX(B232-$A$2,0) * (-MIN('籌碼表(W+F)'!F234,0))</f>
        <v>0</v>
      </c>
    </row>
    <row r="233" spans="1:12" ht="13.5" customHeight="1" x14ac:dyDescent="0.25">
      <c r="A233" s="74">
        <v>27050</v>
      </c>
      <c r="B233" s="74">
        <v>27050</v>
      </c>
      <c r="C233" s="74">
        <f>IFERROR('callPut（W）'!D233+'callPut（F）'!D233,0)/2</f>
        <v>0</v>
      </c>
      <c r="D233" s="74">
        <f>IFERROR('callPut（W）'!L233+'callPut（F）'!L233,0)/2</f>
        <v>0</v>
      </c>
      <c r="E233" s="82">
        <v>3728.0238861199991</v>
      </c>
      <c r="F233" s="82">
        <v>-19482.464965829997</v>
      </c>
      <c r="G233" s="82">
        <v>-15754.441079709997</v>
      </c>
      <c r="I233" s="89">
        <f>MAX($A$2-B233,0)*MAX('籌碼表(W+F)'!D235,0)-MAX('籌碼表(W+F)'!D235,0)*C233</f>
        <v>0</v>
      </c>
      <c r="J233" s="89">
        <f>MAX(B233-$A$2,0)*MAX('籌碼表(W+F)'!F235,0)-MAX('籌碼表(W+F)'!F235,0)*D233</f>
        <v>0</v>
      </c>
      <c r="K233" s="89">
        <f>-MIN('籌碼表(W+F)'!D235,0)*C233  - MAX($A$2-B233,0) * (-MIN('籌碼表(W+F)'!D235,0))</f>
        <v>0</v>
      </c>
      <c r="L233" s="89">
        <f>-MIN('籌碼表(W+F)'!F235,0) * D233 -  MAX(B233-$A$2,0) * (-MIN('籌碼表(W+F)'!F235,0))</f>
        <v>0</v>
      </c>
    </row>
    <row r="234" spans="1:12" ht="13.5" customHeight="1" x14ac:dyDescent="0.25">
      <c r="A234" s="74">
        <v>27100</v>
      </c>
      <c r="B234" s="74">
        <v>27100</v>
      </c>
      <c r="C234" s="74">
        <f>IFERROR('callPut（W）'!D234+'callPut（F）'!D234,0)/2</f>
        <v>0</v>
      </c>
      <c r="D234" s="74">
        <f>IFERROR('callPut（W）'!L234+'callPut（F）'!L234,0)/2</f>
        <v>0</v>
      </c>
      <c r="E234" s="82">
        <v>3790.6173761199993</v>
      </c>
      <c r="F234" s="82">
        <v>-19782.967125829993</v>
      </c>
      <c r="G234" s="82">
        <v>-15992.349749710002</v>
      </c>
      <c r="I234" s="89">
        <f>MAX($A$2-B234,0)*MAX('籌碼表(W+F)'!D236,0)-MAX('籌碼表(W+F)'!D236,0)*C234</f>
        <v>0</v>
      </c>
      <c r="J234" s="89">
        <f>MAX(B234-$A$2,0)*MAX('籌碼表(W+F)'!F236,0)-MAX('籌碼表(W+F)'!F236,0)*D234</f>
        <v>0</v>
      </c>
      <c r="K234" s="89">
        <f>-MIN('籌碼表(W+F)'!D236,0)*C234  - MAX($A$2-B234,0) * (-MIN('籌碼表(W+F)'!D236,0))</f>
        <v>0</v>
      </c>
      <c r="L234" s="89">
        <f>-MIN('籌碼表(W+F)'!F236,0) * D234 -  MAX(B234-$A$2,0) * (-MIN('籌碼表(W+F)'!F236,0))</f>
        <v>0</v>
      </c>
    </row>
    <row r="235" spans="1:12" ht="13.5" customHeight="1" x14ac:dyDescent="0.25">
      <c r="A235" s="74">
        <v>27150</v>
      </c>
      <c r="B235" s="74">
        <v>27150</v>
      </c>
      <c r="C235" s="74">
        <f>IFERROR('callPut（W）'!D235+'callPut（F）'!D235,0)/2</f>
        <v>0</v>
      </c>
      <c r="D235" s="74">
        <f>IFERROR('callPut（W）'!L235+'callPut（F）'!L235,0)/2</f>
        <v>0</v>
      </c>
      <c r="E235" s="82">
        <v>3853.2108661199995</v>
      </c>
      <c r="F235" s="82">
        <v>-20083.469285830004</v>
      </c>
      <c r="G235" s="82">
        <v>-16230.258419709997</v>
      </c>
      <c r="I235" s="89">
        <f>MAX($A$2-B235,0)*MAX('籌碼表(W+F)'!D237,0)-MAX('籌碼表(W+F)'!D237,0)*C235</f>
        <v>0</v>
      </c>
      <c r="J235" s="89">
        <f>MAX(B235-$A$2,0)*MAX('籌碼表(W+F)'!F237,0)-MAX('籌碼表(W+F)'!F237,0)*D235</f>
        <v>0</v>
      </c>
      <c r="K235" s="89">
        <f>-MIN('籌碼表(W+F)'!D237,0)*C235  - MAX($A$2-B235,0) * (-MIN('籌碼表(W+F)'!D237,0))</f>
        <v>0</v>
      </c>
      <c r="L235" s="89">
        <f>-MIN('籌碼表(W+F)'!F237,0) * D235 -  MAX(B235-$A$2,0) * (-MIN('籌碼表(W+F)'!F237,0))</f>
        <v>0</v>
      </c>
    </row>
    <row r="236" spans="1:12" ht="13.5" customHeight="1" x14ac:dyDescent="0.25">
      <c r="A236" s="74">
        <v>27200</v>
      </c>
      <c r="B236" s="74">
        <v>27200</v>
      </c>
      <c r="C236" s="74">
        <f>IFERROR('callPut（W）'!D236+'callPut（F）'!D236,0)/2</f>
        <v>0</v>
      </c>
      <c r="D236" s="74">
        <f>IFERROR('callPut（W）'!L236+'callPut（F）'!L236,0)/2</f>
        <v>0</v>
      </c>
      <c r="E236" s="82">
        <v>3915.8043561199993</v>
      </c>
      <c r="F236" s="82">
        <v>-20383.97144583</v>
      </c>
      <c r="G236" s="82">
        <v>-16468.167089709998</v>
      </c>
      <c r="I236" s="89">
        <f>MAX($A$2-B236,0)*MAX('籌碼表(W+F)'!D238,0)-MAX('籌碼表(W+F)'!D238,0)*C236</f>
        <v>0</v>
      </c>
      <c r="J236" s="89">
        <f>MAX(B236-$A$2,0)*MAX('籌碼表(W+F)'!F238,0)-MAX('籌碼表(W+F)'!F238,0)*D236</f>
        <v>0</v>
      </c>
      <c r="K236" s="89">
        <f>-MIN('籌碼表(W+F)'!D238,0)*C236  - MAX($A$2-B236,0) * (-MIN('籌碼表(W+F)'!D238,0))</f>
        <v>0</v>
      </c>
      <c r="L236" s="89">
        <f>-MIN('籌碼表(W+F)'!F238,0) * D236 -  MAX(B236-$A$2,0) * (-MIN('籌碼表(W+F)'!F238,0))</f>
        <v>0</v>
      </c>
    </row>
    <row r="237" spans="1:12" ht="13.5" customHeight="1" x14ac:dyDescent="0.25">
      <c r="A237" s="74">
        <v>27250</v>
      </c>
      <c r="B237" s="74">
        <v>27250</v>
      </c>
      <c r="C237" s="74">
        <f>IFERROR('callPut（W）'!D237+'callPut（F）'!D237,0)/2</f>
        <v>0</v>
      </c>
      <c r="D237" s="74">
        <f>IFERROR('callPut（W）'!L237+'callPut（F）'!L237,0)/2</f>
        <v>0</v>
      </c>
      <c r="E237" s="82">
        <v>3978.3978461199995</v>
      </c>
      <c r="F237" s="82">
        <v>-20684.473605829997</v>
      </c>
      <c r="G237" s="82">
        <v>-16706.075759709998</v>
      </c>
      <c r="I237" s="89">
        <f>MAX($A$2-B237,0)*MAX('籌碼表(W+F)'!D239,0)-MAX('籌碼表(W+F)'!D239,0)*C237</f>
        <v>0</v>
      </c>
      <c r="J237" s="89">
        <f>MAX(B237-$A$2,0)*MAX('籌碼表(W+F)'!F239,0)-MAX('籌碼表(W+F)'!F239,0)*D237</f>
        <v>0</v>
      </c>
      <c r="K237" s="89">
        <f>-MIN('籌碼表(W+F)'!D239,0)*C237  - MAX($A$2-B237,0) * (-MIN('籌碼表(W+F)'!D239,0))</f>
        <v>0</v>
      </c>
      <c r="L237" s="89">
        <f>-MIN('籌碼表(W+F)'!F239,0) * D237 -  MAX(B237-$A$2,0) * (-MIN('籌碼表(W+F)'!F239,0))</f>
        <v>0</v>
      </c>
    </row>
    <row r="238" spans="1:12" ht="13.5" customHeight="1" x14ac:dyDescent="0.25">
      <c r="A238" s="74">
        <v>27300</v>
      </c>
      <c r="B238" s="74">
        <v>27300</v>
      </c>
      <c r="C238" s="74">
        <f>IFERROR('callPut（W）'!D238+'callPut（F）'!D238,0)/2</f>
        <v>0</v>
      </c>
      <c r="D238" s="74">
        <f>IFERROR('callPut（W）'!L238+'callPut（F）'!L238,0)/2</f>
        <v>0</v>
      </c>
      <c r="E238" s="82">
        <v>4040.9913361199992</v>
      </c>
      <c r="F238" s="82">
        <v>-20984.975765829997</v>
      </c>
      <c r="G238" s="82">
        <v>-16943.984429709992</v>
      </c>
      <c r="I238" s="89">
        <f>MAX($A$2-B238,0)*MAX('籌碼表(W+F)'!D240,0)-MAX('籌碼表(W+F)'!D240,0)*C238</f>
        <v>0</v>
      </c>
      <c r="J238" s="89">
        <f>MAX(B238-$A$2,0)*MAX('籌碼表(W+F)'!F240,0)-MAX('籌碼表(W+F)'!F240,0)*D238</f>
        <v>0</v>
      </c>
      <c r="K238" s="89">
        <f>-MIN('籌碼表(W+F)'!D240,0)*C238  - MAX($A$2-B238,0) * (-MIN('籌碼表(W+F)'!D240,0))</f>
        <v>0</v>
      </c>
      <c r="L238" s="89">
        <f>-MIN('籌碼表(W+F)'!F240,0) * D238 -  MAX(B238-$A$2,0) * (-MIN('籌碼表(W+F)'!F240,0))</f>
        <v>0</v>
      </c>
    </row>
    <row r="239" spans="1:12" ht="13.5" customHeight="1" x14ac:dyDescent="0.25">
      <c r="A239" s="74">
        <v>27350</v>
      </c>
      <c r="B239" s="74">
        <v>27350</v>
      </c>
      <c r="C239" s="74">
        <f>IFERROR('callPut（W）'!D239+'callPut（F）'!D239,0)/2</f>
        <v>0</v>
      </c>
      <c r="D239" s="74">
        <f>IFERROR('callPut（W）'!L239+'callPut（F）'!L239,0)/2</f>
        <v>0</v>
      </c>
      <c r="E239" s="82">
        <v>4103.584826119999</v>
      </c>
      <c r="F239" s="82">
        <v>-21285.477925829997</v>
      </c>
      <c r="G239" s="82">
        <v>-17181.893099709996</v>
      </c>
      <c r="I239" s="89">
        <f>MAX($A$2-B239,0)*MAX('籌碼表(W+F)'!D241,0)-MAX('籌碼表(W+F)'!D241,0)*C239</f>
        <v>0</v>
      </c>
      <c r="J239" s="89">
        <f>MAX(B239-$A$2,0)*MAX('籌碼表(W+F)'!F241,0)-MAX('籌碼表(W+F)'!F241,0)*D239</f>
        <v>0</v>
      </c>
      <c r="K239" s="89">
        <f>-MIN('籌碼表(W+F)'!D241,0)*C239  - MAX($A$2-B239,0) * (-MIN('籌碼表(W+F)'!D241,0))</f>
        <v>0</v>
      </c>
      <c r="L239" s="89">
        <f>-MIN('籌碼表(W+F)'!F241,0) * D239 -  MAX(B239-$A$2,0) * (-MIN('籌碼表(W+F)'!F241,0))</f>
        <v>0</v>
      </c>
    </row>
    <row r="240" spans="1:12" ht="13.5" customHeight="1" x14ac:dyDescent="0.25">
      <c r="A240" s="74">
        <v>27400</v>
      </c>
      <c r="B240" s="74">
        <v>27400</v>
      </c>
      <c r="C240" s="74">
        <f>IFERROR('callPut（W）'!D240+'callPut（F）'!D240,0)/2</f>
        <v>0</v>
      </c>
      <c r="D240" s="74">
        <f>IFERROR('callPut（W）'!L240+'callPut（F）'!L240,0)/2</f>
        <v>0</v>
      </c>
      <c r="E240" s="82">
        <v>4166.1783161199992</v>
      </c>
      <c r="F240" s="82">
        <v>-21585.980085830004</v>
      </c>
      <c r="G240" s="82">
        <v>-17419.80176971</v>
      </c>
      <c r="I240" s="89">
        <f>MAX($A$2-B240,0)*MAX('籌碼表(W+F)'!D242,0)-MAX('籌碼表(W+F)'!D242,0)*C240</f>
        <v>0</v>
      </c>
      <c r="J240" s="89">
        <f>MAX(B240-$A$2,0)*MAX('籌碼表(W+F)'!F242,0)-MAX('籌碼表(W+F)'!F242,0)*D240</f>
        <v>0</v>
      </c>
      <c r="K240" s="89">
        <f>-MIN('籌碼表(W+F)'!D242,0)*C240  - MAX($A$2-B240,0) * (-MIN('籌碼表(W+F)'!D242,0))</f>
        <v>0</v>
      </c>
      <c r="L240" s="89">
        <f>-MIN('籌碼表(W+F)'!F242,0) * D240 -  MAX(B240-$A$2,0) * (-MIN('籌碼表(W+F)'!F242,0))</f>
        <v>0</v>
      </c>
    </row>
    <row r="241" spans="1:12" ht="13.5" customHeight="1" x14ac:dyDescent="0.25">
      <c r="A241" s="74">
        <v>27450</v>
      </c>
      <c r="B241" s="74">
        <v>27450</v>
      </c>
      <c r="C241" s="74">
        <f>IFERROR('callPut（W）'!D241+'callPut（F）'!D241,0)/2</f>
        <v>0</v>
      </c>
      <c r="D241" s="74">
        <f>IFERROR('callPut（W）'!L241+'callPut（F）'!L241,0)/2</f>
        <v>0</v>
      </c>
      <c r="E241" s="82">
        <v>4228.7718061199985</v>
      </c>
      <c r="F241" s="82">
        <v>-21886.482245830008</v>
      </c>
      <c r="G241" s="82">
        <v>-17657.710439710005</v>
      </c>
      <c r="I241" s="89">
        <f>MAX($A$2-B241,0)*MAX('籌碼表(W+F)'!D243,0)-MAX('籌碼表(W+F)'!D243,0)*C241</f>
        <v>0</v>
      </c>
      <c r="J241" s="89">
        <f>MAX(B241-$A$2,0)*MAX('籌碼表(W+F)'!F243,0)-MAX('籌碼表(W+F)'!F243,0)*D241</f>
        <v>0</v>
      </c>
      <c r="K241" s="89">
        <f>-MIN('籌碼表(W+F)'!D243,0)*C241  - MAX($A$2-B241,0) * (-MIN('籌碼表(W+F)'!D243,0))</f>
        <v>0</v>
      </c>
      <c r="L241" s="89">
        <f>-MIN('籌碼表(W+F)'!F243,0) * D241 -  MAX(B241-$A$2,0) * (-MIN('籌碼表(W+F)'!F243,0))</f>
        <v>0</v>
      </c>
    </row>
    <row r="242" spans="1:12" ht="13.5" customHeight="1" x14ac:dyDescent="0.25">
      <c r="A242" s="74">
        <v>27500</v>
      </c>
      <c r="B242" s="74">
        <v>27500</v>
      </c>
      <c r="C242" s="74">
        <f>IFERROR('callPut（W）'!D242+'callPut（F）'!D242,0)/2</f>
        <v>0</v>
      </c>
      <c r="D242" s="74">
        <f>IFERROR('callPut（W）'!L242+'callPut（F）'!L242,0)/2</f>
        <v>0</v>
      </c>
      <c r="E242" s="82">
        <v>4291.3652961199996</v>
      </c>
      <c r="F242" s="82">
        <v>-22186.984405829997</v>
      </c>
      <c r="G242" s="82">
        <v>-17895.619109710002</v>
      </c>
      <c r="I242" s="89">
        <f>MAX($A$2-B242,0)*MAX('籌碼表(W+F)'!D244,0)-MAX('籌碼表(W+F)'!D244,0)*C242</f>
        <v>0</v>
      </c>
      <c r="J242" s="89">
        <f>MAX(B242-$A$2,0)*MAX('籌碼表(W+F)'!F244,0)-MAX('籌碼表(W+F)'!F244,0)*D242</f>
        <v>0</v>
      </c>
      <c r="K242" s="89">
        <f>-MIN('籌碼表(W+F)'!D244,0)*C242  - MAX($A$2-B242,0) * (-MIN('籌碼表(W+F)'!D244,0))</f>
        <v>0</v>
      </c>
      <c r="L242" s="89">
        <f>-MIN('籌碼表(W+F)'!F244,0) * D242 -  MAX(B242-$A$2,0) * (-MIN('籌碼表(W+F)'!F244,0))</f>
        <v>0</v>
      </c>
    </row>
    <row r="243" spans="1:12" ht="13.5" customHeight="1" x14ac:dyDescent="0.25">
      <c r="A243" s="74">
        <v>27550</v>
      </c>
      <c r="B243" s="74">
        <v>27550</v>
      </c>
      <c r="C243" s="74">
        <f>IFERROR('callPut（W）'!D243+'callPut（F）'!D243,0)/2</f>
        <v>0</v>
      </c>
      <c r="D243" s="74">
        <f>IFERROR('callPut（W）'!L243+'callPut（F）'!L243,0)/2</f>
        <v>0</v>
      </c>
      <c r="E243" s="82">
        <v>4353.9587861199998</v>
      </c>
      <c r="F243" s="82">
        <v>-22487.486565829997</v>
      </c>
      <c r="G243" s="82">
        <v>-18133.527779709999</v>
      </c>
      <c r="I243" s="89">
        <f>MAX($A$2-B243,0)*MAX('籌碼表(W+F)'!D245,0)-MAX('籌碼表(W+F)'!D245,0)*C243</f>
        <v>0</v>
      </c>
      <c r="J243" s="89">
        <f>MAX(B243-$A$2,0)*MAX('籌碼表(W+F)'!F245,0)-MAX('籌碼表(W+F)'!F245,0)*D243</f>
        <v>0</v>
      </c>
      <c r="K243" s="89">
        <f>-MIN('籌碼表(W+F)'!D245,0)*C243  - MAX($A$2-B243,0) * (-MIN('籌碼表(W+F)'!D245,0))</f>
        <v>0</v>
      </c>
      <c r="L243" s="89">
        <f>-MIN('籌碼表(W+F)'!F245,0) * D243 -  MAX(B243-$A$2,0) * (-MIN('籌碼表(W+F)'!F245,0))</f>
        <v>0</v>
      </c>
    </row>
    <row r="244" spans="1:12" ht="13.5" customHeight="1" x14ac:dyDescent="0.25">
      <c r="A244" s="74">
        <v>27600</v>
      </c>
      <c r="B244" s="74">
        <v>27600</v>
      </c>
      <c r="C244" s="74">
        <f>IFERROR('callPut（W）'!D244+'callPut（F）'!D244,0)/2</f>
        <v>0</v>
      </c>
      <c r="D244" s="74">
        <f>IFERROR('callPut（W）'!L244+'callPut（F）'!L244,0)/2</f>
        <v>0</v>
      </c>
      <c r="E244" s="82">
        <v>4416.55227612</v>
      </c>
      <c r="F244" s="82">
        <v>-22787.988725830004</v>
      </c>
      <c r="G244" s="82">
        <v>-18371.436449710003</v>
      </c>
      <c r="I244" s="89">
        <f>MAX($A$2-B244,0)*MAX('籌碼表(W+F)'!D246,0)-MAX('籌碼表(W+F)'!D246,0)*C244</f>
        <v>0</v>
      </c>
      <c r="J244" s="89">
        <f>MAX(B244-$A$2,0)*MAX('籌碼表(W+F)'!F246,0)-MAX('籌碼表(W+F)'!F246,0)*D244</f>
        <v>0</v>
      </c>
      <c r="K244" s="89">
        <f>-MIN('籌碼表(W+F)'!D246,0)*C244  - MAX($A$2-B244,0) * (-MIN('籌碼表(W+F)'!D246,0))</f>
        <v>0</v>
      </c>
      <c r="L244" s="89">
        <f>-MIN('籌碼表(W+F)'!F246,0) * D244 -  MAX(B244-$A$2,0) * (-MIN('籌碼表(W+F)'!F246,0))</f>
        <v>0</v>
      </c>
    </row>
    <row r="245" spans="1:12" ht="13.5" customHeight="1" x14ac:dyDescent="0.25">
      <c r="A245" s="74">
        <v>27650</v>
      </c>
      <c r="B245" s="74">
        <v>27650</v>
      </c>
      <c r="C245" s="74">
        <f>IFERROR('callPut（W）'!D245+'callPut（F）'!D245,0)/2</f>
        <v>0</v>
      </c>
      <c r="D245" s="74">
        <f>IFERROR('callPut（W）'!L245+'callPut（F）'!L245,0)/2</f>
        <v>0</v>
      </c>
      <c r="E245" s="82">
        <v>4479.1457661200002</v>
      </c>
      <c r="F245" s="82">
        <v>-23088.490885830004</v>
      </c>
      <c r="G245" s="82">
        <v>-18609.34511971</v>
      </c>
      <c r="I245" s="89">
        <f>MAX($A$2-B245,0)*MAX('籌碼表(W+F)'!D247,0)-MAX('籌碼表(W+F)'!D247,0)*C245</f>
        <v>0</v>
      </c>
      <c r="J245" s="89">
        <f>MAX(B245-$A$2,0)*MAX('籌碼表(W+F)'!F247,0)-MAX('籌碼表(W+F)'!F247,0)*D245</f>
        <v>0</v>
      </c>
      <c r="K245" s="89">
        <f>-MIN('籌碼表(W+F)'!D247,0)*C245  - MAX($A$2-B245,0) * (-MIN('籌碼表(W+F)'!D247,0))</f>
        <v>0</v>
      </c>
      <c r="L245" s="89">
        <f>-MIN('籌碼表(W+F)'!F247,0) * D245 -  MAX(B245-$A$2,0) * (-MIN('籌碼表(W+F)'!F247,0))</f>
        <v>0</v>
      </c>
    </row>
    <row r="246" spans="1:12" ht="13.5" customHeight="1" x14ac:dyDescent="0.25">
      <c r="A246" s="74">
        <v>27700</v>
      </c>
      <c r="B246" s="74">
        <v>27700</v>
      </c>
      <c r="C246" s="74">
        <f>IFERROR('callPut（W）'!D246+'callPut（F）'!D246,0)/2</f>
        <v>0</v>
      </c>
      <c r="D246" s="74">
        <f>IFERROR('callPut（W）'!L246+'callPut（F）'!L246,0)/2</f>
        <v>0</v>
      </c>
      <c r="E246" s="82">
        <v>4541.7392561199995</v>
      </c>
      <c r="F246" s="82">
        <v>-23388.993045829997</v>
      </c>
      <c r="G246" s="82">
        <v>-18847.253789709994</v>
      </c>
      <c r="I246" s="89">
        <f>MAX($A$2-B246,0)*MAX('籌碼表(W+F)'!D248,0)-MAX('籌碼表(W+F)'!D248,0)*C246</f>
        <v>0</v>
      </c>
      <c r="J246" s="89">
        <f>MAX(B246-$A$2,0)*MAX('籌碼表(W+F)'!F248,0)-MAX('籌碼表(W+F)'!F248,0)*D246</f>
        <v>0</v>
      </c>
      <c r="K246" s="89">
        <f>-MIN('籌碼表(W+F)'!D248,0)*C246  - MAX($A$2-B246,0) * (-MIN('籌碼表(W+F)'!D248,0))</f>
        <v>0</v>
      </c>
      <c r="L246" s="89">
        <f>-MIN('籌碼表(W+F)'!F248,0) * D246 -  MAX(B246-$A$2,0) * (-MIN('籌碼表(W+F)'!F248,0))</f>
        <v>0</v>
      </c>
    </row>
    <row r="247" spans="1:12" ht="13.5" customHeight="1" x14ac:dyDescent="0.25">
      <c r="A247" s="74">
        <v>27750</v>
      </c>
      <c r="B247" s="74">
        <v>27750</v>
      </c>
      <c r="C247" s="74">
        <f>IFERROR('callPut（W）'!D247+'callPut（F）'!D247,0)/2</f>
        <v>0</v>
      </c>
      <c r="D247" s="74">
        <f>IFERROR('callPut（W）'!L247+'callPut（F）'!L247,0)/2</f>
        <v>0</v>
      </c>
      <c r="E247" s="82">
        <v>4604.3327461199997</v>
      </c>
      <c r="F247" s="82">
        <v>-23689.495205829997</v>
      </c>
      <c r="G247" s="82">
        <v>-19085.162459709998</v>
      </c>
      <c r="I247" s="89">
        <f>MAX($A$2-B247,0)*MAX('籌碼表(W+F)'!D249,0)-MAX('籌碼表(W+F)'!D249,0)*C247</f>
        <v>0</v>
      </c>
      <c r="J247" s="89">
        <f>MAX(B247-$A$2,0)*MAX('籌碼表(W+F)'!F249,0)-MAX('籌碼表(W+F)'!F249,0)*D247</f>
        <v>0</v>
      </c>
      <c r="K247" s="89">
        <f>-MIN('籌碼表(W+F)'!D249,0)*C247  - MAX($A$2-B247,0) * (-MIN('籌碼表(W+F)'!D249,0))</f>
        <v>0</v>
      </c>
      <c r="L247" s="89">
        <f>-MIN('籌碼表(W+F)'!F249,0) * D247 -  MAX(B247-$A$2,0) * (-MIN('籌碼表(W+F)'!F249,0))</f>
        <v>0</v>
      </c>
    </row>
    <row r="248" spans="1:12" ht="13.5" customHeight="1" x14ac:dyDescent="0.25">
      <c r="A248" s="74">
        <v>27800</v>
      </c>
      <c r="B248" s="74">
        <v>27800</v>
      </c>
      <c r="C248" s="74">
        <f>IFERROR('callPut（W）'!D248+'callPut（F）'!D248,0)/2</f>
        <v>0</v>
      </c>
      <c r="D248" s="74">
        <f>IFERROR('callPut（W）'!L248+'callPut（F）'!L248,0)/2</f>
        <v>0</v>
      </c>
      <c r="E248" s="82">
        <v>4666.9262361199999</v>
      </c>
      <c r="F248" s="82">
        <v>-23989.997365830004</v>
      </c>
      <c r="G248" s="82">
        <v>-19323.071129709999</v>
      </c>
      <c r="I248" s="89">
        <f>MAX($A$2-B248,0)*MAX('籌碼表(W+F)'!D250,0)-MAX('籌碼表(W+F)'!D250,0)*C248</f>
        <v>0</v>
      </c>
      <c r="J248" s="89">
        <f>MAX(B248-$A$2,0)*MAX('籌碼表(W+F)'!F250,0)-MAX('籌碼表(W+F)'!F250,0)*D248</f>
        <v>0</v>
      </c>
      <c r="K248" s="89">
        <f>-MIN('籌碼表(W+F)'!D250,0)*C248  - MAX($A$2-B248,0) * (-MIN('籌碼表(W+F)'!D250,0))</f>
        <v>0</v>
      </c>
      <c r="L248" s="89">
        <f>-MIN('籌碼表(W+F)'!F250,0) * D248 -  MAX(B248-$A$2,0) * (-MIN('籌碼表(W+F)'!F250,0))</f>
        <v>0</v>
      </c>
    </row>
    <row r="249" spans="1:12" ht="13.5" customHeight="1" x14ac:dyDescent="0.25">
      <c r="A249" s="74">
        <v>27850</v>
      </c>
      <c r="B249" s="74">
        <v>27850</v>
      </c>
      <c r="C249" s="74">
        <f>IFERROR('callPut（W）'!D249+'callPut（F）'!D249,0)/2</f>
        <v>0</v>
      </c>
      <c r="D249" s="74">
        <f>IFERROR('callPut（W）'!L249+'callPut（F）'!L249,0)/2</f>
        <v>0</v>
      </c>
      <c r="E249" s="82">
        <v>4729.5197261199992</v>
      </c>
      <c r="F249" s="82">
        <v>-24290.49952583</v>
      </c>
      <c r="G249" s="82">
        <v>-19560.979799709999</v>
      </c>
      <c r="I249" s="89">
        <f>MAX($A$2-B249,0)*MAX('籌碼表(W+F)'!D251,0)-MAX('籌碼表(W+F)'!D251,0)*C249</f>
        <v>0</v>
      </c>
      <c r="J249" s="89">
        <f>MAX(B249-$A$2,0)*MAX('籌碼表(W+F)'!F251,0)-MAX('籌碼表(W+F)'!F251,0)*D249</f>
        <v>0</v>
      </c>
      <c r="K249" s="89">
        <f>-MIN('籌碼表(W+F)'!D251,0)*C249  - MAX($A$2-B249,0) * (-MIN('籌碼表(W+F)'!D251,0))</f>
        <v>0</v>
      </c>
      <c r="L249" s="89">
        <f>-MIN('籌碼表(W+F)'!F251,0) * D249 -  MAX(B249-$A$2,0) * (-MIN('籌碼表(W+F)'!F251,0))</f>
        <v>0</v>
      </c>
    </row>
    <row r="250" spans="1:12" ht="13.5" customHeight="1" x14ac:dyDescent="0.25">
      <c r="A250" s="74">
        <v>27900</v>
      </c>
      <c r="B250" s="74">
        <v>27900</v>
      </c>
      <c r="C250" s="74">
        <f>IFERROR('callPut（W）'!D250+'callPut（F）'!D250,0)/2</f>
        <v>0</v>
      </c>
      <c r="D250" s="74">
        <f>IFERROR('callPut（W）'!L250+'callPut（F）'!L250,0)/2</f>
        <v>0</v>
      </c>
      <c r="E250" s="82">
        <v>4792.1132161199994</v>
      </c>
      <c r="F250" s="82">
        <v>-24591.001685829997</v>
      </c>
      <c r="G250" s="82">
        <v>-19798.888469709997</v>
      </c>
      <c r="I250" s="89">
        <f>MAX($A$2-B250,0)*MAX('籌碼表(W+F)'!D252,0)-MAX('籌碼表(W+F)'!D252,0)*C250</f>
        <v>0</v>
      </c>
      <c r="J250" s="89">
        <f>MAX(B250-$A$2,0)*MAX('籌碼表(W+F)'!F252,0)-MAX('籌碼表(W+F)'!F252,0)*D250</f>
        <v>0</v>
      </c>
      <c r="K250" s="89">
        <f>-MIN('籌碼表(W+F)'!D252,0)*C250  - MAX($A$2-B250,0) * (-MIN('籌碼表(W+F)'!D252,0))</f>
        <v>0</v>
      </c>
      <c r="L250" s="89">
        <f>-MIN('籌碼表(W+F)'!F252,0) * D250 -  MAX(B250-$A$2,0) * (-MIN('籌碼表(W+F)'!F252,0))</f>
        <v>0</v>
      </c>
    </row>
    <row r="251" spans="1:12" ht="13.5" customHeight="1" x14ac:dyDescent="0.25">
      <c r="A251" s="74">
        <v>27950</v>
      </c>
      <c r="B251" s="74">
        <v>27950</v>
      </c>
      <c r="C251" s="74">
        <f>IFERROR('callPut（W）'!D251+'callPut（F）'!D251,0)/2</f>
        <v>0</v>
      </c>
      <c r="D251" s="74">
        <f>IFERROR('callPut（W）'!L251+'callPut（F）'!L251,0)/2</f>
        <v>0</v>
      </c>
      <c r="E251" s="82">
        <v>4854.7067061199996</v>
      </c>
      <c r="F251" s="82">
        <v>-24891.503845829997</v>
      </c>
      <c r="G251" s="82">
        <v>-20036.797139709994</v>
      </c>
      <c r="I251" s="89">
        <f>MAX($A$2-B251,0)*MAX('籌碼表(W+F)'!D253,0)-MAX('籌碼表(W+F)'!D253,0)*C251</f>
        <v>0</v>
      </c>
      <c r="J251" s="89">
        <f>MAX(B251-$A$2,0)*MAX('籌碼表(W+F)'!F253,0)-MAX('籌碼表(W+F)'!F253,0)*D251</f>
        <v>0</v>
      </c>
      <c r="K251" s="89">
        <f>-MIN('籌碼表(W+F)'!D253,0)*C251  - MAX($A$2-B251,0) * (-MIN('籌碼表(W+F)'!D253,0))</f>
        <v>0</v>
      </c>
      <c r="L251" s="89">
        <f>-MIN('籌碼表(W+F)'!F253,0) * D251 -  MAX(B251-$A$2,0) * (-MIN('籌碼表(W+F)'!F253,0))</f>
        <v>0</v>
      </c>
    </row>
    <row r="252" spans="1:12" ht="13.5" customHeight="1" x14ac:dyDescent="0.25">
      <c r="A252" s="74">
        <v>28000</v>
      </c>
      <c r="B252" s="74">
        <v>28000</v>
      </c>
      <c r="C252" s="74">
        <f>IFERROR('callPut（W）'!D252+'callPut（F）'!D252,0)/2</f>
        <v>0</v>
      </c>
      <c r="D252" s="74">
        <f>IFERROR('callPut（W）'!L252+'callPut（F）'!L252,0)/2</f>
        <v>0</v>
      </c>
      <c r="E252" s="82">
        <v>4917.3001961199998</v>
      </c>
      <c r="F252" s="82">
        <v>-25192.006005830001</v>
      </c>
      <c r="G252" s="82">
        <v>-20274.705809710009</v>
      </c>
      <c r="I252" s="89">
        <f>MAX($A$2-B252,0)*MAX('籌碼表(W+F)'!D254,0)-MAX('籌碼表(W+F)'!D254,0)*C252</f>
        <v>0</v>
      </c>
      <c r="J252" s="89">
        <f>MAX(B252-$A$2,0)*MAX('籌碼表(W+F)'!F254,0)-MAX('籌碼表(W+F)'!F254,0)*D252</f>
        <v>0</v>
      </c>
      <c r="K252" s="89">
        <f>-MIN('籌碼表(W+F)'!D254,0)*C252  - MAX($A$2-B252,0) * (-MIN('籌碼表(W+F)'!D254,0))</f>
        <v>0</v>
      </c>
      <c r="L252" s="89">
        <f>-MIN('籌碼表(W+F)'!F254,0) * D252 -  MAX(B252-$A$2,0) * (-MIN('籌碼表(W+F)'!F254,0))</f>
        <v>0</v>
      </c>
    </row>
    <row r="253" spans="1:12" ht="13.5" customHeight="1" x14ac:dyDescent="0.25">
      <c r="A253" s="74">
        <v>28050</v>
      </c>
      <c r="B253" s="74">
        <v>28050</v>
      </c>
      <c r="C253" s="74">
        <f>IFERROR('callPut（W）'!D253+'callPut（F）'!D253,0)/2</f>
        <v>0</v>
      </c>
      <c r="D253" s="74">
        <f>IFERROR('callPut（W）'!L253+'callPut（F）'!L253,0)/2</f>
        <v>0</v>
      </c>
      <c r="E253" s="82">
        <v>4979.8936861199991</v>
      </c>
      <c r="F253" s="82">
        <v>-25492.508165830001</v>
      </c>
      <c r="G253" s="82">
        <v>-20512.614479709999</v>
      </c>
      <c r="I253" s="89">
        <f>MAX($A$2-B253,0)*MAX('籌碼表(W+F)'!D255,0)-MAX('籌碼表(W+F)'!D255,0)*C253</f>
        <v>0</v>
      </c>
      <c r="J253" s="89">
        <f>MAX(B253-$A$2,0)*MAX('籌碼表(W+F)'!F255,0)-MAX('籌碼表(W+F)'!F255,0)*D253</f>
        <v>0</v>
      </c>
      <c r="K253" s="89">
        <f>-MIN('籌碼表(W+F)'!D255,0)*C253  - MAX($A$2-B253,0) * (-MIN('籌碼表(W+F)'!D255,0))</f>
        <v>0</v>
      </c>
      <c r="L253" s="89">
        <f>-MIN('籌碼表(W+F)'!F255,0) * D253 -  MAX(B253-$A$2,0) * (-MIN('籌碼表(W+F)'!F255,0))</f>
        <v>0</v>
      </c>
    </row>
    <row r="254" spans="1:12" ht="13.5" customHeight="1" x14ac:dyDescent="0.25">
      <c r="A254" s="74">
        <v>28100</v>
      </c>
      <c r="B254" s="74">
        <v>28100</v>
      </c>
      <c r="C254" s="74">
        <f>IFERROR('callPut（W）'!D254+'callPut（F）'!D254,0)/2</f>
        <v>0</v>
      </c>
      <c r="D254" s="74">
        <f>IFERROR('callPut（W）'!L254+'callPut（F）'!L254,0)/2</f>
        <v>0</v>
      </c>
      <c r="E254" s="82">
        <v>5042.4871761199993</v>
      </c>
      <c r="F254" s="82">
        <v>-25793.010325829993</v>
      </c>
      <c r="G254" s="82">
        <v>-20750.523149709992</v>
      </c>
      <c r="I254" s="89">
        <f>MAX($A$2-B254,0)*MAX('籌碼表(W+F)'!D256,0)-MAX('籌碼表(W+F)'!D256,0)*C254</f>
        <v>0</v>
      </c>
      <c r="J254" s="89">
        <f>MAX(B254-$A$2,0)*MAX('籌碼表(W+F)'!F256,0)-MAX('籌碼表(W+F)'!F256,0)*D254</f>
        <v>0</v>
      </c>
      <c r="K254" s="89">
        <f>-MIN('籌碼表(W+F)'!D256,0)*C254  - MAX($A$2-B254,0) * (-MIN('籌碼表(W+F)'!D256,0))</f>
        <v>0</v>
      </c>
      <c r="L254" s="89">
        <f>-MIN('籌碼表(W+F)'!F256,0) * D254 -  MAX(B254-$A$2,0) * (-MIN('籌碼表(W+F)'!F256,0))</f>
        <v>0</v>
      </c>
    </row>
    <row r="255" spans="1:12" ht="13.5" customHeight="1" x14ac:dyDescent="0.25">
      <c r="A255" s="74">
        <v>28150</v>
      </c>
      <c r="B255" s="74">
        <v>28150</v>
      </c>
      <c r="C255" s="74">
        <f>IFERROR('callPut（W）'!D255+'callPut（F）'!D255,0)/2</f>
        <v>0</v>
      </c>
      <c r="D255" s="74">
        <f>IFERROR('callPut（W）'!L255+'callPut（F）'!L255,0)/2</f>
        <v>0</v>
      </c>
      <c r="E255" s="82">
        <v>5105.0806661200004</v>
      </c>
      <c r="F255" s="82">
        <v>-26093.512485830001</v>
      </c>
      <c r="G255" s="82">
        <v>-20988.43181971</v>
      </c>
      <c r="I255" s="89">
        <f>MAX($A$2-B255,0)*MAX('籌碼表(W+F)'!D257,0)-MAX('籌碼表(W+F)'!D257,0)*C255</f>
        <v>0</v>
      </c>
      <c r="J255" s="89">
        <f>MAX(B255-$A$2,0)*MAX('籌碼表(W+F)'!F257,0)-MAX('籌碼表(W+F)'!F257,0)*D255</f>
        <v>0</v>
      </c>
      <c r="K255" s="89">
        <f>-MIN('籌碼表(W+F)'!D257,0)*C255  - MAX($A$2-B255,0) * (-MIN('籌碼表(W+F)'!D257,0))</f>
        <v>0</v>
      </c>
      <c r="L255" s="89">
        <f>-MIN('籌碼表(W+F)'!F257,0) * D255 -  MAX(B255-$A$2,0) * (-MIN('籌碼表(W+F)'!F257,0))</f>
        <v>0</v>
      </c>
    </row>
    <row r="256" spans="1:12" ht="13.5" customHeight="1" x14ac:dyDescent="0.25">
      <c r="A256" s="74">
        <v>28200</v>
      </c>
      <c r="B256" s="74">
        <v>28200</v>
      </c>
      <c r="C256" s="74">
        <f>IFERROR('callPut（W）'!D256+'callPut（F）'!D256,0)/2</f>
        <v>0</v>
      </c>
      <c r="D256" s="74">
        <f>IFERROR('callPut（W）'!L256+'callPut（F）'!L256,0)/2</f>
        <v>0</v>
      </c>
      <c r="E256" s="82">
        <v>5167.6741561199988</v>
      </c>
      <c r="F256" s="82">
        <v>-26394.014645829997</v>
      </c>
      <c r="G256" s="82">
        <v>-21226.340489710001</v>
      </c>
      <c r="I256" s="89">
        <f>MAX($A$2-B256,0)*MAX('籌碼表(W+F)'!D258,0)-MAX('籌碼表(W+F)'!D258,0)*C256</f>
        <v>0</v>
      </c>
      <c r="J256" s="89">
        <f>MAX(B256-$A$2,0)*MAX('籌碼表(W+F)'!F258,0)-MAX('籌碼表(W+F)'!F258,0)*D256</f>
        <v>0</v>
      </c>
      <c r="K256" s="89">
        <f>-MIN('籌碼表(W+F)'!D258,0)*C256  - MAX($A$2-B256,0) * (-MIN('籌碼表(W+F)'!D258,0))</f>
        <v>0</v>
      </c>
      <c r="L256" s="89">
        <f>-MIN('籌碼表(W+F)'!F258,0) * D256 -  MAX(B256-$A$2,0) * (-MIN('籌碼表(W+F)'!F258,0))</f>
        <v>0</v>
      </c>
    </row>
    <row r="257" spans="1:12" ht="13.5" customHeight="1" x14ac:dyDescent="0.25">
      <c r="A257" s="74">
        <v>28250</v>
      </c>
      <c r="B257" s="74">
        <v>28250</v>
      </c>
      <c r="C257" s="74">
        <f>IFERROR('callPut（W）'!D257+'callPut（F）'!D257,0)/2</f>
        <v>0</v>
      </c>
      <c r="D257" s="74">
        <f>IFERROR('callPut（W）'!L257+'callPut（F）'!L257,0)/2</f>
        <v>0</v>
      </c>
      <c r="E257" s="82">
        <v>5230.267646119999</v>
      </c>
      <c r="F257" s="82">
        <v>-26694.516805830001</v>
      </c>
      <c r="G257" s="82">
        <v>-21464.249159710002</v>
      </c>
      <c r="I257" s="89">
        <f>MAX($A$2-B257,0)*MAX('籌碼表(W+F)'!D259,0)-MAX('籌碼表(W+F)'!D259,0)*C257</f>
        <v>0</v>
      </c>
      <c r="J257" s="89">
        <f>MAX(B257-$A$2,0)*MAX('籌碼表(W+F)'!F259,0)-MAX('籌碼表(W+F)'!F259,0)*D257</f>
        <v>0</v>
      </c>
      <c r="K257" s="89">
        <f>-MIN('籌碼表(W+F)'!D259,0)*C257  - MAX($A$2-B257,0) * (-MIN('籌碼表(W+F)'!D259,0))</f>
        <v>0</v>
      </c>
      <c r="L257" s="89">
        <f>-MIN('籌碼表(W+F)'!F259,0) * D257 -  MAX(B257-$A$2,0) * (-MIN('籌碼表(W+F)'!F259,0))</f>
        <v>0</v>
      </c>
    </row>
    <row r="258" spans="1:12" ht="13.5" customHeight="1" x14ac:dyDescent="0.25">
      <c r="A258" s="74">
        <v>28300</v>
      </c>
      <c r="B258" s="74">
        <v>28300</v>
      </c>
      <c r="C258" s="74">
        <f>IFERROR('callPut（W）'!D258+'callPut（F）'!D258,0)/2</f>
        <v>0</v>
      </c>
      <c r="D258" s="74">
        <f>IFERROR('callPut（W）'!L258+'callPut（F）'!L258,0)/2</f>
        <v>0</v>
      </c>
      <c r="E258" s="82">
        <v>5292.8611361199992</v>
      </c>
      <c r="F258" s="82">
        <v>-26995.018965829997</v>
      </c>
      <c r="G258" s="82">
        <v>-21702.157829710006</v>
      </c>
      <c r="I258" s="89">
        <f>MAX($A$2-B258,0)*MAX('籌碼表(W+F)'!D260,0)-MAX('籌碼表(W+F)'!D260,0)*C258</f>
        <v>0</v>
      </c>
      <c r="J258" s="89">
        <f>MAX(B258-$A$2,0)*MAX('籌碼表(W+F)'!F260,0)-MAX('籌碼表(W+F)'!F260,0)*D258</f>
        <v>0</v>
      </c>
      <c r="K258" s="89">
        <f>-MIN('籌碼表(W+F)'!D260,0)*C258  - MAX($A$2-B258,0) * (-MIN('籌碼表(W+F)'!D260,0))</f>
        <v>0</v>
      </c>
      <c r="L258" s="89">
        <f>-MIN('籌碼表(W+F)'!F260,0) * D258 -  MAX(B258-$A$2,0) * (-MIN('籌碼表(W+F)'!F260,0))</f>
        <v>0</v>
      </c>
    </row>
    <row r="259" spans="1:12" ht="13.5" customHeight="1" x14ac:dyDescent="0.25">
      <c r="A259" s="74">
        <v>28350</v>
      </c>
      <c r="B259" s="74">
        <v>28350</v>
      </c>
      <c r="C259" s="74">
        <f>IFERROR('callPut（W）'!D259+'callPut（F）'!D259,0)/2</f>
        <v>0</v>
      </c>
      <c r="D259" s="74">
        <f>IFERROR('callPut（W）'!L259+'callPut（F）'!L259,0)/2</f>
        <v>0</v>
      </c>
      <c r="E259" s="82">
        <v>5355.4546261199994</v>
      </c>
      <c r="F259" s="82">
        <v>-27295.521125829993</v>
      </c>
      <c r="G259" s="82">
        <v>-21940.066499709996</v>
      </c>
      <c r="I259" s="89">
        <f>MAX($A$2-B259,0)*MAX('籌碼表(W+F)'!D261,0)-MAX('籌碼表(W+F)'!D261,0)*C259</f>
        <v>0</v>
      </c>
      <c r="J259" s="89">
        <f>MAX(B259-$A$2,0)*MAX('籌碼表(W+F)'!F261,0)-MAX('籌碼表(W+F)'!F261,0)*D259</f>
        <v>0</v>
      </c>
      <c r="K259" s="89">
        <f>-MIN('籌碼表(W+F)'!D261,0)*C259  - MAX($A$2-B259,0) * (-MIN('籌碼表(W+F)'!D261,0))</f>
        <v>0</v>
      </c>
      <c r="L259" s="89">
        <f>-MIN('籌碼表(W+F)'!F261,0) * D259 -  MAX(B259-$A$2,0) * (-MIN('籌碼表(W+F)'!F261,0))</f>
        <v>0</v>
      </c>
    </row>
    <row r="260" spans="1:12" ht="13.5" customHeight="1" x14ac:dyDescent="0.25">
      <c r="A260" s="74">
        <v>28400</v>
      </c>
      <c r="B260" s="74">
        <v>28400</v>
      </c>
      <c r="C260" s="74">
        <f>IFERROR('callPut（W）'!D260+'callPut（F）'!D260,0)/2</f>
        <v>0</v>
      </c>
      <c r="D260" s="74">
        <f>IFERROR('callPut（W）'!L260+'callPut（F）'!L260,0)/2</f>
        <v>0</v>
      </c>
      <c r="E260" s="82">
        <v>5418.0481161199987</v>
      </c>
      <c r="F260" s="82">
        <v>-27596.023285830008</v>
      </c>
      <c r="G260" s="82">
        <v>-22177.975169710004</v>
      </c>
      <c r="I260" s="89">
        <f>MAX($A$2-B260,0)*MAX('籌碼表(W+F)'!D262,0)-MAX('籌碼表(W+F)'!D262,0)*C260</f>
        <v>0</v>
      </c>
      <c r="J260" s="89">
        <f>MAX(B260-$A$2,0)*MAX('籌碼表(W+F)'!F262,0)-MAX('籌碼表(W+F)'!F262,0)*D260</f>
        <v>0</v>
      </c>
      <c r="K260" s="89">
        <f>-MIN('籌碼表(W+F)'!D262,0)*C260  - MAX($A$2-B260,0) * (-MIN('籌碼表(W+F)'!D262,0))</f>
        <v>0</v>
      </c>
      <c r="L260" s="89">
        <f>-MIN('籌碼表(W+F)'!F262,0) * D260 -  MAX(B260-$A$2,0) * (-MIN('籌碼表(W+F)'!F262,0))</f>
        <v>0</v>
      </c>
    </row>
    <row r="261" spans="1:12" ht="13.5" customHeight="1" x14ac:dyDescent="0.25">
      <c r="A261" s="74">
        <v>28450</v>
      </c>
      <c r="B261" s="74">
        <v>28450</v>
      </c>
      <c r="C261" s="74">
        <f>IFERROR('callPut（W）'!D261+'callPut（F）'!D261,0)/2</f>
        <v>0</v>
      </c>
      <c r="D261" s="74">
        <f>IFERROR('callPut（W）'!L261+'callPut（F）'!L261,0)/2</f>
        <v>0</v>
      </c>
      <c r="E261" s="82">
        <v>5480.6416061199989</v>
      </c>
      <c r="F261" s="82">
        <v>-27896.525445830004</v>
      </c>
      <c r="G261" s="82">
        <v>-22415.883839710004</v>
      </c>
      <c r="I261" s="89">
        <f>MAX($A$2-B261,0)*MAX('籌碼表(W+F)'!D263,0)-MAX('籌碼表(W+F)'!D263,0)*C261</f>
        <v>0</v>
      </c>
      <c r="J261" s="89">
        <f>MAX(B261-$A$2,0)*MAX('籌碼表(W+F)'!F263,0)-MAX('籌碼表(W+F)'!F263,0)*D261</f>
        <v>0</v>
      </c>
      <c r="K261" s="89">
        <f>-MIN('籌碼表(W+F)'!D263,0)*C261  - MAX($A$2-B261,0) * (-MIN('籌碼表(W+F)'!D263,0))</f>
        <v>0</v>
      </c>
      <c r="L261" s="89">
        <f>-MIN('籌碼表(W+F)'!F263,0) * D261 -  MAX(B261-$A$2,0) * (-MIN('籌碼表(W+F)'!F263,0))</f>
        <v>0</v>
      </c>
    </row>
    <row r="262" spans="1:12" ht="13.5" customHeight="1" x14ac:dyDescent="0.25">
      <c r="A262" s="74">
        <v>28500</v>
      </c>
      <c r="B262" s="74">
        <v>28500</v>
      </c>
      <c r="C262" s="74">
        <f>IFERROR('callPut（W）'!D262+'callPut（F）'!D262,0)/2</f>
        <v>0</v>
      </c>
      <c r="D262" s="74">
        <f>IFERROR('callPut（W）'!L262+'callPut（F）'!L262,0)/2</f>
        <v>0</v>
      </c>
      <c r="E262" s="82">
        <v>5543.2350961199991</v>
      </c>
      <c r="F262" s="82">
        <v>-28197.027605829997</v>
      </c>
      <c r="G262" s="82">
        <v>-22653.792509709994</v>
      </c>
      <c r="I262" s="89">
        <f>MAX($A$2-B262,0)*MAX('籌碼表(W+F)'!D264,0)-MAX('籌碼表(W+F)'!D264,0)*C262</f>
        <v>0</v>
      </c>
      <c r="J262" s="89">
        <f>MAX(B262-$A$2,0)*MAX('籌碼表(W+F)'!F264,0)-MAX('籌碼表(W+F)'!F264,0)*D262</f>
        <v>0</v>
      </c>
      <c r="K262" s="89">
        <f>-MIN('籌碼表(W+F)'!D264,0)*C262  - MAX($A$2-B262,0) * (-MIN('籌碼表(W+F)'!D264,0))</f>
        <v>0</v>
      </c>
      <c r="L262" s="89">
        <f>-MIN('籌碼表(W+F)'!F264,0) * D262 -  MAX(B262-$A$2,0) * (-MIN('籌碼表(W+F)'!F264,0))</f>
        <v>0</v>
      </c>
    </row>
    <row r="263" spans="1:12" ht="13.5" customHeight="1" x14ac:dyDescent="0.25">
      <c r="A263" s="74">
        <v>28550</v>
      </c>
      <c r="B263" s="74">
        <v>28550</v>
      </c>
      <c r="C263" s="74">
        <f>IFERROR('callPut（W）'!D263+'callPut（F）'!D263,0)/2</f>
        <v>0</v>
      </c>
      <c r="D263" s="74">
        <f>IFERROR('callPut（W）'!L263+'callPut（F）'!L263,0)/2</f>
        <v>0</v>
      </c>
      <c r="E263" s="82">
        <v>5605.8285861199993</v>
      </c>
      <c r="F263" s="82">
        <v>-28497.529765829997</v>
      </c>
      <c r="G263" s="82">
        <v>-22891.701179710002</v>
      </c>
      <c r="I263" s="89">
        <f>MAX($A$2-B263,0)*MAX('籌碼表(W+F)'!D265,0)-MAX('籌碼表(W+F)'!D265,0)*C263</f>
        <v>0</v>
      </c>
      <c r="J263" s="89">
        <f>MAX(B263-$A$2,0)*MAX('籌碼表(W+F)'!F265,0)-MAX('籌碼表(W+F)'!F265,0)*D263</f>
        <v>0</v>
      </c>
      <c r="K263" s="89">
        <f>-MIN('籌碼表(W+F)'!D265,0)*C263  - MAX($A$2-B263,0) * (-MIN('籌碼表(W+F)'!D265,0))</f>
        <v>0</v>
      </c>
      <c r="L263" s="89">
        <f>-MIN('籌碼表(W+F)'!F265,0) * D263 -  MAX(B263-$A$2,0) * (-MIN('籌碼表(W+F)'!F265,0))</f>
        <v>0</v>
      </c>
    </row>
    <row r="264" spans="1:12" ht="13.5" customHeight="1" x14ac:dyDescent="0.25">
      <c r="A264" s="74">
        <v>28600</v>
      </c>
      <c r="B264" s="74">
        <v>28600</v>
      </c>
      <c r="C264" s="74">
        <f>IFERROR('callPut（W）'!D264+'callPut（F）'!D264,0)/2</f>
        <v>0</v>
      </c>
      <c r="D264" s="74">
        <f>IFERROR('callPut（W）'!L264+'callPut（F）'!L264,0)/2</f>
        <v>0</v>
      </c>
      <c r="E264" s="82">
        <v>5668.4220761199986</v>
      </c>
      <c r="F264" s="82">
        <v>-28798.031925830001</v>
      </c>
      <c r="G264" s="82">
        <v>-23129.609849710003</v>
      </c>
      <c r="I264" s="89">
        <f>MAX($A$2-B264,0)*MAX('籌碼表(W+F)'!D266,0)-MAX('籌碼表(W+F)'!D266,0)*C264</f>
        <v>0</v>
      </c>
      <c r="J264" s="89">
        <f>MAX(B264-$A$2,0)*MAX('籌碼表(W+F)'!F266,0)-MAX('籌碼表(W+F)'!F266,0)*D264</f>
        <v>0</v>
      </c>
      <c r="K264" s="89">
        <f>-MIN('籌碼表(W+F)'!D266,0)*C264  - MAX($A$2-B264,0) * (-MIN('籌碼表(W+F)'!D266,0))</f>
        <v>0</v>
      </c>
      <c r="L264" s="89">
        <f>-MIN('籌碼表(W+F)'!F266,0) * D264 -  MAX(B264-$A$2,0) * (-MIN('籌碼表(W+F)'!F266,0))</f>
        <v>0</v>
      </c>
    </row>
    <row r="265" spans="1:12" ht="13.5" customHeight="1" x14ac:dyDescent="0.25">
      <c r="A265" s="74">
        <v>28650</v>
      </c>
      <c r="B265" s="74">
        <v>28650</v>
      </c>
      <c r="C265" s="74">
        <f>IFERROR('callPut（W）'!D265+'callPut（F）'!D265,0)/2</f>
        <v>0</v>
      </c>
      <c r="D265" s="74">
        <f>IFERROR('callPut（W）'!L265+'callPut（F）'!L265,0)/2</f>
        <v>0</v>
      </c>
      <c r="E265" s="82">
        <v>5731.0155661199997</v>
      </c>
      <c r="F265" s="82">
        <v>-29098.534085830001</v>
      </c>
      <c r="G265" s="82">
        <v>-23367.51851971</v>
      </c>
      <c r="I265" s="89">
        <f>MAX($A$2-B265,0)*MAX('籌碼表(W+F)'!D267,0)-MAX('籌碼表(W+F)'!D267,0)*C265</f>
        <v>0</v>
      </c>
      <c r="J265" s="89">
        <f>MAX(B265-$A$2,0)*MAX('籌碼表(W+F)'!F267,0)-MAX('籌碼表(W+F)'!F267,0)*D265</f>
        <v>0</v>
      </c>
      <c r="K265" s="89">
        <f>-MIN('籌碼表(W+F)'!D267,0)*C265  - MAX($A$2-B265,0) * (-MIN('籌碼表(W+F)'!D267,0))</f>
        <v>0</v>
      </c>
      <c r="L265" s="89">
        <f>-MIN('籌碼表(W+F)'!F267,0) * D265 -  MAX(B265-$A$2,0) * (-MIN('籌碼表(W+F)'!F267,0))</f>
        <v>0</v>
      </c>
    </row>
    <row r="266" spans="1:12" ht="13.5" customHeight="1" x14ac:dyDescent="0.25">
      <c r="A266" s="74">
        <v>28700</v>
      </c>
      <c r="B266" s="74">
        <v>28700</v>
      </c>
      <c r="C266" s="74">
        <f>IFERROR('callPut（W）'!D266+'callPut（F）'!D266,0)/2</f>
        <v>0</v>
      </c>
      <c r="D266" s="74">
        <f>IFERROR('callPut（W）'!L266+'callPut（F）'!L266,0)/2</f>
        <v>0</v>
      </c>
      <c r="E266" s="82">
        <v>5793.609056119999</v>
      </c>
      <c r="F266" s="82">
        <v>-29399.036245829997</v>
      </c>
      <c r="G266" s="82">
        <v>-23605.427189710001</v>
      </c>
      <c r="I266" s="89">
        <f>MAX($A$2-B266,0)*MAX('籌碼表(W+F)'!D268,0)-MAX('籌碼表(W+F)'!D268,0)*C266</f>
        <v>0</v>
      </c>
      <c r="J266" s="89">
        <f>MAX(B266-$A$2,0)*MAX('籌碼表(W+F)'!F268,0)-MAX('籌碼表(W+F)'!F268,0)*D266</f>
        <v>0</v>
      </c>
      <c r="K266" s="89">
        <f>-MIN('籌碼表(W+F)'!D268,0)*C266  - MAX($A$2-B266,0) * (-MIN('籌碼表(W+F)'!D268,0))</f>
        <v>0</v>
      </c>
      <c r="L266" s="89">
        <f>-MIN('籌碼表(W+F)'!F268,0) * D266 -  MAX(B266-$A$2,0) * (-MIN('籌碼表(W+F)'!F268,0))</f>
        <v>0</v>
      </c>
    </row>
    <row r="267" spans="1:12" ht="13.5" customHeight="1" x14ac:dyDescent="0.25">
      <c r="A267" s="74">
        <v>28750</v>
      </c>
      <c r="B267" s="74">
        <v>28750</v>
      </c>
      <c r="C267" s="74">
        <f>IFERROR('callPut（W）'!D267+'callPut（F）'!D267,0)/2</f>
        <v>0</v>
      </c>
      <c r="D267" s="74">
        <f>IFERROR('callPut（W）'!L267+'callPut（F）'!L267,0)/2</f>
        <v>0</v>
      </c>
      <c r="E267" s="82">
        <v>5856.2025461199983</v>
      </c>
      <c r="F267" s="82">
        <v>-29699.538405829997</v>
      </c>
      <c r="G267" s="82">
        <v>-23843.335859709994</v>
      </c>
      <c r="I267" s="89">
        <f>MAX($A$2-B267,0)*MAX('籌碼表(W+F)'!D269,0)-MAX('籌碼表(W+F)'!D269,0)*C267</f>
        <v>0</v>
      </c>
      <c r="J267" s="89">
        <f>MAX(B267-$A$2,0)*MAX('籌碼表(W+F)'!F269,0)-MAX('籌碼表(W+F)'!F269,0)*D267</f>
        <v>0</v>
      </c>
      <c r="K267" s="89">
        <f>-MIN('籌碼表(W+F)'!D269,0)*C267  - MAX($A$2-B267,0) * (-MIN('籌碼表(W+F)'!D269,0))</f>
        <v>0</v>
      </c>
      <c r="L267" s="89">
        <f>-MIN('籌碼表(W+F)'!F269,0) * D267 -  MAX(B267-$A$2,0) * (-MIN('籌碼表(W+F)'!F269,0))</f>
        <v>0</v>
      </c>
    </row>
    <row r="268" spans="1:12" ht="13.5" customHeight="1" x14ac:dyDescent="0.25">
      <c r="A268" s="74">
        <v>28800</v>
      </c>
      <c r="B268" s="74">
        <v>28800</v>
      </c>
      <c r="C268" s="74">
        <f>IFERROR('callPut（W）'!D268+'callPut（F）'!D268,0)/2</f>
        <v>0</v>
      </c>
      <c r="D268" s="74">
        <f>IFERROR('callPut（W）'!L268+'callPut（F）'!L268,0)/2</f>
        <v>0</v>
      </c>
      <c r="E268" s="82">
        <v>5918.7960361199985</v>
      </c>
      <c r="F268" s="82">
        <v>-30000.040565830004</v>
      </c>
      <c r="G268" s="82">
        <v>-24081.244529710002</v>
      </c>
      <c r="I268" s="89">
        <f>MAX($A$2-B268,0)*MAX('籌碼表(W+F)'!D270,0)-MAX('籌碼表(W+F)'!D270,0)*C268</f>
        <v>0</v>
      </c>
      <c r="J268" s="89">
        <f>MAX(B268-$A$2,0)*MAX('籌碼表(W+F)'!F270,0)-MAX('籌碼表(W+F)'!F270,0)*D268</f>
        <v>0</v>
      </c>
      <c r="K268" s="89">
        <f>-MIN('籌碼表(W+F)'!D270,0)*C268  - MAX($A$2-B268,0) * (-MIN('籌碼表(W+F)'!D270,0))</f>
        <v>0</v>
      </c>
      <c r="L268" s="89">
        <f>-MIN('籌碼表(W+F)'!F270,0) * D268 -  MAX(B268-$A$2,0) * (-MIN('籌碼表(W+F)'!F270,0))</f>
        <v>0</v>
      </c>
    </row>
    <row r="269" spans="1:12" ht="13.5" customHeight="1" x14ac:dyDescent="0.25">
      <c r="A269" s="74">
        <v>28850</v>
      </c>
      <c r="B269" s="74">
        <v>28850</v>
      </c>
      <c r="C269" s="74">
        <f>IFERROR('callPut（W）'!D269+'callPut（F）'!D269,0)/2</f>
        <v>0</v>
      </c>
      <c r="D269" s="74">
        <f>IFERROR('callPut（W）'!L269+'callPut（F）'!L269,0)/2</f>
        <v>0</v>
      </c>
      <c r="E269" s="82">
        <v>5981.3895261199987</v>
      </c>
      <c r="F269" s="82">
        <v>-30300.542725830001</v>
      </c>
      <c r="G269" s="82">
        <v>-24319.153199710003</v>
      </c>
      <c r="I269" s="89">
        <f>MAX($A$2-B269,0)*MAX('籌碼表(W+F)'!D271,0)-MAX('籌碼表(W+F)'!D271,0)*C269</f>
        <v>0</v>
      </c>
      <c r="J269" s="89">
        <f>MAX(B269-$A$2,0)*MAX('籌碼表(W+F)'!F271,0)-MAX('籌碼表(W+F)'!F271,0)*D269</f>
        <v>0</v>
      </c>
      <c r="K269" s="89">
        <f>-MIN('籌碼表(W+F)'!D271,0)*C269  - MAX($A$2-B269,0) * (-MIN('籌碼表(W+F)'!D271,0))</f>
        <v>0</v>
      </c>
      <c r="L269" s="89">
        <f>-MIN('籌碼表(W+F)'!F271,0) * D269 -  MAX(B269-$A$2,0) * (-MIN('籌碼表(W+F)'!F271,0))</f>
        <v>0</v>
      </c>
    </row>
    <row r="270" spans="1:12" ht="13.5" customHeight="1" x14ac:dyDescent="0.25">
      <c r="A270" s="74">
        <v>28900</v>
      </c>
      <c r="B270" s="74">
        <v>28900</v>
      </c>
      <c r="C270" s="74">
        <f>IFERROR('callPut（W）'!D270+'callPut（F）'!D270,0)/2</f>
        <v>0</v>
      </c>
      <c r="D270" s="74">
        <f>IFERROR('callPut（W）'!L270+'callPut（F）'!L270,0)/2</f>
        <v>0</v>
      </c>
      <c r="E270" s="82">
        <v>6043.9830161199989</v>
      </c>
      <c r="F270" s="82">
        <v>-30601.044885830004</v>
      </c>
      <c r="G270" s="82">
        <v>-24557.061869710007</v>
      </c>
      <c r="I270" s="89">
        <f>MAX($A$2-B270,0)*MAX('籌碼表(W+F)'!D272,0)-MAX('籌碼表(W+F)'!D272,0)*C270</f>
        <v>0</v>
      </c>
      <c r="J270" s="89">
        <f>MAX(B270-$A$2,0)*MAX('籌碼表(W+F)'!F272,0)-MAX('籌碼表(W+F)'!F272,0)*D270</f>
        <v>0</v>
      </c>
      <c r="K270" s="89">
        <f>-MIN('籌碼表(W+F)'!D272,0)*C270  - MAX($A$2-B270,0) * (-MIN('籌碼表(W+F)'!D272,0))</f>
        <v>0</v>
      </c>
      <c r="L270" s="89">
        <f>-MIN('籌碼表(W+F)'!F272,0) * D270 -  MAX(B270-$A$2,0) * (-MIN('籌碼表(W+F)'!F272,0))</f>
        <v>0</v>
      </c>
    </row>
    <row r="271" spans="1:12" ht="13.5" customHeight="1" x14ac:dyDescent="0.25">
      <c r="A271" s="74">
        <v>28950</v>
      </c>
      <c r="B271" s="74">
        <v>28950</v>
      </c>
      <c r="C271" s="74">
        <f>IFERROR('callPut（W）'!D271+'callPut（F）'!D271,0)/2</f>
        <v>0</v>
      </c>
      <c r="D271" s="74">
        <f>IFERROR('callPut（W）'!L271+'callPut（F）'!L271,0)/2</f>
        <v>0</v>
      </c>
      <c r="E271" s="82">
        <v>6106.57650612</v>
      </c>
      <c r="F271" s="82">
        <v>-30901.547045830001</v>
      </c>
      <c r="G271" s="82">
        <v>-24794.970539710001</v>
      </c>
      <c r="I271" s="89">
        <f>MAX($A$2-B271,0)*MAX('籌碼表(W+F)'!D273,0)-MAX('籌碼表(W+F)'!D273,0)*C271</f>
        <v>0</v>
      </c>
      <c r="J271" s="89">
        <f>MAX(B271-$A$2,0)*MAX('籌碼表(W+F)'!F273,0)-MAX('籌碼表(W+F)'!F273,0)*D271</f>
        <v>0</v>
      </c>
      <c r="K271" s="89">
        <f>-MIN('籌碼表(W+F)'!D273,0)*C271  - MAX($A$2-B271,0) * (-MIN('籌碼表(W+F)'!D273,0))</f>
        <v>0</v>
      </c>
      <c r="L271" s="89">
        <f>-MIN('籌碼表(W+F)'!F273,0) * D271 -  MAX(B271-$A$2,0) * (-MIN('籌碼表(W+F)'!F273,0))</f>
        <v>0</v>
      </c>
    </row>
    <row r="272" spans="1:12" ht="13.5" customHeight="1" x14ac:dyDescent="0.25">
      <c r="A272" s="74">
        <v>29000</v>
      </c>
      <c r="B272" s="74">
        <v>29000</v>
      </c>
      <c r="C272" s="74">
        <f>IFERROR('callPut（W）'!D272+'callPut（F）'!D272,0)/2</f>
        <v>0</v>
      </c>
      <c r="D272" s="74">
        <f>IFERROR('callPut（W）'!L272+'callPut（F）'!L272,0)/2</f>
        <v>0</v>
      </c>
      <c r="E272" s="82">
        <v>6169.1699961199984</v>
      </c>
      <c r="F272" s="82">
        <v>-31202.049205829993</v>
      </c>
      <c r="G272" s="82">
        <v>-25032.879209709994</v>
      </c>
      <c r="I272" s="89">
        <f>MAX($A$2-B272,0)*MAX('籌碼表(W+F)'!D274,0)-MAX('籌碼表(W+F)'!D274,0)*C272</f>
        <v>0</v>
      </c>
      <c r="J272" s="89">
        <f>MAX(B272-$A$2,0)*MAX('籌碼表(W+F)'!F274,0)-MAX('籌碼表(W+F)'!F274,0)*D272</f>
        <v>0</v>
      </c>
      <c r="K272" s="89">
        <f>-MIN('籌碼表(W+F)'!D274,0)*C272  - MAX($A$2-B272,0) * (-MIN('籌碼表(W+F)'!D274,0))</f>
        <v>0</v>
      </c>
      <c r="L272" s="89">
        <f>-MIN('籌碼表(W+F)'!F274,0) * D272 -  MAX(B272-$A$2,0) * (-MIN('籌碼表(W+F)'!F274,0))</f>
        <v>0</v>
      </c>
    </row>
    <row r="273" spans="1:12" ht="13.5" customHeight="1" x14ac:dyDescent="0.25">
      <c r="A273" s="74">
        <v>29050</v>
      </c>
      <c r="B273" s="74">
        <v>29050</v>
      </c>
      <c r="C273" s="74">
        <f>IFERROR('callPut（W）'!D273+'callPut（F）'!D273,0)/2</f>
        <v>0</v>
      </c>
      <c r="D273" s="74">
        <f>IFERROR('callPut（W）'!L273+'callPut（F）'!L273,0)/2</f>
        <v>0</v>
      </c>
      <c r="E273" s="82">
        <v>6231.7634861199986</v>
      </c>
      <c r="F273" s="82">
        <v>-31502.551365830001</v>
      </c>
      <c r="G273" s="82">
        <v>-25270.787879709998</v>
      </c>
      <c r="I273" s="89">
        <f>MAX($A$2-B273,0)*MAX('籌碼表(W+F)'!D275,0)-MAX('籌碼表(W+F)'!D275,0)*C273</f>
        <v>0</v>
      </c>
      <c r="J273" s="89">
        <f>MAX(B273-$A$2,0)*MAX('籌碼表(W+F)'!F275,0)-MAX('籌碼表(W+F)'!F275,0)*D273</f>
        <v>0</v>
      </c>
      <c r="K273" s="89">
        <f>-MIN('籌碼表(W+F)'!D275,0)*C273  - MAX($A$2-B273,0) * (-MIN('籌碼表(W+F)'!D275,0))</f>
        <v>0</v>
      </c>
      <c r="L273" s="89">
        <f>-MIN('籌碼表(W+F)'!F275,0) * D273 -  MAX(B273-$A$2,0) * (-MIN('籌碼表(W+F)'!F275,0))</f>
        <v>0</v>
      </c>
    </row>
    <row r="274" spans="1:12" ht="13.5" customHeight="1" x14ac:dyDescent="0.25">
      <c r="A274" s="74">
        <v>29100</v>
      </c>
      <c r="B274" s="74">
        <v>29100</v>
      </c>
      <c r="C274" s="74">
        <f>IFERROR('callPut（W）'!D274+'callPut（F）'!D274,0)/2</f>
        <v>0</v>
      </c>
      <c r="D274" s="74">
        <f>IFERROR('callPut（W）'!L274+'callPut（F）'!L274,0)/2</f>
        <v>0</v>
      </c>
      <c r="E274" s="82">
        <v>6294.3569761199988</v>
      </c>
      <c r="F274" s="82">
        <v>-31803.053525830001</v>
      </c>
      <c r="G274" s="82">
        <v>-25508.696549710003</v>
      </c>
      <c r="I274" s="89">
        <f>MAX($A$2-B274,0)*MAX('籌碼表(W+F)'!D276,0)-MAX('籌碼表(W+F)'!D276,0)*C274</f>
        <v>0</v>
      </c>
      <c r="J274" s="89">
        <f>MAX(B274-$A$2,0)*MAX('籌碼表(W+F)'!F276,0)-MAX('籌碼表(W+F)'!F276,0)*D274</f>
        <v>0</v>
      </c>
      <c r="K274" s="89">
        <f>-MIN('籌碼表(W+F)'!D276,0)*C274  - MAX($A$2-B274,0) * (-MIN('籌碼表(W+F)'!D276,0))</f>
        <v>0</v>
      </c>
      <c r="L274" s="89">
        <f>-MIN('籌碼表(W+F)'!F276,0) * D274 -  MAX(B274-$A$2,0) * (-MIN('籌碼表(W+F)'!F276,0))</f>
        <v>0</v>
      </c>
    </row>
    <row r="275" spans="1:12" ht="13.5" customHeight="1" x14ac:dyDescent="0.25">
      <c r="A275" s="74">
        <v>29150</v>
      </c>
      <c r="B275" s="74">
        <v>29150</v>
      </c>
      <c r="C275" s="74">
        <f>IFERROR('callPut（W）'!D275+'callPut（F）'!D275,0)/2</f>
        <v>0</v>
      </c>
      <c r="D275" s="74">
        <f>IFERROR('callPut（W）'!L275+'callPut（F）'!L275,0)/2</f>
        <v>0</v>
      </c>
      <c r="E275" s="82">
        <v>6356.9504661199981</v>
      </c>
      <c r="F275" s="82">
        <v>-32103.555685829997</v>
      </c>
      <c r="G275" s="82">
        <v>-25746.605219709996</v>
      </c>
      <c r="I275" s="89">
        <f>MAX($A$2-B275,0)*MAX('籌碼表(W+F)'!D277,0)-MAX('籌碼表(W+F)'!D277,0)*C275</f>
        <v>0</v>
      </c>
      <c r="J275" s="89">
        <f>MAX(B275-$A$2,0)*MAX('籌碼表(W+F)'!F277,0)-MAX('籌碼表(W+F)'!F277,0)*D275</f>
        <v>0</v>
      </c>
      <c r="K275" s="89">
        <f>-MIN('籌碼表(W+F)'!D277,0)*C275  - MAX($A$2-B275,0) * (-MIN('籌碼表(W+F)'!D277,0))</f>
        <v>0</v>
      </c>
      <c r="L275" s="89">
        <f>-MIN('籌碼表(W+F)'!F277,0) * D275 -  MAX(B275-$A$2,0) * (-MIN('籌碼表(W+F)'!F277,0))</f>
        <v>0</v>
      </c>
    </row>
    <row r="276" spans="1:12" ht="13.5" customHeight="1" x14ac:dyDescent="0.25">
      <c r="A276" s="74">
        <v>29200</v>
      </c>
      <c r="B276" s="74">
        <v>29200</v>
      </c>
      <c r="C276" s="74">
        <f>IFERROR('callPut（W）'!D276+'callPut（F）'!D276,0)/2</f>
        <v>0</v>
      </c>
      <c r="D276" s="74">
        <f>IFERROR('callPut（W）'!L276+'callPut（F）'!L276,0)/2</f>
        <v>0</v>
      </c>
      <c r="E276" s="82">
        <v>6419.5439561199983</v>
      </c>
      <c r="F276" s="82">
        <v>-32404.057845829993</v>
      </c>
      <c r="G276" s="82">
        <v>-25984.51388970999</v>
      </c>
      <c r="I276" s="89">
        <f>MAX($A$2-B276,0)*MAX('籌碼表(W+F)'!D278,0)-MAX('籌碼表(W+F)'!D278,0)*C276</f>
        <v>0</v>
      </c>
      <c r="J276" s="89">
        <f>MAX(B276-$A$2,0)*MAX('籌碼表(W+F)'!F278,0)-MAX('籌碼表(W+F)'!F278,0)*D276</f>
        <v>0</v>
      </c>
      <c r="K276" s="89">
        <f>-MIN('籌碼表(W+F)'!D278,0)*C276  - MAX($A$2-B276,0) * (-MIN('籌碼表(W+F)'!D278,0))</f>
        <v>0</v>
      </c>
      <c r="L276" s="89">
        <f>-MIN('籌碼表(W+F)'!F278,0) * D276 -  MAX(B276-$A$2,0) * (-MIN('籌碼表(W+F)'!F278,0))</f>
        <v>0</v>
      </c>
    </row>
    <row r="277" spans="1:12" ht="13.5" customHeight="1" x14ac:dyDescent="0.25">
      <c r="A277" s="74">
        <v>29250</v>
      </c>
      <c r="B277" s="74">
        <v>29250</v>
      </c>
      <c r="C277" s="74">
        <f>IFERROR('callPut（W）'!D277+'callPut（F）'!D277,0)/2</f>
        <v>0</v>
      </c>
      <c r="D277" s="74">
        <f>IFERROR('callPut（W）'!L277+'callPut（F）'!L277,0)/2</f>
        <v>0</v>
      </c>
      <c r="E277" s="82">
        <v>6482.1374461199994</v>
      </c>
      <c r="F277" s="82">
        <v>-32704.560005830001</v>
      </c>
      <c r="G277" s="82">
        <v>-26222.422559710008</v>
      </c>
      <c r="I277" s="89">
        <f>MAX($A$2-B277,0)*MAX('籌碼表(W+F)'!D279,0)-MAX('籌碼表(W+F)'!D279,0)*C277</f>
        <v>0</v>
      </c>
      <c r="J277" s="89">
        <f>MAX(B277-$A$2,0)*MAX('籌碼表(W+F)'!F279,0)-MAX('籌碼表(W+F)'!F279,0)*D277</f>
        <v>0</v>
      </c>
      <c r="K277" s="89">
        <f>-MIN('籌碼表(W+F)'!D279,0)*C277  - MAX($A$2-B277,0) * (-MIN('籌碼表(W+F)'!D279,0))</f>
        <v>0</v>
      </c>
      <c r="L277" s="89">
        <f>-MIN('籌碼表(W+F)'!F279,0) * D277 -  MAX(B277-$A$2,0) * (-MIN('籌碼表(W+F)'!F279,0))</f>
        <v>0</v>
      </c>
    </row>
    <row r="278" spans="1:12" ht="13.5" customHeight="1" x14ac:dyDescent="0.25">
      <c r="A278" s="74">
        <v>29300</v>
      </c>
      <c r="B278" s="74">
        <v>29300</v>
      </c>
      <c r="C278" s="74">
        <f>IFERROR('callPut（W）'!D278+'callPut（F）'!D278,0)/2</f>
        <v>0</v>
      </c>
      <c r="D278" s="74">
        <f>IFERROR('callPut（W）'!L278+'callPut（F）'!L278,0)/2</f>
        <v>0</v>
      </c>
      <c r="E278" s="82">
        <v>6544.7309361199987</v>
      </c>
      <c r="F278" s="82">
        <v>-33005.062165830001</v>
      </c>
      <c r="G278" s="82">
        <v>-26460.331229709998</v>
      </c>
      <c r="I278" s="89">
        <f>MAX($A$2-B278,0)*MAX('籌碼表(W+F)'!D280,0)-MAX('籌碼表(W+F)'!D280,0)*C278</f>
        <v>0</v>
      </c>
      <c r="J278" s="89">
        <f>MAX(B278-$A$2,0)*MAX('籌碼表(W+F)'!F280,0)-MAX('籌碼表(W+F)'!F280,0)*D278</f>
        <v>0</v>
      </c>
      <c r="K278" s="89">
        <f>-MIN('籌碼表(W+F)'!D280,0)*C278  - MAX($A$2-B278,0) * (-MIN('籌碼表(W+F)'!D280,0))</f>
        <v>0</v>
      </c>
      <c r="L278" s="89">
        <f>-MIN('籌碼表(W+F)'!F280,0) * D278 -  MAX(B278-$A$2,0) * (-MIN('籌碼表(W+F)'!F280,0))</f>
        <v>0</v>
      </c>
    </row>
    <row r="279" spans="1:12" ht="13.5" customHeight="1" x14ac:dyDescent="0.25">
      <c r="A279" s="74">
        <v>29350</v>
      </c>
      <c r="B279" s="74">
        <v>29350</v>
      </c>
      <c r="C279" s="74">
        <f>IFERROR('callPut（W）'!D279+'callPut（F）'!D279,0)/2</f>
        <v>0</v>
      </c>
      <c r="D279" s="74">
        <f>IFERROR('callPut（W）'!L279+'callPut（F）'!L279,0)/2</f>
        <v>0</v>
      </c>
      <c r="E279" s="82">
        <v>6607.324426119998</v>
      </c>
      <c r="F279" s="82">
        <v>-33305.564325829997</v>
      </c>
      <c r="G279" s="82">
        <v>-26698.239899709995</v>
      </c>
      <c r="I279" s="89">
        <f>MAX($A$2-B279,0)*MAX('籌碼表(W+F)'!D281,0)-MAX('籌碼表(W+F)'!D281,0)*C279</f>
        <v>0</v>
      </c>
      <c r="J279" s="89">
        <f>MAX(B279-$A$2,0)*MAX('籌碼表(W+F)'!F281,0)-MAX('籌碼表(W+F)'!F281,0)*D279</f>
        <v>0</v>
      </c>
      <c r="K279" s="89">
        <f>-MIN('籌碼表(W+F)'!D281,0)*C279  - MAX($A$2-B279,0) * (-MIN('籌碼表(W+F)'!D281,0))</f>
        <v>0</v>
      </c>
      <c r="L279" s="89">
        <f>-MIN('籌碼表(W+F)'!F281,0) * D279 -  MAX(B279-$A$2,0) * (-MIN('籌碼表(W+F)'!F281,0))</f>
        <v>0</v>
      </c>
    </row>
    <row r="280" spans="1:12" ht="13.5" customHeight="1" x14ac:dyDescent="0.25">
      <c r="A280" s="74">
        <v>29400</v>
      </c>
      <c r="B280" s="74">
        <v>29400</v>
      </c>
      <c r="C280" s="74">
        <f>IFERROR('callPut（W）'!D280+'callPut（F）'!D280,0)/2</f>
        <v>0</v>
      </c>
      <c r="D280" s="74">
        <f>IFERROR('callPut（W）'!L280+'callPut（F）'!L280,0)/2</f>
        <v>0</v>
      </c>
      <c r="E280" s="82">
        <v>6669.9179161199982</v>
      </c>
      <c r="F280" s="82">
        <v>-33606.066485830008</v>
      </c>
      <c r="G280" s="82">
        <v>-26936.14856971</v>
      </c>
      <c r="I280" s="89">
        <f>MAX($A$2-B280,0)*MAX('籌碼表(W+F)'!D282,0)-MAX('籌碼表(W+F)'!D282,0)*C280</f>
        <v>0</v>
      </c>
      <c r="J280" s="89">
        <f>MAX(B280-$A$2,0)*MAX('籌碼表(W+F)'!F282,0)-MAX('籌碼表(W+F)'!F282,0)*D280</f>
        <v>0</v>
      </c>
      <c r="K280" s="89">
        <f>-MIN('籌碼表(W+F)'!D282,0)*C280  - MAX($A$2-B280,0) * (-MIN('籌碼表(W+F)'!D282,0))</f>
        <v>0</v>
      </c>
      <c r="L280" s="89">
        <f>-MIN('籌碼表(W+F)'!F282,0) * D280 -  MAX(B280-$A$2,0) * (-MIN('籌碼表(W+F)'!F282,0))</f>
        <v>0</v>
      </c>
    </row>
    <row r="281" spans="1:12" ht="13.5" customHeight="1" x14ac:dyDescent="0.25">
      <c r="A281" s="75">
        <v>29450</v>
      </c>
      <c r="B281" s="75">
        <v>29450</v>
      </c>
      <c r="C281" s="74">
        <f>IFERROR('callPut（W）'!D281+'callPut（F）'!D281,0)/2</f>
        <v>0</v>
      </c>
      <c r="D281" s="74">
        <f>IFERROR('callPut（W）'!L281+'callPut（F）'!L281,0)/2</f>
        <v>0</v>
      </c>
      <c r="E281" s="82">
        <v>6732.5114061199984</v>
      </c>
      <c r="F281" s="82">
        <v>-33906.568645830004</v>
      </c>
      <c r="G281" s="82">
        <v>-27174.05723971</v>
      </c>
      <c r="I281" s="89">
        <f>MAX($A$2-B281,0)*MAX('籌碼表(W+F)'!D283,0)-MAX('籌碼表(W+F)'!D283,0)*C281</f>
        <v>0</v>
      </c>
      <c r="J281" s="89">
        <f>MAX(B281-$A$2,0)*MAX('籌碼表(W+F)'!F283,0)-MAX('籌碼表(W+F)'!F283,0)*D281</f>
        <v>0</v>
      </c>
      <c r="K281" s="89">
        <f>-MIN('籌碼表(W+F)'!D283,0)*C281  - MAX($A$2-B281,0) * (-MIN('籌碼表(W+F)'!D283,0))</f>
        <v>0</v>
      </c>
      <c r="L281" s="89">
        <f>-MIN('籌碼表(W+F)'!F283,0) * D281 -  MAX(B281-$A$2,0) * (-MIN('籌碼表(W+F)'!F283,0))</f>
        <v>0</v>
      </c>
    </row>
    <row r="282" spans="1:12" ht="13.5" customHeight="1" x14ac:dyDescent="0.25">
      <c r="A282" s="74">
        <v>29500</v>
      </c>
      <c r="B282" s="74">
        <v>29500</v>
      </c>
      <c r="C282" s="74">
        <f>IFERROR('callPut（W）'!D282+'callPut（F）'!D282,0)/2</f>
        <v>0</v>
      </c>
      <c r="D282" s="74">
        <f>IFERROR('callPut（W）'!L282+'callPut（F）'!L282,0)/2</f>
        <v>0</v>
      </c>
      <c r="E282" s="82">
        <v>6795.1048961199995</v>
      </c>
      <c r="F282" s="82">
        <v>-34207.070805830008</v>
      </c>
      <c r="G282" s="82">
        <v>-27411.965909710001</v>
      </c>
      <c r="I282" s="89">
        <f>MAX($A$2-B282,0)*MAX('籌碼表(W+F)'!D284,0)-MAX('籌碼表(W+F)'!D284,0)*C282</f>
        <v>0</v>
      </c>
      <c r="J282" s="89">
        <f>MAX(B282-$A$2,0)*MAX('籌碼表(W+F)'!F284,0)-MAX('籌碼表(W+F)'!F284,0)*D282</f>
        <v>0</v>
      </c>
      <c r="K282" s="89">
        <f>-MIN('籌碼表(W+F)'!D284,0)*C282  - MAX($A$2-B282,0) * (-MIN('籌碼表(W+F)'!D284,0))</f>
        <v>0</v>
      </c>
      <c r="L282" s="89">
        <f>-MIN('籌碼表(W+F)'!F284,0) * D282 -  MAX(B282-$A$2,0) * (-MIN('籌碼表(W+F)'!F284,0))</f>
        <v>0</v>
      </c>
    </row>
    <row r="283" spans="1:12" ht="13.5" customHeight="1" x14ac:dyDescent="0.25">
      <c r="A283" s="74">
        <v>29550</v>
      </c>
      <c r="B283" s="74">
        <v>29550</v>
      </c>
      <c r="C283" s="74">
        <f>IFERROR('callPut（W）'!D283+'callPut（F）'!D283,0)/2</f>
        <v>0</v>
      </c>
      <c r="D283" s="74">
        <f>IFERROR('callPut（W）'!L283+'callPut（F）'!L283,0)/2</f>
        <v>0</v>
      </c>
      <c r="E283" s="82">
        <v>6857.6983861199988</v>
      </c>
      <c r="F283" s="82">
        <v>-34507.572965830004</v>
      </c>
      <c r="G283" s="82">
        <v>-27649.874579710005</v>
      </c>
      <c r="I283" s="89">
        <f>MAX($A$2-B283,0)*MAX('籌碼表(W+F)'!D285,0)-MAX('籌碼表(W+F)'!D285,0)*C283</f>
        <v>0</v>
      </c>
      <c r="J283" s="89">
        <f>MAX(B283-$A$2,0)*MAX('籌碼表(W+F)'!F285,0)-MAX('籌碼表(W+F)'!F285,0)*D283</f>
        <v>0</v>
      </c>
      <c r="K283" s="89">
        <f>-MIN('籌碼表(W+F)'!D285,0)*C283  - MAX($A$2-B283,0) * (-MIN('籌碼表(W+F)'!D285,0))</f>
        <v>0</v>
      </c>
      <c r="L283" s="89">
        <f>-MIN('籌碼表(W+F)'!F285,0) * D283 -  MAX(B283-$A$2,0) * (-MIN('籌碼表(W+F)'!F285,0))</f>
        <v>0</v>
      </c>
    </row>
    <row r="284" spans="1:12" ht="13.5" customHeight="1" x14ac:dyDescent="0.25">
      <c r="A284" s="74">
        <v>29600</v>
      </c>
      <c r="B284" s="74">
        <v>29600</v>
      </c>
      <c r="C284" s="74">
        <f>IFERROR('callPut（W）'!D284+'callPut（F）'!D284,0)/2</f>
        <v>0</v>
      </c>
      <c r="D284" s="74">
        <f>IFERROR('callPut（W）'!L284+'callPut（F）'!L284,0)/2</f>
        <v>0</v>
      </c>
      <c r="E284" s="82">
        <v>6920.2918761199981</v>
      </c>
      <c r="F284" s="82">
        <v>-34808.075125830001</v>
      </c>
      <c r="G284" s="82">
        <v>-27887.783249709999</v>
      </c>
      <c r="I284" s="89">
        <f>MAX($A$2-B284,0)*MAX('籌碼表(W+F)'!D286,0)-MAX('籌碼表(W+F)'!D286,0)*C284</f>
        <v>0</v>
      </c>
      <c r="J284" s="89">
        <f>MAX(B284-$A$2,0)*MAX('籌碼表(W+F)'!F286,0)-MAX('籌碼表(W+F)'!F286,0)*D284</f>
        <v>0</v>
      </c>
      <c r="K284" s="89">
        <f>-MIN('籌碼表(W+F)'!D286,0)*C284  - MAX($A$2-B284,0) * (-MIN('籌碼表(W+F)'!D286,0))</f>
        <v>0</v>
      </c>
      <c r="L284" s="89">
        <f>-MIN('籌碼表(W+F)'!F286,0) * D284 -  MAX(B284-$A$2,0) * (-MIN('籌碼表(W+F)'!F286,0))</f>
        <v>0</v>
      </c>
    </row>
    <row r="285" spans="1:12" ht="13.5" customHeight="1" x14ac:dyDescent="0.25">
      <c r="A285" s="74">
        <v>29650</v>
      </c>
      <c r="B285" s="74">
        <v>29650</v>
      </c>
      <c r="C285" s="74">
        <f>IFERROR('callPut（W）'!D285+'callPut（F）'!D285,0)/2</f>
        <v>0</v>
      </c>
      <c r="D285" s="74">
        <f>IFERROR('callPut（W）'!L285+'callPut（F）'!L285,0)/2</f>
        <v>0</v>
      </c>
      <c r="E285" s="82">
        <v>6982.8853661199983</v>
      </c>
      <c r="F285" s="82">
        <v>-35108.577285830012</v>
      </c>
      <c r="G285" s="82">
        <v>-28125.691919710003</v>
      </c>
      <c r="I285" s="89">
        <f>MAX($A$2-B285,0)*MAX('籌碼表(W+F)'!D287,0)-MAX('籌碼表(W+F)'!D287,0)*C285</f>
        <v>0</v>
      </c>
      <c r="J285" s="89">
        <f>MAX(B285-$A$2,0)*MAX('籌碼表(W+F)'!F287,0)-MAX('籌碼表(W+F)'!F287,0)*D285</f>
        <v>0</v>
      </c>
      <c r="K285" s="89">
        <f>-MIN('籌碼表(W+F)'!D287,0)*C285  - MAX($A$2-B285,0) * (-MIN('籌碼表(W+F)'!D287,0))</f>
        <v>0</v>
      </c>
      <c r="L285" s="89">
        <f>-MIN('籌碼表(W+F)'!F287,0) * D285 -  MAX(B285-$A$2,0) * (-MIN('籌碼表(W+F)'!F287,0))</f>
        <v>0</v>
      </c>
    </row>
    <row r="286" spans="1:12" ht="13.5" customHeight="1" x14ac:dyDescent="0.25">
      <c r="A286" s="74">
        <v>29700</v>
      </c>
      <c r="B286" s="74">
        <v>29700</v>
      </c>
      <c r="C286" s="74">
        <f>IFERROR('callPut（W）'!D286+'callPut（F）'!D286,0)/2</f>
        <v>0</v>
      </c>
      <c r="D286" s="74">
        <f>IFERROR('callPut（W）'!L286+'callPut（F）'!L286,0)/2</f>
        <v>0</v>
      </c>
      <c r="E286" s="82">
        <v>7045.4788561199985</v>
      </c>
      <c r="F286" s="82">
        <v>-35409.079445830008</v>
      </c>
      <c r="G286" s="82">
        <v>-28363.600589710004</v>
      </c>
      <c r="I286" s="89">
        <f>MAX($A$2-B286,0)*MAX('籌碼表(W+F)'!D288,0)-MAX('籌碼表(W+F)'!D288,0)*C286</f>
        <v>0</v>
      </c>
      <c r="J286" s="89">
        <f>MAX(B286-$A$2,0)*MAX('籌碼表(W+F)'!F288,0)-MAX('籌碼表(W+F)'!F288,0)*D286</f>
        <v>0</v>
      </c>
      <c r="K286" s="89">
        <f>-MIN('籌碼表(W+F)'!D288,0)*C286  - MAX($A$2-B286,0) * (-MIN('籌碼表(W+F)'!D288,0))</f>
        <v>0</v>
      </c>
      <c r="L286" s="89">
        <f>-MIN('籌碼表(W+F)'!F288,0) * D286 -  MAX(B286-$A$2,0) * (-MIN('籌碼表(W+F)'!F288,0))</f>
        <v>0</v>
      </c>
    </row>
    <row r="287" spans="1:12" ht="13.5" customHeight="1" x14ac:dyDescent="0.25">
      <c r="A287" s="74">
        <v>29750</v>
      </c>
      <c r="B287" s="74">
        <v>29750</v>
      </c>
      <c r="C287" s="74">
        <f>IFERROR('callPut（W）'!D287+'callPut（F）'!D287,0)/2</f>
        <v>0</v>
      </c>
      <c r="D287" s="74">
        <f>IFERROR('callPut（W）'!L287+'callPut（F）'!L287,0)/2</f>
        <v>0</v>
      </c>
      <c r="E287" s="82">
        <v>7108.0723461199977</v>
      </c>
      <c r="F287" s="82">
        <v>-35709.581605830004</v>
      </c>
      <c r="G287" s="82">
        <v>-28601.509259709994</v>
      </c>
      <c r="I287" s="89">
        <f>MAX($A$2-B287,0)*MAX('籌碼表(W+F)'!D289,0)-MAX('籌碼表(W+F)'!D289,0)*C287</f>
        <v>0</v>
      </c>
      <c r="J287" s="89">
        <f>MAX(B287-$A$2,0)*MAX('籌碼表(W+F)'!F289,0)-MAX('籌碼表(W+F)'!F289,0)*D287</f>
        <v>0</v>
      </c>
      <c r="K287" s="89">
        <f>-MIN('籌碼表(W+F)'!D289,0)*C287  - MAX($A$2-B287,0) * (-MIN('籌碼表(W+F)'!D289,0))</f>
        <v>0</v>
      </c>
      <c r="L287" s="89">
        <f>-MIN('籌碼表(W+F)'!F289,0) * D287 -  MAX(B287-$A$2,0) * (-MIN('籌碼表(W+F)'!F289,0))</f>
        <v>0</v>
      </c>
    </row>
    <row r="288" spans="1:12" ht="13.5" customHeight="1" x14ac:dyDescent="0.25">
      <c r="A288" s="74">
        <v>29800</v>
      </c>
      <c r="B288" s="74">
        <v>29800</v>
      </c>
      <c r="C288" s="74">
        <f>IFERROR('callPut（W）'!D288+'callPut（F）'!D288,0)/2</f>
        <v>0</v>
      </c>
      <c r="D288" s="74">
        <f>IFERROR('callPut（W）'!L288+'callPut（F）'!L288,0)/2</f>
        <v>0</v>
      </c>
      <c r="E288" s="82">
        <v>7170.6658361199998</v>
      </c>
      <c r="F288" s="82">
        <v>-36010.083765830001</v>
      </c>
      <c r="G288" s="82">
        <v>-28839.417929710002</v>
      </c>
      <c r="I288" s="89">
        <f>MAX($A$2-B288,0)*MAX('籌碼表(W+F)'!D290,0)-MAX('籌碼表(W+F)'!D290,0)*C288</f>
        <v>0</v>
      </c>
      <c r="J288" s="89">
        <f>MAX(B288-$A$2,0)*MAX('籌碼表(W+F)'!F290,0)-MAX('籌碼表(W+F)'!F290,0)*D288</f>
        <v>0</v>
      </c>
      <c r="K288" s="89">
        <f>-MIN('籌碼表(W+F)'!D290,0)*C288  - MAX($A$2-B288,0) * (-MIN('籌碼表(W+F)'!D290,0))</f>
        <v>0</v>
      </c>
      <c r="L288" s="89">
        <f>-MIN('籌碼表(W+F)'!F290,0) * D288 -  MAX(B288-$A$2,0) * (-MIN('籌碼表(W+F)'!F290,0))</f>
        <v>0</v>
      </c>
    </row>
    <row r="289" spans="1:12" ht="13.5" customHeight="1" x14ac:dyDescent="0.25">
      <c r="A289" s="74">
        <v>29850</v>
      </c>
      <c r="B289" s="74">
        <v>29850</v>
      </c>
      <c r="C289" s="74">
        <f>IFERROR('callPut（W）'!D289+'callPut（F）'!D289,0)/2</f>
        <v>0</v>
      </c>
      <c r="D289" s="74">
        <f>IFERROR('callPut（W）'!L289+'callPut（F）'!L289,0)/2</f>
        <v>0</v>
      </c>
      <c r="E289" s="82">
        <v>7233.2593261199981</v>
      </c>
      <c r="F289" s="82">
        <v>-36310.585925830004</v>
      </c>
      <c r="G289" s="82">
        <v>-29077.326599710006</v>
      </c>
      <c r="I289" s="89">
        <f>MAX($A$2-B289,0)*MAX('籌碼表(W+F)'!D291,0)-MAX('籌碼表(W+F)'!D291,0)*C289</f>
        <v>0</v>
      </c>
      <c r="J289" s="89">
        <f>MAX(B289-$A$2,0)*MAX('籌碼表(W+F)'!F291,0)-MAX('籌碼表(W+F)'!F291,0)*D289</f>
        <v>0</v>
      </c>
      <c r="K289" s="89">
        <f>-MIN('籌碼表(W+F)'!D291,0)*C289  - MAX($A$2-B289,0) * (-MIN('籌碼表(W+F)'!D291,0))</f>
        <v>0</v>
      </c>
      <c r="L289" s="89">
        <f>-MIN('籌碼表(W+F)'!F291,0) * D289 -  MAX(B289-$A$2,0) * (-MIN('籌碼表(W+F)'!F291,0))</f>
        <v>0</v>
      </c>
    </row>
    <row r="290" spans="1:12" ht="13.5" customHeight="1" x14ac:dyDescent="0.25">
      <c r="A290" s="74">
        <v>29900</v>
      </c>
      <c r="B290" s="74">
        <v>29900</v>
      </c>
      <c r="C290" s="74">
        <f>IFERROR('callPut（W）'!D290+'callPut（F）'!D290,0)/2</f>
        <v>0</v>
      </c>
      <c r="D290" s="74">
        <f>IFERROR('callPut（W）'!L290+'callPut（F）'!L290,0)/2</f>
        <v>0</v>
      </c>
      <c r="E290" s="82">
        <v>7295.8528161199974</v>
      </c>
      <c r="F290" s="82">
        <v>-36611.088085830008</v>
      </c>
      <c r="G290" s="82">
        <v>-29315.23526971</v>
      </c>
      <c r="I290" s="89">
        <f>MAX($A$2-B290,0)*MAX('籌碼表(W+F)'!D292,0)-MAX('籌碼表(W+F)'!D292,0)*C290</f>
        <v>0</v>
      </c>
      <c r="J290" s="89">
        <f>MAX(B290-$A$2,0)*MAX('籌碼表(W+F)'!F292,0)-MAX('籌碼表(W+F)'!F292,0)*D290</f>
        <v>0</v>
      </c>
      <c r="K290" s="89">
        <f>-MIN('籌碼表(W+F)'!D292,0)*C290  - MAX($A$2-B290,0) * (-MIN('籌碼表(W+F)'!D292,0))</f>
        <v>0</v>
      </c>
      <c r="L290" s="89">
        <f>-MIN('籌碼表(W+F)'!F292,0) * D290 -  MAX(B290-$A$2,0) * (-MIN('籌碼表(W+F)'!F292,0))</f>
        <v>0</v>
      </c>
    </row>
    <row r="291" spans="1:12" ht="13.5" customHeight="1" x14ac:dyDescent="0.25">
      <c r="A291" s="74">
        <v>29950</v>
      </c>
      <c r="B291" s="74">
        <v>29950</v>
      </c>
      <c r="C291" s="74">
        <f>IFERROR('callPut（W）'!D291+'callPut（F）'!D291,0)/2</f>
        <v>0</v>
      </c>
      <c r="D291" s="74">
        <f>IFERROR('callPut（W）'!L291+'callPut（F）'!L291,0)/2</f>
        <v>0</v>
      </c>
      <c r="E291" s="82">
        <v>7358.4463061199986</v>
      </c>
      <c r="F291" s="82">
        <v>-36911.590245830004</v>
      </c>
      <c r="G291" s="82">
        <v>-29553.143939710004</v>
      </c>
      <c r="I291" s="89">
        <f>MAX($A$2-B291,0)*MAX('籌碼表(W+F)'!D293,0)-MAX('籌碼表(W+F)'!D293,0)*C291</f>
        <v>0</v>
      </c>
      <c r="J291" s="89">
        <f>MAX(B291-$A$2,0)*MAX('籌碼表(W+F)'!F293,0)-MAX('籌碼表(W+F)'!F293,0)*D291</f>
        <v>0</v>
      </c>
      <c r="K291" s="89">
        <f>-MIN('籌碼表(W+F)'!D293,0)*C291  - MAX($A$2-B291,0) * (-MIN('籌碼表(W+F)'!D293,0))</f>
        <v>0</v>
      </c>
      <c r="L291" s="89">
        <f>-MIN('籌碼表(W+F)'!F293,0) * D291 -  MAX(B291-$A$2,0) * (-MIN('籌碼表(W+F)'!F293,0))</f>
        <v>0</v>
      </c>
    </row>
    <row r="292" spans="1:12" ht="13.5" customHeight="1" x14ac:dyDescent="0.25">
      <c r="A292" s="74">
        <v>30000</v>
      </c>
      <c r="B292" s="74">
        <v>30000</v>
      </c>
      <c r="C292" s="74">
        <f>IFERROR('callPut（W）'!D292+'callPut（F）'!D292,0)/2</f>
        <v>0</v>
      </c>
      <c r="D292" s="74">
        <f>IFERROR('callPut（W）'!L292+'callPut（F）'!L292,0)/2</f>
        <v>0</v>
      </c>
      <c r="E292" s="82">
        <v>7421.0397961199978</v>
      </c>
      <c r="F292" s="82">
        <v>-37212.092405830008</v>
      </c>
      <c r="G292" s="82">
        <v>-29791.052609709994</v>
      </c>
      <c r="I292" s="89">
        <f>MAX($A$2-B292,0)*MAX('籌碼表(W+F)'!D294,0)-MAX('籌碼表(W+F)'!D294,0)*C292</f>
        <v>0</v>
      </c>
      <c r="J292" s="89">
        <f>MAX(B292-$A$2,0)*MAX('籌碼表(W+F)'!F294,0)-MAX('籌碼表(W+F)'!F294,0)*D292</f>
        <v>0</v>
      </c>
      <c r="K292" s="89">
        <f>-MIN('籌碼表(W+F)'!D294,0)*C292  - MAX($A$2-B292,0) * (-MIN('籌碼表(W+F)'!D294,0))</f>
        <v>0</v>
      </c>
      <c r="L292" s="89">
        <f>-MIN('籌碼表(W+F)'!F294,0) * D292 -  MAX(B292-$A$2,0) * (-MIN('籌碼表(W+F)'!F294,0))</f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59A35-B430-4FC6-8817-5B44A05069A3}">
  <sheetPr codeName="工作表13">
    <tabColor theme="9" tint="0.79998168889431442"/>
  </sheetPr>
  <dimension ref="V9:W11"/>
  <sheetViews>
    <sheetView view="pageBreakPreview" zoomScale="110" zoomScaleNormal="93" zoomScaleSheetLayoutView="110" workbookViewId="0">
      <selection activeCell="V40" sqref="V40"/>
    </sheetView>
  </sheetViews>
  <sheetFormatPr defaultRowHeight="16.5" x14ac:dyDescent="0.25"/>
  <cols>
    <col min="1" max="20" width="9" style="38"/>
    <col min="21" max="21" width="6.5" style="38" customWidth="1"/>
    <col min="22" max="22" width="19.125" style="66" bestFit="1" customWidth="1"/>
    <col min="23" max="16384" width="9" style="38"/>
  </cols>
  <sheetData>
    <row r="9" spans="22:23" x14ac:dyDescent="0.25">
      <c r="V9" s="65" t="s">
        <v>128</v>
      </c>
      <c r="W9" s="64"/>
    </row>
    <row r="11" spans="22:23" x14ac:dyDescent="0.25">
      <c r="V11" s="67">
        <v>45858.885289351849</v>
      </c>
      <c r="W11" s="64"/>
    </row>
  </sheetData>
  <phoneticPr fontId="2" type="noConversion"/>
  <pageMargins left="0.7" right="0.7" top="0.75" bottom="0.75" header="0.3" footer="0.3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損益圖更新2">
                <anchor moveWithCells="1" sizeWithCells="1">
                  <from>
                    <xdr:col>21</xdr:col>
                    <xdr:colOff>161925</xdr:colOff>
                    <xdr:row>1</xdr:row>
                    <xdr:rowOff>76200</xdr:rowOff>
                  </from>
                  <to>
                    <xdr:col>21</xdr:col>
                    <xdr:colOff>1247775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88698-3EA2-4550-803D-802F1D3987D2}">
  <sheetPr codeName="工作表15">
    <tabColor theme="2" tint="-9.9978637043366805E-2"/>
  </sheetPr>
  <dimension ref="A1:BM38"/>
  <sheetViews>
    <sheetView zoomScale="120" zoomScaleNormal="120" workbookViewId="0">
      <selection activeCell="R7" sqref="R7"/>
    </sheetView>
  </sheetViews>
  <sheetFormatPr defaultColWidth="4.75" defaultRowHeight="21" customHeight="1" x14ac:dyDescent="0.25"/>
  <cols>
    <col min="1" max="1" width="10.125" style="113" customWidth="1"/>
    <col min="2" max="2" width="7.75" style="113" customWidth="1"/>
    <col min="3" max="3" width="9.5" style="102" customWidth="1"/>
    <col min="4" max="6" width="6.75" style="102" customWidth="1"/>
    <col min="7" max="7" width="8.875" style="102" customWidth="1"/>
    <col min="8" max="8" width="7.25" style="115" customWidth="1"/>
    <col min="9" max="9" width="9.75" style="102" customWidth="1"/>
    <col min="10" max="10" width="10.125" style="102" customWidth="1"/>
    <col min="11" max="14" width="14.75" style="102" customWidth="1"/>
    <col min="15" max="16" width="10.375" style="114" customWidth="1"/>
    <col min="17" max="17" width="9.75" style="114" customWidth="1"/>
    <col min="18" max="50" width="7.125" style="114" customWidth="1"/>
    <col min="51" max="51" width="2" style="93" customWidth="1"/>
    <col min="52" max="52" width="16.5" style="92" customWidth="1"/>
    <col min="53" max="53" width="16.25" style="92" customWidth="1"/>
    <col min="54" max="54" width="44.875" style="92" customWidth="1"/>
    <col min="55" max="16384" width="4.75" style="93"/>
  </cols>
  <sheetData>
    <row r="1" spans="1:54" ht="32.25" customHeight="1" x14ac:dyDescent="0.25">
      <c r="A1" s="143" t="s">
        <v>165</v>
      </c>
      <c r="B1" s="143"/>
      <c r="C1" s="143"/>
      <c r="D1" s="143"/>
      <c r="E1" s="143"/>
      <c r="F1" s="143"/>
      <c r="G1" s="116"/>
      <c r="H1" s="116"/>
      <c r="I1" s="146" t="s">
        <v>159</v>
      </c>
      <c r="J1" s="148" t="s">
        <v>151</v>
      </c>
      <c r="K1" s="144" t="s">
        <v>152</v>
      </c>
      <c r="L1" s="144"/>
      <c r="M1" s="145" t="s">
        <v>153</v>
      </c>
      <c r="N1" s="145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</row>
    <row r="2" spans="1:54" ht="16.5" x14ac:dyDescent="0.25">
      <c r="A2" s="118"/>
      <c r="B2" s="118"/>
      <c r="C2" s="118"/>
      <c r="D2" s="118"/>
      <c r="E2" s="118"/>
      <c r="F2" s="118"/>
      <c r="G2" s="116"/>
      <c r="H2" s="116"/>
      <c r="I2" s="147"/>
      <c r="J2" s="149"/>
      <c r="K2" s="123" t="s">
        <v>168</v>
      </c>
      <c r="L2" s="123" t="s">
        <v>144</v>
      </c>
      <c r="M2" s="124" t="s">
        <v>168</v>
      </c>
      <c r="N2" s="124" t="s">
        <v>144</v>
      </c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</row>
    <row r="3" spans="1:54" ht="18" customHeight="1" x14ac:dyDescent="0.25">
      <c r="A3" s="117"/>
      <c r="B3" s="117"/>
      <c r="C3" s="116"/>
      <c r="D3" s="116"/>
      <c r="E3" s="116"/>
      <c r="F3" s="116"/>
      <c r="G3" s="116"/>
      <c r="H3" s="116"/>
      <c r="I3" s="125" cm="1">
        <f t="array" ref="I3">[1]!'TSE.TW-price'</f>
        <v>23383.13</v>
      </c>
      <c r="J3" s="124">
        <f>SUM(H6:H20)*50</f>
        <v>2915.0000000000005</v>
      </c>
      <c r="K3" s="123">
        <f>_xlfn.XLOOKUP(L3,$P$6:$P$38,$O$6:$O$38)</f>
        <v>22600</v>
      </c>
      <c r="L3" s="123">
        <f>MAX(P6:P38)</f>
        <v>18325</v>
      </c>
      <c r="M3" s="124">
        <f>_xlfn.XLOOKUP(N3,$P$6:$P$38,$O$6:$O$38)</f>
        <v>24700</v>
      </c>
      <c r="N3" s="124">
        <f>MIN(P6:P38)</f>
        <v>-86675</v>
      </c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</row>
    <row r="4" spans="1:54" ht="21" customHeight="1" x14ac:dyDescent="0.25">
      <c r="A4" s="150" t="s">
        <v>137</v>
      </c>
      <c r="B4" s="152" t="s">
        <v>166</v>
      </c>
      <c r="C4" s="105" t="s">
        <v>145</v>
      </c>
      <c r="D4" s="105" t="s">
        <v>148</v>
      </c>
      <c r="E4" s="105" t="s">
        <v>142</v>
      </c>
      <c r="F4" s="105" t="s">
        <v>147</v>
      </c>
      <c r="G4" s="105" t="s">
        <v>146</v>
      </c>
      <c r="H4" s="154" t="s">
        <v>169</v>
      </c>
      <c r="O4" s="142" t="s">
        <v>13</v>
      </c>
      <c r="P4" s="142"/>
      <c r="Q4" s="106" t="s">
        <v>138</v>
      </c>
      <c r="R4" s="106">
        <v>21500</v>
      </c>
      <c r="S4" s="106">
        <v>21600</v>
      </c>
      <c r="T4" s="106">
        <v>21700</v>
      </c>
      <c r="U4" s="106">
        <v>21800</v>
      </c>
      <c r="V4" s="106">
        <v>21900</v>
      </c>
      <c r="W4" s="106">
        <v>22000</v>
      </c>
      <c r="X4" s="106">
        <v>22100</v>
      </c>
      <c r="Y4" s="106">
        <v>22200</v>
      </c>
      <c r="Z4" s="106">
        <v>22300</v>
      </c>
      <c r="AA4" s="106">
        <v>22400</v>
      </c>
      <c r="AB4" s="106">
        <v>22500</v>
      </c>
      <c r="AC4" s="106">
        <v>22600</v>
      </c>
      <c r="AD4" s="106">
        <v>22700</v>
      </c>
      <c r="AE4" s="106">
        <v>22800</v>
      </c>
      <c r="AF4" s="106">
        <v>22900</v>
      </c>
      <c r="AG4" s="106">
        <v>23000</v>
      </c>
      <c r="AH4" s="106">
        <v>23100</v>
      </c>
      <c r="AI4" s="106">
        <v>23200</v>
      </c>
      <c r="AJ4" s="106">
        <v>23300</v>
      </c>
      <c r="AK4" s="106">
        <v>23400</v>
      </c>
      <c r="AL4" s="106">
        <v>23500</v>
      </c>
      <c r="AM4" s="106">
        <v>23600</v>
      </c>
      <c r="AN4" s="106">
        <v>23700</v>
      </c>
      <c r="AO4" s="106">
        <v>23800</v>
      </c>
      <c r="AP4" s="106">
        <v>23900</v>
      </c>
      <c r="AQ4" s="106">
        <v>24000</v>
      </c>
      <c r="AR4" s="106">
        <v>24100</v>
      </c>
      <c r="AS4" s="106">
        <v>24200</v>
      </c>
      <c r="AT4" s="106">
        <v>24300</v>
      </c>
      <c r="AU4" s="106">
        <v>24400</v>
      </c>
      <c r="AV4" s="106">
        <v>24500</v>
      </c>
      <c r="AW4" s="106">
        <v>24600</v>
      </c>
      <c r="AX4" s="106">
        <v>24700</v>
      </c>
      <c r="AZ4" s="91" t="s">
        <v>160</v>
      </c>
      <c r="BA4" s="91" t="s">
        <v>161</v>
      </c>
      <c r="BB4" s="91"/>
    </row>
    <row r="5" spans="1:54" ht="38.25" customHeight="1" x14ac:dyDescent="0.25">
      <c r="A5" s="151"/>
      <c r="B5" s="153"/>
      <c r="C5" s="105" t="s">
        <v>6</v>
      </c>
      <c r="D5" s="105" t="s">
        <v>139</v>
      </c>
      <c r="E5" s="105" t="s">
        <v>140</v>
      </c>
      <c r="F5" s="105" t="s">
        <v>136</v>
      </c>
      <c r="G5" s="105" t="s">
        <v>154</v>
      </c>
      <c r="H5" s="155"/>
      <c r="O5" s="120" t="s">
        <v>168</v>
      </c>
      <c r="P5" s="119" t="s">
        <v>167</v>
      </c>
      <c r="Q5" s="107" t="s">
        <v>150</v>
      </c>
      <c r="R5" s="106" t="s">
        <v>144</v>
      </c>
      <c r="S5" s="106" t="s">
        <v>144</v>
      </c>
      <c r="T5" s="106" t="s">
        <v>144</v>
      </c>
      <c r="U5" s="106" t="s">
        <v>144</v>
      </c>
      <c r="V5" s="106" t="s">
        <v>144</v>
      </c>
      <c r="W5" s="106" t="s">
        <v>144</v>
      </c>
      <c r="X5" s="106" t="s">
        <v>144</v>
      </c>
      <c r="Y5" s="106" t="s">
        <v>144</v>
      </c>
      <c r="Z5" s="106" t="s">
        <v>144</v>
      </c>
      <c r="AA5" s="106" t="s">
        <v>144</v>
      </c>
      <c r="AB5" s="106" t="s">
        <v>144</v>
      </c>
      <c r="AC5" s="106" t="s">
        <v>144</v>
      </c>
      <c r="AD5" s="106" t="s">
        <v>144</v>
      </c>
      <c r="AE5" s="106" t="s">
        <v>144</v>
      </c>
      <c r="AF5" s="106" t="s">
        <v>144</v>
      </c>
      <c r="AG5" s="106" t="s">
        <v>144</v>
      </c>
      <c r="AH5" s="106" t="s">
        <v>144</v>
      </c>
      <c r="AI5" s="106" t="s">
        <v>144</v>
      </c>
      <c r="AJ5" s="106" t="s">
        <v>144</v>
      </c>
      <c r="AK5" s="106" t="s">
        <v>144</v>
      </c>
      <c r="AL5" s="106" t="s">
        <v>144</v>
      </c>
      <c r="AM5" s="106" t="s">
        <v>144</v>
      </c>
      <c r="AN5" s="106" t="s">
        <v>144</v>
      </c>
      <c r="AO5" s="106" t="s">
        <v>144</v>
      </c>
      <c r="AP5" s="106" t="s">
        <v>144</v>
      </c>
      <c r="AQ5" s="106" t="s">
        <v>144</v>
      </c>
      <c r="AR5" s="106" t="s">
        <v>144</v>
      </c>
      <c r="AS5" s="106" t="s">
        <v>144</v>
      </c>
      <c r="AT5" s="106" t="s">
        <v>144</v>
      </c>
      <c r="AU5" s="106" t="s">
        <v>144</v>
      </c>
      <c r="AV5" s="106" t="s">
        <v>144</v>
      </c>
      <c r="AW5" s="106" t="s">
        <v>144</v>
      </c>
      <c r="AX5" s="106" t="s">
        <v>144</v>
      </c>
      <c r="AZ5" s="91" t="s">
        <v>162</v>
      </c>
      <c r="BA5" s="91" t="s">
        <v>163</v>
      </c>
      <c r="BB5" s="91" t="s">
        <v>164</v>
      </c>
    </row>
    <row r="6" spans="1:54" ht="21" customHeight="1" x14ac:dyDescent="0.25">
      <c r="A6" s="108" t="s">
        <v>155</v>
      </c>
      <c r="B6" s="121">
        <f>[1]!'TX4N07C24000.TF-price'</f>
        <v>2.1</v>
      </c>
      <c r="C6" s="108">
        <v>24000</v>
      </c>
      <c r="D6" s="108" t="s">
        <v>131</v>
      </c>
      <c r="E6" s="108" t="s">
        <v>143</v>
      </c>
      <c r="F6" s="108">
        <v>2</v>
      </c>
      <c r="G6" s="108">
        <v>21</v>
      </c>
      <c r="H6" s="122" cm="1">
        <f t="array" ref="H6">IFERROR(OptionPnL(D6,G6,B6,F6),0)</f>
        <v>37.799999999999997</v>
      </c>
      <c r="O6" s="109">
        <v>21500</v>
      </c>
      <c r="P6" s="110">
        <f>Q6*50</f>
        <v>-76675</v>
      </c>
      <c r="Q6" s="107">
        <f>SUM(R6:R38)</f>
        <v>-1533.5</v>
      </c>
      <c r="R6" s="106" cm="1">
        <f t="array" ref="R6">IFERROR(OptionProfit($C6,$D6,$E6,$F6,$G6,R$4),0)</f>
        <v>42</v>
      </c>
      <c r="S6" s="106" cm="1">
        <f t="array" ref="S6">IFERROR(OptionProfit($C6,$D6,$E6,$F6,$G6,S$4),0)</f>
        <v>42</v>
      </c>
      <c r="T6" s="106" cm="1">
        <f t="array" ref="T6">IFERROR(OptionProfit($C6,$D6,$E6,$F6,$G6,T$4),0)</f>
        <v>42</v>
      </c>
      <c r="U6" s="106" cm="1">
        <f t="array" ref="U6">IFERROR(OptionProfit($C6,$D6,$E6,$F6,$G6,U$4),0)</f>
        <v>42</v>
      </c>
      <c r="V6" s="106" cm="1">
        <f t="array" ref="V6">IFERROR(OptionProfit($C6,$D6,$E6,$F6,$G6,V$4),0)</f>
        <v>42</v>
      </c>
      <c r="W6" s="106" cm="1">
        <f t="array" ref="W6">IFERROR(OptionProfit($C6,$D6,$E6,$F6,$G6,W$4),0)</f>
        <v>42</v>
      </c>
      <c r="X6" s="106" cm="1">
        <f t="array" ref="X6">IFERROR(OptionProfit($C6,$D6,$E6,$F6,$G6,X$4),0)</f>
        <v>42</v>
      </c>
      <c r="Y6" s="106" cm="1">
        <f t="array" ref="Y6">IFERROR(OptionProfit($C6,$D6,$E6,$F6,$G6,Y$4),0)</f>
        <v>42</v>
      </c>
      <c r="Z6" s="106" cm="1">
        <f t="array" ref="Z6">IFERROR(OptionProfit($C6,$D6,$E6,$F6,$G6,Z$4),0)</f>
        <v>42</v>
      </c>
      <c r="AA6" s="106" cm="1">
        <f t="array" ref="AA6">IFERROR(OptionProfit($C6,$D6,$E6,$F6,$G6,AA$4),0)</f>
        <v>42</v>
      </c>
      <c r="AB6" s="106" cm="1">
        <f t="array" ref="AB6">IFERROR(OptionProfit($C6,$D6,$E6,$F6,$G6,AB$4),0)</f>
        <v>42</v>
      </c>
      <c r="AC6" s="106" cm="1">
        <f t="array" ref="AC6">IFERROR(OptionProfit($C6,$D6,$E6,$F6,$G6,AC$4),0)</f>
        <v>42</v>
      </c>
      <c r="AD6" s="106" cm="1">
        <f t="array" ref="AD6">IFERROR(OptionProfit($C6,$D6,$E6,$F6,$G6,AD$4),0)</f>
        <v>42</v>
      </c>
      <c r="AE6" s="106" cm="1">
        <f t="array" ref="AE6">IFERROR(OptionProfit($C6,$D6,$E6,$F6,$G6,AE$4),0)</f>
        <v>42</v>
      </c>
      <c r="AF6" s="106" cm="1">
        <f t="array" ref="AF6">IFERROR(OptionProfit($C6,$D6,$E6,$F6,$G6,AF$4),0)</f>
        <v>42</v>
      </c>
      <c r="AG6" s="106" cm="1">
        <f t="array" ref="AG6">IFERROR(OptionProfit($C6,$D6,$E6,$F6,$G6,AG$4),0)</f>
        <v>42</v>
      </c>
      <c r="AH6" s="106" cm="1">
        <f t="array" ref="AH6">IFERROR(OptionProfit($C6,$D6,$E6,$F6,$G6,AH$4),0)</f>
        <v>42</v>
      </c>
      <c r="AI6" s="106" cm="1">
        <f t="array" ref="AI6">IFERROR(OptionProfit($C6,$D6,$E6,$F6,$G6,AI$4),0)</f>
        <v>42</v>
      </c>
      <c r="AJ6" s="106" cm="1">
        <f t="array" ref="AJ6">IFERROR(OptionProfit($C6,$D6,$E6,$F6,$G6,AJ$4),0)</f>
        <v>42</v>
      </c>
      <c r="AK6" s="106" cm="1">
        <f t="array" ref="AK6">IFERROR(OptionProfit($C6,$D6,$E6,$F6,$G6,AK$4),0)</f>
        <v>42</v>
      </c>
      <c r="AL6" s="106" cm="1">
        <f t="array" ref="AL6">IFERROR(OptionProfit($C6,$D6,$E6,$F6,$G6,AL$4),0)</f>
        <v>42</v>
      </c>
      <c r="AM6" s="106" cm="1">
        <f t="array" ref="AM6">IFERROR(OptionProfit($C6,$D6,$E6,$F6,$G6,AM$4),0)</f>
        <v>42</v>
      </c>
      <c r="AN6" s="106" cm="1">
        <f t="array" ref="AN6">IFERROR(OptionProfit($C6,$D6,$E6,$F6,$G6,AN$4),0)</f>
        <v>42</v>
      </c>
      <c r="AO6" s="106" cm="1">
        <f t="array" ref="AO6">IFERROR(OptionProfit($C6,$D6,$E6,$F6,$G6,AO$4),0)</f>
        <v>42</v>
      </c>
      <c r="AP6" s="106" cm="1">
        <f t="array" ref="AP6">IFERROR(OptionProfit($C6,$D6,$E6,$F6,$G6,AP$4),0)</f>
        <v>42</v>
      </c>
      <c r="AQ6" s="106" cm="1">
        <f t="array" ref="AQ6">IFERROR(OptionProfit($C6,$D6,$E6,$F6,$G6,AQ$4),0)</f>
        <v>42</v>
      </c>
      <c r="AR6" s="106" cm="1">
        <f t="array" ref="AR6">IFERROR(OptionProfit($C6,$D6,$E6,$F6,$G6,AR$4),0)</f>
        <v>-158</v>
      </c>
      <c r="AS6" s="106" cm="1">
        <f t="array" ref="AS6">IFERROR(OptionProfit($C6,$D6,$E6,$F6,$G6,AS$4),0)</f>
        <v>-358</v>
      </c>
      <c r="AT6" s="106" cm="1">
        <f t="array" ref="AT6">IFERROR(OptionProfit($C6,$D6,$E6,$F6,$G6,AT$4),0)</f>
        <v>-558</v>
      </c>
      <c r="AU6" s="106" cm="1">
        <f t="array" ref="AU6">IFERROR(OptionProfit($C6,$D6,$E6,$F6,$G6,AU$4),0)</f>
        <v>-758</v>
      </c>
      <c r="AV6" s="106" cm="1">
        <f t="array" ref="AV6">IFERROR(OptionProfit($C6,$D6,$E6,$F6,$G6,AV$4),0)</f>
        <v>-958</v>
      </c>
      <c r="AW6" s="106" cm="1">
        <f t="array" ref="AW6">IFERROR(OptionProfit($C6,$D6,$E6,$F6,$G6,AW$4),0)</f>
        <v>-1158</v>
      </c>
      <c r="AX6" s="106" cm="1">
        <f t="array" ref="AX6">IFERROR(OptionProfit($C6,$D6,$E6,$F6,$G6,AX$4),0)</f>
        <v>-1358</v>
      </c>
      <c r="AZ6" s="91" t="str">
        <f t="shared" ref="AZ6:AZ20" si="0">UPPER(E6)</f>
        <v>C</v>
      </c>
      <c r="BA6" s="91" t="str">
        <f t="shared" ref="BA6:BA20" si="1">A6&amp;AZ6&amp;C6</f>
        <v>TX4N07C24000</v>
      </c>
      <c r="BB6" s="91" t="str">
        <f>"="&amp;$AZ$4&amp;BA6&amp;$BA$4</f>
        <v>=XQFAP|Quote!'TX4N07C24000.TF-price'</v>
      </c>
    </row>
    <row r="7" spans="1:54" ht="21" customHeight="1" x14ac:dyDescent="0.25">
      <c r="A7" s="108" t="s">
        <v>155</v>
      </c>
      <c r="B7" s="121">
        <f>[1]!'TX4N07C24000.TF-price'</f>
        <v>2.1</v>
      </c>
      <c r="C7" s="108">
        <v>24000</v>
      </c>
      <c r="D7" s="108" t="s">
        <v>131</v>
      </c>
      <c r="E7" s="108" t="s">
        <v>143</v>
      </c>
      <c r="F7" s="108">
        <v>1</v>
      </c>
      <c r="G7" s="108">
        <v>21</v>
      </c>
      <c r="H7" s="122" cm="1">
        <f t="array" ref="H7">IFERROR(OptionPnL(D7,G7,B7,F7),0)</f>
        <v>18.899999999999999</v>
      </c>
      <c r="O7" s="109">
        <v>21600</v>
      </c>
      <c r="P7" s="110">
        <f>Q7*50</f>
        <v>-71675</v>
      </c>
      <c r="Q7" s="107">
        <f>SUM(S6:S38)</f>
        <v>-1433.5</v>
      </c>
      <c r="R7" s="106" cm="1">
        <f t="array" ref="R7">IFERROR(OptionProfit($C7,$D7,$E7,$F7,$G7,R$4),0)</f>
        <v>21</v>
      </c>
      <c r="S7" s="106" cm="1">
        <f t="array" ref="S7">IFERROR(OptionProfit($C7,$D7,$E7,$F7,$G7,S$4),0)</f>
        <v>21</v>
      </c>
      <c r="T7" s="106" cm="1">
        <f t="array" ref="T7">IFERROR(OptionProfit($C7,$D7,$E7,$F7,$G7,T$4),0)</f>
        <v>21</v>
      </c>
      <c r="U7" s="106" cm="1">
        <f t="array" ref="U7">IFERROR(OptionProfit($C7,$D7,$E7,$F7,$G7,U$4),0)</f>
        <v>21</v>
      </c>
      <c r="V7" s="106" cm="1">
        <f t="array" ref="V7">IFERROR(OptionProfit($C7,$D7,$E7,$F7,$G7,V$4),0)</f>
        <v>21</v>
      </c>
      <c r="W7" s="106" cm="1">
        <f t="array" ref="W7">IFERROR(OptionProfit($C7,$D7,$E7,$F7,$G7,W$4),0)</f>
        <v>21</v>
      </c>
      <c r="X7" s="106" cm="1">
        <f t="array" ref="X7">IFERROR(OptionProfit($C7,$D7,$E7,$F7,$G7,X$4),0)</f>
        <v>21</v>
      </c>
      <c r="Y7" s="106" cm="1">
        <f t="array" ref="Y7">IFERROR(OptionProfit($C7,$D7,$E7,$F7,$G7,Y$4),0)</f>
        <v>21</v>
      </c>
      <c r="Z7" s="106" cm="1">
        <f t="array" ref="Z7">IFERROR(OptionProfit($C7,$D7,$E7,$F7,$G7,Z$4),0)</f>
        <v>21</v>
      </c>
      <c r="AA7" s="106" cm="1">
        <f t="array" ref="AA7">IFERROR(OptionProfit($C7,$D7,$E7,$F7,$G7,AA$4),0)</f>
        <v>21</v>
      </c>
      <c r="AB7" s="106" cm="1">
        <f t="array" ref="AB7">IFERROR(OptionProfit($C7,$D7,$E7,$F7,$G7,AB$4),0)</f>
        <v>21</v>
      </c>
      <c r="AC7" s="106" cm="1">
        <f t="array" ref="AC7">IFERROR(OptionProfit($C7,$D7,$E7,$F7,$G7,AC$4),0)</f>
        <v>21</v>
      </c>
      <c r="AD7" s="106" cm="1">
        <f t="array" ref="AD7">IFERROR(OptionProfit($C7,$D7,$E7,$F7,$G7,AD$4),0)</f>
        <v>21</v>
      </c>
      <c r="AE7" s="106" cm="1">
        <f t="array" ref="AE7">IFERROR(OptionProfit($C7,$D7,$E7,$F7,$G7,AE$4),0)</f>
        <v>21</v>
      </c>
      <c r="AF7" s="106" cm="1">
        <f t="array" ref="AF7">IFERROR(OptionProfit($C7,$D7,$E7,$F7,$G7,AF$4),0)</f>
        <v>21</v>
      </c>
      <c r="AG7" s="106" cm="1">
        <f t="array" ref="AG7">IFERROR(OptionProfit($C7,$D7,$E7,$F7,$G7,AG$4),0)</f>
        <v>21</v>
      </c>
      <c r="AH7" s="106" cm="1">
        <f t="array" ref="AH7">IFERROR(OptionProfit($C7,$D7,$E7,$F7,$G7,AH$4),0)</f>
        <v>21</v>
      </c>
      <c r="AI7" s="106" cm="1">
        <f t="array" ref="AI7">IFERROR(OptionProfit($C7,$D7,$E7,$F7,$G7,AI$4),0)</f>
        <v>21</v>
      </c>
      <c r="AJ7" s="106" cm="1">
        <f t="array" ref="AJ7">IFERROR(OptionProfit($C7,$D7,$E7,$F7,$G7,AJ$4),0)</f>
        <v>21</v>
      </c>
      <c r="AK7" s="106" cm="1">
        <f t="array" ref="AK7">IFERROR(OptionProfit($C7,$D7,$E7,$F7,$G7,AK$4),0)</f>
        <v>21</v>
      </c>
      <c r="AL7" s="106" cm="1">
        <f t="array" ref="AL7">IFERROR(OptionProfit($C7,$D7,$E7,$F7,$G7,AL$4),0)</f>
        <v>21</v>
      </c>
      <c r="AM7" s="106" cm="1">
        <f t="array" ref="AM7">IFERROR(OptionProfit($C7,$D7,$E7,$F7,$G7,AM$4),0)</f>
        <v>21</v>
      </c>
      <c r="AN7" s="106" cm="1">
        <f t="array" ref="AN7">IFERROR(OptionProfit($C7,$D7,$E7,$F7,$G7,AN$4),0)</f>
        <v>21</v>
      </c>
      <c r="AO7" s="106" cm="1">
        <f t="array" ref="AO7">IFERROR(OptionProfit($C7,$D7,$E7,$F7,$G7,AO$4),0)</f>
        <v>21</v>
      </c>
      <c r="AP7" s="106" cm="1">
        <f t="array" ref="AP7">IFERROR(OptionProfit($C7,$D7,$E7,$F7,$G7,AP$4),0)</f>
        <v>21</v>
      </c>
      <c r="AQ7" s="106" cm="1">
        <f t="array" ref="AQ7">IFERROR(OptionProfit($C7,$D7,$E7,$F7,$G7,AQ$4),0)</f>
        <v>21</v>
      </c>
      <c r="AR7" s="106" cm="1">
        <f t="array" ref="AR7">IFERROR(OptionProfit($C7,$D7,$E7,$F7,$G7,AR$4),0)</f>
        <v>-79</v>
      </c>
      <c r="AS7" s="106" cm="1">
        <f t="array" ref="AS7">IFERROR(OptionProfit($C7,$D7,$E7,$F7,$G7,AS$4),0)</f>
        <v>-179</v>
      </c>
      <c r="AT7" s="106" cm="1">
        <f t="array" ref="AT7">IFERROR(OptionProfit($C7,$D7,$E7,$F7,$G7,AT$4),0)</f>
        <v>-279</v>
      </c>
      <c r="AU7" s="106" cm="1">
        <f t="array" ref="AU7">IFERROR(OptionProfit($C7,$D7,$E7,$F7,$G7,AU$4),0)</f>
        <v>-379</v>
      </c>
      <c r="AV7" s="106" cm="1">
        <f t="array" ref="AV7">IFERROR(OptionProfit($C7,$D7,$E7,$F7,$G7,AV$4),0)</f>
        <v>-479</v>
      </c>
      <c r="AW7" s="106" cm="1">
        <f t="array" ref="AW7">IFERROR(OptionProfit($C7,$D7,$E7,$F7,$G7,AW$4),0)</f>
        <v>-579</v>
      </c>
      <c r="AX7" s="106" cm="1">
        <f t="array" ref="AX7">IFERROR(OptionProfit($C7,$D7,$E7,$F7,$G7,AX$4),0)</f>
        <v>-679</v>
      </c>
      <c r="AZ7" s="91" t="str">
        <f t="shared" si="0"/>
        <v>C</v>
      </c>
      <c r="BA7" s="91" t="str">
        <f t="shared" si="1"/>
        <v>TX4N07C24000</v>
      </c>
      <c r="BB7" s="91" t="str">
        <f t="shared" ref="BB7:BB20" si="2">"="&amp;$AZ$4&amp;BA7&amp;$BA$4</f>
        <v>=XQFAP|Quote!'TX4N07C24000.TF-price'</v>
      </c>
    </row>
    <row r="8" spans="1:54" ht="21" customHeight="1" x14ac:dyDescent="0.25">
      <c r="A8" s="108" t="s">
        <v>155</v>
      </c>
      <c r="B8" s="121">
        <f>[1]!'TX4N07C23700.TF-price'</f>
        <v>11.5</v>
      </c>
      <c r="C8" s="108">
        <v>23700</v>
      </c>
      <c r="D8" s="108" t="s">
        <v>141</v>
      </c>
      <c r="E8" s="108" t="s">
        <v>143</v>
      </c>
      <c r="F8" s="108">
        <v>1</v>
      </c>
      <c r="G8" s="108">
        <v>71</v>
      </c>
      <c r="H8" s="122" cm="1">
        <f t="array" ref="H8">IFERROR(OptionPnL(D8,G8,B8,F8),0)</f>
        <v>-59.5</v>
      </c>
      <c r="O8" s="109">
        <v>21700</v>
      </c>
      <c r="P8" s="110">
        <f t="shared" ref="P8:P38" si="3">Q8*50</f>
        <v>-66675</v>
      </c>
      <c r="Q8" s="107">
        <f>SUM(T6:T38)</f>
        <v>-1333.5</v>
      </c>
      <c r="R8" s="106" cm="1">
        <f t="array" ref="R8">IFERROR(OptionProfit($C8,$D8,$E8,$F8,$G8,R$4),0)</f>
        <v>-71</v>
      </c>
      <c r="S8" s="106" cm="1">
        <f t="array" ref="S8">IFERROR(OptionProfit($C8,$D8,$E8,$F8,$G8,S$4),0)</f>
        <v>-71</v>
      </c>
      <c r="T8" s="106" cm="1">
        <f t="array" ref="T8">IFERROR(OptionProfit($C8,$D8,$E8,$F8,$G8,T$4),0)</f>
        <v>-71</v>
      </c>
      <c r="U8" s="106" cm="1">
        <f t="array" ref="U8">IFERROR(OptionProfit($C8,$D8,$E8,$F8,$G8,U$4),0)</f>
        <v>-71</v>
      </c>
      <c r="V8" s="106" cm="1">
        <f t="array" ref="V8">IFERROR(OptionProfit($C8,$D8,$E8,$F8,$G8,V$4),0)</f>
        <v>-71</v>
      </c>
      <c r="W8" s="106" cm="1">
        <f t="array" ref="W8">IFERROR(OptionProfit($C8,$D8,$E8,$F8,$G8,W$4),0)</f>
        <v>-71</v>
      </c>
      <c r="X8" s="106" cm="1">
        <f t="array" ref="X8">IFERROR(OptionProfit($C8,$D8,$E8,$F8,$G8,X$4),0)</f>
        <v>-71</v>
      </c>
      <c r="Y8" s="106" cm="1">
        <f t="array" ref="Y8">IFERROR(OptionProfit($C8,$D8,$E8,$F8,$G8,Y$4),0)</f>
        <v>-71</v>
      </c>
      <c r="Z8" s="106" cm="1">
        <f t="array" ref="Z8">IFERROR(OptionProfit($C8,$D8,$E8,$F8,$G8,Z$4),0)</f>
        <v>-71</v>
      </c>
      <c r="AA8" s="106" cm="1">
        <f t="array" ref="AA8">IFERROR(OptionProfit($C8,$D8,$E8,$F8,$G8,AA$4),0)</f>
        <v>-71</v>
      </c>
      <c r="AB8" s="106" cm="1">
        <f t="array" ref="AB8">IFERROR(OptionProfit($C8,$D8,$E8,$F8,$G8,AB$4),0)</f>
        <v>-71</v>
      </c>
      <c r="AC8" s="106" cm="1">
        <f t="array" ref="AC8">IFERROR(OptionProfit($C8,$D8,$E8,$F8,$G8,AC$4),0)</f>
        <v>-71</v>
      </c>
      <c r="AD8" s="106" cm="1">
        <f t="array" ref="AD8">IFERROR(OptionProfit($C8,$D8,$E8,$F8,$G8,AD$4),0)</f>
        <v>-71</v>
      </c>
      <c r="AE8" s="106" cm="1">
        <f t="array" ref="AE8">IFERROR(OptionProfit($C8,$D8,$E8,$F8,$G8,AE$4),0)</f>
        <v>-71</v>
      </c>
      <c r="AF8" s="106" cm="1">
        <f t="array" ref="AF8">IFERROR(OptionProfit($C8,$D8,$E8,$F8,$G8,AF$4),0)</f>
        <v>-71</v>
      </c>
      <c r="AG8" s="106" cm="1">
        <f t="array" ref="AG8">IFERROR(OptionProfit($C8,$D8,$E8,$F8,$G8,AG$4),0)</f>
        <v>-71</v>
      </c>
      <c r="AH8" s="106" cm="1">
        <f t="array" ref="AH8">IFERROR(OptionProfit($C8,$D8,$E8,$F8,$G8,AH$4),0)</f>
        <v>-71</v>
      </c>
      <c r="AI8" s="106" cm="1">
        <f t="array" ref="AI8">IFERROR(OptionProfit($C8,$D8,$E8,$F8,$G8,AI$4),0)</f>
        <v>-71</v>
      </c>
      <c r="AJ8" s="106" cm="1">
        <f t="array" ref="AJ8">IFERROR(OptionProfit($C8,$D8,$E8,$F8,$G8,AJ$4),0)</f>
        <v>-71</v>
      </c>
      <c r="AK8" s="106" cm="1">
        <f t="array" ref="AK8">IFERROR(OptionProfit($C8,$D8,$E8,$F8,$G8,AK$4),0)</f>
        <v>-71</v>
      </c>
      <c r="AL8" s="106" cm="1">
        <f t="array" ref="AL8">IFERROR(OptionProfit($C8,$D8,$E8,$F8,$G8,AL$4),0)</f>
        <v>-71</v>
      </c>
      <c r="AM8" s="106" cm="1">
        <f t="array" ref="AM8">IFERROR(OptionProfit($C8,$D8,$E8,$F8,$G8,AM$4),0)</f>
        <v>-71</v>
      </c>
      <c r="AN8" s="106" cm="1">
        <f t="array" ref="AN8">IFERROR(OptionProfit($C8,$D8,$E8,$F8,$G8,AN$4),0)</f>
        <v>-71</v>
      </c>
      <c r="AO8" s="106" cm="1">
        <f t="array" ref="AO8">IFERROR(OptionProfit($C8,$D8,$E8,$F8,$G8,AO$4),0)</f>
        <v>29</v>
      </c>
      <c r="AP8" s="106" cm="1">
        <f t="array" ref="AP8">IFERROR(OptionProfit($C8,$D8,$E8,$F8,$G8,AP$4),0)</f>
        <v>129</v>
      </c>
      <c r="AQ8" s="106" cm="1">
        <f t="array" ref="AQ8">IFERROR(OptionProfit($C8,$D8,$E8,$F8,$G8,AQ$4),0)</f>
        <v>229</v>
      </c>
      <c r="AR8" s="106" cm="1">
        <f t="array" ref="AR8">IFERROR(OptionProfit($C8,$D8,$E8,$F8,$G8,AR$4),0)</f>
        <v>329</v>
      </c>
      <c r="AS8" s="106" cm="1">
        <f t="array" ref="AS8">IFERROR(OptionProfit($C8,$D8,$E8,$F8,$G8,AS$4),0)</f>
        <v>429</v>
      </c>
      <c r="AT8" s="106" cm="1">
        <f t="array" ref="AT8">IFERROR(OptionProfit($C8,$D8,$E8,$F8,$G8,AT$4),0)</f>
        <v>529</v>
      </c>
      <c r="AU8" s="106" cm="1">
        <f t="array" ref="AU8">IFERROR(OptionProfit($C8,$D8,$E8,$F8,$G8,AU$4),0)</f>
        <v>629</v>
      </c>
      <c r="AV8" s="106" cm="1">
        <f t="array" ref="AV8">IFERROR(OptionProfit($C8,$D8,$E8,$F8,$G8,AV$4),0)</f>
        <v>729</v>
      </c>
      <c r="AW8" s="106" cm="1">
        <f t="array" ref="AW8">IFERROR(OptionProfit($C8,$D8,$E8,$F8,$G8,AW$4),0)</f>
        <v>829</v>
      </c>
      <c r="AX8" s="106" cm="1">
        <f t="array" ref="AX8">IFERROR(OptionProfit($C8,$D8,$E8,$F8,$G8,AX$4),0)</f>
        <v>929</v>
      </c>
      <c r="AZ8" s="91" t="str">
        <f t="shared" si="0"/>
        <v>C</v>
      </c>
      <c r="BA8" s="91" t="str">
        <f t="shared" si="1"/>
        <v>TX4N07C23700</v>
      </c>
      <c r="BB8" s="91" t="str">
        <f t="shared" si="2"/>
        <v>=XQFAP|Quote!'TX4N07C23700.TF-price'</v>
      </c>
    </row>
    <row r="9" spans="1:54" ht="21" customHeight="1" x14ac:dyDescent="0.25">
      <c r="A9" s="108" t="s">
        <v>155</v>
      </c>
      <c r="B9" s="121">
        <f>[1]!'TX4N07P21500.TF-price'</f>
        <v>2.5</v>
      </c>
      <c r="C9" s="108">
        <v>21500</v>
      </c>
      <c r="D9" s="108" t="s">
        <v>131</v>
      </c>
      <c r="E9" s="108" t="s">
        <v>149</v>
      </c>
      <c r="F9" s="108">
        <v>1</v>
      </c>
      <c r="G9" s="108">
        <v>33</v>
      </c>
      <c r="H9" s="122" cm="1">
        <f t="array" ref="H9">IFERROR(OptionPnL(D9,G9,B9,F9),0)</f>
        <v>30.5</v>
      </c>
      <c r="O9" s="109">
        <v>21800</v>
      </c>
      <c r="P9" s="110">
        <f t="shared" si="3"/>
        <v>-61675</v>
      </c>
      <c r="Q9" s="107">
        <f>SUM(U6:U38)</f>
        <v>-1233.5</v>
      </c>
      <c r="R9" s="106" cm="1">
        <f t="array" ref="R9">IFERROR(OptionProfit($C9,$D9,$E9,$F9,$G9,R$4),0)</f>
        <v>33</v>
      </c>
      <c r="S9" s="106" cm="1">
        <f t="array" ref="S9">IFERROR(OptionProfit($C9,$D9,$E9,$F9,$G9,S$4),0)</f>
        <v>33</v>
      </c>
      <c r="T9" s="106" cm="1">
        <f t="array" ref="T9">IFERROR(OptionProfit($C9,$D9,$E9,$F9,$G9,T$4),0)</f>
        <v>33</v>
      </c>
      <c r="U9" s="106" cm="1">
        <f t="array" ref="U9">IFERROR(OptionProfit($C9,$D9,$E9,$F9,$G9,U$4),0)</f>
        <v>33</v>
      </c>
      <c r="V9" s="106" cm="1">
        <f t="array" ref="V9">IFERROR(OptionProfit($C9,$D9,$E9,$F9,$G9,V$4),0)</f>
        <v>33</v>
      </c>
      <c r="W9" s="106" cm="1">
        <f t="array" ref="W9">IFERROR(OptionProfit($C9,$D9,$E9,$F9,$G9,W$4),0)</f>
        <v>33</v>
      </c>
      <c r="X9" s="106" cm="1">
        <f t="array" ref="X9">IFERROR(OptionProfit($C9,$D9,$E9,$F9,$G9,X$4),0)</f>
        <v>33</v>
      </c>
      <c r="Y9" s="106" cm="1">
        <f t="array" ref="Y9">IFERROR(OptionProfit($C9,$D9,$E9,$F9,$G9,Y$4),0)</f>
        <v>33</v>
      </c>
      <c r="Z9" s="106" cm="1">
        <f t="array" ref="Z9">IFERROR(OptionProfit($C9,$D9,$E9,$F9,$G9,Z$4),0)</f>
        <v>33</v>
      </c>
      <c r="AA9" s="106" cm="1">
        <f t="array" ref="AA9">IFERROR(OptionProfit($C9,$D9,$E9,$F9,$G9,AA$4),0)</f>
        <v>33</v>
      </c>
      <c r="AB9" s="106" cm="1">
        <f t="array" ref="AB9">IFERROR(OptionProfit($C9,$D9,$E9,$F9,$G9,AB$4),0)</f>
        <v>33</v>
      </c>
      <c r="AC9" s="106" cm="1">
        <f t="array" ref="AC9">IFERROR(OptionProfit($C9,$D9,$E9,$F9,$G9,AC$4),0)</f>
        <v>33</v>
      </c>
      <c r="AD9" s="106" cm="1">
        <f t="array" ref="AD9">IFERROR(OptionProfit($C9,$D9,$E9,$F9,$G9,AD$4),0)</f>
        <v>33</v>
      </c>
      <c r="AE9" s="106" cm="1">
        <f t="array" ref="AE9">IFERROR(OptionProfit($C9,$D9,$E9,$F9,$G9,AE$4),0)</f>
        <v>33</v>
      </c>
      <c r="AF9" s="106" cm="1">
        <f t="array" ref="AF9">IFERROR(OptionProfit($C9,$D9,$E9,$F9,$G9,AF$4),0)</f>
        <v>33</v>
      </c>
      <c r="AG9" s="106" cm="1">
        <f t="array" ref="AG9">IFERROR(OptionProfit($C9,$D9,$E9,$F9,$G9,AG$4),0)</f>
        <v>33</v>
      </c>
      <c r="AH9" s="106" cm="1">
        <f t="array" ref="AH9">IFERROR(OptionProfit($C9,$D9,$E9,$F9,$G9,AH$4),0)</f>
        <v>33</v>
      </c>
      <c r="AI9" s="106" cm="1">
        <f t="array" ref="AI9">IFERROR(OptionProfit($C9,$D9,$E9,$F9,$G9,AI$4),0)</f>
        <v>33</v>
      </c>
      <c r="AJ9" s="106" cm="1">
        <f t="array" ref="AJ9">IFERROR(OptionProfit($C9,$D9,$E9,$F9,$G9,AJ$4),0)</f>
        <v>33</v>
      </c>
      <c r="AK9" s="106" cm="1">
        <f t="array" ref="AK9">IFERROR(OptionProfit($C9,$D9,$E9,$F9,$G9,AK$4),0)</f>
        <v>33</v>
      </c>
      <c r="AL9" s="106" cm="1">
        <f t="array" ref="AL9">IFERROR(OptionProfit($C9,$D9,$E9,$F9,$G9,AL$4),0)</f>
        <v>33</v>
      </c>
      <c r="AM9" s="106" cm="1">
        <f t="array" ref="AM9">IFERROR(OptionProfit($C9,$D9,$E9,$F9,$G9,AM$4),0)</f>
        <v>33</v>
      </c>
      <c r="AN9" s="106" cm="1">
        <f t="array" ref="AN9">IFERROR(OptionProfit($C9,$D9,$E9,$F9,$G9,AN$4),0)</f>
        <v>33</v>
      </c>
      <c r="AO9" s="106" cm="1">
        <f t="array" ref="AO9">IFERROR(OptionProfit($C9,$D9,$E9,$F9,$G9,AO$4),0)</f>
        <v>33</v>
      </c>
      <c r="AP9" s="106" cm="1">
        <f t="array" ref="AP9">IFERROR(OptionProfit($C9,$D9,$E9,$F9,$G9,AP$4),0)</f>
        <v>33</v>
      </c>
      <c r="AQ9" s="106" cm="1">
        <f t="array" ref="AQ9">IFERROR(OptionProfit($C9,$D9,$E9,$F9,$G9,AQ$4),0)</f>
        <v>33</v>
      </c>
      <c r="AR9" s="106" cm="1">
        <f t="array" ref="AR9">IFERROR(OptionProfit($C9,$D9,$E9,$F9,$G9,AR$4),0)</f>
        <v>33</v>
      </c>
      <c r="AS9" s="106" cm="1">
        <f t="array" ref="AS9">IFERROR(OptionProfit($C9,$D9,$E9,$F9,$G9,AS$4),0)</f>
        <v>33</v>
      </c>
      <c r="AT9" s="106" cm="1">
        <f t="array" ref="AT9">IFERROR(OptionProfit($C9,$D9,$E9,$F9,$G9,AT$4),0)</f>
        <v>33</v>
      </c>
      <c r="AU9" s="106" cm="1">
        <f t="array" ref="AU9">IFERROR(OptionProfit($C9,$D9,$E9,$F9,$G9,AU$4),0)</f>
        <v>33</v>
      </c>
      <c r="AV9" s="106" cm="1">
        <f t="array" ref="AV9">IFERROR(OptionProfit($C9,$D9,$E9,$F9,$G9,AV$4),0)</f>
        <v>33</v>
      </c>
      <c r="AW9" s="106" cm="1">
        <f t="array" ref="AW9">IFERROR(OptionProfit($C9,$D9,$E9,$F9,$G9,AW$4),0)</f>
        <v>33</v>
      </c>
      <c r="AX9" s="106" cm="1">
        <f t="array" ref="AX9">IFERROR(OptionProfit($C9,$D9,$E9,$F9,$G9,AX$4),0)</f>
        <v>33</v>
      </c>
      <c r="AZ9" s="91" t="str">
        <f t="shared" si="0"/>
        <v>P</v>
      </c>
      <c r="BA9" s="91" t="str">
        <f t="shared" si="1"/>
        <v>TX4N07P21500</v>
      </c>
      <c r="BB9" s="91" t="str">
        <f t="shared" si="2"/>
        <v>=XQFAP|Quote!'TX4N07P21500.TF-price'</v>
      </c>
    </row>
    <row r="10" spans="1:54" ht="21" customHeight="1" x14ac:dyDescent="0.25">
      <c r="A10" s="108" t="s">
        <v>155</v>
      </c>
      <c r="B10" s="121">
        <f>[1]!'TX4N07P21800.TF-price'</f>
        <v>3.7</v>
      </c>
      <c r="C10" s="108">
        <v>21800</v>
      </c>
      <c r="D10" s="108" t="s">
        <v>141</v>
      </c>
      <c r="E10" s="108" t="s">
        <v>149</v>
      </c>
      <c r="F10" s="108">
        <v>1</v>
      </c>
      <c r="G10" s="108">
        <v>53</v>
      </c>
      <c r="H10" s="122" cm="1">
        <f t="array" ref="H10">IFERROR(OptionPnL(D10,G10,B10,F10),0)</f>
        <v>-49.3</v>
      </c>
      <c r="O10" s="109">
        <v>21900</v>
      </c>
      <c r="P10" s="110">
        <f t="shared" si="3"/>
        <v>-51675</v>
      </c>
      <c r="Q10" s="107">
        <f>SUM(V6:V38)</f>
        <v>-1033.5</v>
      </c>
      <c r="R10" s="106" cm="1">
        <f t="array" ref="R10">IFERROR(OptionProfit($C10,$D10,$E10,$F10,$G10,R$4),0)</f>
        <v>247</v>
      </c>
      <c r="S10" s="106" cm="1">
        <f t="array" ref="S10">IFERROR(OptionProfit($C10,$D10,$E10,$F10,$G10,S$4),0)</f>
        <v>147</v>
      </c>
      <c r="T10" s="106" cm="1">
        <f t="array" ref="T10">IFERROR(OptionProfit($C10,$D10,$E10,$F10,$G10,T$4),0)</f>
        <v>47</v>
      </c>
      <c r="U10" s="106" cm="1">
        <f t="array" ref="U10">IFERROR(OptionProfit($C10,$D10,$E10,$F10,$G10,U$4),0)</f>
        <v>-53</v>
      </c>
      <c r="V10" s="106" cm="1">
        <f t="array" ref="V10">IFERROR(OptionProfit($C10,$D10,$E10,$F10,$G10,V$4),0)</f>
        <v>-53</v>
      </c>
      <c r="W10" s="106" cm="1">
        <f t="array" ref="W10">IFERROR(OptionProfit($C10,$D10,$E10,$F10,$G10,W$4),0)</f>
        <v>-53</v>
      </c>
      <c r="X10" s="106" cm="1">
        <f t="array" ref="X10">IFERROR(OptionProfit($C10,$D10,$E10,$F10,$G10,X$4),0)</f>
        <v>-53</v>
      </c>
      <c r="Y10" s="106" cm="1">
        <f t="array" ref="Y10">IFERROR(OptionProfit($C10,$D10,$E10,$F10,$G10,Y$4),0)</f>
        <v>-53</v>
      </c>
      <c r="Z10" s="106" cm="1">
        <f t="array" ref="Z10">IFERROR(OptionProfit($C10,$D10,$E10,$F10,$G10,Z$4),0)</f>
        <v>-53</v>
      </c>
      <c r="AA10" s="106" cm="1">
        <f t="array" ref="AA10">IFERROR(OptionProfit($C10,$D10,$E10,$F10,$G10,AA$4),0)</f>
        <v>-53</v>
      </c>
      <c r="AB10" s="106" cm="1">
        <f t="array" ref="AB10">IFERROR(OptionProfit($C10,$D10,$E10,$F10,$G10,AB$4),0)</f>
        <v>-53</v>
      </c>
      <c r="AC10" s="106" cm="1">
        <f t="array" ref="AC10">IFERROR(OptionProfit($C10,$D10,$E10,$F10,$G10,AC$4),0)</f>
        <v>-53</v>
      </c>
      <c r="AD10" s="106" cm="1">
        <f t="array" ref="AD10">IFERROR(OptionProfit($C10,$D10,$E10,$F10,$G10,AD$4),0)</f>
        <v>-53</v>
      </c>
      <c r="AE10" s="106" cm="1">
        <f t="array" ref="AE10">IFERROR(OptionProfit($C10,$D10,$E10,$F10,$G10,AE$4),0)</f>
        <v>-53</v>
      </c>
      <c r="AF10" s="106" cm="1">
        <f t="array" ref="AF10">IFERROR(OptionProfit($C10,$D10,$E10,$F10,$G10,AF$4),0)</f>
        <v>-53</v>
      </c>
      <c r="AG10" s="106" cm="1">
        <f t="array" ref="AG10">IFERROR(OptionProfit($C10,$D10,$E10,$F10,$G10,AG$4),0)</f>
        <v>-53</v>
      </c>
      <c r="AH10" s="106" cm="1">
        <f t="array" ref="AH10">IFERROR(OptionProfit($C10,$D10,$E10,$F10,$G10,AH$4),0)</f>
        <v>-53</v>
      </c>
      <c r="AI10" s="106" cm="1">
        <f t="array" ref="AI10">IFERROR(OptionProfit($C10,$D10,$E10,$F10,$G10,AI$4),0)</f>
        <v>-53</v>
      </c>
      <c r="AJ10" s="106" cm="1">
        <f t="array" ref="AJ10">IFERROR(OptionProfit($C10,$D10,$E10,$F10,$G10,AJ$4),0)</f>
        <v>-53</v>
      </c>
      <c r="AK10" s="106" cm="1">
        <f t="array" ref="AK10">IFERROR(OptionProfit($C10,$D10,$E10,$F10,$G10,AK$4),0)</f>
        <v>-53</v>
      </c>
      <c r="AL10" s="106" cm="1">
        <f t="array" ref="AL10">IFERROR(OptionProfit($C10,$D10,$E10,$F10,$G10,AL$4),0)</f>
        <v>-53</v>
      </c>
      <c r="AM10" s="106" cm="1">
        <f t="array" ref="AM10">IFERROR(OptionProfit($C10,$D10,$E10,$F10,$G10,AM$4),0)</f>
        <v>-53</v>
      </c>
      <c r="AN10" s="106" cm="1">
        <f t="array" ref="AN10">IFERROR(OptionProfit($C10,$D10,$E10,$F10,$G10,AN$4),0)</f>
        <v>-53</v>
      </c>
      <c r="AO10" s="106" cm="1">
        <f t="array" ref="AO10">IFERROR(OptionProfit($C10,$D10,$E10,$F10,$G10,AO$4),0)</f>
        <v>-53</v>
      </c>
      <c r="AP10" s="106" cm="1">
        <f t="array" ref="AP10">IFERROR(OptionProfit($C10,$D10,$E10,$F10,$G10,AP$4),0)</f>
        <v>-53</v>
      </c>
      <c r="AQ10" s="106" cm="1">
        <f t="array" ref="AQ10">IFERROR(OptionProfit($C10,$D10,$E10,$F10,$G10,AQ$4),0)</f>
        <v>-53</v>
      </c>
      <c r="AR10" s="106" cm="1">
        <f t="array" ref="AR10">IFERROR(OptionProfit($C10,$D10,$E10,$F10,$G10,AR$4),0)</f>
        <v>-53</v>
      </c>
      <c r="AS10" s="106" cm="1">
        <f t="array" ref="AS10">IFERROR(OptionProfit($C10,$D10,$E10,$F10,$G10,AS$4),0)</f>
        <v>-53</v>
      </c>
      <c r="AT10" s="106" cm="1">
        <f t="array" ref="AT10">IFERROR(OptionProfit($C10,$D10,$E10,$F10,$G10,AT$4),0)</f>
        <v>-53</v>
      </c>
      <c r="AU10" s="106" cm="1">
        <f t="array" ref="AU10">IFERROR(OptionProfit($C10,$D10,$E10,$F10,$G10,AU$4),0)</f>
        <v>-53</v>
      </c>
      <c r="AV10" s="106" cm="1">
        <f t="array" ref="AV10">IFERROR(OptionProfit($C10,$D10,$E10,$F10,$G10,AV$4),0)</f>
        <v>-53</v>
      </c>
      <c r="AW10" s="106" cm="1">
        <f t="array" ref="AW10">IFERROR(OptionProfit($C10,$D10,$E10,$F10,$G10,AW$4),0)</f>
        <v>-53</v>
      </c>
      <c r="AX10" s="106" cm="1">
        <f t="array" ref="AX10">IFERROR(OptionProfit($C10,$D10,$E10,$F10,$G10,AX$4),0)</f>
        <v>-53</v>
      </c>
      <c r="AZ10" s="91" t="str">
        <f t="shared" si="0"/>
        <v>P</v>
      </c>
      <c r="BA10" s="91" t="str">
        <f t="shared" si="1"/>
        <v>TX4N07P21800</v>
      </c>
      <c r="BB10" s="91" t="str">
        <f t="shared" si="2"/>
        <v>=XQFAP|Quote!'TX4N07P21800.TF-price'</v>
      </c>
    </row>
    <row r="11" spans="1:54" ht="21" customHeight="1" x14ac:dyDescent="0.25">
      <c r="A11" s="108" t="s">
        <v>155</v>
      </c>
      <c r="B11" s="121">
        <f>[1]!'TX4N07C24000.TF-price'</f>
        <v>2.1</v>
      </c>
      <c r="C11" s="108">
        <v>24000</v>
      </c>
      <c r="D11" s="108" t="s">
        <v>131</v>
      </c>
      <c r="E11" s="108" t="s">
        <v>143</v>
      </c>
      <c r="F11" s="108">
        <v>1</v>
      </c>
      <c r="G11" s="108">
        <v>49</v>
      </c>
      <c r="H11" s="122" cm="1">
        <f t="array" ref="H11">IFERROR(OptionPnL(D11,G11,B11,F11),0)</f>
        <v>46.9</v>
      </c>
      <c r="O11" s="109">
        <v>22000</v>
      </c>
      <c r="P11" s="110">
        <f t="shared" si="3"/>
        <v>-41675</v>
      </c>
      <c r="Q11" s="107">
        <f>SUM(W6:W38)</f>
        <v>-833.5</v>
      </c>
      <c r="R11" s="106" cm="1">
        <f t="array" ref="R11">IFERROR(OptionProfit($C11,$D11,$E11,$F11,$G11,R$4),0)</f>
        <v>49</v>
      </c>
      <c r="S11" s="106" cm="1">
        <f t="array" ref="S11">IFERROR(OptionProfit($C11,$D11,$E11,$F11,$G11,S$4),0)</f>
        <v>49</v>
      </c>
      <c r="T11" s="106" cm="1">
        <f t="array" ref="T11">IFERROR(OptionProfit($C11,$D11,$E11,$F11,$G11,T$4),0)</f>
        <v>49</v>
      </c>
      <c r="U11" s="106" cm="1">
        <f t="array" ref="U11">IFERROR(OptionProfit($C11,$D11,$E11,$F11,$G11,U$4),0)</f>
        <v>49</v>
      </c>
      <c r="V11" s="106" cm="1">
        <f t="array" ref="V11">IFERROR(OptionProfit($C11,$D11,$E11,$F11,$G11,V$4),0)</f>
        <v>49</v>
      </c>
      <c r="W11" s="106" cm="1">
        <f t="array" ref="W11">IFERROR(OptionProfit($C11,$D11,$E11,$F11,$G11,W$4),0)</f>
        <v>49</v>
      </c>
      <c r="X11" s="106" cm="1">
        <f t="array" ref="X11">IFERROR(OptionProfit($C11,$D11,$E11,$F11,$G11,X$4),0)</f>
        <v>49</v>
      </c>
      <c r="Y11" s="106" cm="1">
        <f t="array" ref="Y11">IFERROR(OptionProfit($C11,$D11,$E11,$F11,$G11,Y$4),0)</f>
        <v>49</v>
      </c>
      <c r="Z11" s="106" cm="1">
        <f t="array" ref="Z11">IFERROR(OptionProfit($C11,$D11,$E11,$F11,$G11,Z$4),0)</f>
        <v>49</v>
      </c>
      <c r="AA11" s="106" cm="1">
        <f t="array" ref="AA11">IFERROR(OptionProfit($C11,$D11,$E11,$F11,$G11,AA$4),0)</f>
        <v>49</v>
      </c>
      <c r="AB11" s="106" cm="1">
        <f t="array" ref="AB11">IFERROR(OptionProfit($C11,$D11,$E11,$F11,$G11,AB$4),0)</f>
        <v>49</v>
      </c>
      <c r="AC11" s="106" cm="1">
        <f t="array" ref="AC11">IFERROR(OptionProfit($C11,$D11,$E11,$F11,$G11,AC$4),0)</f>
        <v>49</v>
      </c>
      <c r="AD11" s="106" cm="1">
        <f t="array" ref="AD11">IFERROR(OptionProfit($C11,$D11,$E11,$F11,$G11,AD$4),0)</f>
        <v>49</v>
      </c>
      <c r="AE11" s="106" cm="1">
        <f t="array" ref="AE11">IFERROR(OptionProfit($C11,$D11,$E11,$F11,$G11,AE$4),0)</f>
        <v>49</v>
      </c>
      <c r="AF11" s="106" cm="1">
        <f t="array" ref="AF11">IFERROR(OptionProfit($C11,$D11,$E11,$F11,$G11,AF$4),0)</f>
        <v>49</v>
      </c>
      <c r="AG11" s="106" cm="1">
        <f t="array" ref="AG11">IFERROR(OptionProfit($C11,$D11,$E11,$F11,$G11,AG$4),0)</f>
        <v>49</v>
      </c>
      <c r="AH11" s="106" cm="1">
        <f t="array" ref="AH11">IFERROR(OptionProfit($C11,$D11,$E11,$F11,$G11,AH$4),0)</f>
        <v>49</v>
      </c>
      <c r="AI11" s="106" cm="1">
        <f t="array" ref="AI11">IFERROR(OptionProfit($C11,$D11,$E11,$F11,$G11,AI$4),0)</f>
        <v>49</v>
      </c>
      <c r="AJ11" s="106" cm="1">
        <f t="array" ref="AJ11">IFERROR(OptionProfit($C11,$D11,$E11,$F11,$G11,AJ$4),0)</f>
        <v>49</v>
      </c>
      <c r="AK11" s="106" cm="1">
        <f t="array" ref="AK11">IFERROR(OptionProfit($C11,$D11,$E11,$F11,$G11,AK$4),0)</f>
        <v>49</v>
      </c>
      <c r="AL11" s="106" cm="1">
        <f t="array" ref="AL11">IFERROR(OptionProfit($C11,$D11,$E11,$F11,$G11,AL$4),0)</f>
        <v>49</v>
      </c>
      <c r="AM11" s="106" cm="1">
        <f t="array" ref="AM11">IFERROR(OptionProfit($C11,$D11,$E11,$F11,$G11,AM$4),0)</f>
        <v>49</v>
      </c>
      <c r="AN11" s="106" cm="1">
        <f t="array" ref="AN11">IFERROR(OptionProfit($C11,$D11,$E11,$F11,$G11,AN$4),0)</f>
        <v>49</v>
      </c>
      <c r="AO11" s="106" cm="1">
        <f t="array" ref="AO11">IFERROR(OptionProfit($C11,$D11,$E11,$F11,$G11,AO$4),0)</f>
        <v>49</v>
      </c>
      <c r="AP11" s="106" cm="1">
        <f t="array" ref="AP11">IFERROR(OptionProfit($C11,$D11,$E11,$F11,$G11,AP$4),0)</f>
        <v>49</v>
      </c>
      <c r="AQ11" s="106" cm="1">
        <f t="array" ref="AQ11">IFERROR(OptionProfit($C11,$D11,$E11,$F11,$G11,AQ$4),0)</f>
        <v>49</v>
      </c>
      <c r="AR11" s="106" cm="1">
        <f t="array" ref="AR11">IFERROR(OptionProfit($C11,$D11,$E11,$F11,$G11,AR$4),0)</f>
        <v>-51</v>
      </c>
      <c r="AS11" s="106" cm="1">
        <f t="array" ref="AS11">IFERROR(OptionProfit($C11,$D11,$E11,$F11,$G11,AS$4),0)</f>
        <v>-151</v>
      </c>
      <c r="AT11" s="106" cm="1">
        <f t="array" ref="AT11">IFERROR(OptionProfit($C11,$D11,$E11,$F11,$G11,AT$4),0)</f>
        <v>-251</v>
      </c>
      <c r="AU11" s="106" cm="1">
        <f t="array" ref="AU11">IFERROR(OptionProfit($C11,$D11,$E11,$F11,$G11,AU$4),0)</f>
        <v>-351</v>
      </c>
      <c r="AV11" s="106" cm="1">
        <f t="array" ref="AV11">IFERROR(OptionProfit($C11,$D11,$E11,$F11,$G11,AV$4),0)</f>
        <v>-451</v>
      </c>
      <c r="AW11" s="106" cm="1">
        <f t="array" ref="AW11">IFERROR(OptionProfit($C11,$D11,$E11,$F11,$G11,AW$4),0)</f>
        <v>-551</v>
      </c>
      <c r="AX11" s="106" cm="1">
        <f t="array" ref="AX11">IFERROR(OptionProfit($C11,$D11,$E11,$F11,$G11,AX$4),0)</f>
        <v>-651</v>
      </c>
      <c r="AZ11" s="91" t="str">
        <f t="shared" si="0"/>
        <v>C</v>
      </c>
      <c r="BA11" s="91" t="str">
        <f t="shared" si="1"/>
        <v>TX4N07C24000</v>
      </c>
      <c r="BB11" s="91" t="str">
        <f t="shared" si="2"/>
        <v>=XQFAP|Quote!'TX4N07C24000.TF-price'</v>
      </c>
    </row>
    <row r="12" spans="1:54" ht="21" customHeight="1" x14ac:dyDescent="0.25">
      <c r="A12" s="108" t="s">
        <v>156</v>
      </c>
      <c r="B12" s="121">
        <f>[1]!'TX4N07P22600.TF-price'</f>
        <v>12.5</v>
      </c>
      <c r="C12" s="108">
        <v>22600</v>
      </c>
      <c r="D12" s="108" t="s">
        <v>131</v>
      </c>
      <c r="E12" s="108" t="s">
        <v>149</v>
      </c>
      <c r="F12" s="108">
        <v>1</v>
      </c>
      <c r="G12" s="108">
        <v>42</v>
      </c>
      <c r="H12" s="122" cm="1">
        <f t="array" ref="H12">IFERROR(OptionPnL(D12,G12,B12,F12),0)</f>
        <v>29.5</v>
      </c>
      <c r="O12" s="109">
        <v>22100</v>
      </c>
      <c r="P12" s="110">
        <f t="shared" si="3"/>
        <v>-31675</v>
      </c>
      <c r="Q12" s="107">
        <f>SUM(X6:X38)</f>
        <v>-633.5</v>
      </c>
      <c r="R12" s="106" cm="1">
        <f t="array" ref="R12">IFERROR(OptionProfit($C12,$D12,$E12,$F12,$G12,R$4),0)</f>
        <v>-1058</v>
      </c>
      <c r="S12" s="106" cm="1">
        <f t="array" ref="S12">IFERROR(OptionProfit($C12,$D12,$E12,$F12,$G12,S$4),0)</f>
        <v>-958</v>
      </c>
      <c r="T12" s="106" cm="1">
        <f t="array" ref="T12">IFERROR(OptionProfit($C12,$D12,$E12,$F12,$G12,T$4),0)</f>
        <v>-858</v>
      </c>
      <c r="U12" s="106" cm="1">
        <f t="array" ref="U12">IFERROR(OptionProfit($C12,$D12,$E12,$F12,$G12,U$4),0)</f>
        <v>-758</v>
      </c>
      <c r="V12" s="106" cm="1">
        <f t="array" ref="V12">IFERROR(OptionProfit($C12,$D12,$E12,$F12,$G12,V$4),0)</f>
        <v>-658</v>
      </c>
      <c r="W12" s="106" cm="1">
        <f t="array" ref="W12">IFERROR(OptionProfit($C12,$D12,$E12,$F12,$G12,W$4),0)</f>
        <v>-558</v>
      </c>
      <c r="X12" s="106" cm="1">
        <f t="array" ref="X12">IFERROR(OptionProfit($C12,$D12,$E12,$F12,$G12,X$4),0)</f>
        <v>-458</v>
      </c>
      <c r="Y12" s="106" cm="1">
        <f t="array" ref="Y12">IFERROR(OptionProfit($C12,$D12,$E12,$F12,$G12,Y$4),0)</f>
        <v>-358</v>
      </c>
      <c r="Z12" s="106" cm="1">
        <f t="array" ref="Z12">IFERROR(OptionProfit($C12,$D12,$E12,$F12,$G12,Z$4),0)</f>
        <v>-258</v>
      </c>
      <c r="AA12" s="106" cm="1">
        <f t="array" ref="AA12">IFERROR(OptionProfit($C12,$D12,$E12,$F12,$G12,AA$4),0)</f>
        <v>-158</v>
      </c>
      <c r="AB12" s="106" cm="1">
        <f t="array" ref="AB12">IFERROR(OptionProfit($C12,$D12,$E12,$F12,$G12,AB$4),0)</f>
        <v>-58</v>
      </c>
      <c r="AC12" s="106" cm="1">
        <f t="array" ref="AC12">IFERROR(OptionProfit($C12,$D12,$E12,$F12,$G12,AC$4),0)</f>
        <v>42</v>
      </c>
      <c r="AD12" s="106" cm="1">
        <f t="array" ref="AD12">IFERROR(OptionProfit($C12,$D12,$E12,$F12,$G12,AD$4),0)</f>
        <v>42</v>
      </c>
      <c r="AE12" s="106" cm="1">
        <f t="array" ref="AE12">IFERROR(OptionProfit($C12,$D12,$E12,$F12,$G12,AE$4),0)</f>
        <v>42</v>
      </c>
      <c r="AF12" s="106" cm="1">
        <f t="array" ref="AF12">IFERROR(OptionProfit($C12,$D12,$E12,$F12,$G12,AF$4),0)</f>
        <v>42</v>
      </c>
      <c r="AG12" s="106" cm="1">
        <f t="array" ref="AG12">IFERROR(OptionProfit($C12,$D12,$E12,$F12,$G12,AG$4),0)</f>
        <v>42</v>
      </c>
      <c r="AH12" s="106" cm="1">
        <f t="array" ref="AH12">IFERROR(OptionProfit($C12,$D12,$E12,$F12,$G12,AH$4),0)</f>
        <v>42</v>
      </c>
      <c r="AI12" s="106" cm="1">
        <f t="array" ref="AI12">IFERROR(OptionProfit($C12,$D12,$E12,$F12,$G12,AI$4),0)</f>
        <v>42</v>
      </c>
      <c r="AJ12" s="106" cm="1">
        <f t="array" ref="AJ12">IFERROR(OptionProfit($C12,$D12,$E12,$F12,$G12,AJ$4),0)</f>
        <v>42</v>
      </c>
      <c r="AK12" s="106" cm="1">
        <f t="array" ref="AK12">IFERROR(OptionProfit($C12,$D12,$E12,$F12,$G12,AK$4),0)</f>
        <v>42</v>
      </c>
      <c r="AL12" s="106" cm="1">
        <f t="array" ref="AL12">IFERROR(OptionProfit($C12,$D12,$E12,$F12,$G12,AL$4),0)</f>
        <v>42</v>
      </c>
      <c r="AM12" s="106" cm="1">
        <f t="array" ref="AM12">IFERROR(OptionProfit($C12,$D12,$E12,$F12,$G12,AM$4),0)</f>
        <v>42</v>
      </c>
      <c r="AN12" s="106" cm="1">
        <f t="array" ref="AN12">IFERROR(OptionProfit($C12,$D12,$E12,$F12,$G12,AN$4),0)</f>
        <v>42</v>
      </c>
      <c r="AO12" s="106" cm="1">
        <f t="array" ref="AO12">IFERROR(OptionProfit($C12,$D12,$E12,$F12,$G12,AO$4),0)</f>
        <v>42</v>
      </c>
      <c r="AP12" s="106" cm="1">
        <f t="array" ref="AP12">IFERROR(OptionProfit($C12,$D12,$E12,$F12,$G12,AP$4),0)</f>
        <v>42</v>
      </c>
      <c r="AQ12" s="106" cm="1">
        <f t="array" ref="AQ12">IFERROR(OptionProfit($C12,$D12,$E12,$F12,$G12,AQ$4),0)</f>
        <v>42</v>
      </c>
      <c r="AR12" s="106" cm="1">
        <f t="array" ref="AR12">IFERROR(OptionProfit($C12,$D12,$E12,$F12,$G12,AR$4),0)</f>
        <v>42</v>
      </c>
      <c r="AS12" s="106" cm="1">
        <f t="array" ref="AS12">IFERROR(OptionProfit($C12,$D12,$E12,$F12,$G12,AS$4),0)</f>
        <v>42</v>
      </c>
      <c r="AT12" s="106" cm="1">
        <f t="array" ref="AT12">IFERROR(OptionProfit($C12,$D12,$E12,$F12,$G12,AT$4),0)</f>
        <v>42</v>
      </c>
      <c r="AU12" s="106" cm="1">
        <f t="array" ref="AU12">IFERROR(OptionProfit($C12,$D12,$E12,$F12,$G12,AU$4),0)</f>
        <v>42</v>
      </c>
      <c r="AV12" s="106" cm="1">
        <f t="array" ref="AV12">IFERROR(OptionProfit($C12,$D12,$E12,$F12,$G12,AV$4),0)</f>
        <v>42</v>
      </c>
      <c r="AW12" s="106" cm="1">
        <f t="array" ref="AW12">IFERROR(OptionProfit($C12,$D12,$E12,$F12,$G12,AW$4),0)</f>
        <v>42</v>
      </c>
      <c r="AX12" s="106" cm="1">
        <f t="array" ref="AX12">IFERROR(OptionProfit($C12,$D12,$E12,$F12,$G12,AX$4),0)</f>
        <v>42</v>
      </c>
      <c r="AZ12" s="91" t="str">
        <f t="shared" si="0"/>
        <v>P</v>
      </c>
      <c r="BA12" s="91" t="str">
        <f t="shared" si="1"/>
        <v>TXYN07P22600</v>
      </c>
      <c r="BB12" s="91" t="str">
        <f t="shared" si="2"/>
        <v>=XQFAP|Quote!'TXYN07P22600.TF-price'</v>
      </c>
    </row>
    <row r="13" spans="1:54" ht="21" customHeight="1" x14ac:dyDescent="0.25">
      <c r="A13" s="108" t="s">
        <v>156</v>
      </c>
      <c r="B13" s="121"/>
      <c r="C13" s="108">
        <v>22600</v>
      </c>
      <c r="D13" s="108" t="s">
        <v>131</v>
      </c>
      <c r="E13" s="108" t="s">
        <v>149</v>
      </c>
      <c r="F13" s="108">
        <v>1</v>
      </c>
      <c r="G13" s="108">
        <v>42.5</v>
      </c>
      <c r="H13" s="122" cm="1">
        <f t="array" ref="H13">IFERROR(OptionPnL(D13,G13,B13,F13),0)</f>
        <v>42.5</v>
      </c>
      <c r="O13" s="109">
        <v>22200</v>
      </c>
      <c r="P13" s="110">
        <f t="shared" si="3"/>
        <v>-21675</v>
      </c>
      <c r="Q13" s="107">
        <f>SUM(Y6:Y38)</f>
        <v>-433.5</v>
      </c>
      <c r="R13" s="106" cm="1">
        <f t="array" ref="R13">IFERROR(OptionProfit($C13,$D13,$E13,$F13,$G13,R$4),0)</f>
        <v>-1057.5</v>
      </c>
      <c r="S13" s="106" cm="1">
        <f t="array" ref="S13">IFERROR(OptionProfit($C13,$D13,$E13,$F13,$G13,S$4),0)</f>
        <v>-957.5</v>
      </c>
      <c r="T13" s="106" cm="1">
        <f t="array" ref="T13">IFERROR(OptionProfit($C13,$D13,$E13,$F13,$G13,T$4),0)</f>
        <v>-857.5</v>
      </c>
      <c r="U13" s="106" cm="1">
        <f t="array" ref="U13">IFERROR(OptionProfit($C13,$D13,$E13,$F13,$G13,U$4),0)</f>
        <v>-757.5</v>
      </c>
      <c r="V13" s="106" cm="1">
        <f t="array" ref="V13">IFERROR(OptionProfit($C13,$D13,$E13,$F13,$G13,V$4),0)</f>
        <v>-657.5</v>
      </c>
      <c r="W13" s="106" cm="1">
        <f t="array" ref="W13">IFERROR(OptionProfit($C13,$D13,$E13,$F13,$G13,W$4),0)</f>
        <v>-557.5</v>
      </c>
      <c r="X13" s="106" cm="1">
        <f t="array" ref="X13">IFERROR(OptionProfit($C13,$D13,$E13,$F13,$G13,X$4),0)</f>
        <v>-457.5</v>
      </c>
      <c r="Y13" s="106" cm="1">
        <f t="array" ref="Y13">IFERROR(OptionProfit($C13,$D13,$E13,$F13,$G13,Y$4),0)</f>
        <v>-357.5</v>
      </c>
      <c r="Z13" s="106" cm="1">
        <f t="array" ref="Z13">IFERROR(OptionProfit($C13,$D13,$E13,$F13,$G13,Z$4),0)</f>
        <v>-257.5</v>
      </c>
      <c r="AA13" s="106" cm="1">
        <f t="array" ref="AA13">IFERROR(OptionProfit($C13,$D13,$E13,$F13,$G13,AA$4),0)</f>
        <v>-157.5</v>
      </c>
      <c r="AB13" s="106" cm="1">
        <f t="array" ref="AB13">IFERROR(OptionProfit($C13,$D13,$E13,$F13,$G13,AB$4),0)</f>
        <v>-57.5</v>
      </c>
      <c r="AC13" s="106" cm="1">
        <f t="array" ref="AC13">IFERROR(OptionProfit($C13,$D13,$E13,$F13,$G13,AC$4),0)</f>
        <v>42.5</v>
      </c>
      <c r="AD13" s="106" cm="1">
        <f t="array" ref="AD13">IFERROR(OptionProfit($C13,$D13,$E13,$F13,$G13,AD$4),0)</f>
        <v>42.5</v>
      </c>
      <c r="AE13" s="106" cm="1">
        <f t="array" ref="AE13">IFERROR(OptionProfit($C13,$D13,$E13,$F13,$G13,AE$4),0)</f>
        <v>42.5</v>
      </c>
      <c r="AF13" s="106" cm="1">
        <f t="array" ref="AF13">IFERROR(OptionProfit($C13,$D13,$E13,$F13,$G13,AF$4),0)</f>
        <v>42.5</v>
      </c>
      <c r="AG13" s="106" cm="1">
        <f t="array" ref="AG13">IFERROR(OptionProfit($C13,$D13,$E13,$F13,$G13,AG$4),0)</f>
        <v>42.5</v>
      </c>
      <c r="AH13" s="106" cm="1">
        <f t="array" ref="AH13">IFERROR(OptionProfit($C13,$D13,$E13,$F13,$G13,AH$4),0)</f>
        <v>42.5</v>
      </c>
      <c r="AI13" s="106" cm="1">
        <f t="array" ref="AI13">IFERROR(OptionProfit($C13,$D13,$E13,$F13,$G13,AI$4),0)</f>
        <v>42.5</v>
      </c>
      <c r="AJ13" s="106" cm="1">
        <f t="array" ref="AJ13">IFERROR(OptionProfit($C13,$D13,$E13,$F13,$G13,AJ$4),0)</f>
        <v>42.5</v>
      </c>
      <c r="AK13" s="106" cm="1">
        <f t="array" ref="AK13">IFERROR(OptionProfit($C13,$D13,$E13,$F13,$G13,AK$4),0)</f>
        <v>42.5</v>
      </c>
      <c r="AL13" s="106" cm="1">
        <f t="array" ref="AL13">IFERROR(OptionProfit($C13,$D13,$E13,$F13,$G13,AL$4),0)</f>
        <v>42.5</v>
      </c>
      <c r="AM13" s="106" cm="1">
        <f t="array" ref="AM13">IFERROR(OptionProfit($C13,$D13,$E13,$F13,$G13,AM$4),0)</f>
        <v>42.5</v>
      </c>
      <c r="AN13" s="106" cm="1">
        <f t="array" ref="AN13">IFERROR(OptionProfit($C13,$D13,$E13,$F13,$G13,AN$4),0)</f>
        <v>42.5</v>
      </c>
      <c r="AO13" s="106" cm="1">
        <f t="array" ref="AO13">IFERROR(OptionProfit($C13,$D13,$E13,$F13,$G13,AO$4),0)</f>
        <v>42.5</v>
      </c>
      <c r="AP13" s="106" cm="1">
        <f t="array" ref="AP13">IFERROR(OptionProfit($C13,$D13,$E13,$F13,$G13,AP$4),0)</f>
        <v>42.5</v>
      </c>
      <c r="AQ13" s="106" cm="1">
        <f t="array" ref="AQ13">IFERROR(OptionProfit($C13,$D13,$E13,$F13,$G13,AQ$4),0)</f>
        <v>42.5</v>
      </c>
      <c r="AR13" s="106" cm="1">
        <f t="array" ref="AR13">IFERROR(OptionProfit($C13,$D13,$E13,$F13,$G13,AR$4),0)</f>
        <v>42.5</v>
      </c>
      <c r="AS13" s="106" cm="1">
        <f t="array" ref="AS13">IFERROR(OptionProfit($C13,$D13,$E13,$F13,$G13,AS$4),0)</f>
        <v>42.5</v>
      </c>
      <c r="AT13" s="106" cm="1">
        <f t="array" ref="AT13">IFERROR(OptionProfit($C13,$D13,$E13,$F13,$G13,AT$4),0)</f>
        <v>42.5</v>
      </c>
      <c r="AU13" s="106" cm="1">
        <f t="array" ref="AU13">IFERROR(OptionProfit($C13,$D13,$E13,$F13,$G13,AU$4),0)</f>
        <v>42.5</v>
      </c>
      <c r="AV13" s="106" cm="1">
        <f t="array" ref="AV13">IFERROR(OptionProfit($C13,$D13,$E13,$F13,$G13,AV$4),0)</f>
        <v>42.5</v>
      </c>
      <c r="AW13" s="106" cm="1">
        <f t="array" ref="AW13">IFERROR(OptionProfit($C13,$D13,$E13,$F13,$G13,AW$4),0)</f>
        <v>42.5</v>
      </c>
      <c r="AX13" s="106" cm="1">
        <f t="array" ref="AX13">IFERROR(OptionProfit($C13,$D13,$E13,$F13,$G13,AX$4),0)</f>
        <v>42.5</v>
      </c>
      <c r="AZ13" s="91" t="str">
        <f t="shared" si="0"/>
        <v>P</v>
      </c>
      <c r="BA13" s="91" t="str">
        <f t="shared" si="1"/>
        <v>TXYN07P22600</v>
      </c>
      <c r="BB13" s="91" t="str">
        <f t="shared" si="2"/>
        <v>=XQFAP|Quote!'TXYN07P22600.TF-price'</v>
      </c>
    </row>
    <row r="14" spans="1:54" ht="21" customHeight="1" x14ac:dyDescent="0.25">
      <c r="A14" s="108" t="s">
        <v>156</v>
      </c>
      <c r="B14" s="121"/>
      <c r="C14" s="108">
        <v>22600</v>
      </c>
      <c r="D14" s="108" t="s">
        <v>131</v>
      </c>
      <c r="E14" s="108" t="s">
        <v>149</v>
      </c>
      <c r="F14" s="108">
        <v>1</v>
      </c>
      <c r="G14" s="108">
        <v>43</v>
      </c>
      <c r="H14" s="122" cm="1">
        <f t="array" ref="H14">IFERROR(OptionPnL(D14,G14,B14,F14),0)</f>
        <v>43</v>
      </c>
      <c r="O14" s="109">
        <v>22300</v>
      </c>
      <c r="P14" s="110">
        <f t="shared" si="3"/>
        <v>-11675</v>
      </c>
      <c r="Q14" s="107">
        <f>SUM(Z6:Z38)</f>
        <v>-233.5</v>
      </c>
      <c r="R14" s="106" cm="1">
        <f t="array" ref="R14">IFERROR(OptionProfit($C14,$D14,$E14,$F14,$G14,R$4),0)</f>
        <v>-1057</v>
      </c>
      <c r="S14" s="106" cm="1">
        <f t="array" ref="S14">IFERROR(OptionProfit($C14,$D14,$E14,$F14,$G14,S$4),0)</f>
        <v>-957</v>
      </c>
      <c r="T14" s="106" cm="1">
        <f t="array" ref="T14">IFERROR(OptionProfit($C14,$D14,$E14,$F14,$G14,T$4),0)</f>
        <v>-857</v>
      </c>
      <c r="U14" s="106" cm="1">
        <f t="array" ref="U14">IFERROR(OptionProfit($C14,$D14,$E14,$F14,$G14,U$4),0)</f>
        <v>-757</v>
      </c>
      <c r="V14" s="106" cm="1">
        <f t="array" ref="V14">IFERROR(OptionProfit($C14,$D14,$E14,$F14,$G14,V$4),0)</f>
        <v>-657</v>
      </c>
      <c r="W14" s="106" cm="1">
        <f t="array" ref="W14">IFERROR(OptionProfit($C14,$D14,$E14,$F14,$G14,W$4),0)</f>
        <v>-557</v>
      </c>
      <c r="X14" s="106" cm="1">
        <f t="array" ref="X14">IFERROR(OptionProfit($C14,$D14,$E14,$F14,$G14,X$4),0)</f>
        <v>-457</v>
      </c>
      <c r="Y14" s="106" cm="1">
        <f t="array" ref="Y14">IFERROR(OptionProfit($C14,$D14,$E14,$F14,$G14,Y$4),0)</f>
        <v>-357</v>
      </c>
      <c r="Z14" s="106" cm="1">
        <f t="array" ref="Z14">IFERROR(OptionProfit($C14,$D14,$E14,$F14,$G14,Z$4),0)</f>
        <v>-257</v>
      </c>
      <c r="AA14" s="106" cm="1">
        <f t="array" ref="AA14">IFERROR(OptionProfit($C14,$D14,$E14,$F14,$G14,AA$4),0)</f>
        <v>-157</v>
      </c>
      <c r="AB14" s="106" cm="1">
        <f t="array" ref="AB14">IFERROR(OptionProfit($C14,$D14,$E14,$F14,$G14,AB$4),0)</f>
        <v>-57</v>
      </c>
      <c r="AC14" s="106" cm="1">
        <f t="array" ref="AC14">IFERROR(OptionProfit($C14,$D14,$E14,$F14,$G14,AC$4),0)</f>
        <v>43</v>
      </c>
      <c r="AD14" s="106" cm="1">
        <f t="array" ref="AD14">IFERROR(OptionProfit($C14,$D14,$E14,$F14,$G14,AD$4),0)</f>
        <v>43</v>
      </c>
      <c r="AE14" s="106" cm="1">
        <f t="array" ref="AE14">IFERROR(OptionProfit($C14,$D14,$E14,$F14,$G14,AE$4),0)</f>
        <v>43</v>
      </c>
      <c r="AF14" s="106" cm="1">
        <f t="array" ref="AF14">IFERROR(OptionProfit($C14,$D14,$E14,$F14,$G14,AF$4),0)</f>
        <v>43</v>
      </c>
      <c r="AG14" s="106" cm="1">
        <f t="array" ref="AG14">IFERROR(OptionProfit($C14,$D14,$E14,$F14,$G14,AG$4),0)</f>
        <v>43</v>
      </c>
      <c r="AH14" s="106" cm="1">
        <f t="array" ref="AH14">IFERROR(OptionProfit($C14,$D14,$E14,$F14,$G14,AH$4),0)</f>
        <v>43</v>
      </c>
      <c r="AI14" s="106" cm="1">
        <f t="array" ref="AI14">IFERROR(OptionProfit($C14,$D14,$E14,$F14,$G14,AI$4),0)</f>
        <v>43</v>
      </c>
      <c r="AJ14" s="106" cm="1">
        <f t="array" ref="AJ14">IFERROR(OptionProfit($C14,$D14,$E14,$F14,$G14,AJ$4),0)</f>
        <v>43</v>
      </c>
      <c r="AK14" s="106" cm="1">
        <f t="array" ref="AK14">IFERROR(OptionProfit($C14,$D14,$E14,$F14,$G14,AK$4),0)</f>
        <v>43</v>
      </c>
      <c r="AL14" s="106" cm="1">
        <f t="array" ref="AL14">IFERROR(OptionProfit($C14,$D14,$E14,$F14,$G14,AL$4),0)</f>
        <v>43</v>
      </c>
      <c r="AM14" s="106" cm="1">
        <f t="array" ref="AM14">IFERROR(OptionProfit($C14,$D14,$E14,$F14,$G14,AM$4),0)</f>
        <v>43</v>
      </c>
      <c r="AN14" s="106" cm="1">
        <f t="array" ref="AN14">IFERROR(OptionProfit($C14,$D14,$E14,$F14,$G14,AN$4),0)</f>
        <v>43</v>
      </c>
      <c r="AO14" s="106" cm="1">
        <f t="array" ref="AO14">IFERROR(OptionProfit($C14,$D14,$E14,$F14,$G14,AO$4),0)</f>
        <v>43</v>
      </c>
      <c r="AP14" s="106" cm="1">
        <f t="array" ref="AP14">IFERROR(OptionProfit($C14,$D14,$E14,$F14,$G14,AP$4),0)</f>
        <v>43</v>
      </c>
      <c r="AQ14" s="106" cm="1">
        <f t="array" ref="AQ14">IFERROR(OptionProfit($C14,$D14,$E14,$F14,$G14,AQ$4),0)</f>
        <v>43</v>
      </c>
      <c r="AR14" s="106" cm="1">
        <f t="array" ref="AR14">IFERROR(OptionProfit($C14,$D14,$E14,$F14,$G14,AR$4),0)</f>
        <v>43</v>
      </c>
      <c r="AS14" s="106" cm="1">
        <f t="array" ref="AS14">IFERROR(OptionProfit($C14,$D14,$E14,$F14,$G14,AS$4),0)</f>
        <v>43</v>
      </c>
      <c r="AT14" s="106" cm="1">
        <f t="array" ref="AT14">IFERROR(OptionProfit($C14,$D14,$E14,$F14,$G14,AT$4),0)</f>
        <v>43</v>
      </c>
      <c r="AU14" s="106" cm="1">
        <f t="array" ref="AU14">IFERROR(OptionProfit($C14,$D14,$E14,$F14,$G14,AU$4),0)</f>
        <v>43</v>
      </c>
      <c r="AV14" s="106" cm="1">
        <f t="array" ref="AV14">IFERROR(OptionProfit($C14,$D14,$E14,$F14,$G14,AV$4),0)</f>
        <v>43</v>
      </c>
      <c r="AW14" s="106" cm="1">
        <f t="array" ref="AW14">IFERROR(OptionProfit($C14,$D14,$E14,$F14,$G14,AW$4),0)</f>
        <v>43</v>
      </c>
      <c r="AX14" s="106" cm="1">
        <f t="array" ref="AX14">IFERROR(OptionProfit($C14,$D14,$E14,$F14,$G14,AX$4),0)</f>
        <v>43</v>
      </c>
      <c r="AZ14" s="91" t="str">
        <f t="shared" si="0"/>
        <v>P</v>
      </c>
      <c r="BA14" s="91" t="str">
        <f t="shared" si="1"/>
        <v>TXYN07P22600</v>
      </c>
      <c r="BB14" s="91" t="str">
        <f t="shared" si="2"/>
        <v>=XQFAP|Quote!'TXYN07P22600.TF-price'</v>
      </c>
    </row>
    <row r="15" spans="1:54" ht="21" customHeight="1" x14ac:dyDescent="0.25">
      <c r="A15" s="108" t="s">
        <v>156</v>
      </c>
      <c r="B15" s="121"/>
      <c r="C15" s="108">
        <v>22900</v>
      </c>
      <c r="D15" s="108" t="s">
        <v>141</v>
      </c>
      <c r="E15" s="108" t="s">
        <v>149</v>
      </c>
      <c r="F15" s="108">
        <v>1</v>
      </c>
      <c r="G15" s="108">
        <v>82</v>
      </c>
      <c r="H15" s="122" cm="1">
        <f t="array" ref="H15">IFERROR(OptionPnL(D15,G15,B15,F15),0)</f>
        <v>-82</v>
      </c>
      <c r="O15" s="109">
        <v>22400</v>
      </c>
      <c r="P15" s="110">
        <f t="shared" si="3"/>
        <v>-1675</v>
      </c>
      <c r="Q15" s="107">
        <f>SUM(AA6:AA38)</f>
        <v>-33.5</v>
      </c>
      <c r="R15" s="106" cm="1">
        <f t="array" ref="R15">IFERROR(OptionProfit($C15,$D15,$E15,$F15,$G15,R$4),0)</f>
        <v>1318</v>
      </c>
      <c r="S15" s="106" cm="1">
        <f t="array" ref="S15">IFERROR(OptionProfit($C15,$D15,$E15,$F15,$G15,S$4),0)</f>
        <v>1218</v>
      </c>
      <c r="T15" s="106" cm="1">
        <f t="array" ref="T15">IFERROR(OptionProfit($C15,$D15,$E15,$F15,$G15,T$4),0)</f>
        <v>1118</v>
      </c>
      <c r="U15" s="106" cm="1">
        <f t="array" ref="U15">IFERROR(OptionProfit($C15,$D15,$E15,$F15,$G15,U$4),0)</f>
        <v>1018</v>
      </c>
      <c r="V15" s="106" cm="1">
        <f t="array" ref="V15">IFERROR(OptionProfit($C15,$D15,$E15,$F15,$G15,V$4),0)</f>
        <v>918</v>
      </c>
      <c r="W15" s="106" cm="1">
        <f t="array" ref="W15">IFERROR(OptionProfit($C15,$D15,$E15,$F15,$G15,W$4),0)</f>
        <v>818</v>
      </c>
      <c r="X15" s="106" cm="1">
        <f t="array" ref="X15">IFERROR(OptionProfit($C15,$D15,$E15,$F15,$G15,X$4),0)</f>
        <v>718</v>
      </c>
      <c r="Y15" s="106" cm="1">
        <f t="array" ref="Y15">IFERROR(OptionProfit($C15,$D15,$E15,$F15,$G15,Y$4),0)</f>
        <v>618</v>
      </c>
      <c r="Z15" s="106" cm="1">
        <f t="array" ref="Z15">IFERROR(OptionProfit($C15,$D15,$E15,$F15,$G15,Z$4),0)</f>
        <v>518</v>
      </c>
      <c r="AA15" s="106" cm="1">
        <f t="array" ref="AA15">IFERROR(OptionProfit($C15,$D15,$E15,$F15,$G15,AA$4),0)</f>
        <v>418</v>
      </c>
      <c r="AB15" s="106" cm="1">
        <f t="array" ref="AB15">IFERROR(OptionProfit($C15,$D15,$E15,$F15,$G15,AB$4),0)</f>
        <v>318</v>
      </c>
      <c r="AC15" s="106" cm="1">
        <f t="array" ref="AC15">IFERROR(OptionProfit($C15,$D15,$E15,$F15,$G15,AC$4),0)</f>
        <v>218</v>
      </c>
      <c r="AD15" s="106" cm="1">
        <f t="array" ref="AD15">IFERROR(OptionProfit($C15,$D15,$E15,$F15,$G15,AD$4),0)</f>
        <v>118</v>
      </c>
      <c r="AE15" s="106" cm="1">
        <f t="array" ref="AE15">IFERROR(OptionProfit($C15,$D15,$E15,$F15,$G15,AE$4),0)</f>
        <v>18</v>
      </c>
      <c r="AF15" s="106" cm="1">
        <f t="array" ref="AF15">IFERROR(OptionProfit($C15,$D15,$E15,$F15,$G15,AF$4),0)</f>
        <v>-82</v>
      </c>
      <c r="AG15" s="106" cm="1">
        <f t="array" ref="AG15">IFERROR(OptionProfit($C15,$D15,$E15,$F15,$G15,AG$4),0)</f>
        <v>-82</v>
      </c>
      <c r="AH15" s="106" cm="1">
        <f t="array" ref="AH15">IFERROR(OptionProfit($C15,$D15,$E15,$F15,$G15,AH$4),0)</f>
        <v>-82</v>
      </c>
      <c r="AI15" s="106" cm="1">
        <f t="array" ref="AI15">IFERROR(OptionProfit($C15,$D15,$E15,$F15,$G15,AI$4),0)</f>
        <v>-82</v>
      </c>
      <c r="AJ15" s="106" cm="1">
        <f t="array" ref="AJ15">IFERROR(OptionProfit($C15,$D15,$E15,$F15,$G15,AJ$4),0)</f>
        <v>-82</v>
      </c>
      <c r="AK15" s="106" cm="1">
        <f t="array" ref="AK15">IFERROR(OptionProfit($C15,$D15,$E15,$F15,$G15,AK$4),0)</f>
        <v>-82</v>
      </c>
      <c r="AL15" s="106" cm="1">
        <f t="array" ref="AL15">IFERROR(OptionProfit($C15,$D15,$E15,$F15,$G15,AL$4),0)</f>
        <v>-82</v>
      </c>
      <c r="AM15" s="106" cm="1">
        <f t="array" ref="AM15">IFERROR(OptionProfit($C15,$D15,$E15,$F15,$G15,AM$4),0)</f>
        <v>-82</v>
      </c>
      <c r="AN15" s="106" cm="1">
        <f t="array" ref="AN15">IFERROR(OptionProfit($C15,$D15,$E15,$F15,$G15,AN$4),0)</f>
        <v>-82</v>
      </c>
      <c r="AO15" s="106" cm="1">
        <f t="array" ref="AO15">IFERROR(OptionProfit($C15,$D15,$E15,$F15,$G15,AO$4),0)</f>
        <v>-82</v>
      </c>
      <c r="AP15" s="106" cm="1">
        <f t="array" ref="AP15">IFERROR(OptionProfit($C15,$D15,$E15,$F15,$G15,AP$4),0)</f>
        <v>-82</v>
      </c>
      <c r="AQ15" s="106" cm="1">
        <f t="array" ref="AQ15">IFERROR(OptionProfit($C15,$D15,$E15,$F15,$G15,AQ$4),0)</f>
        <v>-82</v>
      </c>
      <c r="AR15" s="106" cm="1">
        <f t="array" ref="AR15">IFERROR(OptionProfit($C15,$D15,$E15,$F15,$G15,AR$4),0)</f>
        <v>-82</v>
      </c>
      <c r="AS15" s="106" cm="1">
        <f t="array" ref="AS15">IFERROR(OptionProfit($C15,$D15,$E15,$F15,$G15,AS$4),0)</f>
        <v>-82</v>
      </c>
      <c r="AT15" s="106" cm="1">
        <f t="array" ref="AT15">IFERROR(OptionProfit($C15,$D15,$E15,$F15,$G15,AT$4),0)</f>
        <v>-82</v>
      </c>
      <c r="AU15" s="106" cm="1">
        <f t="array" ref="AU15">IFERROR(OptionProfit($C15,$D15,$E15,$F15,$G15,AU$4),0)</f>
        <v>-82</v>
      </c>
      <c r="AV15" s="106" cm="1">
        <f t="array" ref="AV15">IFERROR(OptionProfit($C15,$D15,$E15,$F15,$G15,AV$4),0)</f>
        <v>-82</v>
      </c>
      <c r="AW15" s="106" cm="1">
        <f t="array" ref="AW15">IFERROR(OptionProfit($C15,$D15,$E15,$F15,$G15,AW$4),0)</f>
        <v>-82</v>
      </c>
      <c r="AX15" s="106" cm="1">
        <f t="array" ref="AX15">IFERROR(OptionProfit($C15,$D15,$E15,$F15,$G15,AX$4),0)</f>
        <v>-82</v>
      </c>
      <c r="AZ15" s="91" t="str">
        <f t="shared" si="0"/>
        <v>P</v>
      </c>
      <c r="BA15" s="91" t="str">
        <f t="shared" si="1"/>
        <v>TXYN07P22900</v>
      </c>
      <c r="BB15" s="91" t="str">
        <f t="shared" si="2"/>
        <v>=XQFAP|Quote!'TXYN07P22900.TF-price'</v>
      </c>
    </row>
    <row r="16" spans="1:54" ht="21" customHeight="1" x14ac:dyDescent="0.25">
      <c r="A16" s="108"/>
      <c r="B16" s="121"/>
      <c r="C16" s="108"/>
      <c r="D16" s="108"/>
      <c r="E16" s="108"/>
      <c r="F16" s="108"/>
      <c r="G16" s="108"/>
      <c r="H16" s="122" cm="1">
        <f t="array" ref="H16">IFERROR(OptionPnL(D16,G16,B16,F16),0)</f>
        <v>0</v>
      </c>
      <c r="O16" s="109">
        <v>22500</v>
      </c>
      <c r="P16" s="110">
        <f t="shared" si="3"/>
        <v>8325</v>
      </c>
      <c r="Q16" s="107">
        <f>SUM(AB6:AB38)</f>
        <v>166.5</v>
      </c>
      <c r="R16" s="106" cm="1">
        <f t="array" ref="R16">IFERROR(OptionProfit($C16,$D16,$E16,$F16,$G16,R$4),0)</f>
        <v>0</v>
      </c>
      <c r="S16" s="106" cm="1">
        <f t="array" ref="S16">IFERROR(OptionProfit($C16,$D16,$E16,$F16,$G16,S$4),0)</f>
        <v>0</v>
      </c>
      <c r="T16" s="106" cm="1">
        <f t="array" ref="T16">IFERROR(OptionProfit($C16,$D16,$E16,$F16,$G16,T$4),0)</f>
        <v>0</v>
      </c>
      <c r="U16" s="106" cm="1">
        <f t="array" ref="U16">IFERROR(OptionProfit($C16,$D16,$E16,$F16,$G16,U$4),0)</f>
        <v>0</v>
      </c>
      <c r="V16" s="106" cm="1">
        <f t="array" ref="V16">IFERROR(OptionProfit($C16,$D16,$E16,$F16,$G16,V$4),0)</f>
        <v>0</v>
      </c>
      <c r="W16" s="106" cm="1">
        <f t="array" ref="W16">IFERROR(OptionProfit($C16,$D16,$E16,$F16,$G16,W$4),0)</f>
        <v>0</v>
      </c>
      <c r="X16" s="106" cm="1">
        <f t="array" ref="X16">IFERROR(OptionProfit($C16,$D16,$E16,$F16,$G16,X$4),0)</f>
        <v>0</v>
      </c>
      <c r="Y16" s="106" cm="1">
        <f t="array" ref="Y16">IFERROR(OptionProfit($C16,$D16,$E16,$F16,$G16,Y$4),0)</f>
        <v>0</v>
      </c>
      <c r="Z16" s="106" cm="1">
        <f t="array" ref="Z16">IFERROR(OptionProfit($C16,$D16,$E16,$F16,$G16,Z$4),0)</f>
        <v>0</v>
      </c>
      <c r="AA16" s="106" cm="1">
        <f t="array" ref="AA16">IFERROR(OptionProfit($C16,$D16,$E16,$F16,$G16,AA$4),0)</f>
        <v>0</v>
      </c>
      <c r="AB16" s="106" cm="1">
        <f t="array" ref="AB16">IFERROR(OptionProfit($C16,$D16,$E16,$F16,$G16,AB$4),0)</f>
        <v>0</v>
      </c>
      <c r="AC16" s="106" cm="1">
        <f t="array" ref="AC16">IFERROR(OptionProfit($C16,$D16,$E16,$F16,$G16,AC$4),0)</f>
        <v>0</v>
      </c>
      <c r="AD16" s="106" cm="1">
        <f t="array" ref="AD16">IFERROR(OptionProfit($C16,$D16,$E16,$F16,$G16,AD$4),0)</f>
        <v>0</v>
      </c>
      <c r="AE16" s="106" cm="1">
        <f t="array" ref="AE16">IFERROR(OptionProfit($C16,$D16,$E16,$F16,$G16,AE$4),0)</f>
        <v>0</v>
      </c>
      <c r="AF16" s="106" cm="1">
        <f t="array" ref="AF16">IFERROR(OptionProfit($C16,$D16,$E16,$F16,$G16,AF$4),0)</f>
        <v>0</v>
      </c>
      <c r="AG16" s="106" cm="1">
        <f t="array" ref="AG16">IFERROR(OptionProfit($C16,$D16,$E16,$F16,$G16,AG$4),0)</f>
        <v>0</v>
      </c>
      <c r="AH16" s="106" cm="1">
        <f t="array" ref="AH16">IFERROR(OptionProfit($C16,$D16,$E16,$F16,$G16,AH$4),0)</f>
        <v>0</v>
      </c>
      <c r="AI16" s="106" cm="1">
        <f t="array" ref="AI16">IFERROR(OptionProfit($C16,$D16,$E16,$F16,$G16,AI$4),0)</f>
        <v>0</v>
      </c>
      <c r="AJ16" s="106" cm="1">
        <f t="array" ref="AJ16">IFERROR(OptionProfit($C16,$D16,$E16,$F16,$G16,AJ$4),0)</f>
        <v>0</v>
      </c>
      <c r="AK16" s="106" cm="1">
        <f t="array" ref="AK16">IFERROR(OptionProfit($C16,$D16,$E16,$F16,$G16,AK$4),0)</f>
        <v>0</v>
      </c>
      <c r="AL16" s="106" cm="1">
        <f t="array" ref="AL16">IFERROR(OptionProfit($C16,$D16,$E16,$F16,$G16,AL$4),0)</f>
        <v>0</v>
      </c>
      <c r="AM16" s="106" cm="1">
        <f t="array" ref="AM16">IFERROR(OptionProfit($C16,$D16,$E16,$F16,$G16,AM$4),0)</f>
        <v>0</v>
      </c>
      <c r="AN16" s="106" cm="1">
        <f t="array" ref="AN16">IFERROR(OptionProfit($C16,$D16,$E16,$F16,$G16,AN$4),0)</f>
        <v>0</v>
      </c>
      <c r="AO16" s="106" cm="1">
        <f t="array" ref="AO16">IFERROR(OptionProfit($C16,$D16,$E16,$F16,$G16,AO$4),0)</f>
        <v>0</v>
      </c>
      <c r="AP16" s="106" cm="1">
        <f t="array" ref="AP16">IFERROR(OptionProfit($C16,$D16,$E16,$F16,$G16,AP$4),0)</f>
        <v>0</v>
      </c>
      <c r="AQ16" s="106" cm="1">
        <f t="array" ref="AQ16">IFERROR(OptionProfit($C16,$D16,$E16,$F16,$G16,AQ$4),0)</f>
        <v>0</v>
      </c>
      <c r="AR16" s="106" cm="1">
        <f t="array" ref="AR16">IFERROR(OptionProfit($C16,$D16,$E16,$F16,$G16,AR$4),0)</f>
        <v>0</v>
      </c>
      <c r="AS16" s="106" cm="1">
        <f t="array" ref="AS16">IFERROR(OptionProfit($C16,$D16,$E16,$F16,$G16,AS$4),0)</f>
        <v>0</v>
      </c>
      <c r="AT16" s="106" cm="1">
        <f t="array" ref="AT16">IFERROR(OptionProfit($C16,$D16,$E16,$F16,$G16,AT$4),0)</f>
        <v>0</v>
      </c>
      <c r="AU16" s="106" cm="1">
        <f t="array" ref="AU16">IFERROR(OptionProfit($C16,$D16,$E16,$F16,$G16,AU$4),0)</f>
        <v>0</v>
      </c>
      <c r="AV16" s="106" cm="1">
        <f t="array" ref="AV16">IFERROR(OptionProfit($C16,$D16,$E16,$F16,$G16,AV$4),0)</f>
        <v>0</v>
      </c>
      <c r="AW16" s="106" cm="1">
        <f t="array" ref="AW16">IFERROR(OptionProfit($C16,$D16,$E16,$F16,$G16,AW$4),0)</f>
        <v>0</v>
      </c>
      <c r="AX16" s="106" cm="1">
        <f t="array" ref="AX16">IFERROR(OptionProfit($C16,$D16,$E16,$F16,$G16,AX$4),0)</f>
        <v>0</v>
      </c>
      <c r="AZ16" s="91" t="str">
        <f t="shared" si="0"/>
        <v/>
      </c>
      <c r="BA16" s="91" t="str">
        <f t="shared" si="1"/>
        <v/>
      </c>
      <c r="BB16" s="91" t="str">
        <f t="shared" si="2"/>
        <v>=XQFAP|Quote!'.TF-price'</v>
      </c>
    </row>
    <row r="17" spans="1:65" ht="21" customHeight="1" x14ac:dyDescent="0.25">
      <c r="A17" s="108"/>
      <c r="B17" s="121"/>
      <c r="C17" s="108"/>
      <c r="D17" s="108"/>
      <c r="E17" s="108"/>
      <c r="F17" s="108"/>
      <c r="G17" s="108"/>
      <c r="H17" s="122" cm="1">
        <f t="array" ref="H17">IFERROR(OptionPnL(D17,G17,B17,F17),0)</f>
        <v>0</v>
      </c>
      <c r="O17" s="109">
        <v>22600</v>
      </c>
      <c r="P17" s="110">
        <f t="shared" si="3"/>
        <v>18325</v>
      </c>
      <c r="Q17" s="107">
        <f>SUM(AC6:AC38)</f>
        <v>366.5</v>
      </c>
      <c r="R17" s="106" cm="1">
        <f t="array" ref="R17">IFERROR(OptionProfit($C17,$D17,$E17,$F17,$G17,R$4),0)</f>
        <v>0</v>
      </c>
      <c r="S17" s="106" cm="1">
        <f t="array" ref="S17">IFERROR(OptionProfit($C17,$D17,$E17,$F17,$G17,S$4),0)</f>
        <v>0</v>
      </c>
      <c r="T17" s="106" cm="1">
        <f t="array" ref="T17">IFERROR(OptionProfit($C17,$D17,$E17,$F17,$G17,T$4),0)</f>
        <v>0</v>
      </c>
      <c r="U17" s="106" cm="1">
        <f t="array" ref="U17">IFERROR(OptionProfit($C17,$D17,$E17,$F17,$G17,U$4),0)</f>
        <v>0</v>
      </c>
      <c r="V17" s="106" cm="1">
        <f t="array" ref="V17">IFERROR(OptionProfit($C17,$D17,$E17,$F17,$G17,V$4),0)</f>
        <v>0</v>
      </c>
      <c r="W17" s="106" cm="1">
        <f t="array" ref="W17">IFERROR(OptionProfit($C17,$D17,$E17,$F17,$G17,W$4),0)</f>
        <v>0</v>
      </c>
      <c r="X17" s="106" cm="1">
        <f t="array" ref="X17">IFERROR(OptionProfit($C17,$D17,$E17,$F17,$G17,X$4),0)</f>
        <v>0</v>
      </c>
      <c r="Y17" s="106" cm="1">
        <f t="array" ref="Y17">IFERROR(OptionProfit($C17,$D17,$E17,$F17,$G17,Y$4),0)</f>
        <v>0</v>
      </c>
      <c r="Z17" s="106" cm="1">
        <f t="array" ref="Z17">IFERROR(OptionProfit($C17,$D17,$E17,$F17,$G17,Z$4),0)</f>
        <v>0</v>
      </c>
      <c r="AA17" s="106" cm="1">
        <f t="array" ref="AA17">IFERROR(OptionProfit($C17,$D17,$E17,$F17,$G17,AA$4),0)</f>
        <v>0</v>
      </c>
      <c r="AB17" s="106" cm="1">
        <f t="array" ref="AB17">IFERROR(OptionProfit($C17,$D17,$E17,$F17,$G17,AB$4),0)</f>
        <v>0</v>
      </c>
      <c r="AC17" s="106" cm="1">
        <f t="array" ref="AC17">IFERROR(OptionProfit($C17,$D17,$E17,$F17,$G17,AC$4),0)</f>
        <v>0</v>
      </c>
      <c r="AD17" s="106" cm="1">
        <f t="array" ref="AD17">IFERROR(OptionProfit($C17,$D17,$E17,$F17,$G17,AD$4),0)</f>
        <v>0</v>
      </c>
      <c r="AE17" s="106" cm="1">
        <f t="array" ref="AE17">IFERROR(OptionProfit($C17,$D17,$E17,$F17,$G17,AE$4),0)</f>
        <v>0</v>
      </c>
      <c r="AF17" s="106" cm="1">
        <f t="array" ref="AF17">IFERROR(OptionProfit($C17,$D17,$E17,$F17,$G17,AF$4),0)</f>
        <v>0</v>
      </c>
      <c r="AG17" s="106" cm="1">
        <f t="array" ref="AG17">IFERROR(OptionProfit($C17,$D17,$E17,$F17,$G17,AG$4),0)</f>
        <v>0</v>
      </c>
      <c r="AH17" s="106" cm="1">
        <f t="array" ref="AH17">IFERROR(OptionProfit($C17,$D17,$E17,$F17,$G17,AH$4),0)</f>
        <v>0</v>
      </c>
      <c r="AI17" s="106" cm="1">
        <f t="array" ref="AI17">IFERROR(OptionProfit($C17,$D17,$E17,$F17,$G17,AI$4),0)</f>
        <v>0</v>
      </c>
      <c r="AJ17" s="106" cm="1">
        <f t="array" ref="AJ17">IFERROR(OptionProfit($C17,$D17,$E17,$F17,$G17,AJ$4),0)</f>
        <v>0</v>
      </c>
      <c r="AK17" s="106" cm="1">
        <f t="array" ref="AK17">IFERROR(OptionProfit($C17,$D17,$E17,$F17,$G17,AK$4),0)</f>
        <v>0</v>
      </c>
      <c r="AL17" s="106" cm="1">
        <f t="array" ref="AL17">IFERROR(OptionProfit($C17,$D17,$E17,$F17,$G17,AL$4),0)</f>
        <v>0</v>
      </c>
      <c r="AM17" s="106" cm="1">
        <f t="array" ref="AM17">IFERROR(OptionProfit($C17,$D17,$E17,$F17,$G17,AM$4),0)</f>
        <v>0</v>
      </c>
      <c r="AN17" s="106" cm="1">
        <f t="array" ref="AN17">IFERROR(OptionProfit($C17,$D17,$E17,$F17,$G17,AN$4),0)</f>
        <v>0</v>
      </c>
      <c r="AO17" s="106" cm="1">
        <f t="array" ref="AO17">IFERROR(OptionProfit($C17,$D17,$E17,$F17,$G17,AO$4),0)</f>
        <v>0</v>
      </c>
      <c r="AP17" s="106" cm="1">
        <f t="array" ref="AP17">IFERROR(OptionProfit($C17,$D17,$E17,$F17,$G17,AP$4),0)</f>
        <v>0</v>
      </c>
      <c r="AQ17" s="106" cm="1">
        <f t="array" ref="AQ17">IFERROR(OptionProfit($C17,$D17,$E17,$F17,$G17,AQ$4),0)</f>
        <v>0</v>
      </c>
      <c r="AR17" s="106" cm="1">
        <f t="array" ref="AR17">IFERROR(OptionProfit($C17,$D17,$E17,$F17,$G17,AR$4),0)</f>
        <v>0</v>
      </c>
      <c r="AS17" s="106" cm="1">
        <f t="array" ref="AS17">IFERROR(OptionProfit($C17,$D17,$E17,$F17,$G17,AS$4),0)</f>
        <v>0</v>
      </c>
      <c r="AT17" s="106" cm="1">
        <f t="array" ref="AT17">IFERROR(OptionProfit($C17,$D17,$E17,$F17,$G17,AT$4),0)</f>
        <v>0</v>
      </c>
      <c r="AU17" s="106" cm="1">
        <f t="array" ref="AU17">IFERROR(OptionProfit($C17,$D17,$E17,$F17,$G17,AU$4),0)</f>
        <v>0</v>
      </c>
      <c r="AV17" s="106" cm="1">
        <f t="array" ref="AV17">IFERROR(OptionProfit($C17,$D17,$E17,$F17,$G17,AV$4),0)</f>
        <v>0</v>
      </c>
      <c r="AW17" s="106" cm="1">
        <f t="array" ref="AW17">IFERROR(OptionProfit($C17,$D17,$E17,$F17,$G17,AW$4),0)</f>
        <v>0</v>
      </c>
      <c r="AX17" s="106" cm="1">
        <f t="array" ref="AX17">IFERROR(OptionProfit($C17,$D17,$E17,$F17,$G17,AX$4),0)</f>
        <v>0</v>
      </c>
      <c r="AZ17" s="91" t="str">
        <f t="shared" si="0"/>
        <v/>
      </c>
      <c r="BA17" s="91" t="str">
        <f t="shared" si="1"/>
        <v/>
      </c>
      <c r="BB17" s="91" t="str">
        <f t="shared" si="2"/>
        <v>=XQFAP|Quote!'.TF-price'</v>
      </c>
    </row>
    <row r="18" spans="1:65" ht="21" customHeight="1" x14ac:dyDescent="0.25">
      <c r="A18" s="108"/>
      <c r="B18" s="121"/>
      <c r="C18" s="108"/>
      <c r="D18" s="108"/>
      <c r="E18" s="108"/>
      <c r="F18" s="108"/>
      <c r="G18" s="108"/>
      <c r="H18" s="122" cm="1">
        <f t="array" ref="H18">IFERROR(OptionPnL(D18,G18,B18,F18),0)</f>
        <v>0</v>
      </c>
      <c r="O18" s="109">
        <v>22700</v>
      </c>
      <c r="P18" s="110">
        <f t="shared" si="3"/>
        <v>13325</v>
      </c>
      <c r="Q18" s="107">
        <f>SUM(AD6:AD38)</f>
        <v>266.5</v>
      </c>
      <c r="R18" s="106" cm="1">
        <f t="array" ref="R18">IFERROR(OptionProfit($C18,$D18,$E18,$F18,$G18,R$4),0)</f>
        <v>0</v>
      </c>
      <c r="S18" s="106" cm="1">
        <f t="array" ref="S18">IFERROR(OptionProfit($C18,$D18,$E18,$F18,$G18,S$4),0)</f>
        <v>0</v>
      </c>
      <c r="T18" s="106" cm="1">
        <f t="array" ref="T18">IFERROR(OptionProfit($C18,$D18,$E18,$F18,$G18,T$4),0)</f>
        <v>0</v>
      </c>
      <c r="U18" s="106" cm="1">
        <f t="array" ref="U18">IFERROR(OptionProfit($C18,$D18,$E18,$F18,$G18,U$4),0)</f>
        <v>0</v>
      </c>
      <c r="V18" s="106" cm="1">
        <f t="array" ref="V18">IFERROR(OptionProfit($C18,$D18,$E18,$F18,$G18,V$4),0)</f>
        <v>0</v>
      </c>
      <c r="W18" s="106" cm="1">
        <f t="array" ref="W18">IFERROR(OptionProfit($C18,$D18,$E18,$F18,$G18,W$4),0)</f>
        <v>0</v>
      </c>
      <c r="X18" s="106" cm="1">
        <f t="array" ref="X18">IFERROR(OptionProfit($C18,$D18,$E18,$F18,$G18,X$4),0)</f>
        <v>0</v>
      </c>
      <c r="Y18" s="106" cm="1">
        <f t="array" ref="Y18">IFERROR(OptionProfit($C18,$D18,$E18,$F18,$G18,Y$4),0)</f>
        <v>0</v>
      </c>
      <c r="Z18" s="106" cm="1">
        <f t="array" ref="Z18">IFERROR(OptionProfit($C18,$D18,$E18,$F18,$G18,Z$4),0)</f>
        <v>0</v>
      </c>
      <c r="AA18" s="106" cm="1">
        <f t="array" ref="AA18">IFERROR(OptionProfit($C18,$D18,$E18,$F18,$G18,AA$4),0)</f>
        <v>0</v>
      </c>
      <c r="AB18" s="106" cm="1">
        <f t="array" ref="AB18">IFERROR(OptionProfit($C18,$D18,$E18,$F18,$G18,AB$4),0)</f>
        <v>0</v>
      </c>
      <c r="AC18" s="106" cm="1">
        <f t="array" ref="AC18">IFERROR(OptionProfit($C18,$D18,$E18,$F18,$G18,AC$4),0)</f>
        <v>0</v>
      </c>
      <c r="AD18" s="106" cm="1">
        <f t="array" ref="AD18">IFERROR(OptionProfit($C18,$D18,$E18,$F18,$G18,AD$4),0)</f>
        <v>0</v>
      </c>
      <c r="AE18" s="106" cm="1">
        <f t="array" ref="AE18">IFERROR(OptionProfit($C18,$D18,$E18,$F18,$G18,AE$4),0)</f>
        <v>0</v>
      </c>
      <c r="AF18" s="106" cm="1">
        <f t="array" ref="AF18">IFERROR(OptionProfit($C18,$D18,$E18,$F18,$G18,AF$4),0)</f>
        <v>0</v>
      </c>
      <c r="AG18" s="106" cm="1">
        <f t="array" ref="AG18">IFERROR(OptionProfit($C18,$D18,$E18,$F18,$G18,AG$4),0)</f>
        <v>0</v>
      </c>
      <c r="AH18" s="106" cm="1">
        <f t="array" ref="AH18">IFERROR(OptionProfit($C18,$D18,$E18,$F18,$G18,AH$4),0)</f>
        <v>0</v>
      </c>
      <c r="AI18" s="106" cm="1">
        <f t="array" ref="AI18">IFERROR(OptionProfit($C18,$D18,$E18,$F18,$G18,AI$4),0)</f>
        <v>0</v>
      </c>
      <c r="AJ18" s="106" cm="1">
        <f t="array" ref="AJ18">IFERROR(OptionProfit($C18,$D18,$E18,$F18,$G18,AJ$4),0)</f>
        <v>0</v>
      </c>
      <c r="AK18" s="106" cm="1">
        <f t="array" ref="AK18">IFERROR(OptionProfit($C18,$D18,$E18,$F18,$G18,AK$4),0)</f>
        <v>0</v>
      </c>
      <c r="AL18" s="106" cm="1">
        <f t="array" ref="AL18">IFERROR(OptionProfit($C18,$D18,$E18,$F18,$G18,AL$4),0)</f>
        <v>0</v>
      </c>
      <c r="AM18" s="106" cm="1">
        <f t="array" ref="AM18">IFERROR(OptionProfit($C18,$D18,$E18,$F18,$G18,AM$4),0)</f>
        <v>0</v>
      </c>
      <c r="AN18" s="106" cm="1">
        <f t="array" ref="AN18">IFERROR(OptionProfit($C18,$D18,$E18,$F18,$G18,AN$4),0)</f>
        <v>0</v>
      </c>
      <c r="AO18" s="106" cm="1">
        <f t="array" ref="AO18">IFERROR(OptionProfit($C18,$D18,$E18,$F18,$G18,AO$4),0)</f>
        <v>0</v>
      </c>
      <c r="AP18" s="106" cm="1">
        <f t="array" ref="AP18">IFERROR(OptionProfit($C18,$D18,$E18,$F18,$G18,AP$4),0)</f>
        <v>0</v>
      </c>
      <c r="AQ18" s="106" cm="1">
        <f t="array" ref="AQ18">IFERROR(OptionProfit($C18,$D18,$E18,$F18,$G18,AQ$4),0)</f>
        <v>0</v>
      </c>
      <c r="AR18" s="106" cm="1">
        <f t="array" ref="AR18">IFERROR(OptionProfit($C18,$D18,$E18,$F18,$G18,AR$4),0)</f>
        <v>0</v>
      </c>
      <c r="AS18" s="106" cm="1">
        <f t="array" ref="AS18">IFERROR(OptionProfit($C18,$D18,$E18,$F18,$G18,AS$4),0)</f>
        <v>0</v>
      </c>
      <c r="AT18" s="106" cm="1">
        <f t="array" ref="AT18">IFERROR(OptionProfit($C18,$D18,$E18,$F18,$G18,AT$4),0)</f>
        <v>0</v>
      </c>
      <c r="AU18" s="106" cm="1">
        <f t="array" ref="AU18">IFERROR(OptionProfit($C18,$D18,$E18,$F18,$G18,AU$4),0)</f>
        <v>0</v>
      </c>
      <c r="AV18" s="106" cm="1">
        <f t="array" ref="AV18">IFERROR(OptionProfit($C18,$D18,$E18,$F18,$G18,AV$4),0)</f>
        <v>0</v>
      </c>
      <c r="AW18" s="106" cm="1">
        <f t="array" ref="AW18">IFERROR(OptionProfit($C18,$D18,$E18,$F18,$G18,AW$4),0)</f>
        <v>0</v>
      </c>
      <c r="AX18" s="106" cm="1">
        <f t="array" ref="AX18">IFERROR(OptionProfit($C18,$D18,$E18,$F18,$G18,AX$4),0)</f>
        <v>0</v>
      </c>
      <c r="AZ18" s="91" t="str">
        <f t="shared" si="0"/>
        <v/>
      </c>
      <c r="BA18" s="91" t="str">
        <f t="shared" si="1"/>
        <v/>
      </c>
      <c r="BB18" s="91" t="str">
        <f t="shared" si="2"/>
        <v>=XQFAP|Quote!'.TF-price'</v>
      </c>
    </row>
    <row r="19" spans="1:65" ht="21" customHeight="1" x14ac:dyDescent="0.25">
      <c r="A19" s="108"/>
      <c r="B19" s="121"/>
      <c r="C19" s="108"/>
      <c r="D19" s="108"/>
      <c r="E19" s="108"/>
      <c r="F19" s="108"/>
      <c r="G19" s="108"/>
      <c r="H19" s="122" cm="1">
        <f t="array" ref="H19">IFERROR(OptionPnL(D19,G19,B19,F19),0)</f>
        <v>0</v>
      </c>
      <c r="O19" s="109">
        <v>22800</v>
      </c>
      <c r="P19" s="110">
        <f t="shared" si="3"/>
        <v>8325</v>
      </c>
      <c r="Q19" s="107">
        <f>SUM(AE6:AE38)</f>
        <v>166.5</v>
      </c>
      <c r="R19" s="106" cm="1">
        <f t="array" ref="R19">IFERROR(OptionProfit($C19,$D19,$E19,$F19,$G19,R$4),0)</f>
        <v>0</v>
      </c>
      <c r="S19" s="106" cm="1">
        <f t="array" ref="S19">IFERROR(OptionProfit($C19,$D19,$E19,$F19,$G19,S$4),0)</f>
        <v>0</v>
      </c>
      <c r="T19" s="106" cm="1">
        <f t="array" ref="T19">IFERROR(OptionProfit($C19,$D19,$E19,$F19,$G19,T$4),0)</f>
        <v>0</v>
      </c>
      <c r="U19" s="106" cm="1">
        <f t="array" ref="U19">IFERROR(OptionProfit($C19,$D19,$E19,$F19,$G19,U$4),0)</f>
        <v>0</v>
      </c>
      <c r="V19" s="106" cm="1">
        <f t="array" ref="V19">IFERROR(OptionProfit($C19,$D19,$E19,$F19,$G19,V$4),0)</f>
        <v>0</v>
      </c>
      <c r="W19" s="106" cm="1">
        <f t="array" ref="W19">IFERROR(OptionProfit($C19,$D19,$E19,$F19,$G19,W$4),0)</f>
        <v>0</v>
      </c>
      <c r="X19" s="106" cm="1">
        <f t="array" ref="X19">IFERROR(OptionProfit($C19,$D19,$E19,$F19,$G19,X$4),0)</f>
        <v>0</v>
      </c>
      <c r="Y19" s="106" cm="1">
        <f t="array" ref="Y19">IFERROR(OptionProfit($C19,$D19,$E19,$F19,$G19,Y$4),0)</f>
        <v>0</v>
      </c>
      <c r="Z19" s="106" cm="1">
        <f t="array" ref="Z19">IFERROR(OptionProfit($C19,$D19,$E19,$F19,$G19,Z$4),0)</f>
        <v>0</v>
      </c>
      <c r="AA19" s="106" cm="1">
        <f t="array" ref="AA19">IFERROR(OptionProfit($C19,$D19,$E19,$F19,$G19,AA$4),0)</f>
        <v>0</v>
      </c>
      <c r="AB19" s="106" cm="1">
        <f t="array" ref="AB19">IFERROR(OptionProfit($C19,$D19,$E19,$F19,$G19,AB$4),0)</f>
        <v>0</v>
      </c>
      <c r="AC19" s="106" cm="1">
        <f t="array" ref="AC19">IFERROR(OptionProfit($C19,$D19,$E19,$F19,$G19,AC$4),0)</f>
        <v>0</v>
      </c>
      <c r="AD19" s="106" cm="1">
        <f t="array" ref="AD19">IFERROR(OptionProfit($C19,$D19,$E19,$F19,$G19,AD$4),0)</f>
        <v>0</v>
      </c>
      <c r="AE19" s="106" cm="1">
        <f t="array" ref="AE19">IFERROR(OptionProfit($C19,$D19,$E19,$F19,$G19,AE$4),0)</f>
        <v>0</v>
      </c>
      <c r="AF19" s="106" cm="1">
        <f t="array" ref="AF19">IFERROR(OptionProfit($C19,$D19,$E19,$F19,$G19,AF$4),0)</f>
        <v>0</v>
      </c>
      <c r="AG19" s="106" cm="1">
        <f t="array" ref="AG19">IFERROR(OptionProfit($C19,$D19,$E19,$F19,$G19,AG$4),0)</f>
        <v>0</v>
      </c>
      <c r="AH19" s="106" cm="1">
        <f t="array" ref="AH19">IFERROR(OptionProfit($C19,$D19,$E19,$F19,$G19,AH$4),0)</f>
        <v>0</v>
      </c>
      <c r="AI19" s="106" cm="1">
        <f t="array" ref="AI19">IFERROR(OptionProfit($C19,$D19,$E19,$F19,$G19,AI$4),0)</f>
        <v>0</v>
      </c>
      <c r="AJ19" s="106" cm="1">
        <f t="array" ref="AJ19">IFERROR(OptionProfit($C19,$D19,$E19,$F19,$G19,AJ$4),0)</f>
        <v>0</v>
      </c>
      <c r="AK19" s="106" cm="1">
        <f t="array" ref="AK19">IFERROR(OptionProfit($C19,$D19,$E19,$F19,$G19,AK$4),0)</f>
        <v>0</v>
      </c>
      <c r="AL19" s="106" cm="1">
        <f t="array" ref="AL19">IFERROR(OptionProfit($C19,$D19,$E19,$F19,$G19,AL$4),0)</f>
        <v>0</v>
      </c>
      <c r="AM19" s="106" cm="1">
        <f t="array" ref="AM19">IFERROR(OptionProfit($C19,$D19,$E19,$F19,$G19,AM$4),0)</f>
        <v>0</v>
      </c>
      <c r="AN19" s="106" cm="1">
        <f t="array" ref="AN19">IFERROR(OptionProfit($C19,$D19,$E19,$F19,$G19,AN$4),0)</f>
        <v>0</v>
      </c>
      <c r="AO19" s="106" cm="1">
        <f t="array" ref="AO19">IFERROR(OptionProfit($C19,$D19,$E19,$F19,$G19,AO$4),0)</f>
        <v>0</v>
      </c>
      <c r="AP19" s="106" cm="1">
        <f t="array" ref="AP19">IFERROR(OptionProfit($C19,$D19,$E19,$F19,$G19,AP$4),0)</f>
        <v>0</v>
      </c>
      <c r="AQ19" s="106" cm="1">
        <f t="array" ref="AQ19">IFERROR(OptionProfit($C19,$D19,$E19,$F19,$G19,AQ$4),0)</f>
        <v>0</v>
      </c>
      <c r="AR19" s="106" cm="1">
        <f t="array" ref="AR19">IFERROR(OptionProfit($C19,$D19,$E19,$F19,$G19,AR$4),0)</f>
        <v>0</v>
      </c>
      <c r="AS19" s="106" cm="1">
        <f t="array" ref="AS19">IFERROR(OptionProfit($C19,$D19,$E19,$F19,$G19,AS$4),0)</f>
        <v>0</v>
      </c>
      <c r="AT19" s="106" cm="1">
        <f t="array" ref="AT19">IFERROR(OptionProfit($C19,$D19,$E19,$F19,$G19,AT$4),0)</f>
        <v>0</v>
      </c>
      <c r="AU19" s="106" cm="1">
        <f t="array" ref="AU19">IFERROR(OptionProfit($C19,$D19,$E19,$F19,$G19,AU$4),0)</f>
        <v>0</v>
      </c>
      <c r="AV19" s="106" cm="1">
        <f t="array" ref="AV19">IFERROR(OptionProfit($C19,$D19,$E19,$F19,$G19,AV$4),0)</f>
        <v>0</v>
      </c>
      <c r="AW19" s="106" cm="1">
        <f t="array" ref="AW19">IFERROR(OptionProfit($C19,$D19,$E19,$F19,$G19,AW$4),0)</f>
        <v>0</v>
      </c>
      <c r="AX19" s="106" cm="1">
        <f t="array" ref="AX19">IFERROR(OptionProfit($C19,$D19,$E19,$F19,$G19,AX$4),0)</f>
        <v>0</v>
      </c>
      <c r="AZ19" s="91" t="str">
        <f t="shared" si="0"/>
        <v/>
      </c>
      <c r="BA19" s="91" t="str">
        <f t="shared" si="1"/>
        <v/>
      </c>
      <c r="BB19" s="91" t="str">
        <f t="shared" si="2"/>
        <v>=XQFAP|Quote!'.TF-price'</v>
      </c>
    </row>
    <row r="20" spans="1:65" ht="21" customHeight="1" x14ac:dyDescent="0.25">
      <c r="A20" s="108"/>
      <c r="B20" s="121"/>
      <c r="C20" s="108"/>
      <c r="D20" s="108"/>
      <c r="E20" s="108"/>
      <c r="F20" s="108"/>
      <c r="G20" s="108"/>
      <c r="H20" s="122" cm="1">
        <f t="array" ref="H20">IFERROR(OptionPnL(D20,G20,B20,F20),0)</f>
        <v>0</v>
      </c>
      <c r="O20" s="109">
        <v>22900</v>
      </c>
      <c r="P20" s="110">
        <f t="shared" si="3"/>
        <v>3325</v>
      </c>
      <c r="Q20" s="107">
        <f>SUM(AF6:AF38)</f>
        <v>66.5</v>
      </c>
      <c r="R20" s="106" cm="1">
        <f t="array" ref="R20">IFERROR(OptionProfit($C20,$D20,$E20,$F20,$G20,R$4),0)</f>
        <v>0</v>
      </c>
      <c r="S20" s="106" cm="1">
        <f t="array" ref="S20">IFERROR(OptionProfit($C20,$D20,$E20,$F20,$G20,S$4),0)</f>
        <v>0</v>
      </c>
      <c r="T20" s="106" cm="1">
        <f t="array" ref="T20">IFERROR(OptionProfit($C20,$D20,$E20,$F20,$G20,T$4),0)</f>
        <v>0</v>
      </c>
      <c r="U20" s="106" cm="1">
        <f t="array" ref="U20">IFERROR(OptionProfit($C20,$D20,$E20,$F20,$G20,U$4),0)</f>
        <v>0</v>
      </c>
      <c r="V20" s="106" cm="1">
        <f t="array" ref="V20">IFERROR(OptionProfit($C20,$D20,$E20,$F20,$G20,V$4),0)</f>
        <v>0</v>
      </c>
      <c r="W20" s="106" cm="1">
        <f t="array" ref="W20">IFERROR(OptionProfit($C20,$D20,$E20,$F20,$G20,W$4),0)</f>
        <v>0</v>
      </c>
      <c r="X20" s="106" cm="1">
        <f t="array" ref="X20">IFERROR(OptionProfit($C20,$D20,$E20,$F20,$G20,X$4),0)</f>
        <v>0</v>
      </c>
      <c r="Y20" s="106" cm="1">
        <f t="array" ref="Y20">IFERROR(OptionProfit($C20,$D20,$E20,$F20,$G20,Y$4),0)</f>
        <v>0</v>
      </c>
      <c r="Z20" s="106" cm="1">
        <f t="array" ref="Z20">IFERROR(OptionProfit($C20,$D20,$E20,$F20,$G20,Z$4),0)</f>
        <v>0</v>
      </c>
      <c r="AA20" s="106" cm="1">
        <f t="array" ref="AA20">IFERROR(OptionProfit($C20,$D20,$E20,$F20,$G20,AA$4),0)</f>
        <v>0</v>
      </c>
      <c r="AB20" s="106" cm="1">
        <f t="array" ref="AB20">IFERROR(OptionProfit($C20,$D20,$E20,$F20,$G20,AB$4),0)</f>
        <v>0</v>
      </c>
      <c r="AC20" s="106" cm="1">
        <f t="array" ref="AC20">IFERROR(OptionProfit($C20,$D20,$E20,$F20,$G20,AC$4),0)</f>
        <v>0</v>
      </c>
      <c r="AD20" s="106" cm="1">
        <f t="array" ref="AD20">IFERROR(OptionProfit($C20,$D20,$E20,$F20,$G20,AD$4),0)</f>
        <v>0</v>
      </c>
      <c r="AE20" s="106" cm="1">
        <f t="array" ref="AE20">IFERROR(OptionProfit($C20,$D20,$E20,$F20,$G20,AE$4),0)</f>
        <v>0</v>
      </c>
      <c r="AF20" s="106" cm="1">
        <f t="array" ref="AF20">IFERROR(OptionProfit($C20,$D20,$E20,$F20,$G20,AF$4),0)</f>
        <v>0</v>
      </c>
      <c r="AG20" s="106" cm="1">
        <f t="array" ref="AG20">IFERROR(OptionProfit($C20,$D20,$E20,$F20,$G20,AG$4),0)</f>
        <v>0</v>
      </c>
      <c r="AH20" s="106" cm="1">
        <f t="array" ref="AH20">IFERROR(OptionProfit($C20,$D20,$E20,$F20,$G20,AH$4),0)</f>
        <v>0</v>
      </c>
      <c r="AI20" s="106" cm="1">
        <f t="array" ref="AI20">IFERROR(OptionProfit($C20,$D20,$E20,$F20,$G20,AI$4),0)</f>
        <v>0</v>
      </c>
      <c r="AJ20" s="106" cm="1">
        <f t="array" ref="AJ20">IFERROR(OptionProfit($C20,$D20,$E20,$F20,$G20,AJ$4),0)</f>
        <v>0</v>
      </c>
      <c r="AK20" s="106" cm="1">
        <f t="array" ref="AK20">IFERROR(OptionProfit($C20,$D20,$E20,$F20,$G20,AK$4),0)</f>
        <v>0</v>
      </c>
      <c r="AL20" s="106" cm="1">
        <f t="array" ref="AL20">IFERROR(OptionProfit($C20,$D20,$E20,$F20,$G20,AL$4),0)</f>
        <v>0</v>
      </c>
      <c r="AM20" s="106" cm="1">
        <f t="array" ref="AM20">IFERROR(OptionProfit($C20,$D20,$E20,$F20,$G20,AM$4),0)</f>
        <v>0</v>
      </c>
      <c r="AN20" s="106" cm="1">
        <f t="array" ref="AN20">IFERROR(OptionProfit($C20,$D20,$E20,$F20,$G20,AN$4),0)</f>
        <v>0</v>
      </c>
      <c r="AO20" s="106" cm="1">
        <f t="array" ref="AO20">IFERROR(OptionProfit($C20,$D20,$E20,$F20,$G20,AO$4),0)</f>
        <v>0</v>
      </c>
      <c r="AP20" s="106" cm="1">
        <f t="array" ref="AP20">IFERROR(OptionProfit($C20,$D20,$E20,$F20,$G20,AP$4),0)</f>
        <v>0</v>
      </c>
      <c r="AQ20" s="106" cm="1">
        <f t="array" ref="AQ20">IFERROR(OptionProfit($C20,$D20,$E20,$F20,$G20,AQ$4),0)</f>
        <v>0</v>
      </c>
      <c r="AR20" s="106" cm="1">
        <f t="array" ref="AR20">IFERROR(OptionProfit($C20,$D20,$E20,$F20,$G20,AR$4),0)</f>
        <v>0</v>
      </c>
      <c r="AS20" s="106" cm="1">
        <f t="array" ref="AS20">IFERROR(OptionProfit($C20,$D20,$E20,$F20,$G20,AS$4),0)</f>
        <v>0</v>
      </c>
      <c r="AT20" s="106" cm="1">
        <f t="array" ref="AT20">IFERROR(OptionProfit($C20,$D20,$E20,$F20,$G20,AT$4),0)</f>
        <v>0</v>
      </c>
      <c r="AU20" s="106" cm="1">
        <f t="array" ref="AU20">IFERROR(OptionProfit($C20,$D20,$E20,$F20,$G20,AU$4),0)</f>
        <v>0</v>
      </c>
      <c r="AV20" s="106" cm="1">
        <f t="array" ref="AV20">IFERROR(OptionProfit($C20,$D20,$E20,$F20,$G20,AV$4),0)</f>
        <v>0</v>
      </c>
      <c r="AW20" s="106" cm="1">
        <f t="array" ref="AW20">IFERROR(OptionProfit($C20,$D20,$E20,$F20,$G20,AW$4),0)</f>
        <v>0</v>
      </c>
      <c r="AX20" s="106" cm="1">
        <f t="array" ref="AX20">IFERROR(OptionProfit($C20,$D20,$E20,$F20,$G20,AX$4),0)</f>
        <v>0</v>
      </c>
      <c r="AZ20" s="91" t="str">
        <f t="shared" si="0"/>
        <v/>
      </c>
      <c r="BA20" s="91" t="str">
        <f t="shared" si="1"/>
        <v/>
      </c>
      <c r="BB20" s="91" t="str">
        <f t="shared" si="2"/>
        <v>=XQFAP|Quote!'.TF-price'</v>
      </c>
    </row>
    <row r="21" spans="1:65" ht="21" customHeight="1" x14ac:dyDescent="0.25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09">
        <v>23000</v>
      </c>
      <c r="P21" s="110">
        <f t="shared" si="3"/>
        <v>3325</v>
      </c>
      <c r="Q21" s="107">
        <f>SUM(AG6:AG38)</f>
        <v>66.5</v>
      </c>
      <c r="R21" s="106" cm="1">
        <f t="array" ref="R21">IFERROR(OptionProfit($C21,$D21,$E21,$F21,$G21,R$4),0)</f>
        <v>0</v>
      </c>
      <c r="S21" s="106" cm="1">
        <f t="array" ref="S21">IFERROR(OptionProfit($C21,$D21,$E21,$F21,$G21,S$4),0)</f>
        <v>0</v>
      </c>
      <c r="T21" s="106" cm="1">
        <f t="array" ref="T21">IFERROR(OptionProfit($C21,$D21,$E21,$F21,$G21,T$4),0)</f>
        <v>0</v>
      </c>
      <c r="U21" s="106" cm="1">
        <f t="array" ref="U21">IFERROR(OptionProfit($C21,$D21,$E21,$F21,$G21,U$4),0)</f>
        <v>0</v>
      </c>
      <c r="V21" s="106" cm="1">
        <f t="array" ref="V21">IFERROR(OptionProfit($C21,$D21,$E21,$F21,$G21,V$4),0)</f>
        <v>0</v>
      </c>
      <c r="W21" s="106" cm="1">
        <f t="array" ref="W21">IFERROR(OptionProfit($C21,$D21,$E21,$F21,$G21,W$4),0)</f>
        <v>0</v>
      </c>
      <c r="X21" s="106" cm="1">
        <f t="array" ref="X21">IFERROR(OptionProfit($C21,$D21,$E21,$F21,$G21,X$4),0)</f>
        <v>0</v>
      </c>
      <c r="Y21" s="106" cm="1">
        <f t="array" ref="Y21">IFERROR(OptionProfit($C21,$D21,$E21,$F21,$G21,Y$4),0)</f>
        <v>0</v>
      </c>
      <c r="Z21" s="106" cm="1">
        <f t="array" ref="Z21">IFERROR(OptionProfit($C21,$D21,$E21,$F21,$G21,Z$4),0)</f>
        <v>0</v>
      </c>
      <c r="AA21" s="106" cm="1">
        <f t="array" ref="AA21">IFERROR(OptionProfit($C21,$D21,$E21,$F21,$G21,AA$4),0)</f>
        <v>0</v>
      </c>
      <c r="AB21" s="106" cm="1">
        <f t="array" ref="AB21">IFERROR(OptionProfit($C21,$D21,$E21,$F21,$G21,AB$4),0)</f>
        <v>0</v>
      </c>
      <c r="AC21" s="106" cm="1">
        <f t="array" ref="AC21">IFERROR(OptionProfit($C21,$D21,$E21,$F21,$G21,AC$4),0)</f>
        <v>0</v>
      </c>
      <c r="AD21" s="106" cm="1">
        <f t="array" ref="AD21">IFERROR(OptionProfit($C21,$D21,$E21,$F21,$G21,AD$4),0)</f>
        <v>0</v>
      </c>
      <c r="AE21" s="106" cm="1">
        <f t="array" ref="AE21">IFERROR(OptionProfit($C21,$D21,$E21,$F21,$G21,AE$4),0)</f>
        <v>0</v>
      </c>
      <c r="AF21" s="106" cm="1">
        <f t="array" ref="AF21">IFERROR(OptionProfit($C21,$D21,$E21,$F21,$G21,AF$4),0)</f>
        <v>0</v>
      </c>
      <c r="AG21" s="106" cm="1">
        <f t="array" ref="AG21">IFERROR(OptionProfit($C21,$D21,$E21,$F21,$G21,AG$4),0)</f>
        <v>0</v>
      </c>
      <c r="AH21" s="106" cm="1">
        <f t="array" ref="AH21">IFERROR(OptionProfit($C21,$D21,$E21,$F21,$G21,AH$4),0)</f>
        <v>0</v>
      </c>
      <c r="AI21" s="106" cm="1">
        <f t="array" ref="AI21">IFERROR(OptionProfit($C21,$D21,$E21,$F21,$G21,AI$4),0)</f>
        <v>0</v>
      </c>
      <c r="AJ21" s="106" cm="1">
        <f t="array" ref="AJ21">IFERROR(OptionProfit($C21,$D21,$E21,$F21,$G21,AJ$4),0)</f>
        <v>0</v>
      </c>
      <c r="AK21" s="106" cm="1">
        <f t="array" ref="AK21">IFERROR(OptionProfit($C21,$D21,$E21,$F21,$G21,AK$4),0)</f>
        <v>0</v>
      </c>
      <c r="AL21" s="106" cm="1">
        <f t="array" ref="AL21">IFERROR(OptionProfit($C21,$D21,$E21,$F21,$G21,AL$4),0)</f>
        <v>0</v>
      </c>
      <c r="AM21" s="106" cm="1">
        <f t="array" ref="AM21">IFERROR(OptionProfit($C21,$D21,$E21,$F21,$G21,AM$4),0)</f>
        <v>0</v>
      </c>
      <c r="AN21" s="106" cm="1">
        <f t="array" ref="AN21">IFERROR(OptionProfit($C21,$D21,$E21,$F21,$G21,AN$4),0)</f>
        <v>0</v>
      </c>
      <c r="AO21" s="106" cm="1">
        <f t="array" ref="AO21">IFERROR(OptionProfit($C21,$D21,$E21,$F21,$G21,AO$4),0)</f>
        <v>0</v>
      </c>
      <c r="AP21" s="106" cm="1">
        <f t="array" ref="AP21">IFERROR(OptionProfit($C21,$D21,$E21,$F21,$G21,AP$4),0)</f>
        <v>0</v>
      </c>
      <c r="AQ21" s="106" cm="1">
        <f t="array" ref="AQ21">IFERROR(OptionProfit($C21,$D21,$E21,$F21,$G21,AQ$4),0)</f>
        <v>0</v>
      </c>
      <c r="AR21" s="106" cm="1">
        <f t="array" ref="AR21">IFERROR(OptionProfit($C21,$D21,$E21,$F21,$G21,AR$4),0)</f>
        <v>0</v>
      </c>
      <c r="AS21" s="106" cm="1">
        <f t="array" ref="AS21">IFERROR(OptionProfit($C21,$D21,$E21,$F21,$G21,AS$4),0)</f>
        <v>0</v>
      </c>
      <c r="AT21" s="106" cm="1">
        <f t="array" ref="AT21">IFERROR(OptionProfit($C21,$D21,$E21,$F21,$G21,AT$4),0)</f>
        <v>0</v>
      </c>
      <c r="AU21" s="106" cm="1">
        <f t="array" ref="AU21">IFERROR(OptionProfit($C21,$D21,$E21,$F21,$G21,AU$4),0)</f>
        <v>0</v>
      </c>
      <c r="AV21" s="106" cm="1">
        <f t="array" ref="AV21">IFERROR(OptionProfit($C21,$D21,$E21,$F21,$G21,AV$4),0)</f>
        <v>0</v>
      </c>
      <c r="AW21" s="106" cm="1">
        <f t="array" ref="AW21">IFERROR(OptionProfit($C21,$D21,$E21,$F21,$G21,AW$4),0)</f>
        <v>0</v>
      </c>
      <c r="AX21" s="106" cm="1">
        <f t="array" ref="AX21">IFERROR(OptionProfit($C21,$D21,$E21,$F21,$G21,AX$4),0)</f>
        <v>0</v>
      </c>
      <c r="AZ21" s="91"/>
      <c r="BA21" s="91"/>
      <c r="BB21" s="91"/>
      <c r="BM21" s="93" t="s">
        <v>31</v>
      </c>
    </row>
    <row r="22" spans="1:65" ht="21" customHeight="1" x14ac:dyDescent="0.25">
      <c r="A22" s="112"/>
      <c r="B22" s="112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09">
        <v>23100</v>
      </c>
      <c r="P22" s="110">
        <f t="shared" si="3"/>
        <v>3325</v>
      </c>
      <c r="Q22" s="107">
        <f>SUM(AH6:AH38)</f>
        <v>66.5</v>
      </c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Z22" s="91"/>
      <c r="BA22" s="91"/>
      <c r="BB22" s="91"/>
    </row>
    <row r="23" spans="1:65" ht="21" customHeight="1" x14ac:dyDescent="0.25">
      <c r="A23" s="112"/>
      <c r="B23" s="112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09">
        <v>23200</v>
      </c>
      <c r="P23" s="110">
        <f t="shared" si="3"/>
        <v>3325</v>
      </c>
      <c r="Q23" s="107">
        <f>SUM(AI6:AI38)</f>
        <v>66.5</v>
      </c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Z23" s="91"/>
      <c r="BA23" s="91"/>
      <c r="BB23" s="91"/>
    </row>
    <row r="24" spans="1:65" ht="21" customHeight="1" x14ac:dyDescent="0.25">
      <c r="A24" s="112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09">
        <v>23300</v>
      </c>
      <c r="P24" s="110">
        <f t="shared" si="3"/>
        <v>3325</v>
      </c>
      <c r="Q24" s="107">
        <f>SUM(AJ6:AJ38)</f>
        <v>66.5</v>
      </c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Z24" s="91"/>
      <c r="BA24" s="91"/>
      <c r="BB24" s="91"/>
    </row>
    <row r="25" spans="1:65" ht="21" customHeight="1" x14ac:dyDescent="0.25">
      <c r="A25" s="112"/>
      <c r="B25" s="112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09">
        <v>23400</v>
      </c>
      <c r="P25" s="110">
        <f t="shared" si="3"/>
        <v>3325</v>
      </c>
      <c r="Q25" s="107">
        <f>SUM(AK6:AK38)</f>
        <v>66.5</v>
      </c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Z25" s="91"/>
      <c r="BA25" s="91"/>
      <c r="BB25" s="91"/>
    </row>
    <row r="26" spans="1:65" ht="21" customHeight="1" x14ac:dyDescent="0.25">
      <c r="A26" s="112"/>
      <c r="B26" s="112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09">
        <v>23500</v>
      </c>
      <c r="P26" s="110">
        <f t="shared" si="3"/>
        <v>3325</v>
      </c>
      <c r="Q26" s="107">
        <f>SUM(AL6:AL38)</f>
        <v>66.5</v>
      </c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Z26" s="91"/>
      <c r="BA26" s="91"/>
      <c r="BB26" s="91"/>
    </row>
    <row r="27" spans="1:65" ht="21" customHeight="1" x14ac:dyDescent="0.25">
      <c r="A27" s="112"/>
      <c r="B27" s="112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09">
        <v>23600</v>
      </c>
      <c r="P27" s="110">
        <f t="shared" si="3"/>
        <v>3325</v>
      </c>
      <c r="Q27" s="107">
        <f>SUM(AM6:AM38)</f>
        <v>66.5</v>
      </c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Z27" s="91"/>
      <c r="BA27" s="91"/>
      <c r="BB27" s="91"/>
    </row>
    <row r="28" spans="1:65" ht="21" customHeight="1" x14ac:dyDescent="0.25">
      <c r="A28" s="112"/>
      <c r="B28" s="112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09">
        <v>23700</v>
      </c>
      <c r="P28" s="110">
        <f t="shared" si="3"/>
        <v>3325</v>
      </c>
      <c r="Q28" s="107">
        <f>SUM(AN6:AN38)</f>
        <v>66.5</v>
      </c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Z28" s="91"/>
      <c r="BA28" s="91"/>
      <c r="BB28" s="91"/>
    </row>
    <row r="29" spans="1:65" ht="21" customHeight="1" x14ac:dyDescent="0.25">
      <c r="A29" s="112"/>
      <c r="B29" s="112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09">
        <v>23800</v>
      </c>
      <c r="P29" s="110">
        <f t="shared" si="3"/>
        <v>8325</v>
      </c>
      <c r="Q29" s="107">
        <f>SUM(AO6:AO38)</f>
        <v>166.5</v>
      </c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Z29" s="91"/>
      <c r="BA29" s="91"/>
      <c r="BB29" s="91"/>
    </row>
    <row r="30" spans="1:65" ht="21" customHeight="1" x14ac:dyDescent="0.25">
      <c r="A30" s="112"/>
      <c r="B30" s="112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09">
        <v>23900</v>
      </c>
      <c r="P30" s="110">
        <f t="shared" si="3"/>
        <v>13325</v>
      </c>
      <c r="Q30" s="107">
        <f>SUM(AP6:AP38)</f>
        <v>266.5</v>
      </c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Z30" s="91"/>
      <c r="BA30" s="91"/>
      <c r="BB30" s="91"/>
    </row>
    <row r="31" spans="1:65" ht="21" customHeight="1" x14ac:dyDescent="0.25">
      <c r="A31" s="112"/>
      <c r="B31" s="112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09">
        <v>24000</v>
      </c>
      <c r="P31" s="110">
        <f t="shared" si="3"/>
        <v>18325</v>
      </c>
      <c r="Q31" s="107">
        <f>SUM(AQ6:AQ38)</f>
        <v>366.5</v>
      </c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Z31" s="91"/>
      <c r="BA31" s="91"/>
      <c r="BB31" s="91"/>
    </row>
    <row r="32" spans="1:65" ht="21" customHeight="1" x14ac:dyDescent="0.25">
      <c r="A32" s="112"/>
      <c r="B32" s="112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09">
        <v>24100</v>
      </c>
      <c r="P32" s="110">
        <f t="shared" si="3"/>
        <v>3325</v>
      </c>
      <c r="Q32" s="107">
        <f>SUM(AR6:AR38)</f>
        <v>66.5</v>
      </c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Z32" s="91"/>
      <c r="BA32" s="91"/>
      <c r="BB32" s="91"/>
    </row>
    <row r="33" spans="1:54" ht="21" customHeight="1" x14ac:dyDescent="0.25">
      <c r="A33" s="112"/>
      <c r="B33" s="112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09">
        <v>24200</v>
      </c>
      <c r="P33" s="110">
        <f t="shared" si="3"/>
        <v>-11675</v>
      </c>
      <c r="Q33" s="107">
        <f>SUM(AS6:AS38)</f>
        <v>-233.5</v>
      </c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Z33" s="91"/>
      <c r="BA33" s="91"/>
      <c r="BB33" s="91"/>
    </row>
    <row r="34" spans="1:54" ht="21" customHeight="1" x14ac:dyDescent="0.25">
      <c r="A34" s="112"/>
      <c r="B34" s="112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09">
        <v>24300</v>
      </c>
      <c r="P34" s="110">
        <f t="shared" si="3"/>
        <v>-26675</v>
      </c>
      <c r="Q34" s="107">
        <f>SUM(AT6:AT38)</f>
        <v>-533.5</v>
      </c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Z34" s="91"/>
      <c r="BA34" s="91"/>
      <c r="BB34" s="91"/>
    </row>
    <row r="35" spans="1:54" ht="21" customHeight="1" x14ac:dyDescent="0.25">
      <c r="A35" s="112"/>
      <c r="B35" s="112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09">
        <v>24400</v>
      </c>
      <c r="P35" s="110">
        <f t="shared" si="3"/>
        <v>-41675</v>
      </c>
      <c r="Q35" s="107">
        <f>SUM(AU6:AU38)</f>
        <v>-833.5</v>
      </c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Z35" s="91"/>
      <c r="BA35" s="91"/>
      <c r="BB35" s="91"/>
    </row>
    <row r="36" spans="1:54" ht="21" customHeight="1" x14ac:dyDescent="0.25">
      <c r="A36" s="112"/>
      <c r="B36" s="112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09">
        <v>24500</v>
      </c>
      <c r="P36" s="110">
        <f t="shared" si="3"/>
        <v>-56675</v>
      </c>
      <c r="Q36" s="107">
        <f>SUM(AV6:AV38)</f>
        <v>-1133.5</v>
      </c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Z36" s="91"/>
      <c r="BA36" s="91"/>
      <c r="BB36" s="91"/>
    </row>
    <row r="37" spans="1:54" ht="21" customHeight="1" x14ac:dyDescent="0.25">
      <c r="A37" s="112"/>
      <c r="B37" s="112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09">
        <v>24600</v>
      </c>
      <c r="P37" s="110">
        <f t="shared" si="3"/>
        <v>-71675</v>
      </c>
      <c r="Q37" s="107">
        <f>SUM(AW6:AW38)</f>
        <v>-1433.5</v>
      </c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Z37" s="91"/>
      <c r="BA37" s="91"/>
      <c r="BB37" s="91"/>
    </row>
    <row r="38" spans="1:54" ht="21" customHeight="1" x14ac:dyDescent="0.25">
      <c r="A38" s="112"/>
      <c r="B38" s="112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09">
        <v>24700</v>
      </c>
      <c r="P38" s="110">
        <f t="shared" si="3"/>
        <v>-86675</v>
      </c>
      <c r="Q38" s="107">
        <f>SUM(AX6:AX38)</f>
        <v>-1733.5</v>
      </c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Z38" s="91"/>
      <c r="BA38" s="91"/>
      <c r="BB38" s="91"/>
    </row>
  </sheetData>
  <mergeCells count="9">
    <mergeCell ref="O4:P4"/>
    <mergeCell ref="A1:F1"/>
    <mergeCell ref="K1:L1"/>
    <mergeCell ref="M1:N1"/>
    <mergeCell ref="I1:I2"/>
    <mergeCell ref="J1:J2"/>
    <mergeCell ref="A4:A5"/>
    <mergeCell ref="B4:B5"/>
    <mergeCell ref="H4:H5"/>
  </mergeCells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4700-038C-43D3-AAE4-F288C0B94514}">
  <sheetPr codeName="工作表16">
    <tabColor theme="2" tint="-9.9978637043366805E-2"/>
  </sheetPr>
  <dimension ref="A1:EC106"/>
  <sheetViews>
    <sheetView zoomScale="140" zoomScaleNormal="140" workbookViewId="0">
      <selection activeCell="E27" sqref="E27"/>
    </sheetView>
  </sheetViews>
  <sheetFormatPr defaultColWidth="4.75" defaultRowHeight="21" customHeight="1" x14ac:dyDescent="0.25"/>
  <cols>
    <col min="1" max="1" width="10.125" style="113" customWidth="1"/>
    <col min="2" max="2" width="7.75" style="113" customWidth="1"/>
    <col min="3" max="3" width="9.5" style="102" customWidth="1"/>
    <col min="4" max="6" width="6.75" style="102" customWidth="1"/>
    <col min="7" max="7" width="8.875" style="102" customWidth="1"/>
    <col min="8" max="8" width="7.25" style="115" customWidth="1"/>
    <col min="9" max="9" width="9.75" style="102" customWidth="1"/>
    <col min="10" max="10" width="10.125" style="102" customWidth="1"/>
    <col min="11" max="14" width="14.75" style="102" customWidth="1"/>
    <col min="15" max="16" width="10.375" style="114" customWidth="1"/>
    <col min="17" max="62" width="9.75" style="114" customWidth="1"/>
    <col min="63" max="118" width="7.125" style="114" customWidth="1"/>
    <col min="119" max="119" width="2" style="93" customWidth="1"/>
    <col min="120" max="120" width="16.5" style="92" customWidth="1"/>
    <col min="121" max="121" width="16.25" style="92" customWidth="1"/>
    <col min="122" max="122" width="44.875" style="92" customWidth="1"/>
    <col min="123" max="16384" width="4.75" style="93"/>
  </cols>
  <sheetData>
    <row r="1" spans="1:122" ht="32.25" customHeight="1" x14ac:dyDescent="0.25">
      <c r="A1" s="143" t="s">
        <v>165</v>
      </c>
      <c r="B1" s="143"/>
      <c r="C1" s="143"/>
      <c r="D1" s="143"/>
      <c r="E1" s="143"/>
      <c r="F1" s="143"/>
      <c r="G1" s="116"/>
      <c r="H1" s="116"/>
      <c r="I1" s="146" t="s">
        <v>159</v>
      </c>
      <c r="J1" s="148" t="s">
        <v>151</v>
      </c>
      <c r="K1" s="144" t="s">
        <v>152</v>
      </c>
      <c r="L1" s="144"/>
      <c r="M1" s="156" t="s">
        <v>153</v>
      </c>
      <c r="N1" s="157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</row>
    <row r="2" spans="1:122" ht="16.5" x14ac:dyDescent="0.25">
      <c r="A2" s="118"/>
      <c r="B2" s="118"/>
      <c r="C2" s="118"/>
      <c r="D2" s="118"/>
      <c r="E2" s="118"/>
      <c r="F2" s="118"/>
      <c r="G2" s="116"/>
      <c r="H2" s="116"/>
      <c r="I2" s="147"/>
      <c r="J2" s="149"/>
      <c r="K2" s="123" t="s">
        <v>168</v>
      </c>
      <c r="L2" s="123" t="s">
        <v>144</v>
      </c>
      <c r="M2" s="124" t="s">
        <v>168</v>
      </c>
      <c r="N2" s="124" t="s">
        <v>144</v>
      </c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</row>
    <row r="3" spans="1:122" ht="18" customHeight="1" x14ac:dyDescent="0.25">
      <c r="A3" s="117"/>
      <c r="B3" s="117"/>
      <c r="C3" s="116"/>
      <c r="D3" s="116"/>
      <c r="E3" s="116"/>
      <c r="F3" s="116"/>
      <c r="G3" s="116"/>
      <c r="H3" s="116"/>
      <c r="I3" s="125" cm="1">
        <f t="array" ref="I3">[1]!'TSE.TW-price'</f>
        <v>23383.13</v>
      </c>
      <c r="J3" s="124">
        <f>SUM(H6:H20)*50</f>
        <v>2915.0000000000005</v>
      </c>
      <c r="K3" s="123">
        <f>_xlfn.XLOOKUP(L3,$P$6:$P$38,$O$6:$O$38)</f>
        <v>21600</v>
      </c>
      <c r="L3" s="123">
        <f>MAX(P6:P38)</f>
        <v>-71675</v>
      </c>
      <c r="M3" s="124">
        <f>_xlfn.XLOOKUP(N3,$P$6:$P$38,$O$6:$O$38)</f>
        <v>20000</v>
      </c>
      <c r="N3" s="124">
        <f>MIN(P6:P38)</f>
        <v>-226675</v>
      </c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</row>
    <row r="4" spans="1:122" ht="21" customHeight="1" x14ac:dyDescent="0.25">
      <c r="A4" s="150" t="s">
        <v>137</v>
      </c>
      <c r="B4" s="152" t="s">
        <v>166</v>
      </c>
      <c r="C4" s="105" t="s">
        <v>145</v>
      </c>
      <c r="D4" s="105" t="s">
        <v>148</v>
      </c>
      <c r="E4" s="105" t="s">
        <v>142</v>
      </c>
      <c r="F4" s="105" t="s">
        <v>147</v>
      </c>
      <c r="G4" s="105" t="s">
        <v>146</v>
      </c>
      <c r="H4" s="154" t="s">
        <v>169</v>
      </c>
      <c r="O4" s="142" t="s">
        <v>13</v>
      </c>
      <c r="P4" s="142"/>
      <c r="Q4" s="106" t="s">
        <v>138</v>
      </c>
      <c r="R4" s="106">
        <v>20000</v>
      </c>
      <c r="S4" s="106">
        <v>20050</v>
      </c>
      <c r="T4" s="106">
        <v>20100</v>
      </c>
      <c r="U4" s="106">
        <v>20150</v>
      </c>
      <c r="V4" s="106">
        <v>20200</v>
      </c>
      <c r="W4" s="106">
        <v>20250</v>
      </c>
      <c r="X4" s="106">
        <v>20300</v>
      </c>
      <c r="Y4" s="106">
        <v>20350</v>
      </c>
      <c r="Z4" s="106">
        <v>20400</v>
      </c>
      <c r="AA4" s="106">
        <v>20450</v>
      </c>
      <c r="AB4" s="106">
        <v>20500</v>
      </c>
      <c r="AC4" s="106">
        <v>20550</v>
      </c>
      <c r="AD4" s="106">
        <v>20600</v>
      </c>
      <c r="AE4" s="106">
        <v>20650</v>
      </c>
      <c r="AF4" s="106">
        <v>20700</v>
      </c>
      <c r="AG4" s="106">
        <v>20750</v>
      </c>
      <c r="AH4" s="106">
        <v>20800</v>
      </c>
      <c r="AI4" s="106">
        <v>20850</v>
      </c>
      <c r="AJ4" s="106">
        <v>20900</v>
      </c>
      <c r="AK4" s="106">
        <v>20950</v>
      </c>
      <c r="AL4" s="106">
        <v>21000</v>
      </c>
      <c r="AM4" s="106">
        <v>21050</v>
      </c>
      <c r="AN4" s="106">
        <v>21100</v>
      </c>
      <c r="AO4" s="106">
        <v>21150</v>
      </c>
      <c r="AP4" s="106">
        <v>21200</v>
      </c>
      <c r="AQ4" s="106">
        <v>21250</v>
      </c>
      <c r="AR4" s="106">
        <v>21300</v>
      </c>
      <c r="AS4" s="106">
        <v>21350</v>
      </c>
      <c r="AT4" s="106">
        <v>21400</v>
      </c>
      <c r="AU4" s="106">
        <v>21450</v>
      </c>
      <c r="AV4" s="106">
        <v>21500</v>
      </c>
      <c r="AW4" s="106">
        <v>21550</v>
      </c>
      <c r="AX4" s="106">
        <v>21600</v>
      </c>
      <c r="AY4" s="106">
        <v>21650</v>
      </c>
      <c r="AZ4" s="106">
        <v>21700</v>
      </c>
      <c r="BA4" s="106">
        <v>21750</v>
      </c>
      <c r="BB4" s="106">
        <v>21800</v>
      </c>
      <c r="BC4" s="106">
        <v>21850</v>
      </c>
      <c r="BD4" s="106">
        <v>21900</v>
      </c>
      <c r="BE4" s="106">
        <v>21950</v>
      </c>
      <c r="BF4" s="106">
        <v>22000</v>
      </c>
      <c r="BG4" s="106">
        <v>22050</v>
      </c>
      <c r="BH4" s="106">
        <v>22100</v>
      </c>
      <c r="BI4" s="106">
        <v>22150</v>
      </c>
      <c r="BJ4" s="106">
        <v>22200</v>
      </c>
      <c r="BK4" s="106">
        <v>22250</v>
      </c>
      <c r="BL4" s="106">
        <v>22300</v>
      </c>
      <c r="BM4" s="106">
        <v>22350</v>
      </c>
      <c r="BN4" s="106">
        <v>22400</v>
      </c>
      <c r="BO4" s="106">
        <v>22450</v>
      </c>
      <c r="BP4" s="106">
        <v>22500</v>
      </c>
      <c r="BQ4" s="106">
        <v>22550</v>
      </c>
      <c r="BR4" s="106">
        <v>22600</v>
      </c>
      <c r="BS4" s="106">
        <v>22650</v>
      </c>
      <c r="BT4" s="106">
        <v>22700</v>
      </c>
      <c r="BU4" s="106">
        <v>22750</v>
      </c>
      <c r="BV4" s="106">
        <v>22800</v>
      </c>
      <c r="BW4" s="106">
        <v>22850</v>
      </c>
      <c r="BX4" s="106">
        <v>22900</v>
      </c>
      <c r="BY4" s="106">
        <v>22950</v>
      </c>
      <c r="BZ4" s="106">
        <v>23000</v>
      </c>
      <c r="CA4" s="106">
        <v>23050</v>
      </c>
      <c r="CB4" s="106">
        <v>23100</v>
      </c>
      <c r="CC4" s="106">
        <v>23150</v>
      </c>
      <c r="CD4" s="106">
        <v>23200</v>
      </c>
      <c r="CE4" s="106">
        <v>23250</v>
      </c>
      <c r="CF4" s="106">
        <v>23300</v>
      </c>
      <c r="CG4" s="106">
        <v>23350</v>
      </c>
      <c r="CH4" s="106">
        <v>23400</v>
      </c>
      <c r="CI4" s="106">
        <v>23450</v>
      </c>
      <c r="CJ4" s="106">
        <v>23500</v>
      </c>
      <c r="CK4" s="106">
        <v>23550</v>
      </c>
      <c r="CL4" s="106">
        <v>23600</v>
      </c>
      <c r="CM4" s="106">
        <v>23650</v>
      </c>
      <c r="CN4" s="106">
        <v>23700</v>
      </c>
      <c r="CO4" s="106">
        <v>23750</v>
      </c>
      <c r="CP4" s="106">
        <v>23800</v>
      </c>
      <c r="CQ4" s="106">
        <v>23850</v>
      </c>
      <c r="CR4" s="106">
        <v>23900</v>
      </c>
      <c r="CS4" s="106">
        <v>23950</v>
      </c>
      <c r="CT4" s="106">
        <v>24000</v>
      </c>
      <c r="CU4" s="106">
        <v>24050</v>
      </c>
      <c r="CV4" s="128">
        <v>24100</v>
      </c>
      <c r="CW4" s="128">
        <v>24150</v>
      </c>
      <c r="CX4" s="106">
        <v>24200</v>
      </c>
      <c r="CY4" s="106">
        <v>24250</v>
      </c>
      <c r="CZ4" s="106">
        <v>24300</v>
      </c>
      <c r="DA4" s="106">
        <v>24350</v>
      </c>
      <c r="DB4" s="106">
        <v>24400</v>
      </c>
      <c r="DC4" s="106">
        <v>24450</v>
      </c>
      <c r="DD4" s="106">
        <v>24500</v>
      </c>
      <c r="DE4" s="106">
        <v>24550</v>
      </c>
      <c r="DF4" s="106">
        <v>24600</v>
      </c>
      <c r="DG4" s="106">
        <v>24650</v>
      </c>
      <c r="DH4" s="106">
        <v>24700</v>
      </c>
      <c r="DI4" s="106">
        <v>24750</v>
      </c>
      <c r="DJ4" s="106">
        <v>24800</v>
      </c>
      <c r="DK4" s="106">
        <v>24850</v>
      </c>
      <c r="DL4" s="106">
        <v>24900</v>
      </c>
      <c r="DM4" s="106">
        <v>24950</v>
      </c>
      <c r="DN4" s="106">
        <v>25000</v>
      </c>
      <c r="DP4" s="91" t="s">
        <v>160</v>
      </c>
      <c r="DQ4" s="91" t="s">
        <v>161</v>
      </c>
      <c r="DR4" s="91"/>
    </row>
    <row r="5" spans="1:122" ht="38.25" customHeight="1" x14ac:dyDescent="0.25">
      <c r="A5" s="151"/>
      <c r="B5" s="153"/>
      <c r="C5" s="105" t="s">
        <v>6</v>
      </c>
      <c r="D5" s="105" t="s">
        <v>139</v>
      </c>
      <c r="E5" s="105" t="s">
        <v>140</v>
      </c>
      <c r="F5" s="105" t="s">
        <v>136</v>
      </c>
      <c r="G5" s="105" t="s">
        <v>154</v>
      </c>
      <c r="H5" s="155"/>
      <c r="O5" s="126" t="s">
        <v>168</v>
      </c>
      <c r="P5" s="126" t="s">
        <v>167</v>
      </c>
      <c r="Q5" s="107" t="s">
        <v>150</v>
      </c>
      <c r="R5" s="106" t="s">
        <v>144</v>
      </c>
      <c r="S5" s="106" t="s">
        <v>144</v>
      </c>
      <c r="T5" s="106" t="s">
        <v>144</v>
      </c>
      <c r="U5" s="106" t="s">
        <v>144</v>
      </c>
      <c r="V5" s="106" t="s">
        <v>144</v>
      </c>
      <c r="W5" s="106" t="s">
        <v>144</v>
      </c>
      <c r="X5" s="106" t="s">
        <v>144</v>
      </c>
      <c r="Y5" s="106" t="s">
        <v>144</v>
      </c>
      <c r="Z5" s="106" t="s">
        <v>144</v>
      </c>
      <c r="AA5" s="106" t="s">
        <v>144</v>
      </c>
      <c r="AB5" s="106" t="s">
        <v>144</v>
      </c>
      <c r="AC5" s="106" t="s">
        <v>144</v>
      </c>
      <c r="AD5" s="106" t="s">
        <v>144</v>
      </c>
      <c r="AE5" s="106" t="s">
        <v>144</v>
      </c>
      <c r="AF5" s="106" t="s">
        <v>144</v>
      </c>
      <c r="AG5" s="106" t="s">
        <v>144</v>
      </c>
      <c r="AH5" s="106" t="s">
        <v>144</v>
      </c>
      <c r="AI5" s="106" t="s">
        <v>144</v>
      </c>
      <c r="AJ5" s="106" t="s">
        <v>144</v>
      </c>
      <c r="AK5" s="106" t="s">
        <v>144</v>
      </c>
      <c r="AL5" s="106" t="s">
        <v>144</v>
      </c>
      <c r="AM5" s="106" t="s">
        <v>144</v>
      </c>
      <c r="AN5" s="106" t="s">
        <v>144</v>
      </c>
      <c r="AO5" s="106" t="s">
        <v>144</v>
      </c>
      <c r="AP5" s="106" t="s">
        <v>144</v>
      </c>
      <c r="AQ5" s="106" t="s">
        <v>144</v>
      </c>
      <c r="AR5" s="106" t="s">
        <v>144</v>
      </c>
      <c r="AS5" s="106" t="s">
        <v>144</v>
      </c>
      <c r="AT5" s="106" t="s">
        <v>144</v>
      </c>
      <c r="AU5" s="106" t="s">
        <v>144</v>
      </c>
      <c r="AV5" s="106" t="s">
        <v>144</v>
      </c>
      <c r="AW5" s="106" t="s">
        <v>144</v>
      </c>
      <c r="AX5" s="106" t="s">
        <v>144</v>
      </c>
      <c r="AY5" s="106" t="s">
        <v>144</v>
      </c>
      <c r="AZ5" s="106" t="s">
        <v>144</v>
      </c>
      <c r="BA5" s="106" t="s">
        <v>144</v>
      </c>
      <c r="BB5" s="106" t="s">
        <v>144</v>
      </c>
      <c r="BC5" s="106" t="s">
        <v>144</v>
      </c>
      <c r="BD5" s="106" t="s">
        <v>144</v>
      </c>
      <c r="BE5" s="106" t="s">
        <v>144</v>
      </c>
      <c r="BF5" s="106" t="s">
        <v>144</v>
      </c>
      <c r="BG5" s="106" t="s">
        <v>144</v>
      </c>
      <c r="BH5" s="106" t="s">
        <v>144</v>
      </c>
      <c r="BI5" s="106" t="s">
        <v>144</v>
      </c>
      <c r="BJ5" s="106" t="s">
        <v>144</v>
      </c>
      <c r="BK5" s="106" t="s">
        <v>144</v>
      </c>
      <c r="BL5" s="106" t="s">
        <v>144</v>
      </c>
      <c r="BM5" s="106" t="s">
        <v>144</v>
      </c>
      <c r="BN5" s="106" t="s">
        <v>144</v>
      </c>
      <c r="BO5" s="106" t="s">
        <v>144</v>
      </c>
      <c r="BP5" s="106" t="s">
        <v>144</v>
      </c>
      <c r="BQ5" s="106" t="s">
        <v>144</v>
      </c>
      <c r="BR5" s="106" t="s">
        <v>144</v>
      </c>
      <c r="BS5" s="106" t="s">
        <v>144</v>
      </c>
      <c r="BT5" s="106" t="s">
        <v>144</v>
      </c>
      <c r="BU5" s="106" t="s">
        <v>144</v>
      </c>
      <c r="BV5" s="106" t="s">
        <v>144</v>
      </c>
      <c r="BW5" s="106" t="s">
        <v>144</v>
      </c>
      <c r="BX5" s="106" t="s">
        <v>144</v>
      </c>
      <c r="BY5" s="106" t="s">
        <v>144</v>
      </c>
      <c r="BZ5" s="106" t="s">
        <v>144</v>
      </c>
      <c r="CA5" s="106" t="s">
        <v>144</v>
      </c>
      <c r="CB5" s="106" t="s">
        <v>144</v>
      </c>
      <c r="CC5" s="106" t="s">
        <v>144</v>
      </c>
      <c r="CD5" s="106" t="s">
        <v>144</v>
      </c>
      <c r="CE5" s="106" t="s">
        <v>144</v>
      </c>
      <c r="CF5" s="106" t="s">
        <v>144</v>
      </c>
      <c r="CG5" s="106" t="s">
        <v>144</v>
      </c>
      <c r="CH5" s="106" t="s">
        <v>144</v>
      </c>
      <c r="CI5" s="106" t="s">
        <v>144</v>
      </c>
      <c r="CJ5" s="106" t="s">
        <v>144</v>
      </c>
      <c r="CK5" s="106" t="s">
        <v>144</v>
      </c>
      <c r="CL5" s="106" t="s">
        <v>144</v>
      </c>
      <c r="CM5" s="106" t="s">
        <v>144</v>
      </c>
      <c r="CN5" s="106" t="s">
        <v>144</v>
      </c>
      <c r="CO5" s="106" t="s">
        <v>144</v>
      </c>
      <c r="CP5" s="106" t="s">
        <v>144</v>
      </c>
      <c r="CQ5" s="106" t="s">
        <v>144</v>
      </c>
      <c r="CR5" s="106" t="s">
        <v>144</v>
      </c>
      <c r="CS5" s="106" t="s">
        <v>144</v>
      </c>
      <c r="CT5" s="106" t="s">
        <v>144</v>
      </c>
      <c r="CU5" s="106" t="s">
        <v>144</v>
      </c>
      <c r="CV5" s="128" t="s">
        <v>144</v>
      </c>
      <c r="CW5" s="128" t="s">
        <v>144</v>
      </c>
      <c r="CX5" s="106" t="s">
        <v>144</v>
      </c>
      <c r="CY5" s="106" t="s">
        <v>144</v>
      </c>
      <c r="CZ5" s="106" t="s">
        <v>144</v>
      </c>
      <c r="DA5" s="106" t="s">
        <v>144</v>
      </c>
      <c r="DB5" s="106" t="s">
        <v>144</v>
      </c>
      <c r="DC5" s="106" t="s">
        <v>144</v>
      </c>
      <c r="DD5" s="106" t="s">
        <v>144</v>
      </c>
      <c r="DE5" s="106" t="s">
        <v>144</v>
      </c>
      <c r="DF5" s="106" t="s">
        <v>144</v>
      </c>
      <c r="DG5" s="106" t="s">
        <v>144</v>
      </c>
      <c r="DH5" s="106" t="s">
        <v>144</v>
      </c>
      <c r="DI5" s="106" t="s">
        <v>144</v>
      </c>
      <c r="DJ5" s="106" t="s">
        <v>144</v>
      </c>
      <c r="DK5" s="106" t="s">
        <v>144</v>
      </c>
      <c r="DL5" s="106" t="s">
        <v>144</v>
      </c>
      <c r="DM5" s="106" t="s">
        <v>144</v>
      </c>
      <c r="DN5" s="106" t="s">
        <v>144</v>
      </c>
      <c r="DP5" s="91" t="s">
        <v>162</v>
      </c>
      <c r="DQ5" s="91" t="s">
        <v>163</v>
      </c>
      <c r="DR5" s="91" t="s">
        <v>164</v>
      </c>
    </row>
    <row r="6" spans="1:122" ht="21" customHeight="1" x14ac:dyDescent="0.25">
      <c r="A6" s="108" t="s">
        <v>155</v>
      </c>
      <c r="B6" s="121">
        <f>[1]!'TX4N07C24000.TF-price'</f>
        <v>2.1</v>
      </c>
      <c r="C6" s="108">
        <v>24000</v>
      </c>
      <c r="D6" s="108" t="s">
        <v>131</v>
      </c>
      <c r="E6" s="108" t="s">
        <v>143</v>
      </c>
      <c r="F6" s="108">
        <v>2</v>
      </c>
      <c r="G6" s="108">
        <v>21</v>
      </c>
      <c r="H6" s="122" cm="1">
        <f t="array" ref="H6">IFERROR(OptionPnL(D6,G6,B6,F6),0)</f>
        <v>37.799999999999997</v>
      </c>
      <c r="O6" s="126">
        <v>20000</v>
      </c>
      <c r="P6" s="110">
        <f>Q6*50</f>
        <v>-226675</v>
      </c>
      <c r="Q6" s="107">
        <f>SUM(R6:R38)</f>
        <v>-4533.5</v>
      </c>
      <c r="R6" s="106" cm="1">
        <f t="array" ref="R6">IFERROR(OptionProfit($C6,$D6,$E6,$F6,$G6,R$4),0)</f>
        <v>42</v>
      </c>
      <c r="S6" s="106" cm="1">
        <f t="array" ref="S6">IFERROR(OptionProfit($C6,$D6,$E6,$F6,$G6,S$4),0)</f>
        <v>42</v>
      </c>
      <c r="T6" s="106" cm="1">
        <f t="array" ref="T6">IFERROR(OptionProfit($C6,$D6,$E6,$F6,$G6,T$4),0)</f>
        <v>42</v>
      </c>
      <c r="U6" s="106" cm="1">
        <f t="array" ref="U6">IFERROR(OptionProfit($C6,$D6,$E6,$F6,$G6,U$4),0)</f>
        <v>42</v>
      </c>
      <c r="V6" s="106" cm="1">
        <f t="array" ref="V6">IFERROR(OptionProfit($C6,$D6,$E6,$F6,$G6,V$4),0)</f>
        <v>42</v>
      </c>
      <c r="W6" s="106" cm="1">
        <f t="array" ref="W6">IFERROR(OptionProfit($C6,$D6,$E6,$F6,$G6,W$4),0)</f>
        <v>42</v>
      </c>
      <c r="X6" s="106" cm="1">
        <f t="array" ref="X6">IFERROR(OptionProfit($C6,$D6,$E6,$F6,$G6,X$4),0)</f>
        <v>42</v>
      </c>
      <c r="Y6" s="106" cm="1">
        <f t="array" ref="Y6">IFERROR(OptionProfit($C6,$D6,$E6,$F6,$G6,Y$4),0)</f>
        <v>42</v>
      </c>
      <c r="Z6" s="106" cm="1">
        <f t="array" ref="Z6">IFERROR(OptionProfit($C6,$D6,$E6,$F6,$G6,Z$4),0)</f>
        <v>42</v>
      </c>
      <c r="AA6" s="106" cm="1">
        <f t="array" ref="AA6">IFERROR(OptionProfit($C6,$D6,$E6,$F6,$G6,AA$4),0)</f>
        <v>42</v>
      </c>
      <c r="AB6" s="106" cm="1">
        <f t="array" ref="AB6">IFERROR(OptionProfit($C6,$D6,$E6,$F6,$G6,AB$4),0)</f>
        <v>42</v>
      </c>
      <c r="AC6" s="106" cm="1">
        <f t="array" ref="AC6">IFERROR(OptionProfit($C6,$D6,$E6,$F6,$G6,AC$4),0)</f>
        <v>42</v>
      </c>
      <c r="AD6" s="106" cm="1">
        <f t="array" ref="AD6">IFERROR(OptionProfit($C6,$D6,$E6,$F6,$G6,AD$4),0)</f>
        <v>42</v>
      </c>
      <c r="AE6" s="106" cm="1">
        <f t="array" ref="AE6">IFERROR(OptionProfit($C6,$D6,$E6,$F6,$G6,AE$4),0)</f>
        <v>42</v>
      </c>
      <c r="AF6" s="106" cm="1">
        <f t="array" ref="AF6">IFERROR(OptionProfit($C6,$D6,$E6,$F6,$G6,AF$4),0)</f>
        <v>42</v>
      </c>
      <c r="AG6" s="106" cm="1">
        <f t="array" ref="AG6">IFERROR(OptionProfit($C6,$D6,$E6,$F6,$G6,AG$4),0)</f>
        <v>42</v>
      </c>
      <c r="AH6" s="106" cm="1">
        <f t="array" ref="AH6">IFERROR(OptionProfit($C6,$D6,$E6,$F6,$G6,AH$4),0)</f>
        <v>42</v>
      </c>
      <c r="AI6" s="106" cm="1">
        <f t="array" ref="AI6">IFERROR(OptionProfit($C6,$D6,$E6,$F6,$G6,AI$4),0)</f>
        <v>42</v>
      </c>
      <c r="AJ6" s="106" cm="1">
        <f t="array" ref="AJ6">IFERROR(OptionProfit($C6,$D6,$E6,$F6,$G6,AJ$4),0)</f>
        <v>42</v>
      </c>
      <c r="AK6" s="106" cm="1">
        <f t="array" ref="AK6">IFERROR(OptionProfit($C6,$D6,$E6,$F6,$G6,AK$4),0)</f>
        <v>42</v>
      </c>
      <c r="AL6" s="106" cm="1">
        <f t="array" ref="AL6">IFERROR(OptionProfit($C6,$D6,$E6,$F6,$G6,AL$4),0)</f>
        <v>42</v>
      </c>
      <c r="AM6" s="106" cm="1">
        <f t="array" ref="AM6">IFERROR(OptionProfit($C6,$D6,$E6,$F6,$G6,AM$4),0)</f>
        <v>42</v>
      </c>
      <c r="AN6" s="106" cm="1">
        <f t="array" ref="AN6">IFERROR(OptionProfit($C6,$D6,$E6,$F6,$G6,AN$4),0)</f>
        <v>42</v>
      </c>
      <c r="AO6" s="106" cm="1">
        <f t="array" ref="AO6">IFERROR(OptionProfit($C6,$D6,$E6,$F6,$G6,AO$4),0)</f>
        <v>42</v>
      </c>
      <c r="AP6" s="106" cm="1">
        <f t="array" ref="AP6">IFERROR(OptionProfit($C6,$D6,$E6,$F6,$G6,AP$4),0)</f>
        <v>42</v>
      </c>
      <c r="AQ6" s="106" cm="1">
        <f t="array" ref="AQ6">IFERROR(OptionProfit($C6,$D6,$E6,$F6,$G6,AQ$4),0)</f>
        <v>42</v>
      </c>
      <c r="AR6" s="106" cm="1">
        <f t="array" ref="AR6">IFERROR(OptionProfit($C6,$D6,$E6,$F6,$G6,AR$4),0)</f>
        <v>42</v>
      </c>
      <c r="AS6" s="106" cm="1">
        <f t="array" ref="AS6">IFERROR(OptionProfit($C6,$D6,$E6,$F6,$G6,AS$4),0)</f>
        <v>42</v>
      </c>
      <c r="AT6" s="106" cm="1">
        <f t="array" ref="AT6">IFERROR(OptionProfit($C6,$D6,$E6,$F6,$G6,AT$4),0)</f>
        <v>42</v>
      </c>
      <c r="AU6" s="106" cm="1">
        <f t="array" ref="AU6">IFERROR(OptionProfit($C6,$D6,$E6,$F6,$G6,AU$4),0)</f>
        <v>42</v>
      </c>
      <c r="AV6" s="106" cm="1">
        <f t="array" ref="AV6">IFERROR(OptionProfit($C6,$D6,$E6,$F6,$G6,AV$4),0)</f>
        <v>42</v>
      </c>
      <c r="AW6" s="106" cm="1">
        <f t="array" ref="AW6">IFERROR(OptionProfit($C6,$D6,$E6,$F6,$G6,AW$4),0)</f>
        <v>42</v>
      </c>
      <c r="AX6" s="106" cm="1">
        <f t="array" ref="AX6">IFERROR(OptionProfit($C6,$D6,$E6,$F6,$G6,AX$4),0)</f>
        <v>42</v>
      </c>
      <c r="AY6" s="106" cm="1">
        <f t="array" ref="AY6">IFERROR(OptionProfit($C6,$D6,$E6,$F6,$G6,AY$4),0)</f>
        <v>42</v>
      </c>
      <c r="AZ6" s="106" cm="1">
        <f t="array" ref="AZ6">IFERROR(OptionProfit($C6,$D6,$E6,$F6,$G6,AZ$4),0)</f>
        <v>42</v>
      </c>
      <c r="BA6" s="106" cm="1">
        <f t="array" ref="BA6">IFERROR(OptionProfit($C6,$D6,$E6,$F6,$G6,BA$4),0)</f>
        <v>42</v>
      </c>
      <c r="BB6" s="106" cm="1">
        <f t="array" ref="BB6">IFERROR(OptionProfit($C6,$D6,$E6,$F6,$G6,BB$4),0)</f>
        <v>42</v>
      </c>
      <c r="BC6" s="106" cm="1">
        <f t="array" ref="BC6">IFERROR(OptionProfit($C6,$D6,$E6,$F6,$G6,BC$4),0)</f>
        <v>42</v>
      </c>
      <c r="BD6" s="106" cm="1">
        <f t="array" ref="BD6">IFERROR(OptionProfit($C6,$D6,$E6,$F6,$G6,BD$4),0)</f>
        <v>42</v>
      </c>
      <c r="BE6" s="106" cm="1">
        <f t="array" ref="BE6">IFERROR(OptionProfit($C6,$D6,$E6,$F6,$G6,BE$4),0)</f>
        <v>42</v>
      </c>
      <c r="BF6" s="106" cm="1">
        <f t="array" ref="BF6">IFERROR(OptionProfit($C6,$D6,$E6,$F6,$G6,BF$4),0)</f>
        <v>42</v>
      </c>
      <c r="BG6" s="106" cm="1">
        <f t="array" ref="BG6">IFERROR(OptionProfit($C6,$D6,$E6,$F6,$G6,BG$4),0)</f>
        <v>42</v>
      </c>
      <c r="BH6" s="106" cm="1">
        <f t="array" ref="BH6">IFERROR(OptionProfit($C6,$D6,$E6,$F6,$G6,BH$4),0)</f>
        <v>42</v>
      </c>
      <c r="BI6" s="106" cm="1">
        <f t="array" ref="BI6">IFERROR(OptionProfit($C6,$D6,$E6,$F6,$G6,BI$4),0)</f>
        <v>42</v>
      </c>
      <c r="BJ6" s="106" cm="1">
        <f t="array" ref="BJ6">IFERROR(OptionProfit($C6,$D6,$E6,$F6,$G6,BJ$4),0)</f>
        <v>42</v>
      </c>
      <c r="BK6" s="106" cm="1">
        <f t="array" ref="BK6">IFERROR(OptionProfit($C6,$D6,$E6,$F6,$G6,BK$4),0)</f>
        <v>42</v>
      </c>
      <c r="BL6" s="106" cm="1">
        <f t="array" ref="BL6">IFERROR(OptionProfit($C6,$D6,$E6,$F6,$G6,BL$4),0)</f>
        <v>42</v>
      </c>
      <c r="BM6" s="106" cm="1">
        <f t="array" ref="BM6">IFERROR(OptionProfit($C6,$D6,$E6,$F6,$G6,BM$4),0)</f>
        <v>42</v>
      </c>
      <c r="BN6" s="106" cm="1">
        <f t="array" ref="BN6">IFERROR(OptionProfit($C6,$D6,$E6,$F6,$G6,BN$4),0)</f>
        <v>42</v>
      </c>
      <c r="BO6" s="106" cm="1">
        <f t="array" ref="BO6">IFERROR(OptionProfit($C6,$D6,$E6,$F6,$G6,BO$4),0)</f>
        <v>42</v>
      </c>
      <c r="BP6" s="106" cm="1">
        <f t="array" ref="BP6">IFERROR(OptionProfit($C6,$D6,$E6,$F6,$G6,BP$4),0)</f>
        <v>42</v>
      </c>
      <c r="BQ6" s="106" cm="1">
        <f t="array" ref="BQ6">IFERROR(OptionProfit($C6,$D6,$E6,$F6,$G6,BQ$4),0)</f>
        <v>42</v>
      </c>
      <c r="BR6" s="106" cm="1">
        <f t="array" ref="BR6">IFERROR(OptionProfit($C6,$D6,$E6,$F6,$G6,BR$4),0)</f>
        <v>42</v>
      </c>
      <c r="BS6" s="106" cm="1">
        <f t="array" ref="BS6">IFERROR(OptionProfit($C6,$D6,$E6,$F6,$G6,BS$4),0)</f>
        <v>42</v>
      </c>
      <c r="BT6" s="106" cm="1">
        <f t="array" ref="BT6">IFERROR(OptionProfit($C6,$D6,$E6,$F6,$G6,BT$4),0)</f>
        <v>42</v>
      </c>
      <c r="BU6" s="106" cm="1">
        <f t="array" ref="BU6">IFERROR(OptionProfit($C6,$D6,$E6,$F6,$G6,BU$4),0)</f>
        <v>42</v>
      </c>
      <c r="BV6" s="106" cm="1">
        <f t="array" ref="BV6">IFERROR(OptionProfit($C6,$D6,$E6,$F6,$G6,BV$4),0)</f>
        <v>42</v>
      </c>
      <c r="BW6" s="106" cm="1">
        <f t="array" ref="BW6">IFERROR(OptionProfit($C6,$D6,$E6,$F6,$G6,BW$4),0)</f>
        <v>42</v>
      </c>
      <c r="BX6" s="106" cm="1">
        <f t="array" ref="BX6">IFERROR(OptionProfit($C6,$D6,$E6,$F6,$G6,BX$4),0)</f>
        <v>42</v>
      </c>
      <c r="BY6" s="106" cm="1">
        <f t="array" ref="BY6">IFERROR(OptionProfit($C6,$D6,$E6,$F6,$G6,BY$4),0)</f>
        <v>42</v>
      </c>
      <c r="BZ6" s="106" cm="1">
        <f t="array" ref="BZ6">IFERROR(OptionProfit($C6,$D6,$E6,$F6,$G6,BZ$4),0)</f>
        <v>42</v>
      </c>
      <c r="CA6" s="106" cm="1">
        <f t="array" ref="CA6">IFERROR(OptionProfit($C6,$D6,$E6,$F6,$G6,CA$4),0)</f>
        <v>42</v>
      </c>
      <c r="CB6" s="106" cm="1">
        <f t="array" ref="CB6">IFERROR(OptionProfit($C6,$D6,$E6,$F6,$G6,CB$4),0)</f>
        <v>42</v>
      </c>
      <c r="CC6" s="106" cm="1">
        <f t="array" ref="CC6">IFERROR(OptionProfit($C6,$D6,$E6,$F6,$G6,CC$4),0)</f>
        <v>42</v>
      </c>
      <c r="CD6" s="106" cm="1">
        <f t="array" ref="CD6">IFERROR(OptionProfit($C6,$D6,$E6,$F6,$G6,CD$4),0)</f>
        <v>42</v>
      </c>
      <c r="CE6" s="106" cm="1">
        <f t="array" ref="CE6">IFERROR(OptionProfit($C6,$D6,$E6,$F6,$G6,CE$4),0)</f>
        <v>42</v>
      </c>
      <c r="CF6" s="106" cm="1">
        <f t="array" ref="CF6">IFERROR(OptionProfit($C6,$D6,$E6,$F6,$G6,CF$4),0)</f>
        <v>42</v>
      </c>
      <c r="CG6" s="106" cm="1">
        <f t="array" ref="CG6">IFERROR(OptionProfit($C6,$D6,$E6,$F6,$G6,CG$4),0)</f>
        <v>42</v>
      </c>
      <c r="CH6" s="106" cm="1">
        <f t="array" ref="CH6">IFERROR(OptionProfit($C6,$D6,$E6,$F6,$G6,CH$4),0)</f>
        <v>42</v>
      </c>
      <c r="CI6" s="106" cm="1">
        <f t="array" ref="CI6">IFERROR(OptionProfit($C6,$D6,$E6,$F6,$G6,CI$4),0)</f>
        <v>42</v>
      </c>
      <c r="CJ6" s="106" cm="1">
        <f t="array" ref="CJ6">IFERROR(OptionProfit($C6,$D6,$E6,$F6,$G6,CJ$4),0)</f>
        <v>42</v>
      </c>
      <c r="CK6" s="106" cm="1">
        <f t="array" ref="CK6">IFERROR(OptionProfit($C6,$D6,$E6,$F6,$G6,CK$4),0)</f>
        <v>42</v>
      </c>
      <c r="CL6" s="106" cm="1">
        <f t="array" ref="CL6">IFERROR(OptionProfit($C6,$D6,$E6,$F6,$G6,CL$4),0)</f>
        <v>42</v>
      </c>
      <c r="CM6" s="106" cm="1">
        <f t="array" ref="CM6">IFERROR(OptionProfit($C6,$D6,$E6,$F6,$G6,CM$4),0)</f>
        <v>42</v>
      </c>
      <c r="CN6" s="106" cm="1">
        <f t="array" ref="CN6">IFERROR(OptionProfit($C6,$D6,$E6,$F6,$G6,CN$4),0)</f>
        <v>42</v>
      </c>
      <c r="CO6" s="106" cm="1">
        <f t="array" ref="CO6">IFERROR(OptionProfit($C6,$D6,$E6,$F6,$G6,CO$4),0)</f>
        <v>42</v>
      </c>
      <c r="CP6" s="106" cm="1">
        <f t="array" ref="CP6">IFERROR(OptionProfit($C6,$D6,$E6,$F6,$G6,CP$4),0)</f>
        <v>42</v>
      </c>
      <c r="CQ6" s="106" cm="1">
        <f t="array" ref="CQ6">IFERROR(OptionProfit($C6,$D6,$E6,$F6,$G6,CQ$4),0)</f>
        <v>42</v>
      </c>
      <c r="CR6" s="106" cm="1">
        <f t="array" ref="CR6">IFERROR(OptionProfit($C6,$D6,$E6,$F6,$G6,CR$4),0)</f>
        <v>42</v>
      </c>
      <c r="CS6" s="106" cm="1">
        <f t="array" ref="CS6">IFERROR(OptionProfit($C6,$D6,$E6,$F6,$G6,CS$4),0)</f>
        <v>42</v>
      </c>
      <c r="CT6" s="106" cm="1">
        <f t="array" ref="CT6">IFERROR(OptionProfit($C6,$D6,$E6,$F6,$G6,CT$4),0)</f>
        <v>42</v>
      </c>
      <c r="CU6" s="106" cm="1">
        <f t="array" ref="CU6">IFERROR(OptionProfit($C6,$D6,$E6,$F6,$G6,CU$4),0)</f>
        <v>-58</v>
      </c>
      <c r="CV6" s="128" cm="1">
        <f t="array" ref="CV6">IFERROR(OptionProfit($C6,$D6,$E6,$F6,$G6,CV$4),0)</f>
        <v>-158</v>
      </c>
      <c r="CW6" s="128" cm="1">
        <f t="array" ref="CW6">IFERROR(OptionProfit($C6,$D6,$E6,$F6,$G6,CW$4),0)</f>
        <v>-258</v>
      </c>
      <c r="CX6" s="106" cm="1">
        <f t="array" ref="CX6">IFERROR(OptionProfit($C6,$D6,$E6,$F6,$G6,CX$4),0)</f>
        <v>-358</v>
      </c>
      <c r="CY6" s="106" cm="1">
        <f t="array" ref="CY6">IFERROR(OptionProfit($C6,$D6,$E6,$F6,$G6,CY$4),0)</f>
        <v>-458</v>
      </c>
      <c r="CZ6" s="106" cm="1">
        <f t="array" ref="CZ6">IFERROR(OptionProfit($C6,$D6,$E6,$F6,$G6,CZ$4),0)</f>
        <v>-558</v>
      </c>
      <c r="DA6" s="106" cm="1">
        <f t="array" ref="DA6">IFERROR(OptionProfit($C6,$D6,$E6,$F6,$G6,DA$4),0)</f>
        <v>-658</v>
      </c>
      <c r="DB6" s="106" cm="1">
        <f t="array" ref="DB6">IFERROR(OptionProfit($C6,$D6,$E6,$F6,$G6,DB$4),0)</f>
        <v>-758</v>
      </c>
      <c r="DC6" s="106" cm="1">
        <f t="array" ref="DC6">IFERROR(OptionProfit($C6,$D6,$E6,$F6,$G6,DC$4),0)</f>
        <v>-858</v>
      </c>
      <c r="DD6" s="106" cm="1">
        <f t="array" ref="DD6">IFERROR(OptionProfit($C6,$D6,$E6,$F6,$G6,DD$4),0)</f>
        <v>-958</v>
      </c>
      <c r="DE6" s="106" cm="1">
        <f t="array" ref="DE6">IFERROR(OptionProfit($C6,$D6,$E6,$F6,$G6,DE$4),0)</f>
        <v>-1058</v>
      </c>
      <c r="DF6" s="106" cm="1">
        <f t="array" ref="DF6">IFERROR(OptionProfit($C6,$D6,$E6,$F6,$G6,DF$4),0)</f>
        <v>-1158</v>
      </c>
      <c r="DG6" s="106" cm="1">
        <f t="array" ref="DG6">IFERROR(OptionProfit($C6,$D6,$E6,$F6,$G6,DG$4),0)</f>
        <v>-1258</v>
      </c>
      <c r="DH6" s="106" cm="1">
        <f t="array" ref="DH6">IFERROR(OptionProfit($C6,$D6,$E6,$F6,$G6,DH$4),0)</f>
        <v>-1358</v>
      </c>
      <c r="DI6" s="106" cm="1">
        <f t="array" ref="DI6">IFERROR(OptionProfit($C6,$D6,$E6,$F6,$G6,DI$4),0)</f>
        <v>-1458</v>
      </c>
      <c r="DJ6" s="106" cm="1">
        <f t="array" ref="DJ6">IFERROR(OptionProfit($C6,$D6,$E6,$F6,$G6,DJ$4),0)</f>
        <v>-1558</v>
      </c>
      <c r="DK6" s="106" cm="1">
        <f t="array" ref="DK6">IFERROR(OptionProfit($C6,$D6,$E6,$F6,$G6,DK$4),0)</f>
        <v>-1658</v>
      </c>
      <c r="DL6" s="106" cm="1">
        <f t="array" ref="DL6">IFERROR(OptionProfit($C6,$D6,$E6,$F6,$G6,DL$4),0)</f>
        <v>-1758</v>
      </c>
      <c r="DM6" s="106" cm="1">
        <f t="array" ref="DM6">IFERROR(OptionProfit($C6,$D6,$E6,$F6,$G6,DM$4),0)</f>
        <v>-1858</v>
      </c>
      <c r="DN6" s="106" cm="1">
        <f t="array" ref="DN6">IFERROR(OptionProfit($C6,$D6,$E6,$F6,$G6,DN$4),0)</f>
        <v>-1958</v>
      </c>
      <c r="DP6" s="91" t="str">
        <f t="shared" ref="DP6:DP20" si="0">UPPER(E6)</f>
        <v>C</v>
      </c>
      <c r="DQ6" s="91" t="str">
        <f t="shared" ref="DQ6:DQ20" si="1">A6&amp;DP6&amp;C6</f>
        <v>TX4N07C24000</v>
      </c>
      <c r="DR6" s="91" t="str">
        <f>"="&amp;$DP$4&amp;DQ6&amp;$DQ$4</f>
        <v>=XQFAP|Quote!'TX4N07C24000.TF-price'</v>
      </c>
    </row>
    <row r="7" spans="1:122" ht="21" customHeight="1" x14ac:dyDescent="0.25">
      <c r="A7" s="108" t="s">
        <v>155</v>
      </c>
      <c r="B7" s="121">
        <f>[1]!'TX4N07C24000.TF-price'</f>
        <v>2.1</v>
      </c>
      <c r="C7" s="108">
        <v>24000</v>
      </c>
      <c r="D7" s="108" t="s">
        <v>131</v>
      </c>
      <c r="E7" s="108" t="s">
        <v>143</v>
      </c>
      <c r="F7" s="108">
        <v>1</v>
      </c>
      <c r="G7" s="108">
        <v>21</v>
      </c>
      <c r="H7" s="122" cm="1">
        <f t="array" ref="H7">IFERROR(OptionPnL(D7,G7,B7,F7),0)</f>
        <v>18.899999999999999</v>
      </c>
      <c r="O7" s="126">
        <v>20050</v>
      </c>
      <c r="P7" s="110">
        <f>Q7*50</f>
        <v>-221675</v>
      </c>
      <c r="Q7" s="107">
        <f>SUM(S6:S38)</f>
        <v>-4433.5</v>
      </c>
      <c r="R7" s="106" cm="1">
        <f t="array" ref="R7">IFERROR(OptionProfit($C7,$D7,$E7,$F7,$G7,R$4),0)</f>
        <v>21</v>
      </c>
      <c r="S7" s="106" cm="1">
        <f t="array" ref="S7">IFERROR(OptionProfit($C7,$D7,$E7,$F7,$G7,S$4),0)</f>
        <v>21</v>
      </c>
      <c r="T7" s="106" cm="1">
        <f t="array" ref="T7">IFERROR(OptionProfit($C7,$D7,$E7,$F7,$G7,T$4),0)</f>
        <v>21</v>
      </c>
      <c r="U7" s="106" cm="1">
        <f t="array" ref="U7">IFERROR(OptionProfit($C7,$D7,$E7,$F7,$G7,U$4),0)</f>
        <v>21</v>
      </c>
      <c r="V7" s="106" cm="1">
        <f t="array" ref="V7">IFERROR(OptionProfit($C7,$D7,$E7,$F7,$G7,V$4),0)</f>
        <v>21</v>
      </c>
      <c r="W7" s="106" cm="1">
        <f t="array" ref="W7">IFERROR(OptionProfit($C7,$D7,$E7,$F7,$G7,W$4),0)</f>
        <v>21</v>
      </c>
      <c r="X7" s="106" cm="1">
        <f t="array" ref="X7">IFERROR(OptionProfit($C7,$D7,$E7,$F7,$G7,X$4),0)</f>
        <v>21</v>
      </c>
      <c r="Y7" s="106" cm="1">
        <f t="array" ref="Y7">IFERROR(OptionProfit($C7,$D7,$E7,$F7,$G7,Y$4),0)</f>
        <v>21</v>
      </c>
      <c r="Z7" s="106" cm="1">
        <f t="array" ref="Z7">IFERROR(OptionProfit($C7,$D7,$E7,$F7,$G7,Z$4),0)</f>
        <v>21</v>
      </c>
      <c r="AA7" s="106" cm="1">
        <f t="array" ref="AA7">IFERROR(OptionProfit($C7,$D7,$E7,$F7,$G7,AA$4),0)</f>
        <v>21</v>
      </c>
      <c r="AB7" s="106" cm="1">
        <f t="array" ref="AB7">IFERROR(OptionProfit($C7,$D7,$E7,$F7,$G7,AB$4),0)</f>
        <v>21</v>
      </c>
      <c r="AC7" s="106" cm="1">
        <f t="array" ref="AC7">IFERROR(OptionProfit($C7,$D7,$E7,$F7,$G7,AC$4),0)</f>
        <v>21</v>
      </c>
      <c r="AD7" s="106" cm="1">
        <f t="array" ref="AD7">IFERROR(OptionProfit($C7,$D7,$E7,$F7,$G7,AD$4),0)</f>
        <v>21</v>
      </c>
      <c r="AE7" s="106" cm="1">
        <f t="array" ref="AE7">IFERROR(OptionProfit($C7,$D7,$E7,$F7,$G7,AE$4),0)</f>
        <v>21</v>
      </c>
      <c r="AF7" s="106" cm="1">
        <f t="array" ref="AF7">IFERROR(OptionProfit($C7,$D7,$E7,$F7,$G7,AF$4),0)</f>
        <v>21</v>
      </c>
      <c r="AG7" s="106" cm="1">
        <f t="array" ref="AG7">IFERROR(OptionProfit($C7,$D7,$E7,$F7,$G7,AG$4),0)</f>
        <v>21</v>
      </c>
      <c r="AH7" s="106" cm="1">
        <f t="array" ref="AH7">IFERROR(OptionProfit($C7,$D7,$E7,$F7,$G7,AH$4),0)</f>
        <v>21</v>
      </c>
      <c r="AI7" s="106" cm="1">
        <f t="array" ref="AI7">IFERROR(OptionProfit($C7,$D7,$E7,$F7,$G7,AI$4),0)</f>
        <v>21</v>
      </c>
      <c r="AJ7" s="106" cm="1">
        <f t="array" ref="AJ7">IFERROR(OptionProfit($C7,$D7,$E7,$F7,$G7,AJ$4),0)</f>
        <v>21</v>
      </c>
      <c r="AK7" s="106" cm="1">
        <f t="array" ref="AK7">IFERROR(OptionProfit($C7,$D7,$E7,$F7,$G7,AK$4),0)</f>
        <v>21</v>
      </c>
      <c r="AL7" s="106" cm="1">
        <f t="array" ref="AL7">IFERROR(OptionProfit($C7,$D7,$E7,$F7,$G7,AL$4),0)</f>
        <v>21</v>
      </c>
      <c r="AM7" s="106" cm="1">
        <f t="array" ref="AM7">IFERROR(OptionProfit($C7,$D7,$E7,$F7,$G7,AM$4),0)</f>
        <v>21</v>
      </c>
      <c r="AN7" s="106" cm="1">
        <f t="array" ref="AN7">IFERROR(OptionProfit($C7,$D7,$E7,$F7,$G7,AN$4),0)</f>
        <v>21</v>
      </c>
      <c r="AO7" s="106" cm="1">
        <f t="array" ref="AO7">IFERROR(OptionProfit($C7,$D7,$E7,$F7,$G7,AO$4),0)</f>
        <v>21</v>
      </c>
      <c r="AP7" s="106" cm="1">
        <f t="array" ref="AP7">IFERROR(OptionProfit($C7,$D7,$E7,$F7,$G7,AP$4),0)</f>
        <v>21</v>
      </c>
      <c r="AQ7" s="106" cm="1">
        <f t="array" ref="AQ7">IFERROR(OptionProfit($C7,$D7,$E7,$F7,$G7,AQ$4),0)</f>
        <v>21</v>
      </c>
      <c r="AR7" s="106" cm="1">
        <f t="array" ref="AR7">IFERROR(OptionProfit($C7,$D7,$E7,$F7,$G7,AR$4),0)</f>
        <v>21</v>
      </c>
      <c r="AS7" s="106" cm="1">
        <f t="array" ref="AS7">IFERROR(OptionProfit($C7,$D7,$E7,$F7,$G7,AS$4),0)</f>
        <v>21</v>
      </c>
      <c r="AT7" s="106" cm="1">
        <f t="array" ref="AT7">IFERROR(OptionProfit($C7,$D7,$E7,$F7,$G7,AT$4),0)</f>
        <v>21</v>
      </c>
      <c r="AU7" s="106" cm="1">
        <f t="array" ref="AU7">IFERROR(OptionProfit($C7,$D7,$E7,$F7,$G7,AU$4),0)</f>
        <v>21</v>
      </c>
      <c r="AV7" s="106" cm="1">
        <f t="array" ref="AV7">IFERROR(OptionProfit($C7,$D7,$E7,$F7,$G7,AV$4),0)</f>
        <v>21</v>
      </c>
      <c r="AW7" s="106" cm="1">
        <f t="array" ref="AW7">IFERROR(OptionProfit($C7,$D7,$E7,$F7,$G7,AW$4),0)</f>
        <v>21</v>
      </c>
      <c r="AX7" s="106" cm="1">
        <f t="array" ref="AX7">IFERROR(OptionProfit($C7,$D7,$E7,$F7,$G7,AX$4),0)</f>
        <v>21</v>
      </c>
      <c r="AY7" s="106" cm="1">
        <f t="array" ref="AY7">IFERROR(OptionProfit($C7,$D7,$E7,$F7,$G7,AY$4),0)</f>
        <v>21</v>
      </c>
      <c r="AZ7" s="106" cm="1">
        <f t="array" ref="AZ7">IFERROR(OptionProfit($C7,$D7,$E7,$F7,$G7,AZ$4),0)</f>
        <v>21</v>
      </c>
      <c r="BA7" s="106" cm="1">
        <f t="array" ref="BA7">IFERROR(OptionProfit($C7,$D7,$E7,$F7,$G7,BA$4),0)</f>
        <v>21</v>
      </c>
      <c r="BB7" s="106" cm="1">
        <f t="array" ref="BB7">IFERROR(OptionProfit($C7,$D7,$E7,$F7,$G7,BB$4),0)</f>
        <v>21</v>
      </c>
      <c r="BC7" s="106" cm="1">
        <f t="array" ref="BC7">IFERROR(OptionProfit($C7,$D7,$E7,$F7,$G7,BC$4),0)</f>
        <v>21</v>
      </c>
      <c r="BD7" s="106" cm="1">
        <f t="array" ref="BD7">IFERROR(OptionProfit($C7,$D7,$E7,$F7,$G7,BD$4),0)</f>
        <v>21</v>
      </c>
      <c r="BE7" s="106" cm="1">
        <f t="array" ref="BE7">IFERROR(OptionProfit($C7,$D7,$E7,$F7,$G7,BE$4),0)</f>
        <v>21</v>
      </c>
      <c r="BF7" s="106" cm="1">
        <f t="array" ref="BF7">IFERROR(OptionProfit($C7,$D7,$E7,$F7,$G7,BF$4),0)</f>
        <v>21</v>
      </c>
      <c r="BG7" s="106" cm="1">
        <f t="array" ref="BG7">IFERROR(OptionProfit($C7,$D7,$E7,$F7,$G7,BG$4),0)</f>
        <v>21</v>
      </c>
      <c r="BH7" s="106" cm="1">
        <f t="array" ref="BH7">IFERROR(OptionProfit($C7,$D7,$E7,$F7,$G7,BH$4),0)</f>
        <v>21</v>
      </c>
      <c r="BI7" s="106" cm="1">
        <f t="array" ref="BI7">IFERROR(OptionProfit($C7,$D7,$E7,$F7,$G7,BI$4),0)</f>
        <v>21</v>
      </c>
      <c r="BJ7" s="106" cm="1">
        <f t="array" ref="BJ7">IFERROR(OptionProfit($C7,$D7,$E7,$F7,$G7,BJ$4),0)</f>
        <v>21</v>
      </c>
      <c r="BK7" s="106" cm="1">
        <f t="array" ref="BK7">IFERROR(OptionProfit($C7,$D7,$E7,$F7,$G7,BK$4),0)</f>
        <v>21</v>
      </c>
      <c r="BL7" s="106" cm="1">
        <f t="array" ref="BL7">IFERROR(OptionProfit($C7,$D7,$E7,$F7,$G7,BL$4),0)</f>
        <v>21</v>
      </c>
      <c r="BM7" s="106" cm="1">
        <f t="array" ref="BM7">IFERROR(OptionProfit($C7,$D7,$E7,$F7,$G7,BM$4),0)</f>
        <v>21</v>
      </c>
      <c r="BN7" s="106" cm="1">
        <f t="array" ref="BN7">IFERROR(OptionProfit($C7,$D7,$E7,$F7,$G7,BN$4),0)</f>
        <v>21</v>
      </c>
      <c r="BO7" s="106" cm="1">
        <f t="array" ref="BO7">IFERROR(OptionProfit($C7,$D7,$E7,$F7,$G7,BO$4),0)</f>
        <v>21</v>
      </c>
      <c r="BP7" s="106" cm="1">
        <f t="array" ref="BP7">IFERROR(OptionProfit($C7,$D7,$E7,$F7,$G7,BP$4),0)</f>
        <v>21</v>
      </c>
      <c r="BQ7" s="106" cm="1">
        <f t="array" ref="BQ7">IFERROR(OptionProfit($C7,$D7,$E7,$F7,$G7,BQ$4),0)</f>
        <v>21</v>
      </c>
      <c r="BR7" s="106" cm="1">
        <f t="array" ref="BR7">IFERROR(OptionProfit($C7,$D7,$E7,$F7,$G7,BR$4),0)</f>
        <v>21</v>
      </c>
      <c r="BS7" s="106" cm="1">
        <f t="array" ref="BS7">IFERROR(OptionProfit($C7,$D7,$E7,$F7,$G7,BS$4),0)</f>
        <v>21</v>
      </c>
      <c r="BT7" s="106" cm="1">
        <f t="array" ref="BT7">IFERROR(OptionProfit($C7,$D7,$E7,$F7,$G7,BT$4),0)</f>
        <v>21</v>
      </c>
      <c r="BU7" s="106" cm="1">
        <f t="array" ref="BU7">IFERROR(OptionProfit($C7,$D7,$E7,$F7,$G7,BU$4),0)</f>
        <v>21</v>
      </c>
      <c r="BV7" s="106" cm="1">
        <f t="array" ref="BV7">IFERROR(OptionProfit($C7,$D7,$E7,$F7,$G7,BV$4),0)</f>
        <v>21</v>
      </c>
      <c r="BW7" s="106" cm="1">
        <f t="array" ref="BW7">IFERROR(OptionProfit($C7,$D7,$E7,$F7,$G7,BW$4),0)</f>
        <v>21</v>
      </c>
      <c r="BX7" s="106" cm="1">
        <f t="array" ref="BX7">IFERROR(OptionProfit($C7,$D7,$E7,$F7,$G7,BX$4),0)</f>
        <v>21</v>
      </c>
      <c r="BY7" s="106" cm="1">
        <f t="array" ref="BY7">IFERROR(OptionProfit($C7,$D7,$E7,$F7,$G7,BY$4),0)</f>
        <v>21</v>
      </c>
      <c r="BZ7" s="106" cm="1">
        <f t="array" ref="BZ7">IFERROR(OptionProfit($C7,$D7,$E7,$F7,$G7,BZ$4),0)</f>
        <v>21</v>
      </c>
      <c r="CA7" s="106" cm="1">
        <f t="array" ref="CA7">IFERROR(OptionProfit($C7,$D7,$E7,$F7,$G7,CA$4),0)</f>
        <v>21</v>
      </c>
      <c r="CB7" s="106" cm="1">
        <f t="array" ref="CB7">IFERROR(OptionProfit($C7,$D7,$E7,$F7,$G7,CB$4),0)</f>
        <v>21</v>
      </c>
      <c r="CC7" s="106" cm="1">
        <f t="array" ref="CC7">IFERROR(OptionProfit($C7,$D7,$E7,$F7,$G7,CC$4),0)</f>
        <v>21</v>
      </c>
      <c r="CD7" s="106" cm="1">
        <f t="array" ref="CD7">IFERROR(OptionProfit($C7,$D7,$E7,$F7,$G7,CD$4),0)</f>
        <v>21</v>
      </c>
      <c r="CE7" s="106" cm="1">
        <f t="array" ref="CE7">IFERROR(OptionProfit($C7,$D7,$E7,$F7,$G7,CE$4),0)</f>
        <v>21</v>
      </c>
      <c r="CF7" s="106" cm="1">
        <f t="array" ref="CF7">IFERROR(OptionProfit($C7,$D7,$E7,$F7,$G7,CF$4),0)</f>
        <v>21</v>
      </c>
      <c r="CG7" s="106" cm="1">
        <f t="array" ref="CG7">IFERROR(OptionProfit($C7,$D7,$E7,$F7,$G7,CG$4),0)</f>
        <v>21</v>
      </c>
      <c r="CH7" s="106" cm="1">
        <f t="array" ref="CH7">IFERROR(OptionProfit($C7,$D7,$E7,$F7,$G7,CH$4),0)</f>
        <v>21</v>
      </c>
      <c r="CI7" s="106" cm="1">
        <f t="array" ref="CI7">IFERROR(OptionProfit($C7,$D7,$E7,$F7,$G7,CI$4),0)</f>
        <v>21</v>
      </c>
      <c r="CJ7" s="106" cm="1">
        <f t="array" ref="CJ7">IFERROR(OptionProfit($C7,$D7,$E7,$F7,$G7,CJ$4),0)</f>
        <v>21</v>
      </c>
      <c r="CK7" s="106" cm="1">
        <f t="array" ref="CK7">IFERROR(OptionProfit($C7,$D7,$E7,$F7,$G7,CK$4),0)</f>
        <v>21</v>
      </c>
      <c r="CL7" s="106" cm="1">
        <f t="array" ref="CL7">IFERROR(OptionProfit($C7,$D7,$E7,$F7,$G7,CL$4),0)</f>
        <v>21</v>
      </c>
      <c r="CM7" s="106" cm="1">
        <f t="array" ref="CM7">IFERROR(OptionProfit($C7,$D7,$E7,$F7,$G7,CM$4),0)</f>
        <v>21</v>
      </c>
      <c r="CN7" s="106" cm="1">
        <f t="array" ref="CN7">IFERROR(OptionProfit($C7,$D7,$E7,$F7,$G7,CN$4),0)</f>
        <v>21</v>
      </c>
      <c r="CO7" s="106" cm="1">
        <f t="array" ref="CO7">IFERROR(OptionProfit($C7,$D7,$E7,$F7,$G7,CO$4),0)</f>
        <v>21</v>
      </c>
      <c r="CP7" s="106" cm="1">
        <f t="array" ref="CP7">IFERROR(OptionProfit($C7,$D7,$E7,$F7,$G7,CP$4),0)</f>
        <v>21</v>
      </c>
      <c r="CQ7" s="106" cm="1">
        <f t="array" ref="CQ7">IFERROR(OptionProfit($C7,$D7,$E7,$F7,$G7,CQ$4),0)</f>
        <v>21</v>
      </c>
      <c r="CR7" s="106" cm="1">
        <f t="array" ref="CR7">IFERROR(OptionProfit($C7,$D7,$E7,$F7,$G7,CR$4),0)</f>
        <v>21</v>
      </c>
      <c r="CS7" s="106" cm="1">
        <f t="array" ref="CS7">IFERROR(OptionProfit($C7,$D7,$E7,$F7,$G7,CS$4),0)</f>
        <v>21</v>
      </c>
      <c r="CT7" s="106" cm="1">
        <f t="array" ref="CT7">IFERROR(OptionProfit($C7,$D7,$E7,$F7,$G7,CT$4),0)</f>
        <v>21</v>
      </c>
      <c r="CU7" s="106" cm="1">
        <f t="array" ref="CU7">IFERROR(OptionProfit($C7,$D7,$E7,$F7,$G7,CU$4),0)</f>
        <v>-29</v>
      </c>
      <c r="CV7" s="128" cm="1">
        <f t="array" ref="CV7">IFERROR(OptionProfit($C7,$D7,$E7,$F7,$G7,CV$4),0)</f>
        <v>-79</v>
      </c>
      <c r="CW7" s="128" cm="1">
        <f t="array" ref="CW7">IFERROR(OptionProfit($C7,$D7,$E7,$F7,$G7,CW$4),0)</f>
        <v>-129</v>
      </c>
      <c r="CX7" s="106" cm="1">
        <f t="array" ref="CX7">IFERROR(OptionProfit($C7,$D7,$E7,$F7,$G7,CX$4),0)</f>
        <v>-179</v>
      </c>
      <c r="CY7" s="106" cm="1">
        <f t="array" ref="CY7">IFERROR(OptionProfit($C7,$D7,$E7,$F7,$G7,CY$4),0)</f>
        <v>-229</v>
      </c>
      <c r="CZ7" s="106" cm="1">
        <f t="array" ref="CZ7">IFERROR(OptionProfit($C7,$D7,$E7,$F7,$G7,CZ$4),0)</f>
        <v>-279</v>
      </c>
      <c r="DA7" s="106" cm="1">
        <f t="array" ref="DA7">IFERROR(OptionProfit($C7,$D7,$E7,$F7,$G7,DA$4),0)</f>
        <v>-329</v>
      </c>
      <c r="DB7" s="106" cm="1">
        <f t="array" ref="DB7">IFERROR(OptionProfit($C7,$D7,$E7,$F7,$G7,DB$4),0)</f>
        <v>-379</v>
      </c>
      <c r="DC7" s="106" cm="1">
        <f t="array" ref="DC7">IFERROR(OptionProfit($C7,$D7,$E7,$F7,$G7,DC$4),0)</f>
        <v>-429</v>
      </c>
      <c r="DD7" s="106" cm="1">
        <f t="array" ref="DD7">IFERROR(OptionProfit($C7,$D7,$E7,$F7,$G7,DD$4),0)</f>
        <v>-479</v>
      </c>
      <c r="DE7" s="106" cm="1">
        <f t="array" ref="DE7">IFERROR(OptionProfit($C7,$D7,$E7,$F7,$G7,DE$4),0)</f>
        <v>-529</v>
      </c>
      <c r="DF7" s="106" cm="1">
        <f t="array" ref="DF7">IFERROR(OptionProfit($C7,$D7,$E7,$F7,$G7,DF$4),0)</f>
        <v>-579</v>
      </c>
      <c r="DG7" s="106" cm="1">
        <f t="array" ref="DG7">IFERROR(OptionProfit($C7,$D7,$E7,$F7,$G7,DG$4),0)</f>
        <v>-629</v>
      </c>
      <c r="DH7" s="106" cm="1">
        <f t="array" ref="DH7">IFERROR(OptionProfit($C7,$D7,$E7,$F7,$G7,DH$4),0)</f>
        <v>-679</v>
      </c>
      <c r="DI7" s="106" cm="1">
        <f t="array" ref="DI7">IFERROR(OptionProfit($C7,$D7,$E7,$F7,$G7,DI$4),0)</f>
        <v>-729</v>
      </c>
      <c r="DJ7" s="106" cm="1">
        <f t="array" ref="DJ7">IFERROR(OptionProfit($C7,$D7,$E7,$F7,$G7,DJ$4),0)</f>
        <v>-779</v>
      </c>
      <c r="DK7" s="106" cm="1">
        <f t="array" ref="DK7">IFERROR(OptionProfit($C7,$D7,$E7,$F7,$G7,DK$4),0)</f>
        <v>-829</v>
      </c>
      <c r="DL7" s="106" cm="1">
        <f t="array" ref="DL7">IFERROR(OptionProfit($C7,$D7,$E7,$F7,$G7,DL$4),0)</f>
        <v>-879</v>
      </c>
      <c r="DM7" s="106" cm="1">
        <f t="array" ref="DM7">IFERROR(OptionProfit($C7,$D7,$E7,$F7,$G7,DM$4),0)</f>
        <v>-929</v>
      </c>
      <c r="DN7" s="106" cm="1">
        <f t="array" ref="DN7">IFERROR(OptionProfit($C7,$D7,$E7,$F7,$G7,DN$4),0)</f>
        <v>-979</v>
      </c>
      <c r="DP7" s="91" t="str">
        <f t="shared" si="0"/>
        <v>C</v>
      </c>
      <c r="DQ7" s="91" t="str">
        <f t="shared" si="1"/>
        <v>TX4N07C24000</v>
      </c>
      <c r="DR7" s="91" t="str">
        <f t="shared" ref="DR7:DR20" si="2">"="&amp;$DP$4&amp;DQ7&amp;$DQ$4</f>
        <v>=XQFAP|Quote!'TX4N07C24000.TF-price'</v>
      </c>
    </row>
    <row r="8" spans="1:122" ht="21" customHeight="1" x14ac:dyDescent="0.25">
      <c r="A8" s="108" t="s">
        <v>155</v>
      </c>
      <c r="B8" s="121">
        <f>[1]!'TX4N07C23700.TF-price'</f>
        <v>11.5</v>
      </c>
      <c r="C8" s="108">
        <v>23700</v>
      </c>
      <c r="D8" s="108" t="s">
        <v>141</v>
      </c>
      <c r="E8" s="108" t="s">
        <v>143</v>
      </c>
      <c r="F8" s="108">
        <v>1</v>
      </c>
      <c r="G8" s="108">
        <v>71</v>
      </c>
      <c r="H8" s="122" cm="1">
        <f t="array" ref="H8">IFERROR(OptionPnL(D8,G8,B8,F8),0)</f>
        <v>-59.5</v>
      </c>
      <c r="O8" s="126">
        <v>20100</v>
      </c>
      <c r="P8" s="110">
        <f t="shared" ref="P8:P37" si="3">Q8*50</f>
        <v>-216675</v>
      </c>
      <c r="Q8" s="107">
        <f>SUM(T6:T38)</f>
        <v>-4333.5</v>
      </c>
      <c r="R8" s="106" cm="1">
        <f t="array" ref="R8">IFERROR(OptionProfit($C8,$D8,$E8,$F8,$G8,R$4),0)</f>
        <v>-71</v>
      </c>
      <c r="S8" s="106" cm="1">
        <f t="array" ref="S8">IFERROR(OptionProfit($C8,$D8,$E8,$F8,$G8,S$4),0)</f>
        <v>-71</v>
      </c>
      <c r="T8" s="106" cm="1">
        <f t="array" ref="T8">IFERROR(OptionProfit($C8,$D8,$E8,$F8,$G8,T$4),0)</f>
        <v>-71</v>
      </c>
      <c r="U8" s="106" cm="1">
        <f t="array" ref="U8">IFERROR(OptionProfit($C8,$D8,$E8,$F8,$G8,U$4),0)</f>
        <v>-71</v>
      </c>
      <c r="V8" s="106" cm="1">
        <f t="array" ref="V8">IFERROR(OptionProfit($C8,$D8,$E8,$F8,$G8,V$4),0)</f>
        <v>-71</v>
      </c>
      <c r="W8" s="106" cm="1">
        <f t="array" ref="W8">IFERROR(OptionProfit($C8,$D8,$E8,$F8,$G8,W$4),0)</f>
        <v>-71</v>
      </c>
      <c r="X8" s="106" cm="1">
        <f t="array" ref="X8">IFERROR(OptionProfit($C8,$D8,$E8,$F8,$G8,X$4),0)</f>
        <v>-71</v>
      </c>
      <c r="Y8" s="106" cm="1">
        <f t="array" ref="Y8">IFERROR(OptionProfit($C8,$D8,$E8,$F8,$G8,Y$4),0)</f>
        <v>-71</v>
      </c>
      <c r="Z8" s="106" cm="1">
        <f t="array" ref="Z8">IFERROR(OptionProfit($C8,$D8,$E8,$F8,$G8,Z$4),0)</f>
        <v>-71</v>
      </c>
      <c r="AA8" s="106" cm="1">
        <f t="array" ref="AA8">IFERROR(OptionProfit($C8,$D8,$E8,$F8,$G8,AA$4),0)</f>
        <v>-71</v>
      </c>
      <c r="AB8" s="106" cm="1">
        <f t="array" ref="AB8">IFERROR(OptionProfit($C8,$D8,$E8,$F8,$G8,AB$4),0)</f>
        <v>-71</v>
      </c>
      <c r="AC8" s="106" cm="1">
        <f t="array" ref="AC8">IFERROR(OptionProfit($C8,$D8,$E8,$F8,$G8,AC$4),0)</f>
        <v>-71</v>
      </c>
      <c r="AD8" s="106" cm="1">
        <f t="array" ref="AD8">IFERROR(OptionProfit($C8,$D8,$E8,$F8,$G8,AD$4),0)</f>
        <v>-71</v>
      </c>
      <c r="AE8" s="106" cm="1">
        <f t="array" ref="AE8">IFERROR(OptionProfit($C8,$D8,$E8,$F8,$G8,AE$4),0)</f>
        <v>-71</v>
      </c>
      <c r="AF8" s="106" cm="1">
        <f t="array" ref="AF8">IFERROR(OptionProfit($C8,$D8,$E8,$F8,$G8,AF$4),0)</f>
        <v>-71</v>
      </c>
      <c r="AG8" s="106" cm="1">
        <f t="array" ref="AG8">IFERROR(OptionProfit($C8,$D8,$E8,$F8,$G8,AG$4),0)</f>
        <v>-71</v>
      </c>
      <c r="AH8" s="106" cm="1">
        <f t="array" ref="AH8">IFERROR(OptionProfit($C8,$D8,$E8,$F8,$G8,AH$4),0)</f>
        <v>-71</v>
      </c>
      <c r="AI8" s="106" cm="1">
        <f t="array" ref="AI8">IFERROR(OptionProfit($C8,$D8,$E8,$F8,$G8,AI$4),0)</f>
        <v>-71</v>
      </c>
      <c r="AJ8" s="106" cm="1">
        <f t="array" ref="AJ8">IFERROR(OptionProfit($C8,$D8,$E8,$F8,$G8,AJ$4),0)</f>
        <v>-71</v>
      </c>
      <c r="AK8" s="106" cm="1">
        <f t="array" ref="AK8">IFERROR(OptionProfit($C8,$D8,$E8,$F8,$G8,AK$4),0)</f>
        <v>-71</v>
      </c>
      <c r="AL8" s="106" cm="1">
        <f t="array" ref="AL8">IFERROR(OptionProfit($C8,$D8,$E8,$F8,$G8,AL$4),0)</f>
        <v>-71</v>
      </c>
      <c r="AM8" s="106" cm="1">
        <f t="array" ref="AM8">IFERROR(OptionProfit($C8,$D8,$E8,$F8,$G8,AM$4),0)</f>
        <v>-71</v>
      </c>
      <c r="AN8" s="106" cm="1">
        <f t="array" ref="AN8">IFERROR(OptionProfit($C8,$D8,$E8,$F8,$G8,AN$4),0)</f>
        <v>-71</v>
      </c>
      <c r="AO8" s="106" cm="1">
        <f t="array" ref="AO8">IFERROR(OptionProfit($C8,$D8,$E8,$F8,$G8,AO$4),0)</f>
        <v>-71</v>
      </c>
      <c r="AP8" s="106" cm="1">
        <f t="array" ref="AP8">IFERROR(OptionProfit($C8,$D8,$E8,$F8,$G8,AP$4),0)</f>
        <v>-71</v>
      </c>
      <c r="AQ8" s="106" cm="1">
        <f t="array" ref="AQ8">IFERROR(OptionProfit($C8,$D8,$E8,$F8,$G8,AQ$4),0)</f>
        <v>-71</v>
      </c>
      <c r="AR8" s="106" cm="1">
        <f t="array" ref="AR8">IFERROR(OptionProfit($C8,$D8,$E8,$F8,$G8,AR$4),0)</f>
        <v>-71</v>
      </c>
      <c r="AS8" s="106" cm="1">
        <f t="array" ref="AS8">IFERROR(OptionProfit($C8,$D8,$E8,$F8,$G8,AS$4),0)</f>
        <v>-71</v>
      </c>
      <c r="AT8" s="106" cm="1">
        <f t="array" ref="AT8">IFERROR(OptionProfit($C8,$D8,$E8,$F8,$G8,AT$4),0)</f>
        <v>-71</v>
      </c>
      <c r="AU8" s="106" cm="1">
        <f t="array" ref="AU8">IFERROR(OptionProfit($C8,$D8,$E8,$F8,$G8,AU$4),0)</f>
        <v>-71</v>
      </c>
      <c r="AV8" s="106" cm="1">
        <f t="array" ref="AV8">IFERROR(OptionProfit($C8,$D8,$E8,$F8,$G8,AV$4),0)</f>
        <v>-71</v>
      </c>
      <c r="AW8" s="106" cm="1">
        <f t="array" ref="AW8">IFERROR(OptionProfit($C8,$D8,$E8,$F8,$G8,AW$4),0)</f>
        <v>-71</v>
      </c>
      <c r="AX8" s="106" cm="1">
        <f t="array" ref="AX8">IFERROR(OptionProfit($C8,$D8,$E8,$F8,$G8,AX$4),0)</f>
        <v>-71</v>
      </c>
      <c r="AY8" s="106" cm="1">
        <f t="array" ref="AY8">IFERROR(OptionProfit($C8,$D8,$E8,$F8,$G8,AY$4),0)</f>
        <v>-71</v>
      </c>
      <c r="AZ8" s="106" cm="1">
        <f t="array" ref="AZ8">IFERROR(OptionProfit($C8,$D8,$E8,$F8,$G8,AZ$4),0)</f>
        <v>-71</v>
      </c>
      <c r="BA8" s="106" cm="1">
        <f t="array" ref="BA8">IFERROR(OptionProfit($C8,$D8,$E8,$F8,$G8,BA$4),0)</f>
        <v>-71</v>
      </c>
      <c r="BB8" s="106" cm="1">
        <f t="array" ref="BB8">IFERROR(OptionProfit($C8,$D8,$E8,$F8,$G8,BB$4),0)</f>
        <v>-71</v>
      </c>
      <c r="BC8" s="106" cm="1">
        <f t="array" ref="BC8">IFERROR(OptionProfit($C8,$D8,$E8,$F8,$G8,BC$4),0)</f>
        <v>-71</v>
      </c>
      <c r="BD8" s="106" cm="1">
        <f t="array" ref="BD8">IFERROR(OptionProfit($C8,$D8,$E8,$F8,$G8,BD$4),0)</f>
        <v>-71</v>
      </c>
      <c r="BE8" s="106" cm="1">
        <f t="array" ref="BE8">IFERROR(OptionProfit($C8,$D8,$E8,$F8,$G8,BE$4),0)</f>
        <v>-71</v>
      </c>
      <c r="BF8" s="106" cm="1">
        <f t="array" ref="BF8">IFERROR(OptionProfit($C8,$D8,$E8,$F8,$G8,BF$4),0)</f>
        <v>-71</v>
      </c>
      <c r="BG8" s="106" cm="1">
        <f t="array" ref="BG8">IFERROR(OptionProfit($C8,$D8,$E8,$F8,$G8,BG$4),0)</f>
        <v>-71</v>
      </c>
      <c r="BH8" s="106" cm="1">
        <f t="array" ref="BH8">IFERROR(OptionProfit($C8,$D8,$E8,$F8,$G8,BH$4),0)</f>
        <v>-71</v>
      </c>
      <c r="BI8" s="106" cm="1">
        <f t="array" ref="BI8">IFERROR(OptionProfit($C8,$D8,$E8,$F8,$G8,BI$4),0)</f>
        <v>-71</v>
      </c>
      <c r="BJ8" s="106" cm="1">
        <f t="array" ref="BJ8">IFERROR(OptionProfit($C8,$D8,$E8,$F8,$G8,BJ$4),0)</f>
        <v>-71</v>
      </c>
      <c r="BK8" s="106" cm="1">
        <f t="array" ref="BK8">IFERROR(OptionProfit($C8,$D8,$E8,$F8,$G8,BK$4),0)</f>
        <v>-71</v>
      </c>
      <c r="BL8" s="106" cm="1">
        <f t="array" ref="BL8">IFERROR(OptionProfit($C8,$D8,$E8,$F8,$G8,BL$4),0)</f>
        <v>-71</v>
      </c>
      <c r="BM8" s="106" cm="1">
        <f t="array" ref="BM8">IFERROR(OptionProfit($C8,$D8,$E8,$F8,$G8,BM$4),0)</f>
        <v>-71</v>
      </c>
      <c r="BN8" s="106" cm="1">
        <f t="array" ref="BN8">IFERROR(OptionProfit($C8,$D8,$E8,$F8,$G8,BN$4),0)</f>
        <v>-71</v>
      </c>
      <c r="BO8" s="106" cm="1">
        <f t="array" ref="BO8">IFERROR(OptionProfit($C8,$D8,$E8,$F8,$G8,BO$4),0)</f>
        <v>-71</v>
      </c>
      <c r="BP8" s="106" cm="1">
        <f t="array" ref="BP8">IFERROR(OptionProfit($C8,$D8,$E8,$F8,$G8,BP$4),0)</f>
        <v>-71</v>
      </c>
      <c r="BQ8" s="106" cm="1">
        <f t="array" ref="BQ8">IFERROR(OptionProfit($C8,$D8,$E8,$F8,$G8,BQ$4),0)</f>
        <v>-71</v>
      </c>
      <c r="BR8" s="106" cm="1">
        <f t="array" ref="BR8">IFERROR(OptionProfit($C8,$D8,$E8,$F8,$G8,BR$4),0)</f>
        <v>-71</v>
      </c>
      <c r="BS8" s="106" cm="1">
        <f t="array" ref="BS8">IFERROR(OptionProfit($C8,$D8,$E8,$F8,$G8,BS$4),0)</f>
        <v>-71</v>
      </c>
      <c r="BT8" s="106" cm="1">
        <f t="array" ref="BT8">IFERROR(OptionProfit($C8,$D8,$E8,$F8,$G8,BT$4),0)</f>
        <v>-71</v>
      </c>
      <c r="BU8" s="106" cm="1">
        <f t="array" ref="BU8">IFERROR(OptionProfit($C8,$D8,$E8,$F8,$G8,BU$4),0)</f>
        <v>-71</v>
      </c>
      <c r="BV8" s="106" cm="1">
        <f t="array" ref="BV8">IFERROR(OptionProfit($C8,$D8,$E8,$F8,$G8,BV$4),0)</f>
        <v>-71</v>
      </c>
      <c r="BW8" s="106" cm="1">
        <f t="array" ref="BW8">IFERROR(OptionProfit($C8,$D8,$E8,$F8,$G8,BW$4),0)</f>
        <v>-71</v>
      </c>
      <c r="BX8" s="106" cm="1">
        <f t="array" ref="BX8">IFERROR(OptionProfit($C8,$D8,$E8,$F8,$G8,BX$4),0)</f>
        <v>-71</v>
      </c>
      <c r="BY8" s="106" cm="1">
        <f t="array" ref="BY8">IFERROR(OptionProfit($C8,$D8,$E8,$F8,$G8,BY$4),0)</f>
        <v>-71</v>
      </c>
      <c r="BZ8" s="106" cm="1">
        <f t="array" ref="BZ8">IFERROR(OptionProfit($C8,$D8,$E8,$F8,$G8,BZ$4),0)</f>
        <v>-71</v>
      </c>
      <c r="CA8" s="106" cm="1">
        <f t="array" ref="CA8">IFERROR(OptionProfit($C8,$D8,$E8,$F8,$G8,CA$4),0)</f>
        <v>-71</v>
      </c>
      <c r="CB8" s="106" cm="1">
        <f t="array" ref="CB8">IFERROR(OptionProfit($C8,$D8,$E8,$F8,$G8,CB$4),0)</f>
        <v>-71</v>
      </c>
      <c r="CC8" s="106" cm="1">
        <f t="array" ref="CC8">IFERROR(OptionProfit($C8,$D8,$E8,$F8,$G8,CC$4),0)</f>
        <v>-71</v>
      </c>
      <c r="CD8" s="106" cm="1">
        <f t="array" ref="CD8">IFERROR(OptionProfit($C8,$D8,$E8,$F8,$G8,CD$4),0)</f>
        <v>-71</v>
      </c>
      <c r="CE8" s="106" cm="1">
        <f t="array" ref="CE8">IFERROR(OptionProfit($C8,$D8,$E8,$F8,$G8,CE$4),0)</f>
        <v>-71</v>
      </c>
      <c r="CF8" s="106" cm="1">
        <f t="array" ref="CF8">IFERROR(OptionProfit($C8,$D8,$E8,$F8,$G8,CF$4),0)</f>
        <v>-71</v>
      </c>
      <c r="CG8" s="106" cm="1">
        <f t="array" ref="CG8">IFERROR(OptionProfit($C8,$D8,$E8,$F8,$G8,CG$4),0)</f>
        <v>-71</v>
      </c>
      <c r="CH8" s="106" cm="1">
        <f t="array" ref="CH8">IFERROR(OptionProfit($C8,$D8,$E8,$F8,$G8,CH$4),0)</f>
        <v>-71</v>
      </c>
      <c r="CI8" s="106" cm="1">
        <f t="array" ref="CI8">IFERROR(OptionProfit($C8,$D8,$E8,$F8,$G8,CI$4),0)</f>
        <v>-71</v>
      </c>
      <c r="CJ8" s="106" cm="1">
        <f t="array" ref="CJ8">IFERROR(OptionProfit($C8,$D8,$E8,$F8,$G8,CJ$4),0)</f>
        <v>-71</v>
      </c>
      <c r="CK8" s="106" cm="1">
        <f t="array" ref="CK8">IFERROR(OptionProfit($C8,$D8,$E8,$F8,$G8,CK$4),0)</f>
        <v>-71</v>
      </c>
      <c r="CL8" s="106" cm="1">
        <f t="array" ref="CL8">IFERROR(OptionProfit($C8,$D8,$E8,$F8,$G8,CL$4),0)</f>
        <v>-71</v>
      </c>
      <c r="CM8" s="106" cm="1">
        <f t="array" ref="CM8">IFERROR(OptionProfit($C8,$D8,$E8,$F8,$G8,CM$4),0)</f>
        <v>-71</v>
      </c>
      <c r="CN8" s="106" cm="1">
        <f t="array" ref="CN8">IFERROR(OptionProfit($C8,$D8,$E8,$F8,$G8,CN$4),0)</f>
        <v>-71</v>
      </c>
      <c r="CO8" s="106" cm="1">
        <f t="array" ref="CO8">IFERROR(OptionProfit($C8,$D8,$E8,$F8,$G8,CO$4),0)</f>
        <v>-21</v>
      </c>
      <c r="CP8" s="106" cm="1">
        <f t="array" ref="CP8">IFERROR(OptionProfit($C8,$D8,$E8,$F8,$G8,CP$4),0)</f>
        <v>29</v>
      </c>
      <c r="CQ8" s="106" cm="1">
        <f t="array" ref="CQ8">IFERROR(OptionProfit($C8,$D8,$E8,$F8,$G8,CQ$4),0)</f>
        <v>79</v>
      </c>
      <c r="CR8" s="106" cm="1">
        <f t="array" ref="CR8">IFERROR(OptionProfit($C8,$D8,$E8,$F8,$G8,CR$4),0)</f>
        <v>129</v>
      </c>
      <c r="CS8" s="106" cm="1">
        <f t="array" ref="CS8">IFERROR(OptionProfit($C8,$D8,$E8,$F8,$G8,CS$4),0)</f>
        <v>179</v>
      </c>
      <c r="CT8" s="106" cm="1">
        <f t="array" ref="CT8">IFERROR(OptionProfit($C8,$D8,$E8,$F8,$G8,CT$4),0)</f>
        <v>229</v>
      </c>
      <c r="CU8" s="106" cm="1">
        <f t="array" ref="CU8">IFERROR(OptionProfit($C8,$D8,$E8,$F8,$G8,CU$4),0)</f>
        <v>279</v>
      </c>
      <c r="CV8" s="128" cm="1">
        <f t="array" ref="CV8">IFERROR(OptionProfit($C8,$D8,$E8,$F8,$G8,CV$4),0)</f>
        <v>329</v>
      </c>
      <c r="CW8" s="128" cm="1">
        <f t="array" ref="CW8">IFERROR(OptionProfit($C8,$D8,$E8,$F8,$G8,CW$4),0)</f>
        <v>379</v>
      </c>
      <c r="CX8" s="106" cm="1">
        <f t="array" ref="CX8">IFERROR(OptionProfit($C8,$D8,$E8,$F8,$G8,CX$4),0)</f>
        <v>429</v>
      </c>
      <c r="CY8" s="106" cm="1">
        <f t="array" ref="CY8">IFERROR(OptionProfit($C8,$D8,$E8,$F8,$G8,CY$4),0)</f>
        <v>479</v>
      </c>
      <c r="CZ8" s="106" cm="1">
        <f t="array" ref="CZ8">IFERROR(OptionProfit($C8,$D8,$E8,$F8,$G8,CZ$4),0)</f>
        <v>529</v>
      </c>
      <c r="DA8" s="106" cm="1">
        <f t="array" ref="DA8">IFERROR(OptionProfit($C8,$D8,$E8,$F8,$G8,DA$4),0)</f>
        <v>579</v>
      </c>
      <c r="DB8" s="106" cm="1">
        <f t="array" ref="DB8">IFERROR(OptionProfit($C8,$D8,$E8,$F8,$G8,DB$4),0)</f>
        <v>629</v>
      </c>
      <c r="DC8" s="106" cm="1">
        <f t="array" ref="DC8">IFERROR(OptionProfit($C8,$D8,$E8,$F8,$G8,DC$4),0)</f>
        <v>679</v>
      </c>
      <c r="DD8" s="106" cm="1">
        <f t="array" ref="DD8">IFERROR(OptionProfit($C8,$D8,$E8,$F8,$G8,DD$4),0)</f>
        <v>729</v>
      </c>
      <c r="DE8" s="106" cm="1">
        <f t="array" ref="DE8">IFERROR(OptionProfit($C8,$D8,$E8,$F8,$G8,DE$4),0)</f>
        <v>779</v>
      </c>
      <c r="DF8" s="106" cm="1">
        <f t="array" ref="DF8">IFERROR(OptionProfit($C8,$D8,$E8,$F8,$G8,DF$4),0)</f>
        <v>829</v>
      </c>
      <c r="DG8" s="106" cm="1">
        <f t="array" ref="DG8">IFERROR(OptionProfit($C8,$D8,$E8,$F8,$G8,DG$4),0)</f>
        <v>879</v>
      </c>
      <c r="DH8" s="106" cm="1">
        <f t="array" ref="DH8">IFERROR(OptionProfit($C8,$D8,$E8,$F8,$G8,DH$4),0)</f>
        <v>929</v>
      </c>
      <c r="DI8" s="106" cm="1">
        <f t="array" ref="DI8">IFERROR(OptionProfit($C8,$D8,$E8,$F8,$G8,DI$4),0)</f>
        <v>979</v>
      </c>
      <c r="DJ8" s="106" cm="1">
        <f t="array" ref="DJ8">IFERROR(OptionProfit($C8,$D8,$E8,$F8,$G8,DJ$4),0)</f>
        <v>1029</v>
      </c>
      <c r="DK8" s="106" cm="1">
        <f t="array" ref="DK8">IFERROR(OptionProfit($C8,$D8,$E8,$F8,$G8,DK$4),0)</f>
        <v>1079</v>
      </c>
      <c r="DL8" s="106" cm="1">
        <f t="array" ref="DL8">IFERROR(OptionProfit($C8,$D8,$E8,$F8,$G8,DL$4),0)</f>
        <v>1129</v>
      </c>
      <c r="DM8" s="106" cm="1">
        <f t="array" ref="DM8">IFERROR(OptionProfit($C8,$D8,$E8,$F8,$G8,DM$4),0)</f>
        <v>1179</v>
      </c>
      <c r="DN8" s="106" cm="1">
        <f t="array" ref="DN8">IFERROR(OptionProfit($C8,$D8,$E8,$F8,$G8,DN$4),0)</f>
        <v>1229</v>
      </c>
      <c r="DP8" s="91" t="str">
        <f t="shared" si="0"/>
        <v>C</v>
      </c>
      <c r="DQ8" s="91" t="str">
        <f t="shared" si="1"/>
        <v>TX4N07C23700</v>
      </c>
      <c r="DR8" s="91" t="str">
        <f t="shared" si="2"/>
        <v>=XQFAP|Quote!'TX4N07C23700.TF-price'</v>
      </c>
    </row>
    <row r="9" spans="1:122" ht="21" customHeight="1" x14ac:dyDescent="0.25">
      <c r="A9" s="108" t="s">
        <v>155</v>
      </c>
      <c r="B9" s="121">
        <f>[1]!'TX4N07P21500.TF-price'</f>
        <v>2.5</v>
      </c>
      <c r="C9" s="108">
        <v>21500</v>
      </c>
      <c r="D9" s="108" t="s">
        <v>131</v>
      </c>
      <c r="E9" s="108" t="s">
        <v>149</v>
      </c>
      <c r="F9" s="108">
        <v>1</v>
      </c>
      <c r="G9" s="108">
        <v>33</v>
      </c>
      <c r="H9" s="122" cm="1">
        <f t="array" ref="H9">IFERROR(OptionPnL(D9,G9,B9,F9),0)</f>
        <v>30.5</v>
      </c>
      <c r="O9" s="126">
        <v>20150</v>
      </c>
      <c r="P9" s="110">
        <f t="shared" si="3"/>
        <v>-211675</v>
      </c>
      <c r="Q9" s="107">
        <f>SUM(U6:U38)</f>
        <v>-4233.5</v>
      </c>
      <c r="R9" s="106" cm="1">
        <f t="array" ref="R9">IFERROR(OptionProfit($C9,$D9,$E9,$F9,$G9,R$4),0)</f>
        <v>-1467</v>
      </c>
      <c r="S9" s="106" cm="1">
        <f t="array" ref="S9">IFERROR(OptionProfit($C9,$D9,$E9,$F9,$G9,S$4),0)</f>
        <v>-1417</v>
      </c>
      <c r="T9" s="106" cm="1">
        <f t="array" ref="T9">IFERROR(OptionProfit($C9,$D9,$E9,$F9,$G9,T$4),0)</f>
        <v>-1367</v>
      </c>
      <c r="U9" s="106" cm="1">
        <f t="array" ref="U9">IFERROR(OptionProfit($C9,$D9,$E9,$F9,$G9,U$4),0)</f>
        <v>-1317</v>
      </c>
      <c r="V9" s="106" cm="1">
        <f t="array" ref="V9">IFERROR(OptionProfit($C9,$D9,$E9,$F9,$G9,V$4),0)</f>
        <v>-1267</v>
      </c>
      <c r="W9" s="106" cm="1">
        <f t="array" ref="W9">IFERROR(OptionProfit($C9,$D9,$E9,$F9,$G9,W$4),0)</f>
        <v>-1217</v>
      </c>
      <c r="X9" s="106" cm="1">
        <f t="array" ref="X9">IFERROR(OptionProfit($C9,$D9,$E9,$F9,$G9,X$4),0)</f>
        <v>-1167</v>
      </c>
      <c r="Y9" s="106" cm="1">
        <f t="array" ref="Y9">IFERROR(OptionProfit($C9,$D9,$E9,$F9,$G9,Y$4),0)</f>
        <v>-1117</v>
      </c>
      <c r="Z9" s="106" cm="1">
        <f t="array" ref="Z9">IFERROR(OptionProfit($C9,$D9,$E9,$F9,$G9,Z$4),0)</f>
        <v>-1067</v>
      </c>
      <c r="AA9" s="106" cm="1">
        <f t="array" ref="AA9">IFERROR(OptionProfit($C9,$D9,$E9,$F9,$G9,AA$4),0)</f>
        <v>-1017</v>
      </c>
      <c r="AB9" s="106" cm="1">
        <f t="array" ref="AB9">IFERROR(OptionProfit($C9,$D9,$E9,$F9,$G9,AB$4),0)</f>
        <v>-967</v>
      </c>
      <c r="AC9" s="106" cm="1">
        <f t="array" ref="AC9">IFERROR(OptionProfit($C9,$D9,$E9,$F9,$G9,AC$4),0)</f>
        <v>-917</v>
      </c>
      <c r="AD9" s="106" cm="1">
        <f t="array" ref="AD9">IFERROR(OptionProfit($C9,$D9,$E9,$F9,$G9,AD$4),0)</f>
        <v>-867</v>
      </c>
      <c r="AE9" s="106" cm="1">
        <f t="array" ref="AE9">IFERROR(OptionProfit($C9,$D9,$E9,$F9,$G9,AE$4),0)</f>
        <v>-817</v>
      </c>
      <c r="AF9" s="106" cm="1">
        <f t="array" ref="AF9">IFERROR(OptionProfit($C9,$D9,$E9,$F9,$G9,AF$4),0)</f>
        <v>-767</v>
      </c>
      <c r="AG9" s="106" cm="1">
        <f t="array" ref="AG9">IFERROR(OptionProfit($C9,$D9,$E9,$F9,$G9,AG$4),0)</f>
        <v>-717</v>
      </c>
      <c r="AH9" s="106" cm="1">
        <f t="array" ref="AH9">IFERROR(OptionProfit($C9,$D9,$E9,$F9,$G9,AH$4),0)</f>
        <v>-667</v>
      </c>
      <c r="AI9" s="106" cm="1">
        <f t="array" ref="AI9">IFERROR(OptionProfit($C9,$D9,$E9,$F9,$G9,AI$4),0)</f>
        <v>-617</v>
      </c>
      <c r="AJ9" s="106" cm="1">
        <f t="array" ref="AJ9">IFERROR(OptionProfit($C9,$D9,$E9,$F9,$G9,AJ$4),0)</f>
        <v>-567</v>
      </c>
      <c r="AK9" s="106" cm="1">
        <f t="array" ref="AK9">IFERROR(OptionProfit($C9,$D9,$E9,$F9,$G9,AK$4),0)</f>
        <v>-517</v>
      </c>
      <c r="AL9" s="106" cm="1">
        <f t="array" ref="AL9">IFERROR(OptionProfit($C9,$D9,$E9,$F9,$G9,AL$4),0)</f>
        <v>-467</v>
      </c>
      <c r="AM9" s="106" cm="1">
        <f t="array" ref="AM9">IFERROR(OptionProfit($C9,$D9,$E9,$F9,$G9,AM$4),0)</f>
        <v>-417</v>
      </c>
      <c r="AN9" s="106" cm="1">
        <f t="array" ref="AN9">IFERROR(OptionProfit($C9,$D9,$E9,$F9,$G9,AN$4),0)</f>
        <v>-367</v>
      </c>
      <c r="AO9" s="106" cm="1">
        <f t="array" ref="AO9">IFERROR(OptionProfit($C9,$D9,$E9,$F9,$G9,AO$4),0)</f>
        <v>-317</v>
      </c>
      <c r="AP9" s="106" cm="1">
        <f t="array" ref="AP9">IFERROR(OptionProfit($C9,$D9,$E9,$F9,$G9,AP$4),0)</f>
        <v>-267</v>
      </c>
      <c r="AQ9" s="106" cm="1">
        <f t="array" ref="AQ9">IFERROR(OptionProfit($C9,$D9,$E9,$F9,$G9,AQ$4),0)</f>
        <v>-217</v>
      </c>
      <c r="AR9" s="106" cm="1">
        <f t="array" ref="AR9">IFERROR(OptionProfit($C9,$D9,$E9,$F9,$G9,AR$4),0)</f>
        <v>-167</v>
      </c>
      <c r="AS9" s="106" cm="1">
        <f t="array" ref="AS9">IFERROR(OptionProfit($C9,$D9,$E9,$F9,$G9,AS$4),0)</f>
        <v>-117</v>
      </c>
      <c r="AT9" s="106" cm="1">
        <f t="array" ref="AT9">IFERROR(OptionProfit($C9,$D9,$E9,$F9,$G9,AT$4),0)</f>
        <v>-67</v>
      </c>
      <c r="AU9" s="106" cm="1">
        <f t="array" ref="AU9">IFERROR(OptionProfit($C9,$D9,$E9,$F9,$G9,AU$4),0)</f>
        <v>-17</v>
      </c>
      <c r="AV9" s="106" cm="1">
        <f t="array" ref="AV9">IFERROR(OptionProfit($C9,$D9,$E9,$F9,$G9,AV$4),0)</f>
        <v>33</v>
      </c>
      <c r="AW9" s="106" cm="1">
        <f t="array" ref="AW9">IFERROR(OptionProfit($C9,$D9,$E9,$F9,$G9,AW$4),0)</f>
        <v>33</v>
      </c>
      <c r="AX9" s="106" cm="1">
        <f t="array" ref="AX9">IFERROR(OptionProfit($C9,$D9,$E9,$F9,$G9,AX$4),0)</f>
        <v>33</v>
      </c>
      <c r="AY9" s="106" cm="1">
        <f t="array" ref="AY9">IFERROR(OptionProfit($C9,$D9,$E9,$F9,$G9,AY$4),0)</f>
        <v>33</v>
      </c>
      <c r="AZ9" s="106" cm="1">
        <f t="array" ref="AZ9">IFERROR(OptionProfit($C9,$D9,$E9,$F9,$G9,AZ$4),0)</f>
        <v>33</v>
      </c>
      <c r="BA9" s="106" cm="1">
        <f t="array" ref="BA9">IFERROR(OptionProfit($C9,$D9,$E9,$F9,$G9,BA$4),0)</f>
        <v>33</v>
      </c>
      <c r="BB9" s="106" cm="1">
        <f t="array" ref="BB9">IFERROR(OptionProfit($C9,$D9,$E9,$F9,$G9,BB$4),0)</f>
        <v>33</v>
      </c>
      <c r="BC9" s="106" cm="1">
        <f t="array" ref="BC9">IFERROR(OptionProfit($C9,$D9,$E9,$F9,$G9,BC$4),0)</f>
        <v>33</v>
      </c>
      <c r="BD9" s="106" cm="1">
        <f t="array" ref="BD9">IFERROR(OptionProfit($C9,$D9,$E9,$F9,$G9,BD$4),0)</f>
        <v>33</v>
      </c>
      <c r="BE9" s="106" cm="1">
        <f t="array" ref="BE9">IFERROR(OptionProfit($C9,$D9,$E9,$F9,$G9,BE$4),0)</f>
        <v>33</v>
      </c>
      <c r="BF9" s="106" cm="1">
        <f t="array" ref="BF9">IFERROR(OptionProfit($C9,$D9,$E9,$F9,$G9,BF$4),0)</f>
        <v>33</v>
      </c>
      <c r="BG9" s="106" cm="1">
        <f t="array" ref="BG9">IFERROR(OptionProfit($C9,$D9,$E9,$F9,$G9,BG$4),0)</f>
        <v>33</v>
      </c>
      <c r="BH9" s="106" cm="1">
        <f t="array" ref="BH9">IFERROR(OptionProfit($C9,$D9,$E9,$F9,$G9,BH$4),0)</f>
        <v>33</v>
      </c>
      <c r="BI9" s="106" cm="1">
        <f t="array" ref="BI9">IFERROR(OptionProfit($C9,$D9,$E9,$F9,$G9,BI$4),0)</f>
        <v>33</v>
      </c>
      <c r="BJ9" s="106" cm="1">
        <f t="array" ref="BJ9">IFERROR(OptionProfit($C9,$D9,$E9,$F9,$G9,BJ$4),0)</f>
        <v>33</v>
      </c>
      <c r="BK9" s="106" cm="1">
        <f t="array" ref="BK9">IFERROR(OptionProfit($C9,$D9,$E9,$F9,$G9,BK$4),0)</f>
        <v>33</v>
      </c>
      <c r="BL9" s="106" cm="1">
        <f t="array" ref="BL9">IFERROR(OptionProfit($C9,$D9,$E9,$F9,$G9,BL$4),0)</f>
        <v>33</v>
      </c>
      <c r="BM9" s="106" cm="1">
        <f t="array" ref="BM9">IFERROR(OptionProfit($C9,$D9,$E9,$F9,$G9,BM$4),0)</f>
        <v>33</v>
      </c>
      <c r="BN9" s="106" cm="1">
        <f t="array" ref="BN9">IFERROR(OptionProfit($C9,$D9,$E9,$F9,$G9,BN$4),0)</f>
        <v>33</v>
      </c>
      <c r="BO9" s="106" cm="1">
        <f t="array" ref="BO9">IFERROR(OptionProfit($C9,$D9,$E9,$F9,$G9,BO$4),0)</f>
        <v>33</v>
      </c>
      <c r="BP9" s="106" cm="1">
        <f t="array" ref="BP9">IFERROR(OptionProfit($C9,$D9,$E9,$F9,$G9,BP$4),0)</f>
        <v>33</v>
      </c>
      <c r="BQ9" s="106" cm="1">
        <f t="array" ref="BQ9">IFERROR(OptionProfit($C9,$D9,$E9,$F9,$G9,BQ$4),0)</f>
        <v>33</v>
      </c>
      <c r="BR9" s="106" cm="1">
        <f t="array" ref="BR9">IFERROR(OptionProfit($C9,$D9,$E9,$F9,$G9,BR$4),0)</f>
        <v>33</v>
      </c>
      <c r="BS9" s="106" cm="1">
        <f t="array" ref="BS9">IFERROR(OptionProfit($C9,$D9,$E9,$F9,$G9,BS$4),0)</f>
        <v>33</v>
      </c>
      <c r="BT9" s="106" cm="1">
        <f t="array" ref="BT9">IFERROR(OptionProfit($C9,$D9,$E9,$F9,$G9,BT$4),0)</f>
        <v>33</v>
      </c>
      <c r="BU9" s="106" cm="1">
        <f t="array" ref="BU9">IFERROR(OptionProfit($C9,$D9,$E9,$F9,$G9,BU$4),0)</f>
        <v>33</v>
      </c>
      <c r="BV9" s="106" cm="1">
        <f t="array" ref="BV9">IFERROR(OptionProfit($C9,$D9,$E9,$F9,$G9,BV$4),0)</f>
        <v>33</v>
      </c>
      <c r="BW9" s="106" cm="1">
        <f t="array" ref="BW9">IFERROR(OptionProfit($C9,$D9,$E9,$F9,$G9,BW$4),0)</f>
        <v>33</v>
      </c>
      <c r="BX9" s="106" cm="1">
        <f t="array" ref="BX9">IFERROR(OptionProfit($C9,$D9,$E9,$F9,$G9,BX$4),0)</f>
        <v>33</v>
      </c>
      <c r="BY9" s="106" cm="1">
        <f t="array" ref="BY9">IFERROR(OptionProfit($C9,$D9,$E9,$F9,$G9,BY$4),0)</f>
        <v>33</v>
      </c>
      <c r="BZ9" s="106" cm="1">
        <f t="array" ref="BZ9">IFERROR(OptionProfit($C9,$D9,$E9,$F9,$G9,BZ$4),0)</f>
        <v>33</v>
      </c>
      <c r="CA9" s="106" cm="1">
        <f t="array" ref="CA9">IFERROR(OptionProfit($C9,$D9,$E9,$F9,$G9,CA$4),0)</f>
        <v>33</v>
      </c>
      <c r="CB9" s="106" cm="1">
        <f t="array" ref="CB9">IFERROR(OptionProfit($C9,$D9,$E9,$F9,$G9,CB$4),0)</f>
        <v>33</v>
      </c>
      <c r="CC9" s="106" cm="1">
        <f t="array" ref="CC9">IFERROR(OptionProfit($C9,$D9,$E9,$F9,$G9,CC$4),0)</f>
        <v>33</v>
      </c>
      <c r="CD9" s="106" cm="1">
        <f t="array" ref="CD9">IFERROR(OptionProfit($C9,$D9,$E9,$F9,$G9,CD$4),0)</f>
        <v>33</v>
      </c>
      <c r="CE9" s="106" cm="1">
        <f t="array" ref="CE9">IFERROR(OptionProfit($C9,$D9,$E9,$F9,$G9,CE$4),0)</f>
        <v>33</v>
      </c>
      <c r="CF9" s="106" cm="1">
        <f t="array" ref="CF9">IFERROR(OptionProfit($C9,$D9,$E9,$F9,$G9,CF$4),0)</f>
        <v>33</v>
      </c>
      <c r="CG9" s="106" cm="1">
        <f t="array" ref="CG9">IFERROR(OptionProfit($C9,$D9,$E9,$F9,$G9,CG$4),0)</f>
        <v>33</v>
      </c>
      <c r="CH9" s="106" cm="1">
        <f t="array" ref="CH9">IFERROR(OptionProfit($C9,$D9,$E9,$F9,$G9,CH$4),0)</f>
        <v>33</v>
      </c>
      <c r="CI9" s="106" cm="1">
        <f t="array" ref="CI9">IFERROR(OptionProfit($C9,$D9,$E9,$F9,$G9,CI$4),0)</f>
        <v>33</v>
      </c>
      <c r="CJ9" s="106" cm="1">
        <f t="array" ref="CJ9">IFERROR(OptionProfit($C9,$D9,$E9,$F9,$G9,CJ$4),0)</f>
        <v>33</v>
      </c>
      <c r="CK9" s="106" cm="1">
        <f t="array" ref="CK9">IFERROR(OptionProfit($C9,$D9,$E9,$F9,$G9,CK$4),0)</f>
        <v>33</v>
      </c>
      <c r="CL9" s="106" cm="1">
        <f t="array" ref="CL9">IFERROR(OptionProfit($C9,$D9,$E9,$F9,$G9,CL$4),0)</f>
        <v>33</v>
      </c>
      <c r="CM9" s="106" cm="1">
        <f t="array" ref="CM9">IFERROR(OptionProfit($C9,$D9,$E9,$F9,$G9,CM$4),0)</f>
        <v>33</v>
      </c>
      <c r="CN9" s="106" cm="1">
        <f t="array" ref="CN9">IFERROR(OptionProfit($C9,$D9,$E9,$F9,$G9,CN$4),0)</f>
        <v>33</v>
      </c>
      <c r="CO9" s="106" cm="1">
        <f t="array" ref="CO9">IFERROR(OptionProfit($C9,$D9,$E9,$F9,$G9,CO$4),0)</f>
        <v>33</v>
      </c>
      <c r="CP9" s="106" cm="1">
        <f t="array" ref="CP9">IFERROR(OptionProfit($C9,$D9,$E9,$F9,$G9,CP$4),0)</f>
        <v>33</v>
      </c>
      <c r="CQ9" s="106" cm="1">
        <f t="array" ref="CQ9">IFERROR(OptionProfit($C9,$D9,$E9,$F9,$G9,CQ$4),0)</f>
        <v>33</v>
      </c>
      <c r="CR9" s="106" cm="1">
        <f t="array" ref="CR9">IFERROR(OptionProfit($C9,$D9,$E9,$F9,$G9,CR$4),0)</f>
        <v>33</v>
      </c>
      <c r="CS9" s="106" cm="1">
        <f t="array" ref="CS9">IFERROR(OptionProfit($C9,$D9,$E9,$F9,$G9,CS$4),0)</f>
        <v>33</v>
      </c>
      <c r="CT9" s="106" cm="1">
        <f t="array" ref="CT9">IFERROR(OptionProfit($C9,$D9,$E9,$F9,$G9,CT$4),0)</f>
        <v>33</v>
      </c>
      <c r="CU9" s="106" cm="1">
        <f t="array" ref="CU9">IFERROR(OptionProfit($C9,$D9,$E9,$F9,$G9,CU$4),0)</f>
        <v>33</v>
      </c>
      <c r="CV9" s="128" cm="1">
        <f t="array" ref="CV9">IFERROR(OptionProfit($C9,$D9,$E9,$F9,$G9,CV$4),0)</f>
        <v>33</v>
      </c>
      <c r="CW9" s="128" cm="1">
        <f t="array" ref="CW9">IFERROR(OptionProfit($C9,$D9,$E9,$F9,$G9,CW$4),0)</f>
        <v>33</v>
      </c>
      <c r="CX9" s="106" cm="1">
        <f t="array" ref="CX9">IFERROR(OptionProfit($C9,$D9,$E9,$F9,$G9,CX$4),0)</f>
        <v>33</v>
      </c>
      <c r="CY9" s="106" cm="1">
        <f t="array" ref="CY9">IFERROR(OptionProfit($C9,$D9,$E9,$F9,$G9,CY$4),0)</f>
        <v>33</v>
      </c>
      <c r="CZ9" s="106" cm="1">
        <f t="array" ref="CZ9">IFERROR(OptionProfit($C9,$D9,$E9,$F9,$G9,CZ$4),0)</f>
        <v>33</v>
      </c>
      <c r="DA9" s="106" cm="1">
        <f t="array" ref="DA9">IFERROR(OptionProfit($C9,$D9,$E9,$F9,$G9,DA$4),0)</f>
        <v>33</v>
      </c>
      <c r="DB9" s="106" cm="1">
        <f t="array" ref="DB9">IFERROR(OptionProfit($C9,$D9,$E9,$F9,$G9,DB$4),0)</f>
        <v>33</v>
      </c>
      <c r="DC9" s="106" cm="1">
        <f t="array" ref="DC9">IFERROR(OptionProfit($C9,$D9,$E9,$F9,$G9,DC$4),0)</f>
        <v>33</v>
      </c>
      <c r="DD9" s="106" cm="1">
        <f t="array" ref="DD9">IFERROR(OptionProfit($C9,$D9,$E9,$F9,$G9,DD$4),0)</f>
        <v>33</v>
      </c>
      <c r="DE9" s="106" cm="1">
        <f t="array" ref="DE9">IFERROR(OptionProfit($C9,$D9,$E9,$F9,$G9,DE$4),0)</f>
        <v>33</v>
      </c>
      <c r="DF9" s="106" cm="1">
        <f t="array" ref="DF9">IFERROR(OptionProfit($C9,$D9,$E9,$F9,$G9,DF$4),0)</f>
        <v>33</v>
      </c>
      <c r="DG9" s="106" cm="1">
        <f t="array" ref="DG9">IFERROR(OptionProfit($C9,$D9,$E9,$F9,$G9,DG$4),0)</f>
        <v>33</v>
      </c>
      <c r="DH9" s="106" cm="1">
        <f t="array" ref="DH9">IFERROR(OptionProfit($C9,$D9,$E9,$F9,$G9,DH$4),0)</f>
        <v>33</v>
      </c>
      <c r="DI9" s="106" cm="1">
        <f t="array" ref="DI9">IFERROR(OptionProfit($C9,$D9,$E9,$F9,$G9,DI$4),0)</f>
        <v>33</v>
      </c>
      <c r="DJ9" s="106" cm="1">
        <f t="array" ref="DJ9">IFERROR(OptionProfit($C9,$D9,$E9,$F9,$G9,DJ$4),0)</f>
        <v>33</v>
      </c>
      <c r="DK9" s="106" cm="1">
        <f t="array" ref="DK9">IFERROR(OptionProfit($C9,$D9,$E9,$F9,$G9,DK$4),0)</f>
        <v>33</v>
      </c>
      <c r="DL9" s="106" cm="1">
        <f t="array" ref="DL9">IFERROR(OptionProfit($C9,$D9,$E9,$F9,$G9,DL$4),0)</f>
        <v>33</v>
      </c>
      <c r="DM9" s="106" cm="1">
        <f t="array" ref="DM9">IFERROR(OptionProfit($C9,$D9,$E9,$F9,$G9,DM$4),0)</f>
        <v>33</v>
      </c>
      <c r="DN9" s="106" cm="1">
        <f t="array" ref="DN9">IFERROR(OptionProfit($C9,$D9,$E9,$F9,$G9,DN$4),0)</f>
        <v>33</v>
      </c>
      <c r="DP9" s="91" t="str">
        <f t="shared" si="0"/>
        <v>P</v>
      </c>
      <c r="DQ9" s="91" t="str">
        <f t="shared" si="1"/>
        <v>TX4N07P21500</v>
      </c>
      <c r="DR9" s="91" t="str">
        <f t="shared" si="2"/>
        <v>=XQFAP|Quote!'TX4N07P21500.TF-price'</v>
      </c>
    </row>
    <row r="10" spans="1:122" ht="21" customHeight="1" x14ac:dyDescent="0.25">
      <c r="A10" s="108" t="s">
        <v>155</v>
      </c>
      <c r="B10" s="121">
        <f>[1]!'TX4N07P21800.TF-price'</f>
        <v>3.7</v>
      </c>
      <c r="C10" s="108">
        <v>21800</v>
      </c>
      <c r="D10" s="108" t="s">
        <v>141</v>
      </c>
      <c r="E10" s="108" t="s">
        <v>149</v>
      </c>
      <c r="F10" s="108">
        <v>1</v>
      </c>
      <c r="G10" s="108">
        <v>53</v>
      </c>
      <c r="H10" s="122" cm="1">
        <f t="array" ref="H10">IFERROR(OptionPnL(D10,G10,B10,F10),0)</f>
        <v>-49.3</v>
      </c>
      <c r="O10" s="126">
        <v>20200</v>
      </c>
      <c r="P10" s="110">
        <f t="shared" si="3"/>
        <v>-206675</v>
      </c>
      <c r="Q10" s="107">
        <f>SUM(V6:V38)</f>
        <v>-4133.5</v>
      </c>
      <c r="R10" s="106" cm="1">
        <f t="array" ref="R10">IFERROR(OptionProfit($C10,$D10,$E10,$F10,$G10,R$4),0)</f>
        <v>1747</v>
      </c>
      <c r="S10" s="106" cm="1">
        <f t="array" ref="S10">IFERROR(OptionProfit($C10,$D10,$E10,$F10,$G10,S$4),0)</f>
        <v>1697</v>
      </c>
      <c r="T10" s="106" cm="1">
        <f t="array" ref="T10">IFERROR(OptionProfit($C10,$D10,$E10,$F10,$G10,T$4),0)</f>
        <v>1647</v>
      </c>
      <c r="U10" s="106" cm="1">
        <f t="array" ref="U10">IFERROR(OptionProfit($C10,$D10,$E10,$F10,$G10,U$4),0)</f>
        <v>1597</v>
      </c>
      <c r="V10" s="106" cm="1">
        <f t="array" ref="V10">IFERROR(OptionProfit($C10,$D10,$E10,$F10,$G10,V$4),0)</f>
        <v>1547</v>
      </c>
      <c r="W10" s="106" cm="1">
        <f t="array" ref="W10">IFERROR(OptionProfit($C10,$D10,$E10,$F10,$G10,W$4),0)</f>
        <v>1497</v>
      </c>
      <c r="X10" s="106" cm="1">
        <f t="array" ref="X10">IFERROR(OptionProfit($C10,$D10,$E10,$F10,$G10,X$4),0)</f>
        <v>1447</v>
      </c>
      <c r="Y10" s="106" cm="1">
        <f t="array" ref="Y10">IFERROR(OptionProfit($C10,$D10,$E10,$F10,$G10,Y$4),0)</f>
        <v>1397</v>
      </c>
      <c r="Z10" s="106" cm="1">
        <f t="array" ref="Z10">IFERROR(OptionProfit($C10,$D10,$E10,$F10,$G10,Z$4),0)</f>
        <v>1347</v>
      </c>
      <c r="AA10" s="106" cm="1">
        <f t="array" ref="AA10">IFERROR(OptionProfit($C10,$D10,$E10,$F10,$G10,AA$4),0)</f>
        <v>1297</v>
      </c>
      <c r="AB10" s="106" cm="1">
        <f t="array" ref="AB10">IFERROR(OptionProfit($C10,$D10,$E10,$F10,$G10,AB$4),0)</f>
        <v>1247</v>
      </c>
      <c r="AC10" s="106" cm="1">
        <f t="array" ref="AC10">IFERROR(OptionProfit($C10,$D10,$E10,$F10,$G10,AC$4),0)</f>
        <v>1197</v>
      </c>
      <c r="AD10" s="106" cm="1">
        <f t="array" ref="AD10">IFERROR(OptionProfit($C10,$D10,$E10,$F10,$G10,AD$4),0)</f>
        <v>1147</v>
      </c>
      <c r="AE10" s="106" cm="1">
        <f t="array" ref="AE10">IFERROR(OptionProfit($C10,$D10,$E10,$F10,$G10,AE$4),0)</f>
        <v>1097</v>
      </c>
      <c r="AF10" s="106" cm="1">
        <f t="array" ref="AF10">IFERROR(OptionProfit($C10,$D10,$E10,$F10,$G10,AF$4),0)</f>
        <v>1047</v>
      </c>
      <c r="AG10" s="106" cm="1">
        <f t="array" ref="AG10">IFERROR(OptionProfit($C10,$D10,$E10,$F10,$G10,AG$4),0)</f>
        <v>997</v>
      </c>
      <c r="AH10" s="106" cm="1">
        <f t="array" ref="AH10">IFERROR(OptionProfit($C10,$D10,$E10,$F10,$G10,AH$4),0)</f>
        <v>947</v>
      </c>
      <c r="AI10" s="106" cm="1">
        <f t="array" ref="AI10">IFERROR(OptionProfit($C10,$D10,$E10,$F10,$G10,AI$4),0)</f>
        <v>897</v>
      </c>
      <c r="AJ10" s="106" cm="1">
        <f t="array" ref="AJ10">IFERROR(OptionProfit($C10,$D10,$E10,$F10,$G10,AJ$4),0)</f>
        <v>847</v>
      </c>
      <c r="AK10" s="106" cm="1">
        <f t="array" ref="AK10">IFERROR(OptionProfit($C10,$D10,$E10,$F10,$G10,AK$4),0)</f>
        <v>797</v>
      </c>
      <c r="AL10" s="106" cm="1">
        <f t="array" ref="AL10">IFERROR(OptionProfit($C10,$D10,$E10,$F10,$G10,AL$4),0)</f>
        <v>747</v>
      </c>
      <c r="AM10" s="106" cm="1">
        <f t="array" ref="AM10">IFERROR(OptionProfit($C10,$D10,$E10,$F10,$G10,AM$4),0)</f>
        <v>697</v>
      </c>
      <c r="AN10" s="106" cm="1">
        <f t="array" ref="AN10">IFERROR(OptionProfit($C10,$D10,$E10,$F10,$G10,AN$4),0)</f>
        <v>647</v>
      </c>
      <c r="AO10" s="106" cm="1">
        <f t="array" ref="AO10">IFERROR(OptionProfit($C10,$D10,$E10,$F10,$G10,AO$4),0)</f>
        <v>597</v>
      </c>
      <c r="AP10" s="106" cm="1">
        <f t="array" ref="AP10">IFERROR(OptionProfit($C10,$D10,$E10,$F10,$G10,AP$4),0)</f>
        <v>547</v>
      </c>
      <c r="AQ10" s="106" cm="1">
        <f t="array" ref="AQ10">IFERROR(OptionProfit($C10,$D10,$E10,$F10,$G10,AQ$4),0)</f>
        <v>497</v>
      </c>
      <c r="AR10" s="106" cm="1">
        <f t="array" ref="AR10">IFERROR(OptionProfit($C10,$D10,$E10,$F10,$G10,AR$4),0)</f>
        <v>447</v>
      </c>
      <c r="AS10" s="106" cm="1">
        <f t="array" ref="AS10">IFERROR(OptionProfit($C10,$D10,$E10,$F10,$G10,AS$4),0)</f>
        <v>397</v>
      </c>
      <c r="AT10" s="106" cm="1">
        <f t="array" ref="AT10">IFERROR(OptionProfit($C10,$D10,$E10,$F10,$G10,AT$4),0)</f>
        <v>347</v>
      </c>
      <c r="AU10" s="106" cm="1">
        <f t="array" ref="AU10">IFERROR(OptionProfit($C10,$D10,$E10,$F10,$G10,AU$4),0)</f>
        <v>297</v>
      </c>
      <c r="AV10" s="106" cm="1">
        <f t="array" ref="AV10">IFERROR(OptionProfit($C10,$D10,$E10,$F10,$G10,AV$4),0)</f>
        <v>247</v>
      </c>
      <c r="AW10" s="106" cm="1">
        <f t="array" ref="AW10">IFERROR(OptionProfit($C10,$D10,$E10,$F10,$G10,AW$4),0)</f>
        <v>197</v>
      </c>
      <c r="AX10" s="106" cm="1">
        <f t="array" ref="AX10">IFERROR(OptionProfit($C10,$D10,$E10,$F10,$G10,AX$4),0)</f>
        <v>147</v>
      </c>
      <c r="AY10" s="106" cm="1">
        <f t="array" ref="AY10">IFERROR(OptionProfit($C10,$D10,$E10,$F10,$G10,AY$4),0)</f>
        <v>97</v>
      </c>
      <c r="AZ10" s="106" cm="1">
        <f t="array" ref="AZ10">IFERROR(OptionProfit($C10,$D10,$E10,$F10,$G10,AZ$4),0)</f>
        <v>47</v>
      </c>
      <c r="BA10" s="106" cm="1">
        <f t="array" ref="BA10">IFERROR(OptionProfit($C10,$D10,$E10,$F10,$G10,BA$4),0)</f>
        <v>-3</v>
      </c>
      <c r="BB10" s="106" cm="1">
        <f t="array" ref="BB10">IFERROR(OptionProfit($C10,$D10,$E10,$F10,$G10,BB$4),0)</f>
        <v>-53</v>
      </c>
      <c r="BC10" s="106" cm="1">
        <f t="array" ref="BC10">IFERROR(OptionProfit($C10,$D10,$E10,$F10,$G10,BC$4),0)</f>
        <v>-53</v>
      </c>
      <c r="BD10" s="106" cm="1">
        <f t="array" ref="BD10">IFERROR(OptionProfit($C10,$D10,$E10,$F10,$G10,BD$4),0)</f>
        <v>-53</v>
      </c>
      <c r="BE10" s="106" cm="1">
        <f t="array" ref="BE10">IFERROR(OptionProfit($C10,$D10,$E10,$F10,$G10,BE$4),0)</f>
        <v>-53</v>
      </c>
      <c r="BF10" s="106" cm="1">
        <f t="array" ref="BF10">IFERROR(OptionProfit($C10,$D10,$E10,$F10,$G10,BF$4),0)</f>
        <v>-53</v>
      </c>
      <c r="BG10" s="106" cm="1">
        <f t="array" ref="BG10">IFERROR(OptionProfit($C10,$D10,$E10,$F10,$G10,BG$4),0)</f>
        <v>-53</v>
      </c>
      <c r="BH10" s="106" cm="1">
        <f t="array" ref="BH10">IFERROR(OptionProfit($C10,$D10,$E10,$F10,$G10,BH$4),0)</f>
        <v>-53</v>
      </c>
      <c r="BI10" s="106" cm="1">
        <f t="array" ref="BI10">IFERROR(OptionProfit($C10,$D10,$E10,$F10,$G10,BI$4),0)</f>
        <v>-53</v>
      </c>
      <c r="BJ10" s="106" cm="1">
        <f t="array" ref="BJ10">IFERROR(OptionProfit($C10,$D10,$E10,$F10,$G10,BJ$4),0)</f>
        <v>-53</v>
      </c>
      <c r="BK10" s="106" cm="1">
        <f t="array" ref="BK10">IFERROR(OptionProfit($C10,$D10,$E10,$F10,$G10,BK$4),0)</f>
        <v>-53</v>
      </c>
      <c r="BL10" s="106" cm="1">
        <f t="array" ref="BL10">IFERROR(OptionProfit($C10,$D10,$E10,$F10,$G10,BL$4),0)</f>
        <v>-53</v>
      </c>
      <c r="BM10" s="106" cm="1">
        <f t="array" ref="BM10">IFERROR(OptionProfit($C10,$D10,$E10,$F10,$G10,BM$4),0)</f>
        <v>-53</v>
      </c>
      <c r="BN10" s="106" cm="1">
        <f t="array" ref="BN10">IFERROR(OptionProfit($C10,$D10,$E10,$F10,$G10,BN$4),0)</f>
        <v>-53</v>
      </c>
      <c r="BO10" s="106" cm="1">
        <f t="array" ref="BO10">IFERROR(OptionProfit($C10,$D10,$E10,$F10,$G10,BO$4),0)</f>
        <v>-53</v>
      </c>
      <c r="BP10" s="106" cm="1">
        <f t="array" ref="BP10">IFERROR(OptionProfit($C10,$D10,$E10,$F10,$G10,BP$4),0)</f>
        <v>-53</v>
      </c>
      <c r="BQ10" s="106" cm="1">
        <f t="array" ref="BQ10">IFERROR(OptionProfit($C10,$D10,$E10,$F10,$G10,BQ$4),0)</f>
        <v>-53</v>
      </c>
      <c r="BR10" s="106" cm="1">
        <f t="array" ref="BR10">IFERROR(OptionProfit($C10,$D10,$E10,$F10,$G10,BR$4),0)</f>
        <v>-53</v>
      </c>
      <c r="BS10" s="106" cm="1">
        <f t="array" ref="BS10">IFERROR(OptionProfit($C10,$D10,$E10,$F10,$G10,BS$4),0)</f>
        <v>-53</v>
      </c>
      <c r="BT10" s="106" cm="1">
        <f t="array" ref="BT10">IFERROR(OptionProfit($C10,$D10,$E10,$F10,$G10,BT$4),0)</f>
        <v>-53</v>
      </c>
      <c r="BU10" s="106" cm="1">
        <f t="array" ref="BU10">IFERROR(OptionProfit($C10,$D10,$E10,$F10,$G10,BU$4),0)</f>
        <v>-53</v>
      </c>
      <c r="BV10" s="106" cm="1">
        <f t="array" ref="BV10">IFERROR(OptionProfit($C10,$D10,$E10,$F10,$G10,BV$4),0)</f>
        <v>-53</v>
      </c>
      <c r="BW10" s="106" cm="1">
        <f t="array" ref="BW10">IFERROR(OptionProfit($C10,$D10,$E10,$F10,$G10,BW$4),0)</f>
        <v>-53</v>
      </c>
      <c r="BX10" s="106" cm="1">
        <f t="array" ref="BX10">IFERROR(OptionProfit($C10,$D10,$E10,$F10,$G10,BX$4),0)</f>
        <v>-53</v>
      </c>
      <c r="BY10" s="106" cm="1">
        <f t="array" ref="BY10">IFERROR(OptionProfit($C10,$D10,$E10,$F10,$G10,BY$4),0)</f>
        <v>-53</v>
      </c>
      <c r="BZ10" s="106" cm="1">
        <f t="array" ref="BZ10">IFERROR(OptionProfit($C10,$D10,$E10,$F10,$G10,BZ$4),0)</f>
        <v>-53</v>
      </c>
      <c r="CA10" s="106" cm="1">
        <f t="array" ref="CA10">IFERROR(OptionProfit($C10,$D10,$E10,$F10,$G10,CA$4),0)</f>
        <v>-53</v>
      </c>
      <c r="CB10" s="106" cm="1">
        <f t="array" ref="CB10">IFERROR(OptionProfit($C10,$D10,$E10,$F10,$G10,CB$4),0)</f>
        <v>-53</v>
      </c>
      <c r="CC10" s="106" cm="1">
        <f t="array" ref="CC10">IFERROR(OptionProfit($C10,$D10,$E10,$F10,$G10,CC$4),0)</f>
        <v>-53</v>
      </c>
      <c r="CD10" s="106" cm="1">
        <f t="array" ref="CD10">IFERROR(OptionProfit($C10,$D10,$E10,$F10,$G10,CD$4),0)</f>
        <v>-53</v>
      </c>
      <c r="CE10" s="106" cm="1">
        <f t="array" ref="CE10">IFERROR(OptionProfit($C10,$D10,$E10,$F10,$G10,CE$4),0)</f>
        <v>-53</v>
      </c>
      <c r="CF10" s="106" cm="1">
        <f t="array" ref="CF10">IFERROR(OptionProfit($C10,$D10,$E10,$F10,$G10,CF$4),0)</f>
        <v>-53</v>
      </c>
      <c r="CG10" s="106" cm="1">
        <f t="array" ref="CG10">IFERROR(OptionProfit($C10,$D10,$E10,$F10,$G10,CG$4),0)</f>
        <v>-53</v>
      </c>
      <c r="CH10" s="106" cm="1">
        <f t="array" ref="CH10">IFERROR(OptionProfit($C10,$D10,$E10,$F10,$G10,CH$4),0)</f>
        <v>-53</v>
      </c>
      <c r="CI10" s="106" cm="1">
        <f t="array" ref="CI10">IFERROR(OptionProfit($C10,$D10,$E10,$F10,$G10,CI$4),0)</f>
        <v>-53</v>
      </c>
      <c r="CJ10" s="106" cm="1">
        <f t="array" ref="CJ10">IFERROR(OptionProfit($C10,$D10,$E10,$F10,$G10,CJ$4),0)</f>
        <v>-53</v>
      </c>
      <c r="CK10" s="106" cm="1">
        <f t="array" ref="CK10">IFERROR(OptionProfit($C10,$D10,$E10,$F10,$G10,CK$4),0)</f>
        <v>-53</v>
      </c>
      <c r="CL10" s="106" cm="1">
        <f t="array" ref="CL10">IFERROR(OptionProfit($C10,$D10,$E10,$F10,$G10,CL$4),0)</f>
        <v>-53</v>
      </c>
      <c r="CM10" s="106" cm="1">
        <f t="array" ref="CM10">IFERROR(OptionProfit($C10,$D10,$E10,$F10,$G10,CM$4),0)</f>
        <v>-53</v>
      </c>
      <c r="CN10" s="106" cm="1">
        <f t="array" ref="CN10">IFERROR(OptionProfit($C10,$D10,$E10,$F10,$G10,CN$4),0)</f>
        <v>-53</v>
      </c>
      <c r="CO10" s="106" cm="1">
        <f t="array" ref="CO10">IFERROR(OptionProfit($C10,$D10,$E10,$F10,$G10,CO$4),0)</f>
        <v>-53</v>
      </c>
      <c r="CP10" s="106" cm="1">
        <f t="array" ref="CP10">IFERROR(OptionProfit($C10,$D10,$E10,$F10,$G10,CP$4),0)</f>
        <v>-53</v>
      </c>
      <c r="CQ10" s="106" cm="1">
        <f t="array" ref="CQ10">IFERROR(OptionProfit($C10,$D10,$E10,$F10,$G10,CQ$4),0)</f>
        <v>-53</v>
      </c>
      <c r="CR10" s="106" cm="1">
        <f t="array" ref="CR10">IFERROR(OptionProfit($C10,$D10,$E10,$F10,$G10,CR$4),0)</f>
        <v>-53</v>
      </c>
      <c r="CS10" s="106" cm="1">
        <f t="array" ref="CS10">IFERROR(OptionProfit($C10,$D10,$E10,$F10,$G10,CS$4),0)</f>
        <v>-53</v>
      </c>
      <c r="CT10" s="106" cm="1">
        <f t="array" ref="CT10">IFERROR(OptionProfit($C10,$D10,$E10,$F10,$G10,CT$4),0)</f>
        <v>-53</v>
      </c>
      <c r="CU10" s="106" cm="1">
        <f t="array" ref="CU10">IFERROR(OptionProfit($C10,$D10,$E10,$F10,$G10,CU$4),0)</f>
        <v>-53</v>
      </c>
      <c r="CV10" s="128" cm="1">
        <f t="array" ref="CV10">IFERROR(OptionProfit($C10,$D10,$E10,$F10,$G10,CV$4),0)</f>
        <v>-53</v>
      </c>
      <c r="CW10" s="128" cm="1">
        <f t="array" ref="CW10">IFERROR(OptionProfit($C10,$D10,$E10,$F10,$G10,CW$4),0)</f>
        <v>-53</v>
      </c>
      <c r="CX10" s="106" cm="1">
        <f t="array" ref="CX10">IFERROR(OptionProfit($C10,$D10,$E10,$F10,$G10,CX$4),0)</f>
        <v>-53</v>
      </c>
      <c r="CY10" s="106" cm="1">
        <f t="array" ref="CY10">IFERROR(OptionProfit($C10,$D10,$E10,$F10,$G10,CY$4),0)</f>
        <v>-53</v>
      </c>
      <c r="CZ10" s="106" cm="1">
        <f t="array" ref="CZ10">IFERROR(OptionProfit($C10,$D10,$E10,$F10,$G10,CZ$4),0)</f>
        <v>-53</v>
      </c>
      <c r="DA10" s="106" cm="1">
        <f t="array" ref="DA10">IFERROR(OptionProfit($C10,$D10,$E10,$F10,$G10,DA$4),0)</f>
        <v>-53</v>
      </c>
      <c r="DB10" s="106" cm="1">
        <f t="array" ref="DB10">IFERROR(OptionProfit($C10,$D10,$E10,$F10,$G10,DB$4),0)</f>
        <v>-53</v>
      </c>
      <c r="DC10" s="106" cm="1">
        <f t="array" ref="DC10">IFERROR(OptionProfit($C10,$D10,$E10,$F10,$G10,DC$4),0)</f>
        <v>-53</v>
      </c>
      <c r="DD10" s="106" cm="1">
        <f t="array" ref="DD10">IFERROR(OptionProfit($C10,$D10,$E10,$F10,$G10,DD$4),0)</f>
        <v>-53</v>
      </c>
      <c r="DE10" s="106" cm="1">
        <f t="array" ref="DE10">IFERROR(OptionProfit($C10,$D10,$E10,$F10,$G10,DE$4),0)</f>
        <v>-53</v>
      </c>
      <c r="DF10" s="106" cm="1">
        <f t="array" ref="DF10">IFERROR(OptionProfit($C10,$D10,$E10,$F10,$G10,DF$4),0)</f>
        <v>-53</v>
      </c>
      <c r="DG10" s="106" cm="1">
        <f t="array" ref="DG10">IFERROR(OptionProfit($C10,$D10,$E10,$F10,$G10,DG$4),0)</f>
        <v>-53</v>
      </c>
      <c r="DH10" s="106" cm="1">
        <f t="array" ref="DH10">IFERROR(OptionProfit($C10,$D10,$E10,$F10,$G10,DH$4),0)</f>
        <v>-53</v>
      </c>
      <c r="DI10" s="106" cm="1">
        <f t="array" ref="DI10">IFERROR(OptionProfit($C10,$D10,$E10,$F10,$G10,DI$4),0)</f>
        <v>-53</v>
      </c>
      <c r="DJ10" s="106" cm="1">
        <f t="array" ref="DJ10">IFERROR(OptionProfit($C10,$D10,$E10,$F10,$G10,DJ$4),0)</f>
        <v>-53</v>
      </c>
      <c r="DK10" s="106" cm="1">
        <f t="array" ref="DK10">IFERROR(OptionProfit($C10,$D10,$E10,$F10,$G10,DK$4),0)</f>
        <v>-53</v>
      </c>
      <c r="DL10" s="106" cm="1">
        <f t="array" ref="DL10">IFERROR(OptionProfit($C10,$D10,$E10,$F10,$G10,DL$4),0)</f>
        <v>-53</v>
      </c>
      <c r="DM10" s="106" cm="1">
        <f t="array" ref="DM10">IFERROR(OptionProfit($C10,$D10,$E10,$F10,$G10,DM$4),0)</f>
        <v>-53</v>
      </c>
      <c r="DN10" s="106" cm="1">
        <f t="array" ref="DN10">IFERROR(OptionProfit($C10,$D10,$E10,$F10,$G10,DN$4),0)</f>
        <v>-53</v>
      </c>
      <c r="DP10" s="91" t="str">
        <f t="shared" si="0"/>
        <v>P</v>
      </c>
      <c r="DQ10" s="91" t="str">
        <f t="shared" si="1"/>
        <v>TX4N07P21800</v>
      </c>
      <c r="DR10" s="91" t="str">
        <f t="shared" si="2"/>
        <v>=XQFAP|Quote!'TX4N07P21800.TF-price'</v>
      </c>
    </row>
    <row r="11" spans="1:122" ht="21" customHeight="1" x14ac:dyDescent="0.25">
      <c r="A11" s="108" t="s">
        <v>155</v>
      </c>
      <c r="B11" s="121">
        <f>[1]!'TX4N07C24000.TF-price'</f>
        <v>2.1</v>
      </c>
      <c r="C11" s="108">
        <v>24000</v>
      </c>
      <c r="D11" s="108" t="s">
        <v>131</v>
      </c>
      <c r="E11" s="108" t="s">
        <v>143</v>
      </c>
      <c r="F11" s="108">
        <v>1</v>
      </c>
      <c r="G11" s="108">
        <v>49</v>
      </c>
      <c r="H11" s="122" cm="1">
        <f t="array" ref="H11">IFERROR(OptionPnL(D11,G11,B11,F11),0)</f>
        <v>46.9</v>
      </c>
      <c r="O11" s="126">
        <v>20250</v>
      </c>
      <c r="P11" s="110">
        <f t="shared" si="3"/>
        <v>-201675</v>
      </c>
      <c r="Q11" s="107">
        <f>SUM(W6:W38)</f>
        <v>-4033.5</v>
      </c>
      <c r="R11" s="106" cm="1">
        <f t="array" ref="R11">IFERROR(OptionProfit($C11,$D11,$E11,$F11,$G11,R$4),0)</f>
        <v>49</v>
      </c>
      <c r="S11" s="106" cm="1">
        <f t="array" ref="S11">IFERROR(OptionProfit($C11,$D11,$E11,$F11,$G11,S$4),0)</f>
        <v>49</v>
      </c>
      <c r="T11" s="106" cm="1">
        <f t="array" ref="T11">IFERROR(OptionProfit($C11,$D11,$E11,$F11,$G11,T$4),0)</f>
        <v>49</v>
      </c>
      <c r="U11" s="106" cm="1">
        <f t="array" ref="U11">IFERROR(OptionProfit($C11,$D11,$E11,$F11,$G11,U$4),0)</f>
        <v>49</v>
      </c>
      <c r="V11" s="106" cm="1">
        <f t="array" ref="V11">IFERROR(OptionProfit($C11,$D11,$E11,$F11,$G11,V$4),0)</f>
        <v>49</v>
      </c>
      <c r="W11" s="106" cm="1">
        <f t="array" ref="W11">IFERROR(OptionProfit($C11,$D11,$E11,$F11,$G11,W$4),0)</f>
        <v>49</v>
      </c>
      <c r="X11" s="106" cm="1">
        <f t="array" ref="X11">IFERROR(OptionProfit($C11,$D11,$E11,$F11,$G11,X$4),0)</f>
        <v>49</v>
      </c>
      <c r="Y11" s="106" cm="1">
        <f t="array" ref="Y11">IFERROR(OptionProfit($C11,$D11,$E11,$F11,$G11,Y$4),0)</f>
        <v>49</v>
      </c>
      <c r="Z11" s="106" cm="1">
        <f t="array" ref="Z11">IFERROR(OptionProfit($C11,$D11,$E11,$F11,$G11,Z$4),0)</f>
        <v>49</v>
      </c>
      <c r="AA11" s="106" cm="1">
        <f t="array" ref="AA11">IFERROR(OptionProfit($C11,$D11,$E11,$F11,$G11,AA$4),0)</f>
        <v>49</v>
      </c>
      <c r="AB11" s="106" cm="1">
        <f t="array" ref="AB11">IFERROR(OptionProfit($C11,$D11,$E11,$F11,$G11,AB$4),0)</f>
        <v>49</v>
      </c>
      <c r="AC11" s="106" cm="1">
        <f t="array" ref="AC11">IFERROR(OptionProfit($C11,$D11,$E11,$F11,$G11,AC$4),0)</f>
        <v>49</v>
      </c>
      <c r="AD11" s="106" cm="1">
        <f t="array" ref="AD11">IFERROR(OptionProfit($C11,$D11,$E11,$F11,$G11,AD$4),0)</f>
        <v>49</v>
      </c>
      <c r="AE11" s="106" cm="1">
        <f t="array" ref="AE11">IFERROR(OptionProfit($C11,$D11,$E11,$F11,$G11,AE$4),0)</f>
        <v>49</v>
      </c>
      <c r="AF11" s="106" cm="1">
        <f t="array" ref="AF11">IFERROR(OptionProfit($C11,$D11,$E11,$F11,$G11,AF$4),0)</f>
        <v>49</v>
      </c>
      <c r="AG11" s="106" cm="1">
        <f t="array" ref="AG11">IFERROR(OptionProfit($C11,$D11,$E11,$F11,$G11,AG$4),0)</f>
        <v>49</v>
      </c>
      <c r="AH11" s="106" cm="1">
        <f t="array" ref="AH11">IFERROR(OptionProfit($C11,$D11,$E11,$F11,$G11,AH$4),0)</f>
        <v>49</v>
      </c>
      <c r="AI11" s="106" cm="1">
        <f t="array" ref="AI11">IFERROR(OptionProfit($C11,$D11,$E11,$F11,$G11,AI$4),0)</f>
        <v>49</v>
      </c>
      <c r="AJ11" s="106" cm="1">
        <f t="array" ref="AJ11">IFERROR(OptionProfit($C11,$D11,$E11,$F11,$G11,AJ$4),0)</f>
        <v>49</v>
      </c>
      <c r="AK11" s="106" cm="1">
        <f t="array" ref="AK11">IFERROR(OptionProfit($C11,$D11,$E11,$F11,$G11,AK$4),0)</f>
        <v>49</v>
      </c>
      <c r="AL11" s="106" cm="1">
        <f t="array" ref="AL11">IFERROR(OptionProfit($C11,$D11,$E11,$F11,$G11,AL$4),0)</f>
        <v>49</v>
      </c>
      <c r="AM11" s="106" cm="1">
        <f t="array" ref="AM11">IFERROR(OptionProfit($C11,$D11,$E11,$F11,$G11,AM$4),0)</f>
        <v>49</v>
      </c>
      <c r="AN11" s="106" cm="1">
        <f t="array" ref="AN11">IFERROR(OptionProfit($C11,$D11,$E11,$F11,$G11,AN$4),0)</f>
        <v>49</v>
      </c>
      <c r="AO11" s="106" cm="1">
        <f t="array" ref="AO11">IFERROR(OptionProfit($C11,$D11,$E11,$F11,$G11,AO$4),0)</f>
        <v>49</v>
      </c>
      <c r="AP11" s="106" cm="1">
        <f t="array" ref="AP11">IFERROR(OptionProfit($C11,$D11,$E11,$F11,$G11,AP$4),0)</f>
        <v>49</v>
      </c>
      <c r="AQ11" s="106" cm="1">
        <f t="array" ref="AQ11">IFERROR(OptionProfit($C11,$D11,$E11,$F11,$G11,AQ$4),0)</f>
        <v>49</v>
      </c>
      <c r="AR11" s="106" cm="1">
        <f t="array" ref="AR11">IFERROR(OptionProfit($C11,$D11,$E11,$F11,$G11,AR$4),0)</f>
        <v>49</v>
      </c>
      <c r="AS11" s="106" cm="1">
        <f t="array" ref="AS11">IFERROR(OptionProfit($C11,$D11,$E11,$F11,$G11,AS$4),0)</f>
        <v>49</v>
      </c>
      <c r="AT11" s="106" cm="1">
        <f t="array" ref="AT11">IFERROR(OptionProfit($C11,$D11,$E11,$F11,$G11,AT$4),0)</f>
        <v>49</v>
      </c>
      <c r="AU11" s="106" cm="1">
        <f t="array" ref="AU11">IFERROR(OptionProfit($C11,$D11,$E11,$F11,$G11,AU$4),0)</f>
        <v>49</v>
      </c>
      <c r="AV11" s="106" cm="1">
        <f t="array" ref="AV11">IFERROR(OptionProfit($C11,$D11,$E11,$F11,$G11,AV$4),0)</f>
        <v>49</v>
      </c>
      <c r="AW11" s="106" cm="1">
        <f t="array" ref="AW11">IFERROR(OptionProfit($C11,$D11,$E11,$F11,$G11,AW$4),0)</f>
        <v>49</v>
      </c>
      <c r="AX11" s="106" cm="1">
        <f t="array" ref="AX11">IFERROR(OptionProfit($C11,$D11,$E11,$F11,$G11,AX$4),0)</f>
        <v>49</v>
      </c>
      <c r="AY11" s="106" cm="1">
        <f t="array" ref="AY11">IFERROR(OptionProfit($C11,$D11,$E11,$F11,$G11,AY$4),0)</f>
        <v>49</v>
      </c>
      <c r="AZ11" s="106" cm="1">
        <f t="array" ref="AZ11">IFERROR(OptionProfit($C11,$D11,$E11,$F11,$G11,AZ$4),0)</f>
        <v>49</v>
      </c>
      <c r="BA11" s="106" cm="1">
        <f t="array" ref="BA11">IFERROR(OptionProfit($C11,$D11,$E11,$F11,$G11,BA$4),0)</f>
        <v>49</v>
      </c>
      <c r="BB11" s="106" cm="1">
        <f t="array" ref="BB11">IFERROR(OptionProfit($C11,$D11,$E11,$F11,$G11,BB$4),0)</f>
        <v>49</v>
      </c>
      <c r="BC11" s="106" cm="1">
        <f t="array" ref="BC11">IFERROR(OptionProfit($C11,$D11,$E11,$F11,$G11,BC$4),0)</f>
        <v>49</v>
      </c>
      <c r="BD11" s="106" cm="1">
        <f t="array" ref="BD11">IFERROR(OptionProfit($C11,$D11,$E11,$F11,$G11,BD$4),0)</f>
        <v>49</v>
      </c>
      <c r="BE11" s="106" cm="1">
        <f t="array" ref="BE11">IFERROR(OptionProfit($C11,$D11,$E11,$F11,$G11,BE$4),0)</f>
        <v>49</v>
      </c>
      <c r="BF11" s="106" cm="1">
        <f t="array" ref="BF11">IFERROR(OptionProfit($C11,$D11,$E11,$F11,$G11,BF$4),0)</f>
        <v>49</v>
      </c>
      <c r="BG11" s="106" cm="1">
        <f t="array" ref="BG11">IFERROR(OptionProfit($C11,$D11,$E11,$F11,$G11,BG$4),0)</f>
        <v>49</v>
      </c>
      <c r="BH11" s="106" cm="1">
        <f t="array" ref="BH11">IFERROR(OptionProfit($C11,$D11,$E11,$F11,$G11,BH$4),0)</f>
        <v>49</v>
      </c>
      <c r="BI11" s="106" cm="1">
        <f t="array" ref="BI11">IFERROR(OptionProfit($C11,$D11,$E11,$F11,$G11,BI$4),0)</f>
        <v>49</v>
      </c>
      <c r="BJ11" s="106" cm="1">
        <f t="array" ref="BJ11">IFERROR(OptionProfit($C11,$D11,$E11,$F11,$G11,BJ$4),0)</f>
        <v>49</v>
      </c>
      <c r="BK11" s="106" cm="1">
        <f t="array" ref="BK11">IFERROR(OptionProfit($C11,$D11,$E11,$F11,$G11,BK$4),0)</f>
        <v>49</v>
      </c>
      <c r="BL11" s="106" cm="1">
        <f t="array" ref="BL11">IFERROR(OptionProfit($C11,$D11,$E11,$F11,$G11,BL$4),0)</f>
        <v>49</v>
      </c>
      <c r="BM11" s="106" cm="1">
        <f t="array" ref="BM11">IFERROR(OptionProfit($C11,$D11,$E11,$F11,$G11,BM$4),0)</f>
        <v>49</v>
      </c>
      <c r="BN11" s="106" cm="1">
        <f t="array" ref="BN11">IFERROR(OptionProfit($C11,$D11,$E11,$F11,$G11,BN$4),0)</f>
        <v>49</v>
      </c>
      <c r="BO11" s="106" cm="1">
        <f t="array" ref="BO11">IFERROR(OptionProfit($C11,$D11,$E11,$F11,$G11,BO$4),0)</f>
        <v>49</v>
      </c>
      <c r="BP11" s="106" cm="1">
        <f t="array" ref="BP11">IFERROR(OptionProfit($C11,$D11,$E11,$F11,$G11,BP$4),0)</f>
        <v>49</v>
      </c>
      <c r="BQ11" s="106" cm="1">
        <f t="array" ref="BQ11">IFERROR(OptionProfit($C11,$D11,$E11,$F11,$G11,BQ$4),0)</f>
        <v>49</v>
      </c>
      <c r="BR11" s="106" cm="1">
        <f t="array" ref="BR11">IFERROR(OptionProfit($C11,$D11,$E11,$F11,$G11,BR$4),0)</f>
        <v>49</v>
      </c>
      <c r="BS11" s="106" cm="1">
        <f t="array" ref="BS11">IFERROR(OptionProfit($C11,$D11,$E11,$F11,$G11,BS$4),0)</f>
        <v>49</v>
      </c>
      <c r="BT11" s="106" cm="1">
        <f t="array" ref="BT11">IFERROR(OptionProfit($C11,$D11,$E11,$F11,$G11,BT$4),0)</f>
        <v>49</v>
      </c>
      <c r="BU11" s="106" cm="1">
        <f t="array" ref="BU11">IFERROR(OptionProfit($C11,$D11,$E11,$F11,$G11,BU$4),0)</f>
        <v>49</v>
      </c>
      <c r="BV11" s="106" cm="1">
        <f t="array" ref="BV11">IFERROR(OptionProfit($C11,$D11,$E11,$F11,$G11,BV$4),0)</f>
        <v>49</v>
      </c>
      <c r="BW11" s="106" cm="1">
        <f t="array" ref="BW11">IFERROR(OptionProfit($C11,$D11,$E11,$F11,$G11,BW$4),0)</f>
        <v>49</v>
      </c>
      <c r="BX11" s="106" cm="1">
        <f t="array" ref="BX11">IFERROR(OptionProfit($C11,$D11,$E11,$F11,$G11,BX$4),0)</f>
        <v>49</v>
      </c>
      <c r="BY11" s="106" cm="1">
        <f t="array" ref="BY11">IFERROR(OptionProfit($C11,$D11,$E11,$F11,$G11,BY$4),0)</f>
        <v>49</v>
      </c>
      <c r="BZ11" s="106" cm="1">
        <f t="array" ref="BZ11">IFERROR(OptionProfit($C11,$D11,$E11,$F11,$G11,BZ$4),0)</f>
        <v>49</v>
      </c>
      <c r="CA11" s="106" cm="1">
        <f t="array" ref="CA11">IFERROR(OptionProfit($C11,$D11,$E11,$F11,$G11,CA$4),0)</f>
        <v>49</v>
      </c>
      <c r="CB11" s="106" cm="1">
        <f t="array" ref="CB11">IFERROR(OptionProfit($C11,$D11,$E11,$F11,$G11,CB$4),0)</f>
        <v>49</v>
      </c>
      <c r="CC11" s="106" cm="1">
        <f t="array" ref="CC11">IFERROR(OptionProfit($C11,$D11,$E11,$F11,$G11,CC$4),0)</f>
        <v>49</v>
      </c>
      <c r="CD11" s="106" cm="1">
        <f t="array" ref="CD11">IFERROR(OptionProfit($C11,$D11,$E11,$F11,$G11,CD$4),0)</f>
        <v>49</v>
      </c>
      <c r="CE11" s="106" cm="1">
        <f t="array" ref="CE11">IFERROR(OptionProfit($C11,$D11,$E11,$F11,$G11,CE$4),0)</f>
        <v>49</v>
      </c>
      <c r="CF11" s="106" cm="1">
        <f t="array" ref="CF11">IFERROR(OptionProfit($C11,$D11,$E11,$F11,$G11,CF$4),0)</f>
        <v>49</v>
      </c>
      <c r="CG11" s="106" cm="1">
        <f t="array" ref="CG11">IFERROR(OptionProfit($C11,$D11,$E11,$F11,$G11,CG$4),0)</f>
        <v>49</v>
      </c>
      <c r="CH11" s="106" cm="1">
        <f t="array" ref="CH11">IFERROR(OptionProfit($C11,$D11,$E11,$F11,$G11,CH$4),0)</f>
        <v>49</v>
      </c>
      <c r="CI11" s="106" cm="1">
        <f t="array" ref="CI11">IFERROR(OptionProfit($C11,$D11,$E11,$F11,$G11,CI$4),0)</f>
        <v>49</v>
      </c>
      <c r="CJ11" s="106" cm="1">
        <f t="array" ref="CJ11">IFERROR(OptionProfit($C11,$D11,$E11,$F11,$G11,CJ$4),0)</f>
        <v>49</v>
      </c>
      <c r="CK11" s="106" cm="1">
        <f t="array" ref="CK11">IFERROR(OptionProfit($C11,$D11,$E11,$F11,$G11,CK$4),0)</f>
        <v>49</v>
      </c>
      <c r="CL11" s="106" cm="1">
        <f t="array" ref="CL11">IFERROR(OptionProfit($C11,$D11,$E11,$F11,$G11,CL$4),0)</f>
        <v>49</v>
      </c>
      <c r="CM11" s="106" cm="1">
        <f t="array" ref="CM11">IFERROR(OptionProfit($C11,$D11,$E11,$F11,$G11,CM$4),0)</f>
        <v>49</v>
      </c>
      <c r="CN11" s="106" cm="1">
        <f t="array" ref="CN11">IFERROR(OptionProfit($C11,$D11,$E11,$F11,$G11,CN$4),0)</f>
        <v>49</v>
      </c>
      <c r="CO11" s="106" cm="1">
        <f t="array" ref="CO11">IFERROR(OptionProfit($C11,$D11,$E11,$F11,$G11,CO$4),0)</f>
        <v>49</v>
      </c>
      <c r="CP11" s="106" cm="1">
        <f t="array" ref="CP11">IFERROR(OptionProfit($C11,$D11,$E11,$F11,$G11,CP$4),0)</f>
        <v>49</v>
      </c>
      <c r="CQ11" s="106" cm="1">
        <f t="array" ref="CQ11">IFERROR(OptionProfit($C11,$D11,$E11,$F11,$G11,CQ$4),0)</f>
        <v>49</v>
      </c>
      <c r="CR11" s="106" cm="1">
        <f t="array" ref="CR11">IFERROR(OptionProfit($C11,$D11,$E11,$F11,$G11,CR$4),0)</f>
        <v>49</v>
      </c>
      <c r="CS11" s="106" cm="1">
        <f t="array" ref="CS11">IFERROR(OptionProfit($C11,$D11,$E11,$F11,$G11,CS$4),0)</f>
        <v>49</v>
      </c>
      <c r="CT11" s="106" cm="1">
        <f t="array" ref="CT11">IFERROR(OptionProfit($C11,$D11,$E11,$F11,$G11,CT$4),0)</f>
        <v>49</v>
      </c>
      <c r="CU11" s="106" cm="1">
        <f t="array" ref="CU11">IFERROR(OptionProfit($C11,$D11,$E11,$F11,$G11,CU$4),0)</f>
        <v>-1</v>
      </c>
      <c r="CV11" s="128" cm="1">
        <f t="array" ref="CV11">IFERROR(OptionProfit($C11,$D11,$E11,$F11,$G11,CV$4),0)</f>
        <v>-51</v>
      </c>
      <c r="CW11" s="128" cm="1">
        <f t="array" ref="CW11">IFERROR(OptionProfit($C11,$D11,$E11,$F11,$G11,CW$4),0)</f>
        <v>-101</v>
      </c>
      <c r="CX11" s="106" cm="1">
        <f t="array" ref="CX11">IFERROR(OptionProfit($C11,$D11,$E11,$F11,$G11,CX$4),0)</f>
        <v>-151</v>
      </c>
      <c r="CY11" s="106" cm="1">
        <f t="array" ref="CY11">IFERROR(OptionProfit($C11,$D11,$E11,$F11,$G11,CY$4),0)</f>
        <v>-201</v>
      </c>
      <c r="CZ11" s="106" cm="1">
        <f t="array" ref="CZ11">IFERROR(OptionProfit($C11,$D11,$E11,$F11,$G11,CZ$4),0)</f>
        <v>-251</v>
      </c>
      <c r="DA11" s="106" cm="1">
        <f t="array" ref="DA11">IFERROR(OptionProfit($C11,$D11,$E11,$F11,$G11,DA$4),0)</f>
        <v>-301</v>
      </c>
      <c r="DB11" s="106" cm="1">
        <f t="array" ref="DB11">IFERROR(OptionProfit($C11,$D11,$E11,$F11,$G11,DB$4),0)</f>
        <v>-351</v>
      </c>
      <c r="DC11" s="106" cm="1">
        <f t="array" ref="DC11">IFERROR(OptionProfit($C11,$D11,$E11,$F11,$G11,DC$4),0)</f>
        <v>-401</v>
      </c>
      <c r="DD11" s="106" cm="1">
        <f t="array" ref="DD11">IFERROR(OptionProfit($C11,$D11,$E11,$F11,$G11,DD$4),0)</f>
        <v>-451</v>
      </c>
      <c r="DE11" s="106" cm="1">
        <f t="array" ref="DE11">IFERROR(OptionProfit($C11,$D11,$E11,$F11,$G11,DE$4),0)</f>
        <v>-501</v>
      </c>
      <c r="DF11" s="106" cm="1">
        <f t="array" ref="DF11">IFERROR(OptionProfit($C11,$D11,$E11,$F11,$G11,DF$4),0)</f>
        <v>-551</v>
      </c>
      <c r="DG11" s="106" cm="1">
        <f t="array" ref="DG11">IFERROR(OptionProfit($C11,$D11,$E11,$F11,$G11,DG$4),0)</f>
        <v>-601</v>
      </c>
      <c r="DH11" s="106" cm="1">
        <f t="array" ref="DH11">IFERROR(OptionProfit($C11,$D11,$E11,$F11,$G11,DH$4),0)</f>
        <v>-651</v>
      </c>
      <c r="DI11" s="106" cm="1">
        <f t="array" ref="DI11">IFERROR(OptionProfit($C11,$D11,$E11,$F11,$G11,DI$4),0)</f>
        <v>-701</v>
      </c>
      <c r="DJ11" s="106" cm="1">
        <f t="array" ref="DJ11">IFERROR(OptionProfit($C11,$D11,$E11,$F11,$G11,DJ$4),0)</f>
        <v>-751</v>
      </c>
      <c r="DK11" s="106" cm="1">
        <f t="array" ref="DK11">IFERROR(OptionProfit($C11,$D11,$E11,$F11,$G11,DK$4),0)</f>
        <v>-801</v>
      </c>
      <c r="DL11" s="106" cm="1">
        <f t="array" ref="DL11">IFERROR(OptionProfit($C11,$D11,$E11,$F11,$G11,DL$4),0)</f>
        <v>-851</v>
      </c>
      <c r="DM11" s="106" cm="1">
        <f t="array" ref="DM11">IFERROR(OptionProfit($C11,$D11,$E11,$F11,$G11,DM$4),0)</f>
        <v>-901</v>
      </c>
      <c r="DN11" s="106" cm="1">
        <f t="array" ref="DN11">IFERROR(OptionProfit($C11,$D11,$E11,$F11,$G11,DN$4),0)</f>
        <v>-951</v>
      </c>
      <c r="DP11" s="91" t="str">
        <f t="shared" si="0"/>
        <v>C</v>
      </c>
      <c r="DQ11" s="91" t="str">
        <f t="shared" si="1"/>
        <v>TX4N07C24000</v>
      </c>
      <c r="DR11" s="91" t="str">
        <f t="shared" si="2"/>
        <v>=XQFAP|Quote!'TX4N07C24000.TF-price'</v>
      </c>
    </row>
    <row r="12" spans="1:122" ht="21" customHeight="1" x14ac:dyDescent="0.25">
      <c r="A12" s="108" t="s">
        <v>156</v>
      </c>
      <c r="B12" s="121">
        <f>[1]!'TX4N07P22600.TF-price'</f>
        <v>12.5</v>
      </c>
      <c r="C12" s="108">
        <v>22600</v>
      </c>
      <c r="D12" s="108" t="s">
        <v>131</v>
      </c>
      <c r="E12" s="108" t="s">
        <v>149</v>
      </c>
      <c r="F12" s="108">
        <v>1</v>
      </c>
      <c r="G12" s="108">
        <v>42</v>
      </c>
      <c r="H12" s="122" cm="1">
        <f t="array" ref="H12">IFERROR(OptionPnL(D12,G12,B12,F12),0)</f>
        <v>29.5</v>
      </c>
      <c r="O12" s="126">
        <v>20300</v>
      </c>
      <c r="P12" s="110">
        <f t="shared" si="3"/>
        <v>-196675</v>
      </c>
      <c r="Q12" s="107">
        <f>SUM(X6:X38)</f>
        <v>-3933.5</v>
      </c>
      <c r="R12" s="106" cm="1">
        <f t="array" ref="R12">IFERROR(OptionProfit($C12,$D12,$E12,$F12,$G12,R$4),0)</f>
        <v>-2558</v>
      </c>
      <c r="S12" s="106" cm="1">
        <f t="array" ref="S12">IFERROR(OptionProfit($C12,$D12,$E12,$F12,$G12,S$4),0)</f>
        <v>-2508</v>
      </c>
      <c r="T12" s="106" cm="1">
        <f t="array" ref="T12">IFERROR(OptionProfit($C12,$D12,$E12,$F12,$G12,T$4),0)</f>
        <v>-2458</v>
      </c>
      <c r="U12" s="106" cm="1">
        <f t="array" ref="U12">IFERROR(OptionProfit($C12,$D12,$E12,$F12,$G12,U$4),0)</f>
        <v>-2408</v>
      </c>
      <c r="V12" s="106" cm="1">
        <f t="array" ref="V12">IFERROR(OptionProfit($C12,$D12,$E12,$F12,$G12,V$4),0)</f>
        <v>-2358</v>
      </c>
      <c r="W12" s="106" cm="1">
        <f t="array" ref="W12">IFERROR(OptionProfit($C12,$D12,$E12,$F12,$G12,W$4),0)</f>
        <v>-2308</v>
      </c>
      <c r="X12" s="106" cm="1">
        <f t="array" ref="X12">IFERROR(OptionProfit($C12,$D12,$E12,$F12,$G12,X$4),0)</f>
        <v>-2258</v>
      </c>
      <c r="Y12" s="106" cm="1">
        <f t="array" ref="Y12">IFERROR(OptionProfit($C12,$D12,$E12,$F12,$G12,Y$4),0)</f>
        <v>-2208</v>
      </c>
      <c r="Z12" s="106" cm="1">
        <f t="array" ref="Z12">IFERROR(OptionProfit($C12,$D12,$E12,$F12,$G12,Z$4),0)</f>
        <v>-2158</v>
      </c>
      <c r="AA12" s="106" cm="1">
        <f t="array" ref="AA12">IFERROR(OptionProfit($C12,$D12,$E12,$F12,$G12,AA$4),0)</f>
        <v>-2108</v>
      </c>
      <c r="AB12" s="106" cm="1">
        <f t="array" ref="AB12">IFERROR(OptionProfit($C12,$D12,$E12,$F12,$G12,AB$4),0)</f>
        <v>-2058</v>
      </c>
      <c r="AC12" s="106" cm="1">
        <f t="array" ref="AC12">IFERROR(OptionProfit($C12,$D12,$E12,$F12,$G12,AC$4),0)</f>
        <v>-2008</v>
      </c>
      <c r="AD12" s="106" cm="1">
        <f t="array" ref="AD12">IFERROR(OptionProfit($C12,$D12,$E12,$F12,$G12,AD$4),0)</f>
        <v>-1958</v>
      </c>
      <c r="AE12" s="106" cm="1">
        <f t="array" ref="AE12">IFERROR(OptionProfit($C12,$D12,$E12,$F12,$G12,AE$4),0)</f>
        <v>-1908</v>
      </c>
      <c r="AF12" s="106" cm="1">
        <f t="array" ref="AF12">IFERROR(OptionProfit($C12,$D12,$E12,$F12,$G12,AF$4),0)</f>
        <v>-1858</v>
      </c>
      <c r="AG12" s="106" cm="1">
        <f t="array" ref="AG12">IFERROR(OptionProfit($C12,$D12,$E12,$F12,$G12,AG$4),0)</f>
        <v>-1808</v>
      </c>
      <c r="AH12" s="106" cm="1">
        <f t="array" ref="AH12">IFERROR(OptionProfit($C12,$D12,$E12,$F12,$G12,AH$4),0)</f>
        <v>-1758</v>
      </c>
      <c r="AI12" s="106" cm="1">
        <f t="array" ref="AI12">IFERROR(OptionProfit($C12,$D12,$E12,$F12,$G12,AI$4),0)</f>
        <v>-1708</v>
      </c>
      <c r="AJ12" s="106" cm="1">
        <f t="array" ref="AJ12">IFERROR(OptionProfit($C12,$D12,$E12,$F12,$G12,AJ$4),0)</f>
        <v>-1658</v>
      </c>
      <c r="AK12" s="106" cm="1">
        <f t="array" ref="AK12">IFERROR(OptionProfit($C12,$D12,$E12,$F12,$G12,AK$4),0)</f>
        <v>-1608</v>
      </c>
      <c r="AL12" s="106" cm="1">
        <f t="array" ref="AL12">IFERROR(OptionProfit($C12,$D12,$E12,$F12,$G12,AL$4),0)</f>
        <v>-1558</v>
      </c>
      <c r="AM12" s="106" cm="1">
        <f t="array" ref="AM12">IFERROR(OptionProfit($C12,$D12,$E12,$F12,$G12,AM$4),0)</f>
        <v>-1508</v>
      </c>
      <c r="AN12" s="106" cm="1">
        <f t="array" ref="AN12">IFERROR(OptionProfit($C12,$D12,$E12,$F12,$G12,AN$4),0)</f>
        <v>-1458</v>
      </c>
      <c r="AO12" s="106" cm="1">
        <f t="array" ref="AO12">IFERROR(OptionProfit($C12,$D12,$E12,$F12,$G12,AO$4),0)</f>
        <v>-1408</v>
      </c>
      <c r="AP12" s="106" cm="1">
        <f t="array" ref="AP12">IFERROR(OptionProfit($C12,$D12,$E12,$F12,$G12,AP$4),0)</f>
        <v>-1358</v>
      </c>
      <c r="AQ12" s="106" cm="1">
        <f t="array" ref="AQ12">IFERROR(OptionProfit($C12,$D12,$E12,$F12,$G12,AQ$4),0)</f>
        <v>-1308</v>
      </c>
      <c r="AR12" s="106" cm="1">
        <f t="array" ref="AR12">IFERROR(OptionProfit($C12,$D12,$E12,$F12,$G12,AR$4),0)</f>
        <v>-1258</v>
      </c>
      <c r="AS12" s="106" cm="1">
        <f t="array" ref="AS12">IFERROR(OptionProfit($C12,$D12,$E12,$F12,$G12,AS$4),0)</f>
        <v>-1208</v>
      </c>
      <c r="AT12" s="106" cm="1">
        <f t="array" ref="AT12">IFERROR(OptionProfit($C12,$D12,$E12,$F12,$G12,AT$4),0)</f>
        <v>-1158</v>
      </c>
      <c r="AU12" s="106" cm="1">
        <f t="array" ref="AU12">IFERROR(OptionProfit($C12,$D12,$E12,$F12,$G12,AU$4),0)</f>
        <v>-1108</v>
      </c>
      <c r="AV12" s="106" cm="1">
        <f t="array" ref="AV12">IFERROR(OptionProfit($C12,$D12,$E12,$F12,$G12,AV$4),0)</f>
        <v>-1058</v>
      </c>
      <c r="AW12" s="106" cm="1">
        <f t="array" ref="AW12">IFERROR(OptionProfit($C12,$D12,$E12,$F12,$G12,AW$4),0)</f>
        <v>-1008</v>
      </c>
      <c r="AX12" s="106" cm="1">
        <f t="array" ref="AX12">IFERROR(OptionProfit($C12,$D12,$E12,$F12,$G12,AX$4),0)</f>
        <v>-958</v>
      </c>
      <c r="AY12" s="106" cm="1">
        <f t="array" ref="AY12">IFERROR(OptionProfit($C12,$D12,$E12,$F12,$G12,AY$4),0)</f>
        <v>-908</v>
      </c>
      <c r="AZ12" s="106" cm="1">
        <f t="array" ref="AZ12">IFERROR(OptionProfit($C12,$D12,$E12,$F12,$G12,AZ$4),0)</f>
        <v>-858</v>
      </c>
      <c r="BA12" s="106" cm="1">
        <f t="array" ref="BA12">IFERROR(OptionProfit($C12,$D12,$E12,$F12,$G12,BA$4),0)</f>
        <v>-808</v>
      </c>
      <c r="BB12" s="106" cm="1">
        <f t="array" ref="BB12">IFERROR(OptionProfit($C12,$D12,$E12,$F12,$G12,BB$4),0)</f>
        <v>-758</v>
      </c>
      <c r="BC12" s="106" cm="1">
        <f t="array" ref="BC12">IFERROR(OptionProfit($C12,$D12,$E12,$F12,$G12,BC$4),0)</f>
        <v>-708</v>
      </c>
      <c r="BD12" s="106" cm="1">
        <f t="array" ref="BD12">IFERROR(OptionProfit($C12,$D12,$E12,$F12,$G12,BD$4),0)</f>
        <v>-658</v>
      </c>
      <c r="BE12" s="106" cm="1">
        <f t="array" ref="BE12">IFERROR(OptionProfit($C12,$D12,$E12,$F12,$G12,BE$4),0)</f>
        <v>-608</v>
      </c>
      <c r="BF12" s="106" cm="1">
        <f t="array" ref="BF12">IFERROR(OptionProfit($C12,$D12,$E12,$F12,$G12,BF$4),0)</f>
        <v>-558</v>
      </c>
      <c r="BG12" s="106" cm="1">
        <f t="array" ref="BG12">IFERROR(OptionProfit($C12,$D12,$E12,$F12,$G12,BG$4),0)</f>
        <v>-508</v>
      </c>
      <c r="BH12" s="106" cm="1">
        <f t="array" ref="BH12">IFERROR(OptionProfit($C12,$D12,$E12,$F12,$G12,BH$4),0)</f>
        <v>-458</v>
      </c>
      <c r="BI12" s="106" cm="1">
        <f t="array" ref="BI12">IFERROR(OptionProfit($C12,$D12,$E12,$F12,$G12,BI$4),0)</f>
        <v>-408</v>
      </c>
      <c r="BJ12" s="106" cm="1">
        <f t="array" ref="BJ12">IFERROR(OptionProfit($C12,$D12,$E12,$F12,$G12,BJ$4),0)</f>
        <v>-358</v>
      </c>
      <c r="BK12" s="106" cm="1">
        <f t="array" ref="BK12">IFERROR(OptionProfit($C12,$D12,$E12,$F12,$G12,BK$4),0)</f>
        <v>-308</v>
      </c>
      <c r="BL12" s="106" cm="1">
        <f t="array" ref="BL12">IFERROR(OptionProfit($C12,$D12,$E12,$F12,$G12,BL$4),0)</f>
        <v>-258</v>
      </c>
      <c r="BM12" s="106" cm="1">
        <f t="array" ref="BM12">IFERROR(OptionProfit($C12,$D12,$E12,$F12,$G12,BM$4),0)</f>
        <v>-208</v>
      </c>
      <c r="BN12" s="106" cm="1">
        <f t="array" ref="BN12">IFERROR(OptionProfit($C12,$D12,$E12,$F12,$G12,BN$4),0)</f>
        <v>-158</v>
      </c>
      <c r="BO12" s="106" cm="1">
        <f t="array" ref="BO12">IFERROR(OptionProfit($C12,$D12,$E12,$F12,$G12,BO$4),0)</f>
        <v>-108</v>
      </c>
      <c r="BP12" s="106" cm="1">
        <f t="array" ref="BP12">IFERROR(OptionProfit($C12,$D12,$E12,$F12,$G12,BP$4),0)</f>
        <v>-58</v>
      </c>
      <c r="BQ12" s="106" cm="1">
        <f t="array" ref="BQ12">IFERROR(OptionProfit($C12,$D12,$E12,$F12,$G12,BQ$4),0)</f>
        <v>-8</v>
      </c>
      <c r="BR12" s="106" cm="1">
        <f t="array" ref="BR12">IFERROR(OptionProfit($C12,$D12,$E12,$F12,$G12,BR$4),0)</f>
        <v>42</v>
      </c>
      <c r="BS12" s="106" cm="1">
        <f t="array" ref="BS12">IFERROR(OptionProfit($C12,$D12,$E12,$F12,$G12,BS$4),0)</f>
        <v>42</v>
      </c>
      <c r="BT12" s="106" cm="1">
        <f t="array" ref="BT12">IFERROR(OptionProfit($C12,$D12,$E12,$F12,$G12,BT$4),0)</f>
        <v>42</v>
      </c>
      <c r="BU12" s="106" cm="1">
        <f t="array" ref="BU12">IFERROR(OptionProfit($C12,$D12,$E12,$F12,$G12,BU$4),0)</f>
        <v>42</v>
      </c>
      <c r="BV12" s="106" cm="1">
        <f t="array" ref="BV12">IFERROR(OptionProfit($C12,$D12,$E12,$F12,$G12,BV$4),0)</f>
        <v>42</v>
      </c>
      <c r="BW12" s="106" cm="1">
        <f t="array" ref="BW12">IFERROR(OptionProfit($C12,$D12,$E12,$F12,$G12,BW$4),0)</f>
        <v>42</v>
      </c>
      <c r="BX12" s="106" cm="1">
        <f t="array" ref="BX12">IFERROR(OptionProfit($C12,$D12,$E12,$F12,$G12,BX$4),0)</f>
        <v>42</v>
      </c>
      <c r="BY12" s="106" cm="1">
        <f t="array" ref="BY12">IFERROR(OptionProfit($C12,$D12,$E12,$F12,$G12,BY$4),0)</f>
        <v>42</v>
      </c>
      <c r="BZ12" s="106" cm="1">
        <f t="array" ref="BZ12">IFERROR(OptionProfit($C12,$D12,$E12,$F12,$G12,BZ$4),0)</f>
        <v>42</v>
      </c>
      <c r="CA12" s="106" cm="1">
        <f t="array" ref="CA12">IFERROR(OptionProfit($C12,$D12,$E12,$F12,$G12,CA$4),0)</f>
        <v>42</v>
      </c>
      <c r="CB12" s="106" cm="1">
        <f t="array" ref="CB12">IFERROR(OptionProfit($C12,$D12,$E12,$F12,$G12,CB$4),0)</f>
        <v>42</v>
      </c>
      <c r="CC12" s="106" cm="1">
        <f t="array" ref="CC12">IFERROR(OptionProfit($C12,$D12,$E12,$F12,$G12,CC$4),0)</f>
        <v>42</v>
      </c>
      <c r="CD12" s="106" cm="1">
        <f t="array" ref="CD12">IFERROR(OptionProfit($C12,$D12,$E12,$F12,$G12,CD$4),0)</f>
        <v>42</v>
      </c>
      <c r="CE12" s="106" cm="1">
        <f t="array" ref="CE12">IFERROR(OptionProfit($C12,$D12,$E12,$F12,$G12,CE$4),0)</f>
        <v>42</v>
      </c>
      <c r="CF12" s="106" cm="1">
        <f t="array" ref="CF12">IFERROR(OptionProfit($C12,$D12,$E12,$F12,$G12,CF$4),0)</f>
        <v>42</v>
      </c>
      <c r="CG12" s="106" cm="1">
        <f t="array" ref="CG12">IFERROR(OptionProfit($C12,$D12,$E12,$F12,$G12,CG$4),0)</f>
        <v>42</v>
      </c>
      <c r="CH12" s="106" cm="1">
        <f t="array" ref="CH12">IFERROR(OptionProfit($C12,$D12,$E12,$F12,$G12,CH$4),0)</f>
        <v>42</v>
      </c>
      <c r="CI12" s="106" cm="1">
        <f t="array" ref="CI12">IFERROR(OptionProfit($C12,$D12,$E12,$F12,$G12,CI$4),0)</f>
        <v>42</v>
      </c>
      <c r="CJ12" s="106" cm="1">
        <f t="array" ref="CJ12">IFERROR(OptionProfit($C12,$D12,$E12,$F12,$G12,CJ$4),0)</f>
        <v>42</v>
      </c>
      <c r="CK12" s="106" cm="1">
        <f t="array" ref="CK12">IFERROR(OptionProfit($C12,$D12,$E12,$F12,$G12,CK$4),0)</f>
        <v>42</v>
      </c>
      <c r="CL12" s="106" cm="1">
        <f t="array" ref="CL12">IFERROR(OptionProfit($C12,$D12,$E12,$F12,$G12,CL$4),0)</f>
        <v>42</v>
      </c>
      <c r="CM12" s="106" cm="1">
        <f t="array" ref="CM12">IFERROR(OptionProfit($C12,$D12,$E12,$F12,$G12,CM$4),0)</f>
        <v>42</v>
      </c>
      <c r="CN12" s="106" cm="1">
        <f t="array" ref="CN12">IFERROR(OptionProfit($C12,$D12,$E12,$F12,$G12,CN$4),0)</f>
        <v>42</v>
      </c>
      <c r="CO12" s="106" cm="1">
        <f t="array" ref="CO12">IFERROR(OptionProfit($C12,$D12,$E12,$F12,$G12,CO$4),0)</f>
        <v>42</v>
      </c>
      <c r="CP12" s="106" cm="1">
        <f t="array" ref="CP12">IFERROR(OptionProfit($C12,$D12,$E12,$F12,$G12,CP$4),0)</f>
        <v>42</v>
      </c>
      <c r="CQ12" s="106" cm="1">
        <f t="array" ref="CQ12">IFERROR(OptionProfit($C12,$D12,$E12,$F12,$G12,CQ$4),0)</f>
        <v>42</v>
      </c>
      <c r="CR12" s="106" cm="1">
        <f t="array" ref="CR12">IFERROR(OptionProfit($C12,$D12,$E12,$F12,$G12,CR$4),0)</f>
        <v>42</v>
      </c>
      <c r="CS12" s="106" cm="1">
        <f t="array" ref="CS12">IFERROR(OptionProfit($C12,$D12,$E12,$F12,$G12,CS$4),0)</f>
        <v>42</v>
      </c>
      <c r="CT12" s="106" cm="1">
        <f t="array" ref="CT12">IFERROR(OptionProfit($C12,$D12,$E12,$F12,$G12,CT$4),0)</f>
        <v>42</v>
      </c>
      <c r="CU12" s="106" cm="1">
        <f t="array" ref="CU12">IFERROR(OptionProfit($C12,$D12,$E12,$F12,$G12,CU$4),0)</f>
        <v>42</v>
      </c>
      <c r="CV12" s="128" cm="1">
        <f t="array" ref="CV12">IFERROR(OptionProfit($C12,$D12,$E12,$F12,$G12,CV$4),0)</f>
        <v>42</v>
      </c>
      <c r="CW12" s="128" cm="1">
        <f t="array" ref="CW12">IFERROR(OptionProfit($C12,$D12,$E12,$F12,$G12,CW$4),0)</f>
        <v>42</v>
      </c>
      <c r="CX12" s="106" cm="1">
        <f t="array" ref="CX12">IFERROR(OptionProfit($C12,$D12,$E12,$F12,$G12,CX$4),0)</f>
        <v>42</v>
      </c>
      <c r="CY12" s="106" cm="1">
        <f t="array" ref="CY12">IFERROR(OptionProfit($C12,$D12,$E12,$F12,$G12,CY$4),0)</f>
        <v>42</v>
      </c>
      <c r="CZ12" s="106" cm="1">
        <f t="array" ref="CZ12">IFERROR(OptionProfit($C12,$D12,$E12,$F12,$G12,CZ$4),0)</f>
        <v>42</v>
      </c>
      <c r="DA12" s="106" cm="1">
        <f t="array" ref="DA12">IFERROR(OptionProfit($C12,$D12,$E12,$F12,$G12,DA$4),0)</f>
        <v>42</v>
      </c>
      <c r="DB12" s="106" cm="1">
        <f t="array" ref="DB12">IFERROR(OptionProfit($C12,$D12,$E12,$F12,$G12,DB$4),0)</f>
        <v>42</v>
      </c>
      <c r="DC12" s="106" cm="1">
        <f t="array" ref="DC12">IFERROR(OptionProfit($C12,$D12,$E12,$F12,$G12,DC$4),0)</f>
        <v>42</v>
      </c>
      <c r="DD12" s="106" cm="1">
        <f t="array" ref="DD12">IFERROR(OptionProfit($C12,$D12,$E12,$F12,$G12,DD$4),0)</f>
        <v>42</v>
      </c>
      <c r="DE12" s="106" cm="1">
        <f t="array" ref="DE12">IFERROR(OptionProfit($C12,$D12,$E12,$F12,$G12,DE$4),0)</f>
        <v>42</v>
      </c>
      <c r="DF12" s="106" cm="1">
        <f t="array" ref="DF12">IFERROR(OptionProfit($C12,$D12,$E12,$F12,$G12,DF$4),0)</f>
        <v>42</v>
      </c>
      <c r="DG12" s="106" cm="1">
        <f t="array" ref="DG12">IFERROR(OptionProfit($C12,$D12,$E12,$F12,$G12,DG$4),0)</f>
        <v>42</v>
      </c>
      <c r="DH12" s="106" cm="1">
        <f t="array" ref="DH12">IFERROR(OptionProfit($C12,$D12,$E12,$F12,$G12,DH$4),0)</f>
        <v>42</v>
      </c>
      <c r="DI12" s="106" cm="1">
        <f t="array" ref="DI12">IFERROR(OptionProfit($C12,$D12,$E12,$F12,$G12,DI$4),0)</f>
        <v>42</v>
      </c>
      <c r="DJ12" s="106" cm="1">
        <f t="array" ref="DJ12">IFERROR(OptionProfit($C12,$D12,$E12,$F12,$G12,DJ$4),0)</f>
        <v>42</v>
      </c>
      <c r="DK12" s="106" cm="1">
        <f t="array" ref="DK12">IFERROR(OptionProfit($C12,$D12,$E12,$F12,$G12,DK$4),0)</f>
        <v>42</v>
      </c>
      <c r="DL12" s="106" cm="1">
        <f t="array" ref="DL12">IFERROR(OptionProfit($C12,$D12,$E12,$F12,$G12,DL$4),0)</f>
        <v>42</v>
      </c>
      <c r="DM12" s="106" cm="1">
        <f t="array" ref="DM12">IFERROR(OptionProfit($C12,$D12,$E12,$F12,$G12,DM$4),0)</f>
        <v>42</v>
      </c>
      <c r="DN12" s="106" cm="1">
        <f t="array" ref="DN12">IFERROR(OptionProfit($C12,$D12,$E12,$F12,$G12,DN$4),0)</f>
        <v>42</v>
      </c>
      <c r="DP12" s="91" t="str">
        <f t="shared" si="0"/>
        <v>P</v>
      </c>
      <c r="DQ12" s="91" t="str">
        <f t="shared" si="1"/>
        <v>TXYN07P22600</v>
      </c>
      <c r="DR12" s="91" t="str">
        <f t="shared" si="2"/>
        <v>=XQFAP|Quote!'TXYN07P22600.TF-price'</v>
      </c>
    </row>
    <row r="13" spans="1:122" ht="21" customHeight="1" x14ac:dyDescent="0.25">
      <c r="A13" s="108" t="s">
        <v>156</v>
      </c>
      <c r="B13" s="121"/>
      <c r="C13" s="108">
        <v>22600</v>
      </c>
      <c r="D13" s="108" t="s">
        <v>131</v>
      </c>
      <c r="E13" s="108" t="s">
        <v>149</v>
      </c>
      <c r="F13" s="108">
        <v>1</v>
      </c>
      <c r="G13" s="108">
        <v>42.5</v>
      </c>
      <c r="H13" s="122" cm="1">
        <f t="array" ref="H13">IFERROR(OptionPnL(D13,G13,B13,F13),0)</f>
        <v>42.5</v>
      </c>
      <c r="O13" s="126">
        <v>20350</v>
      </c>
      <c r="P13" s="110">
        <f t="shared" si="3"/>
        <v>-191675</v>
      </c>
      <c r="Q13" s="107">
        <f>SUM(Y6:Y38)</f>
        <v>-3833.5</v>
      </c>
      <c r="R13" s="106" cm="1">
        <f t="array" ref="R13">IFERROR(OptionProfit($C13,$D13,$E13,$F13,$G13,R$4),0)</f>
        <v>-2557.5</v>
      </c>
      <c r="S13" s="106" cm="1">
        <f t="array" ref="S13">IFERROR(OptionProfit($C13,$D13,$E13,$F13,$G13,S$4),0)</f>
        <v>-2507.5</v>
      </c>
      <c r="T13" s="106" cm="1">
        <f t="array" ref="T13">IFERROR(OptionProfit($C13,$D13,$E13,$F13,$G13,T$4),0)</f>
        <v>-2457.5</v>
      </c>
      <c r="U13" s="106" cm="1">
        <f t="array" ref="U13">IFERROR(OptionProfit($C13,$D13,$E13,$F13,$G13,U$4),0)</f>
        <v>-2407.5</v>
      </c>
      <c r="V13" s="106" cm="1">
        <f t="array" ref="V13">IFERROR(OptionProfit($C13,$D13,$E13,$F13,$G13,V$4),0)</f>
        <v>-2357.5</v>
      </c>
      <c r="W13" s="106" cm="1">
        <f t="array" ref="W13">IFERROR(OptionProfit($C13,$D13,$E13,$F13,$G13,W$4),0)</f>
        <v>-2307.5</v>
      </c>
      <c r="X13" s="106" cm="1">
        <f t="array" ref="X13">IFERROR(OptionProfit($C13,$D13,$E13,$F13,$G13,X$4),0)</f>
        <v>-2257.5</v>
      </c>
      <c r="Y13" s="106" cm="1">
        <f t="array" ref="Y13">IFERROR(OptionProfit($C13,$D13,$E13,$F13,$G13,Y$4),0)</f>
        <v>-2207.5</v>
      </c>
      <c r="Z13" s="106" cm="1">
        <f t="array" ref="Z13">IFERROR(OptionProfit($C13,$D13,$E13,$F13,$G13,Z$4),0)</f>
        <v>-2157.5</v>
      </c>
      <c r="AA13" s="106" cm="1">
        <f t="array" ref="AA13">IFERROR(OptionProfit($C13,$D13,$E13,$F13,$G13,AA$4),0)</f>
        <v>-2107.5</v>
      </c>
      <c r="AB13" s="106" cm="1">
        <f t="array" ref="AB13">IFERROR(OptionProfit($C13,$D13,$E13,$F13,$G13,AB$4),0)</f>
        <v>-2057.5</v>
      </c>
      <c r="AC13" s="106" cm="1">
        <f t="array" ref="AC13">IFERROR(OptionProfit($C13,$D13,$E13,$F13,$G13,AC$4),0)</f>
        <v>-2007.5</v>
      </c>
      <c r="AD13" s="106" cm="1">
        <f t="array" ref="AD13">IFERROR(OptionProfit($C13,$D13,$E13,$F13,$G13,AD$4),0)</f>
        <v>-1957.5</v>
      </c>
      <c r="AE13" s="106" cm="1">
        <f t="array" ref="AE13">IFERROR(OptionProfit($C13,$D13,$E13,$F13,$G13,AE$4),0)</f>
        <v>-1907.5</v>
      </c>
      <c r="AF13" s="106" cm="1">
        <f t="array" ref="AF13">IFERROR(OptionProfit($C13,$D13,$E13,$F13,$G13,AF$4),0)</f>
        <v>-1857.5</v>
      </c>
      <c r="AG13" s="106" cm="1">
        <f t="array" ref="AG13">IFERROR(OptionProfit($C13,$D13,$E13,$F13,$G13,AG$4),0)</f>
        <v>-1807.5</v>
      </c>
      <c r="AH13" s="106" cm="1">
        <f t="array" ref="AH13">IFERROR(OptionProfit($C13,$D13,$E13,$F13,$G13,AH$4),0)</f>
        <v>-1757.5</v>
      </c>
      <c r="AI13" s="106" cm="1">
        <f t="array" ref="AI13">IFERROR(OptionProfit($C13,$D13,$E13,$F13,$G13,AI$4),0)</f>
        <v>-1707.5</v>
      </c>
      <c r="AJ13" s="106" cm="1">
        <f t="array" ref="AJ13">IFERROR(OptionProfit($C13,$D13,$E13,$F13,$G13,AJ$4),0)</f>
        <v>-1657.5</v>
      </c>
      <c r="AK13" s="106" cm="1">
        <f t="array" ref="AK13">IFERROR(OptionProfit($C13,$D13,$E13,$F13,$G13,AK$4),0)</f>
        <v>-1607.5</v>
      </c>
      <c r="AL13" s="106" cm="1">
        <f t="array" ref="AL13">IFERROR(OptionProfit($C13,$D13,$E13,$F13,$G13,AL$4),0)</f>
        <v>-1557.5</v>
      </c>
      <c r="AM13" s="106" cm="1">
        <f t="array" ref="AM13">IFERROR(OptionProfit($C13,$D13,$E13,$F13,$G13,AM$4),0)</f>
        <v>-1507.5</v>
      </c>
      <c r="AN13" s="106" cm="1">
        <f t="array" ref="AN13">IFERROR(OptionProfit($C13,$D13,$E13,$F13,$G13,AN$4),0)</f>
        <v>-1457.5</v>
      </c>
      <c r="AO13" s="106" cm="1">
        <f t="array" ref="AO13">IFERROR(OptionProfit($C13,$D13,$E13,$F13,$G13,AO$4),0)</f>
        <v>-1407.5</v>
      </c>
      <c r="AP13" s="106" cm="1">
        <f t="array" ref="AP13">IFERROR(OptionProfit($C13,$D13,$E13,$F13,$G13,AP$4),0)</f>
        <v>-1357.5</v>
      </c>
      <c r="AQ13" s="106" cm="1">
        <f t="array" ref="AQ13">IFERROR(OptionProfit($C13,$D13,$E13,$F13,$G13,AQ$4),0)</f>
        <v>-1307.5</v>
      </c>
      <c r="AR13" s="106" cm="1">
        <f t="array" ref="AR13">IFERROR(OptionProfit($C13,$D13,$E13,$F13,$G13,AR$4),0)</f>
        <v>-1257.5</v>
      </c>
      <c r="AS13" s="106" cm="1">
        <f t="array" ref="AS13">IFERROR(OptionProfit($C13,$D13,$E13,$F13,$G13,AS$4),0)</f>
        <v>-1207.5</v>
      </c>
      <c r="AT13" s="106" cm="1">
        <f t="array" ref="AT13">IFERROR(OptionProfit($C13,$D13,$E13,$F13,$G13,AT$4),0)</f>
        <v>-1157.5</v>
      </c>
      <c r="AU13" s="106" cm="1">
        <f t="array" ref="AU13">IFERROR(OptionProfit($C13,$D13,$E13,$F13,$G13,AU$4),0)</f>
        <v>-1107.5</v>
      </c>
      <c r="AV13" s="106" cm="1">
        <f t="array" ref="AV13">IFERROR(OptionProfit($C13,$D13,$E13,$F13,$G13,AV$4),0)</f>
        <v>-1057.5</v>
      </c>
      <c r="AW13" s="106" cm="1">
        <f t="array" ref="AW13">IFERROR(OptionProfit($C13,$D13,$E13,$F13,$G13,AW$4),0)</f>
        <v>-1007.5</v>
      </c>
      <c r="AX13" s="106" cm="1">
        <f t="array" ref="AX13">IFERROR(OptionProfit($C13,$D13,$E13,$F13,$G13,AX$4),0)</f>
        <v>-957.5</v>
      </c>
      <c r="AY13" s="106" cm="1">
        <f t="array" ref="AY13">IFERROR(OptionProfit($C13,$D13,$E13,$F13,$G13,AY$4),0)</f>
        <v>-907.5</v>
      </c>
      <c r="AZ13" s="106" cm="1">
        <f t="array" ref="AZ13">IFERROR(OptionProfit($C13,$D13,$E13,$F13,$G13,AZ$4),0)</f>
        <v>-857.5</v>
      </c>
      <c r="BA13" s="106" cm="1">
        <f t="array" ref="BA13">IFERROR(OptionProfit($C13,$D13,$E13,$F13,$G13,BA$4),0)</f>
        <v>-807.5</v>
      </c>
      <c r="BB13" s="106" cm="1">
        <f t="array" ref="BB13">IFERROR(OptionProfit($C13,$D13,$E13,$F13,$G13,BB$4),0)</f>
        <v>-757.5</v>
      </c>
      <c r="BC13" s="106" cm="1">
        <f t="array" ref="BC13">IFERROR(OptionProfit($C13,$D13,$E13,$F13,$G13,BC$4),0)</f>
        <v>-707.5</v>
      </c>
      <c r="BD13" s="106" cm="1">
        <f t="array" ref="BD13">IFERROR(OptionProfit($C13,$D13,$E13,$F13,$G13,BD$4),0)</f>
        <v>-657.5</v>
      </c>
      <c r="BE13" s="106" cm="1">
        <f t="array" ref="BE13">IFERROR(OptionProfit($C13,$D13,$E13,$F13,$G13,BE$4),0)</f>
        <v>-607.5</v>
      </c>
      <c r="BF13" s="106" cm="1">
        <f t="array" ref="BF13">IFERROR(OptionProfit($C13,$D13,$E13,$F13,$G13,BF$4),0)</f>
        <v>-557.5</v>
      </c>
      <c r="BG13" s="106" cm="1">
        <f t="array" ref="BG13">IFERROR(OptionProfit($C13,$D13,$E13,$F13,$G13,BG$4),0)</f>
        <v>-507.5</v>
      </c>
      <c r="BH13" s="106" cm="1">
        <f t="array" ref="BH13">IFERROR(OptionProfit($C13,$D13,$E13,$F13,$G13,BH$4),0)</f>
        <v>-457.5</v>
      </c>
      <c r="BI13" s="106" cm="1">
        <f t="array" ref="BI13">IFERROR(OptionProfit($C13,$D13,$E13,$F13,$G13,BI$4),0)</f>
        <v>-407.5</v>
      </c>
      <c r="BJ13" s="106" cm="1">
        <f t="array" ref="BJ13">IFERROR(OptionProfit($C13,$D13,$E13,$F13,$G13,BJ$4),0)</f>
        <v>-357.5</v>
      </c>
      <c r="BK13" s="106" cm="1">
        <f t="array" ref="BK13">IFERROR(OptionProfit($C13,$D13,$E13,$F13,$G13,BK$4),0)</f>
        <v>-307.5</v>
      </c>
      <c r="BL13" s="106" cm="1">
        <f t="array" ref="BL13">IFERROR(OptionProfit($C13,$D13,$E13,$F13,$G13,BL$4),0)</f>
        <v>-257.5</v>
      </c>
      <c r="BM13" s="106" cm="1">
        <f t="array" ref="BM13">IFERROR(OptionProfit($C13,$D13,$E13,$F13,$G13,BM$4),0)</f>
        <v>-207.5</v>
      </c>
      <c r="BN13" s="106" cm="1">
        <f t="array" ref="BN13">IFERROR(OptionProfit($C13,$D13,$E13,$F13,$G13,BN$4),0)</f>
        <v>-157.5</v>
      </c>
      <c r="BO13" s="106" cm="1">
        <f t="array" ref="BO13">IFERROR(OptionProfit($C13,$D13,$E13,$F13,$G13,BO$4),0)</f>
        <v>-107.5</v>
      </c>
      <c r="BP13" s="106" cm="1">
        <f t="array" ref="BP13">IFERROR(OptionProfit($C13,$D13,$E13,$F13,$G13,BP$4),0)</f>
        <v>-57.5</v>
      </c>
      <c r="BQ13" s="106" cm="1">
        <f t="array" ref="BQ13">IFERROR(OptionProfit($C13,$D13,$E13,$F13,$G13,BQ$4),0)</f>
        <v>-7.5</v>
      </c>
      <c r="BR13" s="106" cm="1">
        <f t="array" ref="BR13">IFERROR(OptionProfit($C13,$D13,$E13,$F13,$G13,BR$4),0)</f>
        <v>42.5</v>
      </c>
      <c r="BS13" s="106" cm="1">
        <f t="array" ref="BS13">IFERROR(OptionProfit($C13,$D13,$E13,$F13,$G13,BS$4),0)</f>
        <v>42.5</v>
      </c>
      <c r="BT13" s="106" cm="1">
        <f t="array" ref="BT13">IFERROR(OptionProfit($C13,$D13,$E13,$F13,$G13,BT$4),0)</f>
        <v>42.5</v>
      </c>
      <c r="BU13" s="106" cm="1">
        <f t="array" ref="BU13">IFERROR(OptionProfit($C13,$D13,$E13,$F13,$G13,BU$4),0)</f>
        <v>42.5</v>
      </c>
      <c r="BV13" s="106" cm="1">
        <f t="array" ref="BV13">IFERROR(OptionProfit($C13,$D13,$E13,$F13,$G13,BV$4),0)</f>
        <v>42.5</v>
      </c>
      <c r="BW13" s="106" cm="1">
        <f t="array" ref="BW13">IFERROR(OptionProfit($C13,$D13,$E13,$F13,$G13,BW$4),0)</f>
        <v>42.5</v>
      </c>
      <c r="BX13" s="106" cm="1">
        <f t="array" ref="BX13">IFERROR(OptionProfit($C13,$D13,$E13,$F13,$G13,BX$4),0)</f>
        <v>42.5</v>
      </c>
      <c r="BY13" s="106" cm="1">
        <f t="array" ref="BY13">IFERROR(OptionProfit($C13,$D13,$E13,$F13,$G13,BY$4),0)</f>
        <v>42.5</v>
      </c>
      <c r="BZ13" s="106" cm="1">
        <f t="array" ref="BZ13">IFERROR(OptionProfit($C13,$D13,$E13,$F13,$G13,BZ$4),0)</f>
        <v>42.5</v>
      </c>
      <c r="CA13" s="106" cm="1">
        <f t="array" ref="CA13">IFERROR(OptionProfit($C13,$D13,$E13,$F13,$G13,CA$4),0)</f>
        <v>42.5</v>
      </c>
      <c r="CB13" s="106" cm="1">
        <f t="array" ref="CB13">IFERROR(OptionProfit($C13,$D13,$E13,$F13,$G13,CB$4),0)</f>
        <v>42.5</v>
      </c>
      <c r="CC13" s="106" cm="1">
        <f t="array" ref="CC13">IFERROR(OptionProfit($C13,$D13,$E13,$F13,$G13,CC$4),0)</f>
        <v>42.5</v>
      </c>
      <c r="CD13" s="106" cm="1">
        <f t="array" ref="CD13">IFERROR(OptionProfit($C13,$D13,$E13,$F13,$G13,CD$4),0)</f>
        <v>42.5</v>
      </c>
      <c r="CE13" s="106" cm="1">
        <f t="array" ref="CE13">IFERROR(OptionProfit($C13,$D13,$E13,$F13,$G13,CE$4),0)</f>
        <v>42.5</v>
      </c>
      <c r="CF13" s="106" cm="1">
        <f t="array" ref="CF13">IFERROR(OptionProfit($C13,$D13,$E13,$F13,$G13,CF$4),0)</f>
        <v>42.5</v>
      </c>
      <c r="CG13" s="106" cm="1">
        <f t="array" ref="CG13">IFERROR(OptionProfit($C13,$D13,$E13,$F13,$G13,CG$4),0)</f>
        <v>42.5</v>
      </c>
      <c r="CH13" s="106" cm="1">
        <f t="array" ref="CH13">IFERROR(OptionProfit($C13,$D13,$E13,$F13,$G13,CH$4),0)</f>
        <v>42.5</v>
      </c>
      <c r="CI13" s="106" cm="1">
        <f t="array" ref="CI13">IFERROR(OptionProfit($C13,$D13,$E13,$F13,$G13,CI$4),0)</f>
        <v>42.5</v>
      </c>
      <c r="CJ13" s="106" cm="1">
        <f t="array" ref="CJ13">IFERROR(OptionProfit($C13,$D13,$E13,$F13,$G13,CJ$4),0)</f>
        <v>42.5</v>
      </c>
      <c r="CK13" s="106" cm="1">
        <f t="array" ref="CK13">IFERROR(OptionProfit($C13,$D13,$E13,$F13,$G13,CK$4),0)</f>
        <v>42.5</v>
      </c>
      <c r="CL13" s="106" cm="1">
        <f t="array" ref="CL13">IFERROR(OptionProfit($C13,$D13,$E13,$F13,$G13,CL$4),0)</f>
        <v>42.5</v>
      </c>
      <c r="CM13" s="106" cm="1">
        <f t="array" ref="CM13">IFERROR(OptionProfit($C13,$D13,$E13,$F13,$G13,CM$4),0)</f>
        <v>42.5</v>
      </c>
      <c r="CN13" s="106" cm="1">
        <f t="array" ref="CN13">IFERROR(OptionProfit($C13,$D13,$E13,$F13,$G13,CN$4),0)</f>
        <v>42.5</v>
      </c>
      <c r="CO13" s="106" cm="1">
        <f t="array" ref="CO13">IFERROR(OptionProfit($C13,$D13,$E13,$F13,$G13,CO$4),0)</f>
        <v>42.5</v>
      </c>
      <c r="CP13" s="106" cm="1">
        <f t="array" ref="CP13">IFERROR(OptionProfit($C13,$D13,$E13,$F13,$G13,CP$4),0)</f>
        <v>42.5</v>
      </c>
      <c r="CQ13" s="106" cm="1">
        <f t="array" ref="CQ13">IFERROR(OptionProfit($C13,$D13,$E13,$F13,$G13,CQ$4),0)</f>
        <v>42.5</v>
      </c>
      <c r="CR13" s="106" cm="1">
        <f t="array" ref="CR13">IFERROR(OptionProfit($C13,$D13,$E13,$F13,$G13,CR$4),0)</f>
        <v>42.5</v>
      </c>
      <c r="CS13" s="106" cm="1">
        <f t="array" ref="CS13">IFERROR(OptionProfit($C13,$D13,$E13,$F13,$G13,CS$4),0)</f>
        <v>42.5</v>
      </c>
      <c r="CT13" s="106" cm="1">
        <f t="array" ref="CT13">IFERROR(OptionProfit($C13,$D13,$E13,$F13,$G13,CT$4),0)</f>
        <v>42.5</v>
      </c>
      <c r="CU13" s="106" cm="1">
        <f t="array" ref="CU13">IFERROR(OptionProfit($C13,$D13,$E13,$F13,$G13,CU$4),0)</f>
        <v>42.5</v>
      </c>
      <c r="CV13" s="128" cm="1">
        <f t="array" ref="CV13">IFERROR(OptionProfit($C13,$D13,$E13,$F13,$G13,CV$4),0)</f>
        <v>42.5</v>
      </c>
      <c r="CW13" s="128" cm="1">
        <f t="array" ref="CW13">IFERROR(OptionProfit($C13,$D13,$E13,$F13,$G13,CW$4),0)</f>
        <v>42.5</v>
      </c>
      <c r="CX13" s="106" cm="1">
        <f t="array" ref="CX13">IFERROR(OptionProfit($C13,$D13,$E13,$F13,$G13,CX$4),0)</f>
        <v>42.5</v>
      </c>
      <c r="CY13" s="106" cm="1">
        <f t="array" ref="CY13">IFERROR(OptionProfit($C13,$D13,$E13,$F13,$G13,CY$4),0)</f>
        <v>42.5</v>
      </c>
      <c r="CZ13" s="106" cm="1">
        <f t="array" ref="CZ13">IFERROR(OptionProfit($C13,$D13,$E13,$F13,$G13,CZ$4),0)</f>
        <v>42.5</v>
      </c>
      <c r="DA13" s="106" cm="1">
        <f t="array" ref="DA13">IFERROR(OptionProfit($C13,$D13,$E13,$F13,$G13,DA$4),0)</f>
        <v>42.5</v>
      </c>
      <c r="DB13" s="106" cm="1">
        <f t="array" ref="DB13">IFERROR(OptionProfit($C13,$D13,$E13,$F13,$G13,DB$4),0)</f>
        <v>42.5</v>
      </c>
      <c r="DC13" s="106" cm="1">
        <f t="array" ref="DC13">IFERROR(OptionProfit($C13,$D13,$E13,$F13,$G13,DC$4),0)</f>
        <v>42.5</v>
      </c>
      <c r="DD13" s="106" cm="1">
        <f t="array" ref="DD13">IFERROR(OptionProfit($C13,$D13,$E13,$F13,$G13,DD$4),0)</f>
        <v>42.5</v>
      </c>
      <c r="DE13" s="106" cm="1">
        <f t="array" ref="DE13">IFERROR(OptionProfit($C13,$D13,$E13,$F13,$G13,DE$4),0)</f>
        <v>42.5</v>
      </c>
      <c r="DF13" s="106" cm="1">
        <f t="array" ref="DF13">IFERROR(OptionProfit($C13,$D13,$E13,$F13,$G13,DF$4),0)</f>
        <v>42.5</v>
      </c>
      <c r="DG13" s="106" cm="1">
        <f t="array" ref="DG13">IFERROR(OptionProfit($C13,$D13,$E13,$F13,$G13,DG$4),0)</f>
        <v>42.5</v>
      </c>
      <c r="DH13" s="106" cm="1">
        <f t="array" ref="DH13">IFERROR(OptionProfit($C13,$D13,$E13,$F13,$G13,DH$4),0)</f>
        <v>42.5</v>
      </c>
      <c r="DI13" s="106" cm="1">
        <f t="array" ref="DI13">IFERROR(OptionProfit($C13,$D13,$E13,$F13,$G13,DI$4),0)</f>
        <v>42.5</v>
      </c>
      <c r="DJ13" s="106" cm="1">
        <f t="array" ref="DJ13">IFERROR(OptionProfit($C13,$D13,$E13,$F13,$G13,DJ$4),0)</f>
        <v>42.5</v>
      </c>
      <c r="DK13" s="106" cm="1">
        <f t="array" ref="DK13">IFERROR(OptionProfit($C13,$D13,$E13,$F13,$G13,DK$4),0)</f>
        <v>42.5</v>
      </c>
      <c r="DL13" s="106" cm="1">
        <f t="array" ref="DL13">IFERROR(OptionProfit($C13,$D13,$E13,$F13,$G13,DL$4),0)</f>
        <v>42.5</v>
      </c>
      <c r="DM13" s="106" cm="1">
        <f t="array" ref="DM13">IFERROR(OptionProfit($C13,$D13,$E13,$F13,$G13,DM$4),0)</f>
        <v>42.5</v>
      </c>
      <c r="DN13" s="106" cm="1">
        <f t="array" ref="DN13">IFERROR(OptionProfit($C13,$D13,$E13,$F13,$G13,DN$4),0)</f>
        <v>42.5</v>
      </c>
      <c r="DP13" s="91" t="str">
        <f t="shared" si="0"/>
        <v>P</v>
      </c>
      <c r="DQ13" s="91" t="str">
        <f t="shared" si="1"/>
        <v>TXYN07P22600</v>
      </c>
      <c r="DR13" s="91" t="str">
        <f t="shared" si="2"/>
        <v>=XQFAP|Quote!'TXYN07P22600.TF-price'</v>
      </c>
    </row>
    <row r="14" spans="1:122" ht="21" customHeight="1" x14ac:dyDescent="0.25">
      <c r="A14" s="108" t="s">
        <v>156</v>
      </c>
      <c r="B14" s="121"/>
      <c r="C14" s="108">
        <v>22600</v>
      </c>
      <c r="D14" s="108" t="s">
        <v>131</v>
      </c>
      <c r="E14" s="108" t="s">
        <v>149</v>
      </c>
      <c r="F14" s="108">
        <v>1</v>
      </c>
      <c r="G14" s="108">
        <v>43</v>
      </c>
      <c r="H14" s="122" cm="1">
        <f t="array" ref="H14">IFERROR(OptionPnL(D14,G14,B14,F14),0)</f>
        <v>43</v>
      </c>
      <c r="O14" s="126">
        <v>20400</v>
      </c>
      <c r="P14" s="110">
        <f t="shared" si="3"/>
        <v>-186675</v>
      </c>
      <c r="Q14" s="107">
        <f>SUM(Z6:Z38)</f>
        <v>-3733.5</v>
      </c>
      <c r="R14" s="106" cm="1">
        <f t="array" ref="R14">IFERROR(OptionProfit($C14,$D14,$E14,$F14,$G14,R$4),0)</f>
        <v>-2557</v>
      </c>
      <c r="S14" s="106" cm="1">
        <f t="array" ref="S14">IFERROR(OptionProfit($C14,$D14,$E14,$F14,$G14,S$4),0)</f>
        <v>-2507</v>
      </c>
      <c r="T14" s="106" cm="1">
        <f t="array" ref="T14">IFERROR(OptionProfit($C14,$D14,$E14,$F14,$G14,T$4),0)</f>
        <v>-2457</v>
      </c>
      <c r="U14" s="106" cm="1">
        <f t="array" ref="U14">IFERROR(OptionProfit($C14,$D14,$E14,$F14,$G14,U$4),0)</f>
        <v>-2407</v>
      </c>
      <c r="V14" s="106" cm="1">
        <f t="array" ref="V14">IFERROR(OptionProfit($C14,$D14,$E14,$F14,$G14,V$4),0)</f>
        <v>-2357</v>
      </c>
      <c r="W14" s="106" cm="1">
        <f t="array" ref="W14">IFERROR(OptionProfit($C14,$D14,$E14,$F14,$G14,W$4),0)</f>
        <v>-2307</v>
      </c>
      <c r="X14" s="106" cm="1">
        <f t="array" ref="X14">IFERROR(OptionProfit($C14,$D14,$E14,$F14,$G14,X$4),0)</f>
        <v>-2257</v>
      </c>
      <c r="Y14" s="106" cm="1">
        <f t="array" ref="Y14">IFERROR(OptionProfit($C14,$D14,$E14,$F14,$G14,Y$4),0)</f>
        <v>-2207</v>
      </c>
      <c r="Z14" s="106" cm="1">
        <f t="array" ref="Z14">IFERROR(OptionProfit($C14,$D14,$E14,$F14,$G14,Z$4),0)</f>
        <v>-2157</v>
      </c>
      <c r="AA14" s="106" cm="1">
        <f t="array" ref="AA14">IFERROR(OptionProfit($C14,$D14,$E14,$F14,$G14,AA$4),0)</f>
        <v>-2107</v>
      </c>
      <c r="AB14" s="106" cm="1">
        <f t="array" ref="AB14">IFERROR(OptionProfit($C14,$D14,$E14,$F14,$G14,AB$4),0)</f>
        <v>-2057</v>
      </c>
      <c r="AC14" s="106" cm="1">
        <f t="array" ref="AC14">IFERROR(OptionProfit($C14,$D14,$E14,$F14,$G14,AC$4),0)</f>
        <v>-2007</v>
      </c>
      <c r="AD14" s="106" cm="1">
        <f t="array" ref="AD14">IFERROR(OptionProfit($C14,$D14,$E14,$F14,$G14,AD$4),0)</f>
        <v>-1957</v>
      </c>
      <c r="AE14" s="106" cm="1">
        <f t="array" ref="AE14">IFERROR(OptionProfit($C14,$D14,$E14,$F14,$G14,AE$4),0)</f>
        <v>-1907</v>
      </c>
      <c r="AF14" s="106" cm="1">
        <f t="array" ref="AF14">IFERROR(OptionProfit($C14,$D14,$E14,$F14,$G14,AF$4),0)</f>
        <v>-1857</v>
      </c>
      <c r="AG14" s="106" cm="1">
        <f t="array" ref="AG14">IFERROR(OptionProfit($C14,$D14,$E14,$F14,$G14,AG$4),0)</f>
        <v>-1807</v>
      </c>
      <c r="AH14" s="106" cm="1">
        <f t="array" ref="AH14">IFERROR(OptionProfit($C14,$D14,$E14,$F14,$G14,AH$4),0)</f>
        <v>-1757</v>
      </c>
      <c r="AI14" s="106" cm="1">
        <f t="array" ref="AI14">IFERROR(OptionProfit($C14,$D14,$E14,$F14,$G14,AI$4),0)</f>
        <v>-1707</v>
      </c>
      <c r="AJ14" s="106" cm="1">
        <f t="array" ref="AJ14">IFERROR(OptionProfit($C14,$D14,$E14,$F14,$G14,AJ$4),0)</f>
        <v>-1657</v>
      </c>
      <c r="AK14" s="106" cm="1">
        <f t="array" ref="AK14">IFERROR(OptionProfit($C14,$D14,$E14,$F14,$G14,AK$4),0)</f>
        <v>-1607</v>
      </c>
      <c r="AL14" s="106" cm="1">
        <f t="array" ref="AL14">IFERROR(OptionProfit($C14,$D14,$E14,$F14,$G14,AL$4),0)</f>
        <v>-1557</v>
      </c>
      <c r="AM14" s="106" cm="1">
        <f t="array" ref="AM14">IFERROR(OptionProfit($C14,$D14,$E14,$F14,$G14,AM$4),0)</f>
        <v>-1507</v>
      </c>
      <c r="AN14" s="106" cm="1">
        <f t="array" ref="AN14">IFERROR(OptionProfit($C14,$D14,$E14,$F14,$G14,AN$4),0)</f>
        <v>-1457</v>
      </c>
      <c r="AO14" s="106" cm="1">
        <f t="array" ref="AO14">IFERROR(OptionProfit($C14,$D14,$E14,$F14,$G14,AO$4),0)</f>
        <v>-1407</v>
      </c>
      <c r="AP14" s="106" cm="1">
        <f t="array" ref="AP14">IFERROR(OptionProfit($C14,$D14,$E14,$F14,$G14,AP$4),0)</f>
        <v>-1357</v>
      </c>
      <c r="AQ14" s="106" cm="1">
        <f t="array" ref="AQ14">IFERROR(OptionProfit($C14,$D14,$E14,$F14,$G14,AQ$4),0)</f>
        <v>-1307</v>
      </c>
      <c r="AR14" s="106" cm="1">
        <f t="array" ref="AR14">IFERROR(OptionProfit($C14,$D14,$E14,$F14,$G14,AR$4),0)</f>
        <v>-1257</v>
      </c>
      <c r="AS14" s="106" cm="1">
        <f t="array" ref="AS14">IFERROR(OptionProfit($C14,$D14,$E14,$F14,$G14,AS$4),0)</f>
        <v>-1207</v>
      </c>
      <c r="AT14" s="106" cm="1">
        <f t="array" ref="AT14">IFERROR(OptionProfit($C14,$D14,$E14,$F14,$G14,AT$4),0)</f>
        <v>-1157</v>
      </c>
      <c r="AU14" s="106" cm="1">
        <f t="array" ref="AU14">IFERROR(OptionProfit($C14,$D14,$E14,$F14,$G14,AU$4),0)</f>
        <v>-1107</v>
      </c>
      <c r="AV14" s="106" cm="1">
        <f t="array" ref="AV14">IFERROR(OptionProfit($C14,$D14,$E14,$F14,$G14,AV$4),0)</f>
        <v>-1057</v>
      </c>
      <c r="AW14" s="106" cm="1">
        <f t="array" ref="AW14">IFERROR(OptionProfit($C14,$D14,$E14,$F14,$G14,AW$4),0)</f>
        <v>-1007</v>
      </c>
      <c r="AX14" s="106" cm="1">
        <f t="array" ref="AX14">IFERROR(OptionProfit($C14,$D14,$E14,$F14,$G14,AX$4),0)</f>
        <v>-957</v>
      </c>
      <c r="AY14" s="106" cm="1">
        <f t="array" ref="AY14">IFERROR(OptionProfit($C14,$D14,$E14,$F14,$G14,AY$4),0)</f>
        <v>-907</v>
      </c>
      <c r="AZ14" s="106" cm="1">
        <f t="array" ref="AZ14">IFERROR(OptionProfit($C14,$D14,$E14,$F14,$G14,AZ$4),0)</f>
        <v>-857</v>
      </c>
      <c r="BA14" s="106" cm="1">
        <f t="array" ref="BA14">IFERROR(OptionProfit($C14,$D14,$E14,$F14,$G14,BA$4),0)</f>
        <v>-807</v>
      </c>
      <c r="BB14" s="106" cm="1">
        <f t="array" ref="BB14">IFERROR(OptionProfit($C14,$D14,$E14,$F14,$G14,BB$4),0)</f>
        <v>-757</v>
      </c>
      <c r="BC14" s="106" cm="1">
        <f t="array" ref="BC14">IFERROR(OptionProfit($C14,$D14,$E14,$F14,$G14,BC$4),0)</f>
        <v>-707</v>
      </c>
      <c r="BD14" s="106" cm="1">
        <f t="array" ref="BD14">IFERROR(OptionProfit($C14,$D14,$E14,$F14,$G14,BD$4),0)</f>
        <v>-657</v>
      </c>
      <c r="BE14" s="106" cm="1">
        <f t="array" ref="BE14">IFERROR(OptionProfit($C14,$D14,$E14,$F14,$G14,BE$4),0)</f>
        <v>-607</v>
      </c>
      <c r="BF14" s="106" cm="1">
        <f t="array" ref="BF14">IFERROR(OptionProfit($C14,$D14,$E14,$F14,$G14,BF$4),0)</f>
        <v>-557</v>
      </c>
      <c r="BG14" s="106" cm="1">
        <f t="array" ref="BG14">IFERROR(OptionProfit($C14,$D14,$E14,$F14,$G14,BG$4),0)</f>
        <v>-507</v>
      </c>
      <c r="BH14" s="106" cm="1">
        <f t="array" ref="BH14">IFERROR(OptionProfit($C14,$D14,$E14,$F14,$G14,BH$4),0)</f>
        <v>-457</v>
      </c>
      <c r="BI14" s="106" cm="1">
        <f t="array" ref="BI14">IFERROR(OptionProfit($C14,$D14,$E14,$F14,$G14,BI$4),0)</f>
        <v>-407</v>
      </c>
      <c r="BJ14" s="106" cm="1">
        <f t="array" ref="BJ14">IFERROR(OptionProfit($C14,$D14,$E14,$F14,$G14,BJ$4),0)</f>
        <v>-357</v>
      </c>
      <c r="BK14" s="106" cm="1">
        <f t="array" ref="BK14">IFERROR(OptionProfit($C14,$D14,$E14,$F14,$G14,BK$4),0)</f>
        <v>-307</v>
      </c>
      <c r="BL14" s="106" cm="1">
        <f t="array" ref="BL14">IFERROR(OptionProfit($C14,$D14,$E14,$F14,$G14,BL$4),0)</f>
        <v>-257</v>
      </c>
      <c r="BM14" s="106" cm="1">
        <f t="array" ref="BM14">IFERROR(OptionProfit($C14,$D14,$E14,$F14,$G14,BM$4),0)</f>
        <v>-207</v>
      </c>
      <c r="BN14" s="106" cm="1">
        <f t="array" ref="BN14">IFERROR(OptionProfit($C14,$D14,$E14,$F14,$G14,BN$4),0)</f>
        <v>-157</v>
      </c>
      <c r="BO14" s="106" cm="1">
        <f t="array" ref="BO14">IFERROR(OptionProfit($C14,$D14,$E14,$F14,$G14,BO$4),0)</f>
        <v>-107</v>
      </c>
      <c r="BP14" s="106" cm="1">
        <f t="array" ref="BP14">IFERROR(OptionProfit($C14,$D14,$E14,$F14,$G14,BP$4),0)</f>
        <v>-57</v>
      </c>
      <c r="BQ14" s="106" cm="1">
        <f t="array" ref="BQ14">IFERROR(OptionProfit($C14,$D14,$E14,$F14,$G14,BQ$4),0)</f>
        <v>-7</v>
      </c>
      <c r="BR14" s="106" cm="1">
        <f t="array" ref="BR14">IFERROR(OptionProfit($C14,$D14,$E14,$F14,$G14,BR$4),0)</f>
        <v>43</v>
      </c>
      <c r="BS14" s="106" cm="1">
        <f t="array" ref="BS14">IFERROR(OptionProfit($C14,$D14,$E14,$F14,$G14,BS$4),0)</f>
        <v>43</v>
      </c>
      <c r="BT14" s="106" cm="1">
        <f t="array" ref="BT14">IFERROR(OptionProfit($C14,$D14,$E14,$F14,$G14,BT$4),0)</f>
        <v>43</v>
      </c>
      <c r="BU14" s="106" cm="1">
        <f t="array" ref="BU14">IFERROR(OptionProfit($C14,$D14,$E14,$F14,$G14,BU$4),0)</f>
        <v>43</v>
      </c>
      <c r="BV14" s="106" cm="1">
        <f t="array" ref="BV14">IFERROR(OptionProfit($C14,$D14,$E14,$F14,$G14,BV$4),0)</f>
        <v>43</v>
      </c>
      <c r="BW14" s="106" cm="1">
        <f t="array" ref="BW14">IFERROR(OptionProfit($C14,$D14,$E14,$F14,$G14,BW$4),0)</f>
        <v>43</v>
      </c>
      <c r="BX14" s="106" cm="1">
        <f t="array" ref="BX14">IFERROR(OptionProfit($C14,$D14,$E14,$F14,$G14,BX$4),0)</f>
        <v>43</v>
      </c>
      <c r="BY14" s="106" cm="1">
        <f t="array" ref="BY14">IFERROR(OptionProfit($C14,$D14,$E14,$F14,$G14,BY$4),0)</f>
        <v>43</v>
      </c>
      <c r="BZ14" s="106" cm="1">
        <f t="array" ref="BZ14">IFERROR(OptionProfit($C14,$D14,$E14,$F14,$G14,BZ$4),0)</f>
        <v>43</v>
      </c>
      <c r="CA14" s="106" cm="1">
        <f t="array" ref="CA14">IFERROR(OptionProfit($C14,$D14,$E14,$F14,$G14,CA$4),0)</f>
        <v>43</v>
      </c>
      <c r="CB14" s="106" cm="1">
        <f t="array" ref="CB14">IFERROR(OptionProfit($C14,$D14,$E14,$F14,$G14,CB$4),0)</f>
        <v>43</v>
      </c>
      <c r="CC14" s="106" cm="1">
        <f t="array" ref="CC14">IFERROR(OptionProfit($C14,$D14,$E14,$F14,$G14,CC$4),0)</f>
        <v>43</v>
      </c>
      <c r="CD14" s="106" cm="1">
        <f t="array" ref="CD14">IFERROR(OptionProfit($C14,$D14,$E14,$F14,$G14,CD$4),0)</f>
        <v>43</v>
      </c>
      <c r="CE14" s="106" cm="1">
        <f t="array" ref="CE14">IFERROR(OptionProfit($C14,$D14,$E14,$F14,$G14,CE$4),0)</f>
        <v>43</v>
      </c>
      <c r="CF14" s="106" cm="1">
        <f t="array" ref="CF14">IFERROR(OptionProfit($C14,$D14,$E14,$F14,$G14,CF$4),0)</f>
        <v>43</v>
      </c>
      <c r="CG14" s="106" cm="1">
        <f t="array" ref="CG14">IFERROR(OptionProfit($C14,$D14,$E14,$F14,$G14,CG$4),0)</f>
        <v>43</v>
      </c>
      <c r="CH14" s="106" cm="1">
        <f t="array" ref="CH14">IFERROR(OptionProfit($C14,$D14,$E14,$F14,$G14,CH$4),0)</f>
        <v>43</v>
      </c>
      <c r="CI14" s="106" cm="1">
        <f t="array" ref="CI14">IFERROR(OptionProfit($C14,$D14,$E14,$F14,$G14,CI$4),0)</f>
        <v>43</v>
      </c>
      <c r="CJ14" s="106" cm="1">
        <f t="array" ref="CJ14">IFERROR(OptionProfit($C14,$D14,$E14,$F14,$G14,CJ$4),0)</f>
        <v>43</v>
      </c>
      <c r="CK14" s="106" cm="1">
        <f t="array" ref="CK14">IFERROR(OptionProfit($C14,$D14,$E14,$F14,$G14,CK$4),0)</f>
        <v>43</v>
      </c>
      <c r="CL14" s="106" cm="1">
        <f t="array" ref="CL14">IFERROR(OptionProfit($C14,$D14,$E14,$F14,$G14,CL$4),0)</f>
        <v>43</v>
      </c>
      <c r="CM14" s="106" cm="1">
        <f t="array" ref="CM14">IFERROR(OptionProfit($C14,$D14,$E14,$F14,$G14,CM$4),0)</f>
        <v>43</v>
      </c>
      <c r="CN14" s="106" cm="1">
        <f t="array" ref="CN14">IFERROR(OptionProfit($C14,$D14,$E14,$F14,$G14,CN$4),0)</f>
        <v>43</v>
      </c>
      <c r="CO14" s="106" cm="1">
        <f t="array" ref="CO14">IFERROR(OptionProfit($C14,$D14,$E14,$F14,$G14,CO$4),0)</f>
        <v>43</v>
      </c>
      <c r="CP14" s="106" cm="1">
        <f t="array" ref="CP14">IFERROR(OptionProfit($C14,$D14,$E14,$F14,$G14,CP$4),0)</f>
        <v>43</v>
      </c>
      <c r="CQ14" s="106" cm="1">
        <f t="array" ref="CQ14">IFERROR(OptionProfit($C14,$D14,$E14,$F14,$G14,CQ$4),0)</f>
        <v>43</v>
      </c>
      <c r="CR14" s="106" cm="1">
        <f t="array" ref="CR14">IFERROR(OptionProfit($C14,$D14,$E14,$F14,$G14,CR$4),0)</f>
        <v>43</v>
      </c>
      <c r="CS14" s="106" cm="1">
        <f t="array" ref="CS14">IFERROR(OptionProfit($C14,$D14,$E14,$F14,$G14,CS$4),0)</f>
        <v>43</v>
      </c>
      <c r="CT14" s="106" cm="1">
        <f t="array" ref="CT14">IFERROR(OptionProfit($C14,$D14,$E14,$F14,$G14,CT$4),0)</f>
        <v>43</v>
      </c>
      <c r="CU14" s="106" cm="1">
        <f t="array" ref="CU14">IFERROR(OptionProfit($C14,$D14,$E14,$F14,$G14,CU$4),0)</f>
        <v>43</v>
      </c>
      <c r="CV14" s="128" cm="1">
        <f t="array" ref="CV14">IFERROR(OptionProfit($C14,$D14,$E14,$F14,$G14,CV$4),0)</f>
        <v>43</v>
      </c>
      <c r="CW14" s="128" cm="1">
        <f t="array" ref="CW14">IFERROR(OptionProfit($C14,$D14,$E14,$F14,$G14,CW$4),0)</f>
        <v>43</v>
      </c>
      <c r="CX14" s="106" cm="1">
        <f t="array" ref="CX14">IFERROR(OptionProfit($C14,$D14,$E14,$F14,$G14,CX$4),0)</f>
        <v>43</v>
      </c>
      <c r="CY14" s="106" cm="1">
        <f t="array" ref="CY14">IFERROR(OptionProfit($C14,$D14,$E14,$F14,$G14,CY$4),0)</f>
        <v>43</v>
      </c>
      <c r="CZ14" s="106" cm="1">
        <f t="array" ref="CZ14">IFERROR(OptionProfit($C14,$D14,$E14,$F14,$G14,CZ$4),0)</f>
        <v>43</v>
      </c>
      <c r="DA14" s="106" cm="1">
        <f t="array" ref="DA14">IFERROR(OptionProfit($C14,$D14,$E14,$F14,$G14,DA$4),0)</f>
        <v>43</v>
      </c>
      <c r="DB14" s="106" cm="1">
        <f t="array" ref="DB14">IFERROR(OptionProfit($C14,$D14,$E14,$F14,$G14,DB$4),0)</f>
        <v>43</v>
      </c>
      <c r="DC14" s="106" cm="1">
        <f t="array" ref="DC14">IFERROR(OptionProfit($C14,$D14,$E14,$F14,$G14,DC$4),0)</f>
        <v>43</v>
      </c>
      <c r="DD14" s="106" cm="1">
        <f t="array" ref="DD14">IFERROR(OptionProfit($C14,$D14,$E14,$F14,$G14,DD$4),0)</f>
        <v>43</v>
      </c>
      <c r="DE14" s="106" cm="1">
        <f t="array" ref="DE14">IFERROR(OptionProfit($C14,$D14,$E14,$F14,$G14,DE$4),0)</f>
        <v>43</v>
      </c>
      <c r="DF14" s="106" cm="1">
        <f t="array" ref="DF14">IFERROR(OptionProfit($C14,$D14,$E14,$F14,$G14,DF$4),0)</f>
        <v>43</v>
      </c>
      <c r="DG14" s="106" cm="1">
        <f t="array" ref="DG14">IFERROR(OptionProfit($C14,$D14,$E14,$F14,$G14,DG$4),0)</f>
        <v>43</v>
      </c>
      <c r="DH14" s="106" cm="1">
        <f t="array" ref="DH14">IFERROR(OptionProfit($C14,$D14,$E14,$F14,$G14,DH$4),0)</f>
        <v>43</v>
      </c>
      <c r="DI14" s="106" cm="1">
        <f t="array" ref="DI14">IFERROR(OptionProfit($C14,$D14,$E14,$F14,$G14,DI$4),0)</f>
        <v>43</v>
      </c>
      <c r="DJ14" s="106" cm="1">
        <f t="array" ref="DJ14">IFERROR(OptionProfit($C14,$D14,$E14,$F14,$G14,DJ$4),0)</f>
        <v>43</v>
      </c>
      <c r="DK14" s="106" cm="1">
        <f t="array" ref="DK14">IFERROR(OptionProfit($C14,$D14,$E14,$F14,$G14,DK$4),0)</f>
        <v>43</v>
      </c>
      <c r="DL14" s="106" cm="1">
        <f t="array" ref="DL14">IFERROR(OptionProfit($C14,$D14,$E14,$F14,$G14,DL$4),0)</f>
        <v>43</v>
      </c>
      <c r="DM14" s="106" cm="1">
        <f t="array" ref="DM14">IFERROR(OptionProfit($C14,$D14,$E14,$F14,$G14,DM$4),0)</f>
        <v>43</v>
      </c>
      <c r="DN14" s="106" cm="1">
        <f t="array" ref="DN14">IFERROR(OptionProfit($C14,$D14,$E14,$F14,$G14,DN$4),0)</f>
        <v>43</v>
      </c>
      <c r="DP14" s="91" t="str">
        <f t="shared" si="0"/>
        <v>P</v>
      </c>
      <c r="DQ14" s="91" t="str">
        <f t="shared" si="1"/>
        <v>TXYN07P22600</v>
      </c>
      <c r="DR14" s="91" t="str">
        <f t="shared" si="2"/>
        <v>=XQFAP|Quote!'TXYN07P22600.TF-price'</v>
      </c>
    </row>
    <row r="15" spans="1:122" ht="21" customHeight="1" x14ac:dyDescent="0.25">
      <c r="A15" s="108" t="s">
        <v>156</v>
      </c>
      <c r="B15" s="121"/>
      <c r="C15" s="108">
        <v>22900</v>
      </c>
      <c r="D15" s="108" t="s">
        <v>141</v>
      </c>
      <c r="E15" s="108" t="s">
        <v>149</v>
      </c>
      <c r="F15" s="108">
        <v>1</v>
      </c>
      <c r="G15" s="108">
        <v>82</v>
      </c>
      <c r="H15" s="122" cm="1">
        <f t="array" ref="H15">IFERROR(OptionPnL(D15,G15,B15,F15),0)</f>
        <v>-82</v>
      </c>
      <c r="O15" s="126">
        <v>20450</v>
      </c>
      <c r="P15" s="110">
        <f t="shared" si="3"/>
        <v>-181675</v>
      </c>
      <c r="Q15" s="107">
        <f>SUM(AA6:AA38)</f>
        <v>-3633.5</v>
      </c>
      <c r="R15" s="106" cm="1">
        <f t="array" ref="R15">IFERROR(OptionProfit($C15,$D15,$E15,$F15,$G15,R$4),0)</f>
        <v>2818</v>
      </c>
      <c r="S15" s="106" cm="1">
        <f t="array" ref="S15">IFERROR(OptionProfit($C15,$D15,$E15,$F15,$G15,S$4),0)</f>
        <v>2768</v>
      </c>
      <c r="T15" s="106" cm="1">
        <f t="array" ref="T15">IFERROR(OptionProfit($C15,$D15,$E15,$F15,$G15,T$4),0)</f>
        <v>2718</v>
      </c>
      <c r="U15" s="106" cm="1">
        <f t="array" ref="U15">IFERROR(OptionProfit($C15,$D15,$E15,$F15,$G15,U$4),0)</f>
        <v>2668</v>
      </c>
      <c r="V15" s="106" cm="1">
        <f t="array" ref="V15">IFERROR(OptionProfit($C15,$D15,$E15,$F15,$G15,V$4),0)</f>
        <v>2618</v>
      </c>
      <c r="W15" s="106" cm="1">
        <f t="array" ref="W15">IFERROR(OptionProfit($C15,$D15,$E15,$F15,$G15,W$4),0)</f>
        <v>2568</v>
      </c>
      <c r="X15" s="106" cm="1">
        <f t="array" ref="X15">IFERROR(OptionProfit($C15,$D15,$E15,$F15,$G15,X$4),0)</f>
        <v>2518</v>
      </c>
      <c r="Y15" s="106" cm="1">
        <f t="array" ref="Y15">IFERROR(OptionProfit($C15,$D15,$E15,$F15,$G15,Y$4),0)</f>
        <v>2468</v>
      </c>
      <c r="Z15" s="106" cm="1">
        <f t="array" ref="Z15">IFERROR(OptionProfit($C15,$D15,$E15,$F15,$G15,Z$4),0)</f>
        <v>2418</v>
      </c>
      <c r="AA15" s="106" cm="1">
        <f t="array" ref="AA15">IFERROR(OptionProfit($C15,$D15,$E15,$F15,$G15,AA$4),0)</f>
        <v>2368</v>
      </c>
      <c r="AB15" s="106" cm="1">
        <f t="array" ref="AB15">IFERROR(OptionProfit($C15,$D15,$E15,$F15,$G15,AB$4),0)</f>
        <v>2318</v>
      </c>
      <c r="AC15" s="106" cm="1">
        <f t="array" ref="AC15">IFERROR(OptionProfit($C15,$D15,$E15,$F15,$G15,AC$4),0)</f>
        <v>2268</v>
      </c>
      <c r="AD15" s="106" cm="1">
        <f t="array" ref="AD15">IFERROR(OptionProfit($C15,$D15,$E15,$F15,$G15,AD$4),0)</f>
        <v>2218</v>
      </c>
      <c r="AE15" s="106" cm="1">
        <f t="array" ref="AE15">IFERROR(OptionProfit($C15,$D15,$E15,$F15,$G15,AE$4),0)</f>
        <v>2168</v>
      </c>
      <c r="AF15" s="106" cm="1">
        <f t="array" ref="AF15">IFERROR(OptionProfit($C15,$D15,$E15,$F15,$G15,AF$4),0)</f>
        <v>2118</v>
      </c>
      <c r="AG15" s="106" cm="1">
        <f t="array" ref="AG15">IFERROR(OptionProfit($C15,$D15,$E15,$F15,$G15,AG$4),0)</f>
        <v>2068</v>
      </c>
      <c r="AH15" s="106" cm="1">
        <f t="array" ref="AH15">IFERROR(OptionProfit($C15,$D15,$E15,$F15,$G15,AH$4),0)</f>
        <v>2018</v>
      </c>
      <c r="AI15" s="106" cm="1">
        <f t="array" ref="AI15">IFERROR(OptionProfit($C15,$D15,$E15,$F15,$G15,AI$4),0)</f>
        <v>1968</v>
      </c>
      <c r="AJ15" s="106" cm="1">
        <f t="array" ref="AJ15">IFERROR(OptionProfit($C15,$D15,$E15,$F15,$G15,AJ$4),0)</f>
        <v>1918</v>
      </c>
      <c r="AK15" s="106" cm="1">
        <f t="array" ref="AK15">IFERROR(OptionProfit($C15,$D15,$E15,$F15,$G15,AK$4),0)</f>
        <v>1868</v>
      </c>
      <c r="AL15" s="106" cm="1">
        <f t="array" ref="AL15">IFERROR(OptionProfit($C15,$D15,$E15,$F15,$G15,AL$4),0)</f>
        <v>1818</v>
      </c>
      <c r="AM15" s="106" cm="1">
        <f t="array" ref="AM15">IFERROR(OptionProfit($C15,$D15,$E15,$F15,$G15,AM$4),0)</f>
        <v>1768</v>
      </c>
      <c r="AN15" s="106" cm="1">
        <f t="array" ref="AN15">IFERROR(OptionProfit($C15,$D15,$E15,$F15,$G15,AN$4),0)</f>
        <v>1718</v>
      </c>
      <c r="AO15" s="106" cm="1">
        <f t="array" ref="AO15">IFERROR(OptionProfit($C15,$D15,$E15,$F15,$G15,AO$4),0)</f>
        <v>1668</v>
      </c>
      <c r="AP15" s="106" cm="1">
        <f t="array" ref="AP15">IFERROR(OptionProfit($C15,$D15,$E15,$F15,$G15,AP$4),0)</f>
        <v>1618</v>
      </c>
      <c r="AQ15" s="106" cm="1">
        <f t="array" ref="AQ15">IFERROR(OptionProfit($C15,$D15,$E15,$F15,$G15,AQ$4),0)</f>
        <v>1568</v>
      </c>
      <c r="AR15" s="106" cm="1">
        <f t="array" ref="AR15">IFERROR(OptionProfit($C15,$D15,$E15,$F15,$G15,AR$4),0)</f>
        <v>1518</v>
      </c>
      <c r="AS15" s="106" cm="1">
        <f t="array" ref="AS15">IFERROR(OptionProfit($C15,$D15,$E15,$F15,$G15,AS$4),0)</f>
        <v>1468</v>
      </c>
      <c r="AT15" s="106" cm="1">
        <f t="array" ref="AT15">IFERROR(OptionProfit($C15,$D15,$E15,$F15,$G15,AT$4),0)</f>
        <v>1418</v>
      </c>
      <c r="AU15" s="106" cm="1">
        <f t="array" ref="AU15">IFERROR(OptionProfit($C15,$D15,$E15,$F15,$G15,AU$4),0)</f>
        <v>1368</v>
      </c>
      <c r="AV15" s="106" cm="1">
        <f t="array" ref="AV15">IFERROR(OptionProfit($C15,$D15,$E15,$F15,$G15,AV$4),0)</f>
        <v>1318</v>
      </c>
      <c r="AW15" s="106" cm="1">
        <f t="array" ref="AW15">IFERROR(OptionProfit($C15,$D15,$E15,$F15,$G15,AW$4),0)</f>
        <v>1268</v>
      </c>
      <c r="AX15" s="106" cm="1">
        <f t="array" ref="AX15">IFERROR(OptionProfit($C15,$D15,$E15,$F15,$G15,AX$4),0)</f>
        <v>1218</v>
      </c>
      <c r="AY15" s="106" cm="1">
        <f t="array" ref="AY15">IFERROR(OptionProfit($C15,$D15,$E15,$F15,$G15,AY$4),0)</f>
        <v>1168</v>
      </c>
      <c r="AZ15" s="106" cm="1">
        <f t="array" ref="AZ15">IFERROR(OptionProfit($C15,$D15,$E15,$F15,$G15,AZ$4),0)</f>
        <v>1118</v>
      </c>
      <c r="BA15" s="106" cm="1">
        <f t="array" ref="BA15">IFERROR(OptionProfit($C15,$D15,$E15,$F15,$G15,BA$4),0)</f>
        <v>1068</v>
      </c>
      <c r="BB15" s="106" cm="1">
        <f t="array" ref="BB15">IFERROR(OptionProfit($C15,$D15,$E15,$F15,$G15,BB$4),0)</f>
        <v>1018</v>
      </c>
      <c r="BC15" s="106" cm="1">
        <f t="array" ref="BC15">IFERROR(OptionProfit($C15,$D15,$E15,$F15,$G15,BC$4),0)</f>
        <v>968</v>
      </c>
      <c r="BD15" s="106" cm="1">
        <f t="array" ref="BD15">IFERROR(OptionProfit($C15,$D15,$E15,$F15,$G15,BD$4),0)</f>
        <v>918</v>
      </c>
      <c r="BE15" s="106" cm="1">
        <f t="array" ref="BE15">IFERROR(OptionProfit($C15,$D15,$E15,$F15,$G15,BE$4),0)</f>
        <v>868</v>
      </c>
      <c r="BF15" s="106" cm="1">
        <f t="array" ref="BF15">IFERROR(OptionProfit($C15,$D15,$E15,$F15,$G15,BF$4),0)</f>
        <v>818</v>
      </c>
      <c r="BG15" s="106" cm="1">
        <f t="array" ref="BG15">IFERROR(OptionProfit($C15,$D15,$E15,$F15,$G15,BG$4),0)</f>
        <v>768</v>
      </c>
      <c r="BH15" s="106" cm="1">
        <f t="array" ref="BH15">IFERROR(OptionProfit($C15,$D15,$E15,$F15,$G15,BH$4),0)</f>
        <v>718</v>
      </c>
      <c r="BI15" s="106" cm="1">
        <f t="array" ref="BI15">IFERROR(OptionProfit($C15,$D15,$E15,$F15,$G15,BI$4),0)</f>
        <v>668</v>
      </c>
      <c r="BJ15" s="106" cm="1">
        <f t="array" ref="BJ15">IFERROR(OptionProfit($C15,$D15,$E15,$F15,$G15,BJ$4),0)</f>
        <v>618</v>
      </c>
      <c r="BK15" s="106" cm="1">
        <f t="array" ref="BK15">IFERROR(OptionProfit($C15,$D15,$E15,$F15,$G15,BK$4),0)</f>
        <v>568</v>
      </c>
      <c r="BL15" s="106" cm="1">
        <f t="array" ref="BL15">IFERROR(OptionProfit($C15,$D15,$E15,$F15,$G15,BL$4),0)</f>
        <v>518</v>
      </c>
      <c r="BM15" s="106" cm="1">
        <f t="array" ref="BM15">IFERROR(OptionProfit($C15,$D15,$E15,$F15,$G15,BM$4),0)</f>
        <v>468</v>
      </c>
      <c r="BN15" s="106" cm="1">
        <f t="array" ref="BN15">IFERROR(OptionProfit($C15,$D15,$E15,$F15,$G15,BN$4),0)</f>
        <v>418</v>
      </c>
      <c r="BO15" s="106" cm="1">
        <f t="array" ref="BO15">IFERROR(OptionProfit($C15,$D15,$E15,$F15,$G15,BO$4),0)</f>
        <v>368</v>
      </c>
      <c r="BP15" s="106" cm="1">
        <f t="array" ref="BP15">IFERROR(OptionProfit($C15,$D15,$E15,$F15,$G15,BP$4),0)</f>
        <v>318</v>
      </c>
      <c r="BQ15" s="106" cm="1">
        <f t="array" ref="BQ15">IFERROR(OptionProfit($C15,$D15,$E15,$F15,$G15,BQ$4),0)</f>
        <v>268</v>
      </c>
      <c r="BR15" s="106" cm="1">
        <f t="array" ref="BR15">IFERROR(OptionProfit($C15,$D15,$E15,$F15,$G15,BR$4),0)</f>
        <v>218</v>
      </c>
      <c r="BS15" s="106" cm="1">
        <f t="array" ref="BS15">IFERROR(OptionProfit($C15,$D15,$E15,$F15,$G15,BS$4),0)</f>
        <v>168</v>
      </c>
      <c r="BT15" s="106" cm="1">
        <f t="array" ref="BT15">IFERROR(OptionProfit($C15,$D15,$E15,$F15,$G15,BT$4),0)</f>
        <v>118</v>
      </c>
      <c r="BU15" s="106" cm="1">
        <f t="array" ref="BU15">IFERROR(OptionProfit($C15,$D15,$E15,$F15,$G15,BU$4),0)</f>
        <v>68</v>
      </c>
      <c r="BV15" s="106" cm="1">
        <f t="array" ref="BV15">IFERROR(OptionProfit($C15,$D15,$E15,$F15,$G15,BV$4),0)</f>
        <v>18</v>
      </c>
      <c r="BW15" s="106" cm="1">
        <f t="array" ref="BW15">IFERROR(OptionProfit($C15,$D15,$E15,$F15,$G15,BW$4),0)</f>
        <v>-32</v>
      </c>
      <c r="BX15" s="106" cm="1">
        <f t="array" ref="BX15">IFERROR(OptionProfit($C15,$D15,$E15,$F15,$G15,BX$4),0)</f>
        <v>-82</v>
      </c>
      <c r="BY15" s="106" cm="1">
        <f t="array" ref="BY15">IFERROR(OptionProfit($C15,$D15,$E15,$F15,$G15,BY$4),0)</f>
        <v>-82</v>
      </c>
      <c r="BZ15" s="106" cm="1">
        <f t="array" ref="BZ15">IFERROR(OptionProfit($C15,$D15,$E15,$F15,$G15,BZ$4),0)</f>
        <v>-82</v>
      </c>
      <c r="CA15" s="106" cm="1">
        <f t="array" ref="CA15">IFERROR(OptionProfit($C15,$D15,$E15,$F15,$G15,CA$4),0)</f>
        <v>-82</v>
      </c>
      <c r="CB15" s="106" cm="1">
        <f t="array" ref="CB15">IFERROR(OptionProfit($C15,$D15,$E15,$F15,$G15,CB$4),0)</f>
        <v>-82</v>
      </c>
      <c r="CC15" s="106" cm="1">
        <f t="array" ref="CC15">IFERROR(OptionProfit($C15,$D15,$E15,$F15,$G15,CC$4),0)</f>
        <v>-82</v>
      </c>
      <c r="CD15" s="106" cm="1">
        <f t="array" ref="CD15">IFERROR(OptionProfit($C15,$D15,$E15,$F15,$G15,CD$4),0)</f>
        <v>-82</v>
      </c>
      <c r="CE15" s="106" cm="1">
        <f t="array" ref="CE15">IFERROR(OptionProfit($C15,$D15,$E15,$F15,$G15,CE$4),0)</f>
        <v>-82</v>
      </c>
      <c r="CF15" s="106" cm="1">
        <f t="array" ref="CF15">IFERROR(OptionProfit($C15,$D15,$E15,$F15,$G15,CF$4),0)</f>
        <v>-82</v>
      </c>
      <c r="CG15" s="106" cm="1">
        <f t="array" ref="CG15">IFERROR(OptionProfit($C15,$D15,$E15,$F15,$G15,CG$4),0)</f>
        <v>-82</v>
      </c>
      <c r="CH15" s="106" cm="1">
        <f t="array" ref="CH15">IFERROR(OptionProfit($C15,$D15,$E15,$F15,$G15,CH$4),0)</f>
        <v>-82</v>
      </c>
      <c r="CI15" s="106" cm="1">
        <f t="array" ref="CI15">IFERROR(OptionProfit($C15,$D15,$E15,$F15,$G15,CI$4),0)</f>
        <v>-82</v>
      </c>
      <c r="CJ15" s="106" cm="1">
        <f t="array" ref="CJ15">IFERROR(OptionProfit($C15,$D15,$E15,$F15,$G15,CJ$4),0)</f>
        <v>-82</v>
      </c>
      <c r="CK15" s="106" cm="1">
        <f t="array" ref="CK15">IFERROR(OptionProfit($C15,$D15,$E15,$F15,$G15,CK$4),0)</f>
        <v>-82</v>
      </c>
      <c r="CL15" s="106" cm="1">
        <f t="array" ref="CL15">IFERROR(OptionProfit($C15,$D15,$E15,$F15,$G15,CL$4),0)</f>
        <v>-82</v>
      </c>
      <c r="CM15" s="106" cm="1">
        <f t="array" ref="CM15">IFERROR(OptionProfit($C15,$D15,$E15,$F15,$G15,CM$4),0)</f>
        <v>-82</v>
      </c>
      <c r="CN15" s="106" cm="1">
        <f t="array" ref="CN15">IFERROR(OptionProfit($C15,$D15,$E15,$F15,$G15,CN$4),0)</f>
        <v>-82</v>
      </c>
      <c r="CO15" s="106" cm="1">
        <f t="array" ref="CO15">IFERROR(OptionProfit($C15,$D15,$E15,$F15,$G15,CO$4),0)</f>
        <v>-82</v>
      </c>
      <c r="CP15" s="106" cm="1">
        <f t="array" ref="CP15">IFERROR(OptionProfit($C15,$D15,$E15,$F15,$G15,CP$4),0)</f>
        <v>-82</v>
      </c>
      <c r="CQ15" s="106" cm="1">
        <f t="array" ref="CQ15">IFERROR(OptionProfit($C15,$D15,$E15,$F15,$G15,CQ$4),0)</f>
        <v>-82</v>
      </c>
      <c r="CR15" s="106" cm="1">
        <f t="array" ref="CR15">IFERROR(OptionProfit($C15,$D15,$E15,$F15,$G15,CR$4),0)</f>
        <v>-82</v>
      </c>
      <c r="CS15" s="106" cm="1">
        <f t="array" ref="CS15">IFERROR(OptionProfit($C15,$D15,$E15,$F15,$G15,CS$4),0)</f>
        <v>-82</v>
      </c>
      <c r="CT15" s="106" cm="1">
        <f t="array" ref="CT15">IFERROR(OptionProfit($C15,$D15,$E15,$F15,$G15,CT$4),0)</f>
        <v>-82</v>
      </c>
      <c r="CU15" s="106" cm="1">
        <f t="array" ref="CU15">IFERROR(OptionProfit($C15,$D15,$E15,$F15,$G15,CU$4),0)</f>
        <v>-82</v>
      </c>
      <c r="CV15" s="128" cm="1">
        <f t="array" ref="CV15">IFERROR(OptionProfit($C15,$D15,$E15,$F15,$G15,CV$4),0)</f>
        <v>-82</v>
      </c>
      <c r="CW15" s="128" cm="1">
        <f t="array" ref="CW15">IFERROR(OptionProfit($C15,$D15,$E15,$F15,$G15,CW$4),0)</f>
        <v>-82</v>
      </c>
      <c r="CX15" s="106" cm="1">
        <f t="array" ref="CX15">IFERROR(OptionProfit($C15,$D15,$E15,$F15,$G15,CX$4),0)</f>
        <v>-82</v>
      </c>
      <c r="CY15" s="106" cm="1">
        <f t="array" ref="CY15">IFERROR(OptionProfit($C15,$D15,$E15,$F15,$G15,CY$4),0)</f>
        <v>-82</v>
      </c>
      <c r="CZ15" s="106" cm="1">
        <f t="array" ref="CZ15">IFERROR(OptionProfit($C15,$D15,$E15,$F15,$G15,CZ$4),0)</f>
        <v>-82</v>
      </c>
      <c r="DA15" s="106" cm="1">
        <f t="array" ref="DA15">IFERROR(OptionProfit($C15,$D15,$E15,$F15,$G15,DA$4),0)</f>
        <v>-82</v>
      </c>
      <c r="DB15" s="106" cm="1">
        <f t="array" ref="DB15">IFERROR(OptionProfit($C15,$D15,$E15,$F15,$G15,DB$4),0)</f>
        <v>-82</v>
      </c>
      <c r="DC15" s="106" cm="1">
        <f t="array" ref="DC15">IFERROR(OptionProfit($C15,$D15,$E15,$F15,$G15,DC$4),0)</f>
        <v>-82</v>
      </c>
      <c r="DD15" s="106" cm="1">
        <f t="array" ref="DD15">IFERROR(OptionProfit($C15,$D15,$E15,$F15,$G15,DD$4),0)</f>
        <v>-82</v>
      </c>
      <c r="DE15" s="106" cm="1">
        <f t="array" ref="DE15">IFERROR(OptionProfit($C15,$D15,$E15,$F15,$G15,DE$4),0)</f>
        <v>-82</v>
      </c>
      <c r="DF15" s="106" cm="1">
        <f t="array" ref="DF15">IFERROR(OptionProfit($C15,$D15,$E15,$F15,$G15,DF$4),0)</f>
        <v>-82</v>
      </c>
      <c r="DG15" s="106" cm="1">
        <f t="array" ref="DG15">IFERROR(OptionProfit($C15,$D15,$E15,$F15,$G15,DG$4),0)</f>
        <v>-82</v>
      </c>
      <c r="DH15" s="106" cm="1">
        <f t="array" ref="DH15">IFERROR(OptionProfit($C15,$D15,$E15,$F15,$G15,DH$4),0)</f>
        <v>-82</v>
      </c>
      <c r="DI15" s="106" cm="1">
        <f t="array" ref="DI15">IFERROR(OptionProfit($C15,$D15,$E15,$F15,$G15,DI$4),0)</f>
        <v>-82</v>
      </c>
      <c r="DJ15" s="106" cm="1">
        <f t="array" ref="DJ15">IFERROR(OptionProfit($C15,$D15,$E15,$F15,$G15,DJ$4),0)</f>
        <v>-82</v>
      </c>
      <c r="DK15" s="106" cm="1">
        <f t="array" ref="DK15">IFERROR(OptionProfit($C15,$D15,$E15,$F15,$G15,DK$4),0)</f>
        <v>-82</v>
      </c>
      <c r="DL15" s="106" cm="1">
        <f t="array" ref="DL15">IFERROR(OptionProfit($C15,$D15,$E15,$F15,$G15,DL$4),0)</f>
        <v>-82</v>
      </c>
      <c r="DM15" s="106" cm="1">
        <f t="array" ref="DM15">IFERROR(OptionProfit($C15,$D15,$E15,$F15,$G15,DM$4),0)</f>
        <v>-82</v>
      </c>
      <c r="DN15" s="106" cm="1">
        <f t="array" ref="DN15">IFERROR(OptionProfit($C15,$D15,$E15,$F15,$G15,DN$4),0)</f>
        <v>-82</v>
      </c>
      <c r="DP15" s="91" t="str">
        <f t="shared" si="0"/>
        <v>P</v>
      </c>
      <c r="DQ15" s="91" t="str">
        <f t="shared" si="1"/>
        <v>TXYN07P22900</v>
      </c>
      <c r="DR15" s="91" t="str">
        <f t="shared" si="2"/>
        <v>=XQFAP|Quote!'TXYN07P22900.TF-price'</v>
      </c>
    </row>
    <row r="16" spans="1:122" ht="21" customHeight="1" x14ac:dyDescent="0.25">
      <c r="A16" s="108"/>
      <c r="B16" s="121"/>
      <c r="C16" s="108"/>
      <c r="D16" s="108"/>
      <c r="E16" s="108"/>
      <c r="F16" s="108"/>
      <c r="G16" s="108"/>
      <c r="H16" s="122" cm="1">
        <f t="array" ref="H16">IFERROR(OptionPnL(D16,G16,B16,F16),0)</f>
        <v>0</v>
      </c>
      <c r="O16" s="126">
        <v>20500</v>
      </c>
      <c r="P16" s="110">
        <f t="shared" si="3"/>
        <v>-176675</v>
      </c>
      <c r="Q16" s="107">
        <f>SUM(AB6:AB38)</f>
        <v>-3533.5</v>
      </c>
      <c r="R16" s="106" cm="1">
        <f t="array" ref="R16">IFERROR(OptionProfit($C16,$D16,$E16,$F16,$G16,R$4),0)</f>
        <v>0</v>
      </c>
      <c r="S16" s="106" cm="1">
        <f t="array" ref="S16">IFERROR(OptionProfit($C16,$D16,$E16,$F16,$G16,S$4),0)</f>
        <v>0</v>
      </c>
      <c r="T16" s="106" cm="1">
        <f t="array" ref="T16">IFERROR(OptionProfit($C16,$D16,$E16,$F16,$G16,T$4),0)</f>
        <v>0</v>
      </c>
      <c r="U16" s="106" cm="1">
        <f t="array" ref="U16">IFERROR(OptionProfit($C16,$D16,$E16,$F16,$G16,U$4),0)</f>
        <v>0</v>
      </c>
      <c r="V16" s="106" cm="1">
        <f t="array" ref="V16">IFERROR(OptionProfit($C16,$D16,$E16,$F16,$G16,V$4),0)</f>
        <v>0</v>
      </c>
      <c r="W16" s="106" cm="1">
        <f t="array" ref="W16">IFERROR(OptionProfit($C16,$D16,$E16,$F16,$G16,W$4),0)</f>
        <v>0</v>
      </c>
      <c r="X16" s="106" cm="1">
        <f t="array" ref="X16">IFERROR(OptionProfit($C16,$D16,$E16,$F16,$G16,X$4),0)</f>
        <v>0</v>
      </c>
      <c r="Y16" s="106" cm="1">
        <f t="array" ref="Y16">IFERROR(OptionProfit($C16,$D16,$E16,$F16,$G16,Y$4),0)</f>
        <v>0</v>
      </c>
      <c r="Z16" s="106" cm="1">
        <f t="array" ref="Z16">IFERROR(OptionProfit($C16,$D16,$E16,$F16,$G16,Z$4),0)</f>
        <v>0</v>
      </c>
      <c r="AA16" s="106" cm="1">
        <f t="array" ref="AA16">IFERROR(OptionProfit($C16,$D16,$E16,$F16,$G16,AA$4),0)</f>
        <v>0</v>
      </c>
      <c r="AB16" s="106" cm="1">
        <f t="array" ref="AB16">IFERROR(OptionProfit($C16,$D16,$E16,$F16,$G16,AB$4),0)</f>
        <v>0</v>
      </c>
      <c r="AC16" s="106" cm="1">
        <f t="array" ref="AC16">IFERROR(OptionProfit($C16,$D16,$E16,$F16,$G16,AC$4),0)</f>
        <v>0</v>
      </c>
      <c r="AD16" s="106" cm="1">
        <f t="array" ref="AD16">IFERROR(OptionProfit($C16,$D16,$E16,$F16,$G16,AD$4),0)</f>
        <v>0</v>
      </c>
      <c r="AE16" s="106" cm="1">
        <f t="array" ref="AE16">IFERROR(OptionProfit($C16,$D16,$E16,$F16,$G16,AE$4),0)</f>
        <v>0</v>
      </c>
      <c r="AF16" s="106" cm="1">
        <f t="array" ref="AF16">IFERROR(OptionProfit($C16,$D16,$E16,$F16,$G16,AF$4),0)</f>
        <v>0</v>
      </c>
      <c r="AG16" s="106" cm="1">
        <f t="array" ref="AG16">IFERROR(OptionProfit($C16,$D16,$E16,$F16,$G16,AG$4),0)</f>
        <v>0</v>
      </c>
      <c r="AH16" s="106" cm="1">
        <f t="array" ref="AH16">IFERROR(OptionProfit($C16,$D16,$E16,$F16,$G16,AH$4),0)</f>
        <v>0</v>
      </c>
      <c r="AI16" s="106" cm="1">
        <f t="array" ref="AI16">IFERROR(OptionProfit($C16,$D16,$E16,$F16,$G16,AI$4),0)</f>
        <v>0</v>
      </c>
      <c r="AJ16" s="106" cm="1">
        <f t="array" ref="AJ16">IFERROR(OptionProfit($C16,$D16,$E16,$F16,$G16,AJ$4),0)</f>
        <v>0</v>
      </c>
      <c r="AK16" s="106" cm="1">
        <f t="array" ref="AK16">IFERROR(OptionProfit($C16,$D16,$E16,$F16,$G16,AK$4),0)</f>
        <v>0</v>
      </c>
      <c r="AL16" s="106" cm="1">
        <f t="array" ref="AL16">IFERROR(OptionProfit($C16,$D16,$E16,$F16,$G16,AL$4),0)</f>
        <v>0</v>
      </c>
      <c r="AM16" s="106" cm="1">
        <f t="array" ref="AM16">IFERROR(OptionProfit($C16,$D16,$E16,$F16,$G16,AM$4),0)</f>
        <v>0</v>
      </c>
      <c r="AN16" s="106" cm="1">
        <f t="array" ref="AN16">IFERROR(OptionProfit($C16,$D16,$E16,$F16,$G16,AN$4),0)</f>
        <v>0</v>
      </c>
      <c r="AO16" s="106" cm="1">
        <f t="array" ref="AO16">IFERROR(OptionProfit($C16,$D16,$E16,$F16,$G16,AO$4),0)</f>
        <v>0</v>
      </c>
      <c r="AP16" s="106" cm="1">
        <f t="array" ref="AP16">IFERROR(OptionProfit($C16,$D16,$E16,$F16,$G16,AP$4),0)</f>
        <v>0</v>
      </c>
      <c r="AQ16" s="106" cm="1">
        <f t="array" ref="AQ16">IFERROR(OptionProfit($C16,$D16,$E16,$F16,$G16,AQ$4),0)</f>
        <v>0</v>
      </c>
      <c r="AR16" s="106" cm="1">
        <f t="array" ref="AR16">IFERROR(OptionProfit($C16,$D16,$E16,$F16,$G16,AR$4),0)</f>
        <v>0</v>
      </c>
      <c r="AS16" s="106" cm="1">
        <f t="array" ref="AS16">IFERROR(OptionProfit($C16,$D16,$E16,$F16,$G16,AS$4),0)</f>
        <v>0</v>
      </c>
      <c r="AT16" s="106" cm="1">
        <f t="array" ref="AT16">IFERROR(OptionProfit($C16,$D16,$E16,$F16,$G16,AT$4),0)</f>
        <v>0</v>
      </c>
      <c r="AU16" s="106" cm="1">
        <f t="array" ref="AU16">IFERROR(OptionProfit($C16,$D16,$E16,$F16,$G16,AU$4),0)</f>
        <v>0</v>
      </c>
      <c r="AV16" s="106" cm="1">
        <f t="array" ref="AV16">IFERROR(OptionProfit($C16,$D16,$E16,$F16,$G16,AV$4),0)</f>
        <v>0</v>
      </c>
      <c r="AW16" s="106" cm="1">
        <f t="array" ref="AW16">IFERROR(OptionProfit($C16,$D16,$E16,$F16,$G16,AW$4),0)</f>
        <v>0</v>
      </c>
      <c r="AX16" s="106" cm="1">
        <f t="array" ref="AX16">IFERROR(OptionProfit($C16,$D16,$E16,$F16,$G16,AX$4),0)</f>
        <v>0</v>
      </c>
      <c r="AY16" s="106" cm="1">
        <f t="array" ref="AY16">IFERROR(OptionProfit($C16,$D16,$E16,$F16,$G16,AY$4),0)</f>
        <v>0</v>
      </c>
      <c r="AZ16" s="106" cm="1">
        <f t="array" ref="AZ16">IFERROR(OptionProfit($C16,$D16,$E16,$F16,$G16,AZ$4),0)</f>
        <v>0</v>
      </c>
      <c r="BA16" s="106" cm="1">
        <f t="array" ref="BA16">IFERROR(OptionProfit($C16,$D16,$E16,$F16,$G16,BA$4),0)</f>
        <v>0</v>
      </c>
      <c r="BB16" s="106" cm="1">
        <f t="array" ref="BB16">IFERROR(OptionProfit($C16,$D16,$E16,$F16,$G16,BB$4),0)</f>
        <v>0</v>
      </c>
      <c r="BC16" s="106" cm="1">
        <f t="array" ref="BC16">IFERROR(OptionProfit($C16,$D16,$E16,$F16,$G16,BC$4),0)</f>
        <v>0</v>
      </c>
      <c r="BD16" s="106" cm="1">
        <f t="array" ref="BD16">IFERROR(OptionProfit($C16,$D16,$E16,$F16,$G16,BD$4),0)</f>
        <v>0</v>
      </c>
      <c r="BE16" s="106" cm="1">
        <f t="array" ref="BE16">IFERROR(OptionProfit($C16,$D16,$E16,$F16,$G16,BE$4),0)</f>
        <v>0</v>
      </c>
      <c r="BF16" s="106" cm="1">
        <f t="array" ref="BF16">IFERROR(OptionProfit($C16,$D16,$E16,$F16,$G16,BF$4),0)</f>
        <v>0</v>
      </c>
      <c r="BG16" s="106" cm="1">
        <f t="array" ref="BG16">IFERROR(OptionProfit($C16,$D16,$E16,$F16,$G16,BG$4),0)</f>
        <v>0</v>
      </c>
      <c r="BH16" s="106" cm="1">
        <f t="array" ref="BH16">IFERROR(OptionProfit($C16,$D16,$E16,$F16,$G16,BH$4),0)</f>
        <v>0</v>
      </c>
      <c r="BI16" s="106" cm="1">
        <f t="array" ref="BI16">IFERROR(OptionProfit($C16,$D16,$E16,$F16,$G16,BI$4),0)</f>
        <v>0</v>
      </c>
      <c r="BJ16" s="106" cm="1">
        <f t="array" ref="BJ16">IFERROR(OptionProfit($C16,$D16,$E16,$F16,$G16,BJ$4),0)</f>
        <v>0</v>
      </c>
      <c r="BK16" s="106" cm="1">
        <f t="array" ref="BK16">IFERROR(OptionProfit($C16,$D16,$E16,$F16,$G16,BK$4),0)</f>
        <v>0</v>
      </c>
      <c r="BL16" s="106" cm="1">
        <f t="array" ref="BL16">IFERROR(OptionProfit($C16,$D16,$E16,$F16,$G16,BL$4),0)</f>
        <v>0</v>
      </c>
      <c r="BM16" s="106" cm="1">
        <f t="array" ref="BM16">IFERROR(OptionProfit($C16,$D16,$E16,$F16,$G16,BM$4),0)</f>
        <v>0</v>
      </c>
      <c r="BN16" s="106" cm="1">
        <f t="array" ref="BN16">IFERROR(OptionProfit($C16,$D16,$E16,$F16,$G16,BN$4),0)</f>
        <v>0</v>
      </c>
      <c r="BO16" s="106" cm="1">
        <f t="array" ref="BO16">IFERROR(OptionProfit($C16,$D16,$E16,$F16,$G16,BO$4),0)</f>
        <v>0</v>
      </c>
      <c r="BP16" s="106" cm="1">
        <f t="array" ref="BP16">IFERROR(OptionProfit($C16,$D16,$E16,$F16,$G16,BP$4),0)</f>
        <v>0</v>
      </c>
      <c r="BQ16" s="106" cm="1">
        <f t="array" ref="BQ16">IFERROR(OptionProfit($C16,$D16,$E16,$F16,$G16,BQ$4),0)</f>
        <v>0</v>
      </c>
      <c r="BR16" s="106" cm="1">
        <f t="array" ref="BR16">IFERROR(OptionProfit($C16,$D16,$E16,$F16,$G16,BR$4),0)</f>
        <v>0</v>
      </c>
      <c r="BS16" s="106" cm="1">
        <f t="array" ref="BS16">IFERROR(OptionProfit($C16,$D16,$E16,$F16,$G16,BS$4),0)</f>
        <v>0</v>
      </c>
      <c r="BT16" s="106" cm="1">
        <f t="array" ref="BT16">IFERROR(OptionProfit($C16,$D16,$E16,$F16,$G16,BT$4),0)</f>
        <v>0</v>
      </c>
      <c r="BU16" s="106" cm="1">
        <f t="array" ref="BU16">IFERROR(OptionProfit($C16,$D16,$E16,$F16,$G16,BU$4),0)</f>
        <v>0</v>
      </c>
      <c r="BV16" s="106" cm="1">
        <f t="array" ref="BV16">IFERROR(OptionProfit($C16,$D16,$E16,$F16,$G16,BV$4),0)</f>
        <v>0</v>
      </c>
      <c r="BW16" s="106" cm="1">
        <f t="array" ref="BW16">IFERROR(OptionProfit($C16,$D16,$E16,$F16,$G16,BW$4),0)</f>
        <v>0</v>
      </c>
      <c r="BX16" s="106" cm="1">
        <f t="array" ref="BX16">IFERROR(OptionProfit($C16,$D16,$E16,$F16,$G16,BX$4),0)</f>
        <v>0</v>
      </c>
      <c r="BY16" s="106" cm="1">
        <f t="array" ref="BY16">IFERROR(OptionProfit($C16,$D16,$E16,$F16,$G16,BY$4),0)</f>
        <v>0</v>
      </c>
      <c r="BZ16" s="106" cm="1">
        <f t="array" ref="BZ16">IFERROR(OptionProfit($C16,$D16,$E16,$F16,$G16,BZ$4),0)</f>
        <v>0</v>
      </c>
      <c r="CA16" s="106" cm="1">
        <f t="array" ref="CA16">IFERROR(OptionProfit($C16,$D16,$E16,$F16,$G16,CA$4),0)</f>
        <v>0</v>
      </c>
      <c r="CB16" s="106" cm="1">
        <f t="array" ref="CB16">IFERROR(OptionProfit($C16,$D16,$E16,$F16,$G16,CB$4),0)</f>
        <v>0</v>
      </c>
      <c r="CC16" s="106" cm="1">
        <f t="array" ref="CC16">IFERROR(OptionProfit($C16,$D16,$E16,$F16,$G16,CC$4),0)</f>
        <v>0</v>
      </c>
      <c r="CD16" s="106" cm="1">
        <f t="array" ref="CD16">IFERROR(OptionProfit($C16,$D16,$E16,$F16,$G16,CD$4),0)</f>
        <v>0</v>
      </c>
      <c r="CE16" s="106" cm="1">
        <f t="array" ref="CE16">IFERROR(OptionProfit($C16,$D16,$E16,$F16,$G16,CE$4),0)</f>
        <v>0</v>
      </c>
      <c r="CF16" s="106" cm="1">
        <f t="array" ref="CF16">IFERROR(OptionProfit($C16,$D16,$E16,$F16,$G16,CF$4),0)</f>
        <v>0</v>
      </c>
      <c r="CG16" s="106" cm="1">
        <f t="array" ref="CG16">IFERROR(OptionProfit($C16,$D16,$E16,$F16,$G16,CG$4),0)</f>
        <v>0</v>
      </c>
      <c r="CH16" s="106" cm="1">
        <f t="array" ref="CH16">IFERROR(OptionProfit($C16,$D16,$E16,$F16,$G16,CH$4),0)</f>
        <v>0</v>
      </c>
      <c r="CI16" s="106" cm="1">
        <f t="array" ref="CI16">IFERROR(OptionProfit($C16,$D16,$E16,$F16,$G16,CI$4),0)</f>
        <v>0</v>
      </c>
      <c r="CJ16" s="106" cm="1">
        <f t="array" ref="CJ16">IFERROR(OptionProfit($C16,$D16,$E16,$F16,$G16,CJ$4),0)</f>
        <v>0</v>
      </c>
      <c r="CK16" s="106" cm="1">
        <f t="array" ref="CK16">IFERROR(OptionProfit($C16,$D16,$E16,$F16,$G16,CK$4),0)</f>
        <v>0</v>
      </c>
      <c r="CL16" s="106" cm="1">
        <f t="array" ref="CL16">IFERROR(OptionProfit($C16,$D16,$E16,$F16,$G16,CL$4),0)</f>
        <v>0</v>
      </c>
      <c r="CM16" s="106" cm="1">
        <f t="array" ref="CM16">IFERROR(OptionProfit($C16,$D16,$E16,$F16,$G16,CM$4),0)</f>
        <v>0</v>
      </c>
      <c r="CN16" s="106" cm="1">
        <f t="array" ref="CN16">IFERROR(OptionProfit($C16,$D16,$E16,$F16,$G16,CN$4),0)</f>
        <v>0</v>
      </c>
      <c r="CO16" s="106" cm="1">
        <f t="array" ref="CO16">IFERROR(OptionProfit($C16,$D16,$E16,$F16,$G16,CO$4),0)</f>
        <v>0</v>
      </c>
      <c r="CP16" s="106" cm="1">
        <f t="array" ref="CP16">IFERROR(OptionProfit($C16,$D16,$E16,$F16,$G16,CP$4),0)</f>
        <v>0</v>
      </c>
      <c r="CQ16" s="106" cm="1">
        <f t="array" ref="CQ16">IFERROR(OptionProfit($C16,$D16,$E16,$F16,$G16,CQ$4),0)</f>
        <v>0</v>
      </c>
      <c r="CR16" s="106" cm="1">
        <f t="array" ref="CR16">IFERROR(OptionProfit($C16,$D16,$E16,$F16,$G16,CR$4),0)</f>
        <v>0</v>
      </c>
      <c r="CS16" s="106" cm="1">
        <f t="array" ref="CS16">IFERROR(OptionProfit($C16,$D16,$E16,$F16,$G16,CS$4),0)</f>
        <v>0</v>
      </c>
      <c r="CT16" s="106" cm="1">
        <f t="array" ref="CT16">IFERROR(OptionProfit($C16,$D16,$E16,$F16,$G16,CT$4),0)</f>
        <v>0</v>
      </c>
      <c r="CU16" s="106" cm="1">
        <f t="array" ref="CU16">IFERROR(OptionProfit($C16,$D16,$E16,$F16,$G16,CU$4),0)</f>
        <v>0</v>
      </c>
      <c r="CV16" s="128" cm="1">
        <f t="array" ref="CV16">IFERROR(OptionProfit($C16,$D16,$E16,$F16,$G16,CV$4),0)</f>
        <v>0</v>
      </c>
      <c r="CW16" s="128" cm="1">
        <f t="array" ref="CW16">IFERROR(OptionProfit($C16,$D16,$E16,$F16,$G16,CW$4),0)</f>
        <v>0</v>
      </c>
      <c r="CX16" s="106" cm="1">
        <f t="array" ref="CX16">IFERROR(OptionProfit($C16,$D16,$E16,$F16,$G16,CX$4),0)</f>
        <v>0</v>
      </c>
      <c r="CY16" s="106" cm="1">
        <f t="array" ref="CY16">IFERROR(OptionProfit($C16,$D16,$E16,$F16,$G16,CY$4),0)</f>
        <v>0</v>
      </c>
      <c r="CZ16" s="106" cm="1">
        <f t="array" ref="CZ16">IFERROR(OptionProfit($C16,$D16,$E16,$F16,$G16,CZ$4),0)</f>
        <v>0</v>
      </c>
      <c r="DA16" s="106" cm="1">
        <f t="array" ref="DA16">IFERROR(OptionProfit($C16,$D16,$E16,$F16,$G16,DA$4),0)</f>
        <v>0</v>
      </c>
      <c r="DB16" s="106" cm="1">
        <f t="array" ref="DB16">IFERROR(OptionProfit($C16,$D16,$E16,$F16,$G16,DB$4),0)</f>
        <v>0</v>
      </c>
      <c r="DC16" s="106" cm="1">
        <f t="array" ref="DC16">IFERROR(OptionProfit($C16,$D16,$E16,$F16,$G16,DC$4),0)</f>
        <v>0</v>
      </c>
      <c r="DD16" s="106" cm="1">
        <f t="array" ref="DD16">IFERROR(OptionProfit($C16,$D16,$E16,$F16,$G16,DD$4),0)</f>
        <v>0</v>
      </c>
      <c r="DE16" s="106" cm="1">
        <f t="array" ref="DE16">IFERROR(OptionProfit($C16,$D16,$E16,$F16,$G16,DE$4),0)</f>
        <v>0</v>
      </c>
      <c r="DF16" s="106" cm="1">
        <f t="array" ref="DF16">IFERROR(OptionProfit($C16,$D16,$E16,$F16,$G16,DF$4),0)</f>
        <v>0</v>
      </c>
      <c r="DG16" s="106" cm="1">
        <f t="array" ref="DG16">IFERROR(OptionProfit($C16,$D16,$E16,$F16,$G16,DG$4),0)</f>
        <v>0</v>
      </c>
      <c r="DH16" s="106" cm="1">
        <f t="array" ref="DH16">IFERROR(OptionProfit($C16,$D16,$E16,$F16,$G16,DH$4),0)</f>
        <v>0</v>
      </c>
      <c r="DI16" s="106" cm="1">
        <f t="array" ref="DI16">IFERROR(OptionProfit($C16,$D16,$E16,$F16,$G16,DI$4),0)</f>
        <v>0</v>
      </c>
      <c r="DJ16" s="106" cm="1">
        <f t="array" ref="DJ16">IFERROR(OptionProfit($C16,$D16,$E16,$F16,$G16,DJ$4),0)</f>
        <v>0</v>
      </c>
      <c r="DK16" s="106" cm="1">
        <f t="array" ref="DK16">IFERROR(OptionProfit($C16,$D16,$E16,$F16,$G16,DK$4),0)</f>
        <v>0</v>
      </c>
      <c r="DL16" s="106" cm="1">
        <f t="array" ref="DL16">IFERROR(OptionProfit($C16,$D16,$E16,$F16,$G16,DL$4),0)</f>
        <v>0</v>
      </c>
      <c r="DM16" s="106" cm="1">
        <f t="array" ref="DM16">IFERROR(OptionProfit($C16,$D16,$E16,$F16,$G16,DM$4),0)</f>
        <v>0</v>
      </c>
      <c r="DN16" s="106" cm="1">
        <f t="array" ref="DN16">IFERROR(OptionProfit($C16,$D16,$E16,$F16,$G16,DN$4),0)</f>
        <v>0</v>
      </c>
      <c r="DP16" s="91" t="str">
        <f t="shared" si="0"/>
        <v/>
      </c>
      <c r="DQ16" s="91" t="str">
        <f t="shared" si="1"/>
        <v/>
      </c>
      <c r="DR16" s="91" t="str">
        <f t="shared" si="2"/>
        <v>=XQFAP|Quote!'.TF-price'</v>
      </c>
    </row>
    <row r="17" spans="1:133" ht="21" customHeight="1" x14ac:dyDescent="0.25">
      <c r="A17" s="108"/>
      <c r="B17" s="121"/>
      <c r="C17" s="108"/>
      <c r="D17" s="108"/>
      <c r="E17" s="108"/>
      <c r="F17" s="108"/>
      <c r="G17" s="108"/>
      <c r="H17" s="122" cm="1">
        <f t="array" ref="H17">IFERROR(OptionPnL(D17,G17,B17,F17),0)</f>
        <v>0</v>
      </c>
      <c r="O17" s="126">
        <v>20550</v>
      </c>
      <c r="P17" s="110">
        <f t="shared" si="3"/>
        <v>-171675</v>
      </c>
      <c r="Q17" s="107">
        <f>SUM(AC6:AC38)</f>
        <v>-3433.5</v>
      </c>
      <c r="R17" s="106" cm="1">
        <f t="array" ref="R17">IFERROR(OptionProfit($C17,$D17,$E17,$F17,$G17,R$4),0)</f>
        <v>0</v>
      </c>
      <c r="S17" s="106" cm="1">
        <f t="array" ref="S17">IFERROR(OptionProfit($C17,$D17,$E17,$F17,$G17,S$4),0)</f>
        <v>0</v>
      </c>
      <c r="T17" s="106" cm="1">
        <f t="array" ref="T17">IFERROR(OptionProfit($C17,$D17,$E17,$F17,$G17,T$4),0)</f>
        <v>0</v>
      </c>
      <c r="U17" s="106" cm="1">
        <f t="array" ref="U17">IFERROR(OptionProfit($C17,$D17,$E17,$F17,$G17,U$4),0)</f>
        <v>0</v>
      </c>
      <c r="V17" s="106" cm="1">
        <f t="array" ref="V17">IFERROR(OptionProfit($C17,$D17,$E17,$F17,$G17,V$4),0)</f>
        <v>0</v>
      </c>
      <c r="W17" s="106" cm="1">
        <f t="array" ref="W17">IFERROR(OptionProfit($C17,$D17,$E17,$F17,$G17,W$4),0)</f>
        <v>0</v>
      </c>
      <c r="X17" s="106" cm="1">
        <f t="array" ref="X17">IFERROR(OptionProfit($C17,$D17,$E17,$F17,$G17,X$4),0)</f>
        <v>0</v>
      </c>
      <c r="Y17" s="106" cm="1">
        <f t="array" ref="Y17">IFERROR(OptionProfit($C17,$D17,$E17,$F17,$G17,Y$4),0)</f>
        <v>0</v>
      </c>
      <c r="Z17" s="106" cm="1">
        <f t="array" ref="Z17">IFERROR(OptionProfit($C17,$D17,$E17,$F17,$G17,Z$4),0)</f>
        <v>0</v>
      </c>
      <c r="AA17" s="106" cm="1">
        <f t="array" ref="AA17">IFERROR(OptionProfit($C17,$D17,$E17,$F17,$G17,AA$4),0)</f>
        <v>0</v>
      </c>
      <c r="AB17" s="106" cm="1">
        <f t="array" ref="AB17">IFERROR(OptionProfit($C17,$D17,$E17,$F17,$G17,AB$4),0)</f>
        <v>0</v>
      </c>
      <c r="AC17" s="106" cm="1">
        <f t="array" ref="AC17">IFERROR(OptionProfit($C17,$D17,$E17,$F17,$G17,AC$4),0)</f>
        <v>0</v>
      </c>
      <c r="AD17" s="106" cm="1">
        <f t="array" ref="AD17">IFERROR(OptionProfit($C17,$D17,$E17,$F17,$G17,AD$4),0)</f>
        <v>0</v>
      </c>
      <c r="AE17" s="106" cm="1">
        <f t="array" ref="AE17">IFERROR(OptionProfit($C17,$D17,$E17,$F17,$G17,AE$4),0)</f>
        <v>0</v>
      </c>
      <c r="AF17" s="106" cm="1">
        <f t="array" ref="AF17">IFERROR(OptionProfit($C17,$D17,$E17,$F17,$G17,AF$4),0)</f>
        <v>0</v>
      </c>
      <c r="AG17" s="106" cm="1">
        <f t="array" ref="AG17">IFERROR(OptionProfit($C17,$D17,$E17,$F17,$G17,AG$4),0)</f>
        <v>0</v>
      </c>
      <c r="AH17" s="106" cm="1">
        <f t="array" ref="AH17">IFERROR(OptionProfit($C17,$D17,$E17,$F17,$G17,AH$4),0)</f>
        <v>0</v>
      </c>
      <c r="AI17" s="106" cm="1">
        <f t="array" ref="AI17">IFERROR(OptionProfit($C17,$D17,$E17,$F17,$G17,AI$4),0)</f>
        <v>0</v>
      </c>
      <c r="AJ17" s="106" cm="1">
        <f t="array" ref="AJ17">IFERROR(OptionProfit($C17,$D17,$E17,$F17,$G17,AJ$4),0)</f>
        <v>0</v>
      </c>
      <c r="AK17" s="106" cm="1">
        <f t="array" ref="AK17">IFERROR(OptionProfit($C17,$D17,$E17,$F17,$G17,AK$4),0)</f>
        <v>0</v>
      </c>
      <c r="AL17" s="106" cm="1">
        <f t="array" ref="AL17">IFERROR(OptionProfit($C17,$D17,$E17,$F17,$G17,AL$4),0)</f>
        <v>0</v>
      </c>
      <c r="AM17" s="106" cm="1">
        <f t="array" ref="AM17">IFERROR(OptionProfit($C17,$D17,$E17,$F17,$G17,AM$4),0)</f>
        <v>0</v>
      </c>
      <c r="AN17" s="106" cm="1">
        <f t="array" ref="AN17">IFERROR(OptionProfit($C17,$D17,$E17,$F17,$G17,AN$4),0)</f>
        <v>0</v>
      </c>
      <c r="AO17" s="106" cm="1">
        <f t="array" ref="AO17">IFERROR(OptionProfit($C17,$D17,$E17,$F17,$G17,AO$4),0)</f>
        <v>0</v>
      </c>
      <c r="AP17" s="106" cm="1">
        <f t="array" ref="AP17">IFERROR(OptionProfit($C17,$D17,$E17,$F17,$G17,AP$4),0)</f>
        <v>0</v>
      </c>
      <c r="AQ17" s="106" cm="1">
        <f t="array" ref="AQ17">IFERROR(OptionProfit($C17,$D17,$E17,$F17,$G17,AQ$4),0)</f>
        <v>0</v>
      </c>
      <c r="AR17" s="106" cm="1">
        <f t="array" ref="AR17">IFERROR(OptionProfit($C17,$D17,$E17,$F17,$G17,AR$4),0)</f>
        <v>0</v>
      </c>
      <c r="AS17" s="106" cm="1">
        <f t="array" ref="AS17">IFERROR(OptionProfit($C17,$D17,$E17,$F17,$G17,AS$4),0)</f>
        <v>0</v>
      </c>
      <c r="AT17" s="106" cm="1">
        <f t="array" ref="AT17">IFERROR(OptionProfit($C17,$D17,$E17,$F17,$G17,AT$4),0)</f>
        <v>0</v>
      </c>
      <c r="AU17" s="106" cm="1">
        <f t="array" ref="AU17">IFERROR(OptionProfit($C17,$D17,$E17,$F17,$G17,AU$4),0)</f>
        <v>0</v>
      </c>
      <c r="AV17" s="106" cm="1">
        <f t="array" ref="AV17">IFERROR(OptionProfit($C17,$D17,$E17,$F17,$G17,AV$4),0)</f>
        <v>0</v>
      </c>
      <c r="AW17" s="106" cm="1">
        <f t="array" ref="AW17">IFERROR(OptionProfit($C17,$D17,$E17,$F17,$G17,AW$4),0)</f>
        <v>0</v>
      </c>
      <c r="AX17" s="106" cm="1">
        <f t="array" ref="AX17">IFERROR(OptionProfit($C17,$D17,$E17,$F17,$G17,AX$4),0)</f>
        <v>0</v>
      </c>
      <c r="AY17" s="106" cm="1">
        <f t="array" ref="AY17">IFERROR(OptionProfit($C17,$D17,$E17,$F17,$G17,AY$4),0)</f>
        <v>0</v>
      </c>
      <c r="AZ17" s="106" cm="1">
        <f t="array" ref="AZ17">IFERROR(OptionProfit($C17,$D17,$E17,$F17,$G17,AZ$4),0)</f>
        <v>0</v>
      </c>
      <c r="BA17" s="106" cm="1">
        <f t="array" ref="BA17">IFERROR(OptionProfit($C17,$D17,$E17,$F17,$G17,BA$4),0)</f>
        <v>0</v>
      </c>
      <c r="BB17" s="106" cm="1">
        <f t="array" ref="BB17">IFERROR(OptionProfit($C17,$D17,$E17,$F17,$G17,BB$4),0)</f>
        <v>0</v>
      </c>
      <c r="BC17" s="106" cm="1">
        <f t="array" ref="BC17">IFERROR(OptionProfit($C17,$D17,$E17,$F17,$G17,BC$4),0)</f>
        <v>0</v>
      </c>
      <c r="BD17" s="106" cm="1">
        <f t="array" ref="BD17">IFERROR(OptionProfit($C17,$D17,$E17,$F17,$G17,BD$4),0)</f>
        <v>0</v>
      </c>
      <c r="BE17" s="106" cm="1">
        <f t="array" ref="BE17">IFERROR(OptionProfit($C17,$D17,$E17,$F17,$G17,BE$4),0)</f>
        <v>0</v>
      </c>
      <c r="BF17" s="106" cm="1">
        <f t="array" ref="BF17">IFERROR(OptionProfit($C17,$D17,$E17,$F17,$G17,BF$4),0)</f>
        <v>0</v>
      </c>
      <c r="BG17" s="106" cm="1">
        <f t="array" ref="BG17">IFERROR(OptionProfit($C17,$D17,$E17,$F17,$G17,BG$4),0)</f>
        <v>0</v>
      </c>
      <c r="BH17" s="106" cm="1">
        <f t="array" ref="BH17">IFERROR(OptionProfit($C17,$D17,$E17,$F17,$G17,BH$4),0)</f>
        <v>0</v>
      </c>
      <c r="BI17" s="106" cm="1">
        <f t="array" ref="BI17">IFERROR(OptionProfit($C17,$D17,$E17,$F17,$G17,BI$4),0)</f>
        <v>0</v>
      </c>
      <c r="BJ17" s="106" cm="1">
        <f t="array" ref="BJ17">IFERROR(OptionProfit($C17,$D17,$E17,$F17,$G17,BJ$4),0)</f>
        <v>0</v>
      </c>
      <c r="BK17" s="106" cm="1">
        <f t="array" ref="BK17">IFERROR(OptionProfit($C17,$D17,$E17,$F17,$G17,BK$4),0)</f>
        <v>0</v>
      </c>
      <c r="BL17" s="106" cm="1">
        <f t="array" ref="BL17">IFERROR(OptionProfit($C17,$D17,$E17,$F17,$G17,BL$4),0)</f>
        <v>0</v>
      </c>
      <c r="BM17" s="106" cm="1">
        <f t="array" ref="BM17">IFERROR(OptionProfit($C17,$D17,$E17,$F17,$G17,BM$4),0)</f>
        <v>0</v>
      </c>
      <c r="BN17" s="106" cm="1">
        <f t="array" ref="BN17">IFERROR(OptionProfit($C17,$D17,$E17,$F17,$G17,BN$4),0)</f>
        <v>0</v>
      </c>
      <c r="BO17" s="106" cm="1">
        <f t="array" ref="BO17">IFERROR(OptionProfit($C17,$D17,$E17,$F17,$G17,BO$4),0)</f>
        <v>0</v>
      </c>
      <c r="BP17" s="106" cm="1">
        <f t="array" ref="BP17">IFERROR(OptionProfit($C17,$D17,$E17,$F17,$G17,BP$4),0)</f>
        <v>0</v>
      </c>
      <c r="BQ17" s="106" cm="1">
        <f t="array" ref="BQ17">IFERROR(OptionProfit($C17,$D17,$E17,$F17,$G17,BQ$4),0)</f>
        <v>0</v>
      </c>
      <c r="BR17" s="106" cm="1">
        <f t="array" ref="BR17">IFERROR(OptionProfit($C17,$D17,$E17,$F17,$G17,BR$4),0)</f>
        <v>0</v>
      </c>
      <c r="BS17" s="106" cm="1">
        <f t="array" ref="BS17">IFERROR(OptionProfit($C17,$D17,$E17,$F17,$G17,BS$4),0)</f>
        <v>0</v>
      </c>
      <c r="BT17" s="106" cm="1">
        <f t="array" ref="BT17">IFERROR(OptionProfit($C17,$D17,$E17,$F17,$G17,BT$4),0)</f>
        <v>0</v>
      </c>
      <c r="BU17" s="106" cm="1">
        <f t="array" ref="BU17">IFERROR(OptionProfit($C17,$D17,$E17,$F17,$G17,BU$4),0)</f>
        <v>0</v>
      </c>
      <c r="BV17" s="106" cm="1">
        <f t="array" ref="BV17">IFERROR(OptionProfit($C17,$D17,$E17,$F17,$G17,BV$4),0)</f>
        <v>0</v>
      </c>
      <c r="BW17" s="106" cm="1">
        <f t="array" ref="BW17">IFERROR(OptionProfit($C17,$D17,$E17,$F17,$G17,BW$4),0)</f>
        <v>0</v>
      </c>
      <c r="BX17" s="106" cm="1">
        <f t="array" ref="BX17">IFERROR(OptionProfit($C17,$D17,$E17,$F17,$G17,BX$4),0)</f>
        <v>0</v>
      </c>
      <c r="BY17" s="106" cm="1">
        <f t="array" ref="BY17">IFERROR(OptionProfit($C17,$D17,$E17,$F17,$G17,BY$4),0)</f>
        <v>0</v>
      </c>
      <c r="BZ17" s="106" cm="1">
        <f t="array" ref="BZ17">IFERROR(OptionProfit($C17,$D17,$E17,$F17,$G17,BZ$4),0)</f>
        <v>0</v>
      </c>
      <c r="CA17" s="106" cm="1">
        <f t="array" ref="CA17">IFERROR(OptionProfit($C17,$D17,$E17,$F17,$G17,CA$4),0)</f>
        <v>0</v>
      </c>
      <c r="CB17" s="106" cm="1">
        <f t="array" ref="CB17">IFERROR(OptionProfit($C17,$D17,$E17,$F17,$G17,CB$4),0)</f>
        <v>0</v>
      </c>
      <c r="CC17" s="106" cm="1">
        <f t="array" ref="CC17">IFERROR(OptionProfit($C17,$D17,$E17,$F17,$G17,CC$4),0)</f>
        <v>0</v>
      </c>
      <c r="CD17" s="106" cm="1">
        <f t="array" ref="CD17">IFERROR(OptionProfit($C17,$D17,$E17,$F17,$G17,CD$4),0)</f>
        <v>0</v>
      </c>
      <c r="CE17" s="106" cm="1">
        <f t="array" ref="CE17">IFERROR(OptionProfit($C17,$D17,$E17,$F17,$G17,CE$4),0)</f>
        <v>0</v>
      </c>
      <c r="CF17" s="106" cm="1">
        <f t="array" ref="CF17">IFERROR(OptionProfit($C17,$D17,$E17,$F17,$G17,CF$4),0)</f>
        <v>0</v>
      </c>
      <c r="CG17" s="106" cm="1">
        <f t="array" ref="CG17">IFERROR(OptionProfit($C17,$D17,$E17,$F17,$G17,CG$4),0)</f>
        <v>0</v>
      </c>
      <c r="CH17" s="106" cm="1">
        <f t="array" ref="CH17">IFERROR(OptionProfit($C17,$D17,$E17,$F17,$G17,CH$4),0)</f>
        <v>0</v>
      </c>
      <c r="CI17" s="106" cm="1">
        <f t="array" ref="CI17">IFERROR(OptionProfit($C17,$D17,$E17,$F17,$G17,CI$4),0)</f>
        <v>0</v>
      </c>
      <c r="CJ17" s="106" cm="1">
        <f t="array" ref="CJ17">IFERROR(OptionProfit($C17,$D17,$E17,$F17,$G17,CJ$4),0)</f>
        <v>0</v>
      </c>
      <c r="CK17" s="106" cm="1">
        <f t="array" ref="CK17">IFERROR(OptionProfit($C17,$D17,$E17,$F17,$G17,CK$4),0)</f>
        <v>0</v>
      </c>
      <c r="CL17" s="106" cm="1">
        <f t="array" ref="CL17">IFERROR(OptionProfit($C17,$D17,$E17,$F17,$G17,CL$4),0)</f>
        <v>0</v>
      </c>
      <c r="CM17" s="106" cm="1">
        <f t="array" ref="CM17">IFERROR(OptionProfit($C17,$D17,$E17,$F17,$G17,CM$4),0)</f>
        <v>0</v>
      </c>
      <c r="CN17" s="106" cm="1">
        <f t="array" ref="CN17">IFERROR(OptionProfit($C17,$D17,$E17,$F17,$G17,CN$4),0)</f>
        <v>0</v>
      </c>
      <c r="CO17" s="106" cm="1">
        <f t="array" ref="CO17">IFERROR(OptionProfit($C17,$D17,$E17,$F17,$G17,CO$4),0)</f>
        <v>0</v>
      </c>
      <c r="CP17" s="106" cm="1">
        <f t="array" ref="CP17">IFERROR(OptionProfit($C17,$D17,$E17,$F17,$G17,CP$4),0)</f>
        <v>0</v>
      </c>
      <c r="CQ17" s="106" cm="1">
        <f t="array" ref="CQ17">IFERROR(OptionProfit($C17,$D17,$E17,$F17,$G17,CQ$4),0)</f>
        <v>0</v>
      </c>
      <c r="CR17" s="106" cm="1">
        <f t="array" ref="CR17">IFERROR(OptionProfit($C17,$D17,$E17,$F17,$G17,CR$4),0)</f>
        <v>0</v>
      </c>
      <c r="CS17" s="106" cm="1">
        <f t="array" ref="CS17">IFERROR(OptionProfit($C17,$D17,$E17,$F17,$G17,CS$4),0)</f>
        <v>0</v>
      </c>
      <c r="CT17" s="106" cm="1">
        <f t="array" ref="CT17">IFERROR(OptionProfit($C17,$D17,$E17,$F17,$G17,CT$4),0)</f>
        <v>0</v>
      </c>
      <c r="CU17" s="106" cm="1">
        <f t="array" ref="CU17">IFERROR(OptionProfit($C17,$D17,$E17,$F17,$G17,CU$4),0)</f>
        <v>0</v>
      </c>
      <c r="CV17" s="128" cm="1">
        <f t="array" ref="CV17">IFERROR(OptionProfit($C17,$D17,$E17,$F17,$G17,CV$4),0)</f>
        <v>0</v>
      </c>
      <c r="CW17" s="128" cm="1">
        <f t="array" ref="CW17">IFERROR(OptionProfit($C17,$D17,$E17,$F17,$G17,CW$4),0)</f>
        <v>0</v>
      </c>
      <c r="CX17" s="106" cm="1">
        <f t="array" ref="CX17">IFERROR(OptionProfit($C17,$D17,$E17,$F17,$G17,CX$4),0)</f>
        <v>0</v>
      </c>
      <c r="CY17" s="106" cm="1">
        <f t="array" ref="CY17">IFERROR(OptionProfit($C17,$D17,$E17,$F17,$G17,CY$4),0)</f>
        <v>0</v>
      </c>
      <c r="CZ17" s="106" cm="1">
        <f t="array" ref="CZ17">IFERROR(OptionProfit($C17,$D17,$E17,$F17,$G17,CZ$4),0)</f>
        <v>0</v>
      </c>
      <c r="DA17" s="106" cm="1">
        <f t="array" ref="DA17">IFERROR(OptionProfit($C17,$D17,$E17,$F17,$G17,DA$4),0)</f>
        <v>0</v>
      </c>
      <c r="DB17" s="106" cm="1">
        <f t="array" ref="DB17">IFERROR(OptionProfit($C17,$D17,$E17,$F17,$G17,DB$4),0)</f>
        <v>0</v>
      </c>
      <c r="DC17" s="106" cm="1">
        <f t="array" ref="DC17">IFERROR(OptionProfit($C17,$D17,$E17,$F17,$G17,DC$4),0)</f>
        <v>0</v>
      </c>
      <c r="DD17" s="106" cm="1">
        <f t="array" ref="DD17">IFERROR(OptionProfit($C17,$D17,$E17,$F17,$G17,DD$4),0)</f>
        <v>0</v>
      </c>
      <c r="DE17" s="106" cm="1">
        <f t="array" ref="DE17">IFERROR(OptionProfit($C17,$D17,$E17,$F17,$G17,DE$4),0)</f>
        <v>0</v>
      </c>
      <c r="DF17" s="106" cm="1">
        <f t="array" ref="DF17">IFERROR(OptionProfit($C17,$D17,$E17,$F17,$G17,DF$4),0)</f>
        <v>0</v>
      </c>
      <c r="DG17" s="106" cm="1">
        <f t="array" ref="DG17">IFERROR(OptionProfit($C17,$D17,$E17,$F17,$G17,DG$4),0)</f>
        <v>0</v>
      </c>
      <c r="DH17" s="106" cm="1">
        <f t="array" ref="DH17">IFERROR(OptionProfit($C17,$D17,$E17,$F17,$G17,DH$4),0)</f>
        <v>0</v>
      </c>
      <c r="DI17" s="106" cm="1">
        <f t="array" ref="DI17">IFERROR(OptionProfit($C17,$D17,$E17,$F17,$G17,DI$4),0)</f>
        <v>0</v>
      </c>
      <c r="DJ17" s="106" cm="1">
        <f t="array" ref="DJ17">IFERROR(OptionProfit($C17,$D17,$E17,$F17,$G17,DJ$4),0)</f>
        <v>0</v>
      </c>
      <c r="DK17" s="106" cm="1">
        <f t="array" ref="DK17">IFERROR(OptionProfit($C17,$D17,$E17,$F17,$G17,DK$4),0)</f>
        <v>0</v>
      </c>
      <c r="DL17" s="106" cm="1">
        <f t="array" ref="DL17">IFERROR(OptionProfit($C17,$D17,$E17,$F17,$G17,DL$4),0)</f>
        <v>0</v>
      </c>
      <c r="DM17" s="106" cm="1">
        <f t="array" ref="DM17">IFERROR(OptionProfit($C17,$D17,$E17,$F17,$G17,DM$4),0)</f>
        <v>0</v>
      </c>
      <c r="DN17" s="106" cm="1">
        <f t="array" ref="DN17">IFERROR(OptionProfit($C17,$D17,$E17,$F17,$G17,DN$4),0)</f>
        <v>0</v>
      </c>
      <c r="DP17" s="91" t="str">
        <f t="shared" si="0"/>
        <v/>
      </c>
      <c r="DQ17" s="91" t="str">
        <f t="shared" si="1"/>
        <v/>
      </c>
      <c r="DR17" s="91" t="str">
        <f t="shared" si="2"/>
        <v>=XQFAP|Quote!'.TF-price'</v>
      </c>
    </row>
    <row r="18" spans="1:133" ht="21" customHeight="1" x14ac:dyDescent="0.25">
      <c r="A18" s="108"/>
      <c r="B18" s="121"/>
      <c r="C18" s="108"/>
      <c r="D18" s="108"/>
      <c r="E18" s="108"/>
      <c r="F18" s="108"/>
      <c r="G18" s="108"/>
      <c r="H18" s="122" cm="1">
        <f t="array" ref="H18">IFERROR(OptionPnL(D18,G18,B18,F18),0)</f>
        <v>0</v>
      </c>
      <c r="O18" s="126">
        <v>20600</v>
      </c>
      <c r="P18" s="110">
        <f t="shared" si="3"/>
        <v>-166675</v>
      </c>
      <c r="Q18" s="107">
        <f>SUM(AD6:AD38)</f>
        <v>-3333.5</v>
      </c>
      <c r="R18" s="106" cm="1">
        <f t="array" ref="R18">IFERROR(OptionProfit($C18,$D18,$E18,$F18,$G18,R$4),0)</f>
        <v>0</v>
      </c>
      <c r="S18" s="106" cm="1">
        <f t="array" ref="S18">IFERROR(OptionProfit($C18,$D18,$E18,$F18,$G18,S$4),0)</f>
        <v>0</v>
      </c>
      <c r="T18" s="106" cm="1">
        <f t="array" ref="T18">IFERROR(OptionProfit($C18,$D18,$E18,$F18,$G18,T$4),0)</f>
        <v>0</v>
      </c>
      <c r="U18" s="106" cm="1">
        <f t="array" ref="U18">IFERROR(OptionProfit($C18,$D18,$E18,$F18,$G18,U$4),0)</f>
        <v>0</v>
      </c>
      <c r="V18" s="106" cm="1">
        <f t="array" ref="V18">IFERROR(OptionProfit($C18,$D18,$E18,$F18,$G18,V$4),0)</f>
        <v>0</v>
      </c>
      <c r="W18" s="106" cm="1">
        <f t="array" ref="W18">IFERROR(OptionProfit($C18,$D18,$E18,$F18,$G18,W$4),0)</f>
        <v>0</v>
      </c>
      <c r="X18" s="106" cm="1">
        <f t="array" ref="X18">IFERROR(OptionProfit($C18,$D18,$E18,$F18,$G18,X$4),0)</f>
        <v>0</v>
      </c>
      <c r="Y18" s="106" cm="1">
        <f t="array" ref="Y18">IFERROR(OptionProfit($C18,$D18,$E18,$F18,$G18,Y$4),0)</f>
        <v>0</v>
      </c>
      <c r="Z18" s="106" cm="1">
        <f t="array" ref="Z18">IFERROR(OptionProfit($C18,$D18,$E18,$F18,$G18,Z$4),0)</f>
        <v>0</v>
      </c>
      <c r="AA18" s="106" cm="1">
        <f t="array" ref="AA18">IFERROR(OptionProfit($C18,$D18,$E18,$F18,$G18,AA$4),0)</f>
        <v>0</v>
      </c>
      <c r="AB18" s="106" cm="1">
        <f t="array" ref="AB18">IFERROR(OptionProfit($C18,$D18,$E18,$F18,$G18,AB$4),0)</f>
        <v>0</v>
      </c>
      <c r="AC18" s="106" cm="1">
        <f t="array" ref="AC18">IFERROR(OptionProfit($C18,$D18,$E18,$F18,$G18,AC$4),0)</f>
        <v>0</v>
      </c>
      <c r="AD18" s="106" cm="1">
        <f t="array" ref="AD18">IFERROR(OptionProfit($C18,$D18,$E18,$F18,$G18,AD$4),0)</f>
        <v>0</v>
      </c>
      <c r="AE18" s="106" cm="1">
        <f t="array" ref="AE18">IFERROR(OptionProfit($C18,$D18,$E18,$F18,$G18,AE$4),0)</f>
        <v>0</v>
      </c>
      <c r="AF18" s="106" cm="1">
        <f t="array" ref="AF18">IFERROR(OptionProfit($C18,$D18,$E18,$F18,$G18,AF$4),0)</f>
        <v>0</v>
      </c>
      <c r="AG18" s="106" cm="1">
        <f t="array" ref="AG18">IFERROR(OptionProfit($C18,$D18,$E18,$F18,$G18,AG$4),0)</f>
        <v>0</v>
      </c>
      <c r="AH18" s="106" cm="1">
        <f t="array" ref="AH18">IFERROR(OptionProfit($C18,$D18,$E18,$F18,$G18,AH$4),0)</f>
        <v>0</v>
      </c>
      <c r="AI18" s="106" cm="1">
        <f t="array" ref="AI18">IFERROR(OptionProfit($C18,$D18,$E18,$F18,$G18,AI$4),0)</f>
        <v>0</v>
      </c>
      <c r="AJ18" s="106" cm="1">
        <f t="array" ref="AJ18">IFERROR(OptionProfit($C18,$D18,$E18,$F18,$G18,AJ$4),0)</f>
        <v>0</v>
      </c>
      <c r="AK18" s="106" cm="1">
        <f t="array" ref="AK18">IFERROR(OptionProfit($C18,$D18,$E18,$F18,$G18,AK$4),0)</f>
        <v>0</v>
      </c>
      <c r="AL18" s="106" cm="1">
        <f t="array" ref="AL18">IFERROR(OptionProfit($C18,$D18,$E18,$F18,$G18,AL$4),0)</f>
        <v>0</v>
      </c>
      <c r="AM18" s="106" cm="1">
        <f t="array" ref="AM18">IFERROR(OptionProfit($C18,$D18,$E18,$F18,$G18,AM$4),0)</f>
        <v>0</v>
      </c>
      <c r="AN18" s="106" cm="1">
        <f t="array" ref="AN18">IFERROR(OptionProfit($C18,$D18,$E18,$F18,$G18,AN$4),0)</f>
        <v>0</v>
      </c>
      <c r="AO18" s="106" cm="1">
        <f t="array" ref="AO18">IFERROR(OptionProfit($C18,$D18,$E18,$F18,$G18,AO$4),0)</f>
        <v>0</v>
      </c>
      <c r="AP18" s="106" cm="1">
        <f t="array" ref="AP18">IFERROR(OptionProfit($C18,$D18,$E18,$F18,$G18,AP$4),0)</f>
        <v>0</v>
      </c>
      <c r="AQ18" s="106" cm="1">
        <f t="array" ref="AQ18">IFERROR(OptionProfit($C18,$D18,$E18,$F18,$G18,AQ$4),0)</f>
        <v>0</v>
      </c>
      <c r="AR18" s="106" cm="1">
        <f t="array" ref="AR18">IFERROR(OptionProfit($C18,$D18,$E18,$F18,$G18,AR$4),0)</f>
        <v>0</v>
      </c>
      <c r="AS18" s="106" cm="1">
        <f t="array" ref="AS18">IFERROR(OptionProfit($C18,$D18,$E18,$F18,$G18,AS$4),0)</f>
        <v>0</v>
      </c>
      <c r="AT18" s="106" cm="1">
        <f t="array" ref="AT18">IFERROR(OptionProfit($C18,$D18,$E18,$F18,$G18,AT$4),0)</f>
        <v>0</v>
      </c>
      <c r="AU18" s="106" cm="1">
        <f t="array" ref="AU18">IFERROR(OptionProfit($C18,$D18,$E18,$F18,$G18,AU$4),0)</f>
        <v>0</v>
      </c>
      <c r="AV18" s="106" cm="1">
        <f t="array" ref="AV18">IFERROR(OptionProfit($C18,$D18,$E18,$F18,$G18,AV$4),0)</f>
        <v>0</v>
      </c>
      <c r="AW18" s="106" cm="1">
        <f t="array" ref="AW18">IFERROR(OptionProfit($C18,$D18,$E18,$F18,$G18,AW$4),0)</f>
        <v>0</v>
      </c>
      <c r="AX18" s="106" cm="1">
        <f t="array" ref="AX18">IFERROR(OptionProfit($C18,$D18,$E18,$F18,$G18,AX$4),0)</f>
        <v>0</v>
      </c>
      <c r="AY18" s="106" cm="1">
        <f t="array" ref="AY18">IFERROR(OptionProfit($C18,$D18,$E18,$F18,$G18,AY$4),0)</f>
        <v>0</v>
      </c>
      <c r="AZ18" s="106" cm="1">
        <f t="array" ref="AZ18">IFERROR(OptionProfit($C18,$D18,$E18,$F18,$G18,AZ$4),0)</f>
        <v>0</v>
      </c>
      <c r="BA18" s="106" cm="1">
        <f t="array" ref="BA18">IFERROR(OptionProfit($C18,$D18,$E18,$F18,$G18,BA$4),0)</f>
        <v>0</v>
      </c>
      <c r="BB18" s="106" cm="1">
        <f t="array" ref="BB18">IFERROR(OptionProfit($C18,$D18,$E18,$F18,$G18,BB$4),0)</f>
        <v>0</v>
      </c>
      <c r="BC18" s="106" cm="1">
        <f t="array" ref="BC18">IFERROR(OptionProfit($C18,$D18,$E18,$F18,$G18,BC$4),0)</f>
        <v>0</v>
      </c>
      <c r="BD18" s="106" cm="1">
        <f t="array" ref="BD18">IFERROR(OptionProfit($C18,$D18,$E18,$F18,$G18,BD$4),0)</f>
        <v>0</v>
      </c>
      <c r="BE18" s="106" cm="1">
        <f t="array" ref="BE18">IFERROR(OptionProfit($C18,$D18,$E18,$F18,$G18,BE$4),0)</f>
        <v>0</v>
      </c>
      <c r="BF18" s="106" cm="1">
        <f t="array" ref="BF18">IFERROR(OptionProfit($C18,$D18,$E18,$F18,$G18,BF$4),0)</f>
        <v>0</v>
      </c>
      <c r="BG18" s="106" cm="1">
        <f t="array" ref="BG18">IFERROR(OptionProfit($C18,$D18,$E18,$F18,$G18,BG$4),0)</f>
        <v>0</v>
      </c>
      <c r="BH18" s="106" cm="1">
        <f t="array" ref="BH18">IFERROR(OptionProfit($C18,$D18,$E18,$F18,$G18,BH$4),0)</f>
        <v>0</v>
      </c>
      <c r="BI18" s="106" cm="1">
        <f t="array" ref="BI18">IFERROR(OptionProfit($C18,$D18,$E18,$F18,$G18,BI$4),0)</f>
        <v>0</v>
      </c>
      <c r="BJ18" s="106" cm="1">
        <f t="array" ref="BJ18">IFERROR(OptionProfit($C18,$D18,$E18,$F18,$G18,BJ$4),0)</f>
        <v>0</v>
      </c>
      <c r="BK18" s="106" cm="1">
        <f t="array" ref="BK18">IFERROR(OptionProfit($C18,$D18,$E18,$F18,$G18,BK$4),0)</f>
        <v>0</v>
      </c>
      <c r="BL18" s="106" cm="1">
        <f t="array" ref="BL18">IFERROR(OptionProfit($C18,$D18,$E18,$F18,$G18,BL$4),0)</f>
        <v>0</v>
      </c>
      <c r="BM18" s="106" cm="1">
        <f t="array" ref="BM18">IFERROR(OptionProfit($C18,$D18,$E18,$F18,$G18,BM$4),0)</f>
        <v>0</v>
      </c>
      <c r="BN18" s="106" cm="1">
        <f t="array" ref="BN18">IFERROR(OptionProfit($C18,$D18,$E18,$F18,$G18,BN$4),0)</f>
        <v>0</v>
      </c>
      <c r="BO18" s="106" cm="1">
        <f t="array" ref="BO18">IFERROR(OptionProfit($C18,$D18,$E18,$F18,$G18,BO$4),0)</f>
        <v>0</v>
      </c>
      <c r="BP18" s="106" cm="1">
        <f t="array" ref="BP18">IFERROR(OptionProfit($C18,$D18,$E18,$F18,$G18,BP$4),0)</f>
        <v>0</v>
      </c>
      <c r="BQ18" s="106" cm="1">
        <f t="array" ref="BQ18">IFERROR(OptionProfit($C18,$D18,$E18,$F18,$G18,BQ$4),0)</f>
        <v>0</v>
      </c>
      <c r="BR18" s="106" cm="1">
        <f t="array" ref="BR18">IFERROR(OptionProfit($C18,$D18,$E18,$F18,$G18,BR$4),0)</f>
        <v>0</v>
      </c>
      <c r="BS18" s="106" cm="1">
        <f t="array" ref="BS18">IFERROR(OptionProfit($C18,$D18,$E18,$F18,$G18,BS$4),0)</f>
        <v>0</v>
      </c>
      <c r="BT18" s="106" cm="1">
        <f t="array" ref="BT18">IFERROR(OptionProfit($C18,$D18,$E18,$F18,$G18,BT$4),0)</f>
        <v>0</v>
      </c>
      <c r="BU18" s="106" cm="1">
        <f t="array" ref="BU18">IFERROR(OptionProfit($C18,$D18,$E18,$F18,$G18,BU$4),0)</f>
        <v>0</v>
      </c>
      <c r="BV18" s="106" cm="1">
        <f t="array" ref="BV18">IFERROR(OptionProfit($C18,$D18,$E18,$F18,$G18,BV$4),0)</f>
        <v>0</v>
      </c>
      <c r="BW18" s="106" cm="1">
        <f t="array" ref="BW18">IFERROR(OptionProfit($C18,$D18,$E18,$F18,$G18,BW$4),0)</f>
        <v>0</v>
      </c>
      <c r="BX18" s="106" cm="1">
        <f t="array" ref="BX18">IFERROR(OptionProfit($C18,$D18,$E18,$F18,$G18,BX$4),0)</f>
        <v>0</v>
      </c>
      <c r="BY18" s="106" cm="1">
        <f t="array" ref="BY18">IFERROR(OptionProfit($C18,$D18,$E18,$F18,$G18,BY$4),0)</f>
        <v>0</v>
      </c>
      <c r="BZ18" s="106" cm="1">
        <f t="array" ref="BZ18">IFERROR(OptionProfit($C18,$D18,$E18,$F18,$G18,BZ$4),0)</f>
        <v>0</v>
      </c>
      <c r="CA18" s="106" cm="1">
        <f t="array" ref="CA18">IFERROR(OptionProfit($C18,$D18,$E18,$F18,$G18,CA$4),0)</f>
        <v>0</v>
      </c>
      <c r="CB18" s="106" cm="1">
        <f t="array" ref="CB18">IFERROR(OptionProfit($C18,$D18,$E18,$F18,$G18,CB$4),0)</f>
        <v>0</v>
      </c>
      <c r="CC18" s="106" cm="1">
        <f t="array" ref="CC18">IFERROR(OptionProfit($C18,$D18,$E18,$F18,$G18,CC$4),0)</f>
        <v>0</v>
      </c>
      <c r="CD18" s="106" cm="1">
        <f t="array" ref="CD18">IFERROR(OptionProfit($C18,$D18,$E18,$F18,$G18,CD$4),0)</f>
        <v>0</v>
      </c>
      <c r="CE18" s="106" cm="1">
        <f t="array" ref="CE18">IFERROR(OptionProfit($C18,$D18,$E18,$F18,$G18,CE$4),0)</f>
        <v>0</v>
      </c>
      <c r="CF18" s="106" cm="1">
        <f t="array" ref="CF18">IFERROR(OptionProfit($C18,$D18,$E18,$F18,$G18,CF$4),0)</f>
        <v>0</v>
      </c>
      <c r="CG18" s="106" cm="1">
        <f t="array" ref="CG18">IFERROR(OptionProfit($C18,$D18,$E18,$F18,$G18,CG$4),0)</f>
        <v>0</v>
      </c>
      <c r="CH18" s="106" cm="1">
        <f t="array" ref="CH18">IFERROR(OptionProfit($C18,$D18,$E18,$F18,$G18,CH$4),0)</f>
        <v>0</v>
      </c>
      <c r="CI18" s="106" cm="1">
        <f t="array" ref="CI18">IFERROR(OptionProfit($C18,$D18,$E18,$F18,$G18,CI$4),0)</f>
        <v>0</v>
      </c>
      <c r="CJ18" s="106" cm="1">
        <f t="array" ref="CJ18">IFERROR(OptionProfit($C18,$D18,$E18,$F18,$G18,CJ$4),0)</f>
        <v>0</v>
      </c>
      <c r="CK18" s="106" cm="1">
        <f t="array" ref="CK18">IFERROR(OptionProfit($C18,$D18,$E18,$F18,$G18,CK$4),0)</f>
        <v>0</v>
      </c>
      <c r="CL18" s="106" cm="1">
        <f t="array" ref="CL18">IFERROR(OptionProfit($C18,$D18,$E18,$F18,$G18,CL$4),0)</f>
        <v>0</v>
      </c>
      <c r="CM18" s="106" cm="1">
        <f t="array" ref="CM18">IFERROR(OptionProfit($C18,$D18,$E18,$F18,$G18,CM$4),0)</f>
        <v>0</v>
      </c>
      <c r="CN18" s="106" cm="1">
        <f t="array" ref="CN18">IFERROR(OptionProfit($C18,$D18,$E18,$F18,$G18,CN$4),0)</f>
        <v>0</v>
      </c>
      <c r="CO18" s="106" cm="1">
        <f t="array" ref="CO18">IFERROR(OptionProfit($C18,$D18,$E18,$F18,$G18,CO$4),0)</f>
        <v>0</v>
      </c>
      <c r="CP18" s="106" cm="1">
        <f t="array" ref="CP18">IFERROR(OptionProfit($C18,$D18,$E18,$F18,$G18,CP$4),0)</f>
        <v>0</v>
      </c>
      <c r="CQ18" s="106" cm="1">
        <f t="array" ref="CQ18">IFERROR(OptionProfit($C18,$D18,$E18,$F18,$G18,CQ$4),0)</f>
        <v>0</v>
      </c>
      <c r="CR18" s="106" cm="1">
        <f t="array" ref="CR18">IFERROR(OptionProfit($C18,$D18,$E18,$F18,$G18,CR$4),0)</f>
        <v>0</v>
      </c>
      <c r="CS18" s="106" cm="1">
        <f t="array" ref="CS18">IFERROR(OptionProfit($C18,$D18,$E18,$F18,$G18,CS$4),0)</f>
        <v>0</v>
      </c>
      <c r="CT18" s="106" cm="1">
        <f t="array" ref="CT18">IFERROR(OptionProfit($C18,$D18,$E18,$F18,$G18,CT$4),0)</f>
        <v>0</v>
      </c>
      <c r="CU18" s="106" cm="1">
        <f t="array" ref="CU18">IFERROR(OptionProfit($C18,$D18,$E18,$F18,$G18,CU$4),0)</f>
        <v>0</v>
      </c>
      <c r="CV18" s="128" cm="1">
        <f t="array" ref="CV18">IFERROR(OptionProfit($C18,$D18,$E18,$F18,$G18,CV$4),0)</f>
        <v>0</v>
      </c>
      <c r="CW18" s="128" cm="1">
        <f t="array" ref="CW18">IFERROR(OptionProfit($C18,$D18,$E18,$F18,$G18,CW$4),0)</f>
        <v>0</v>
      </c>
      <c r="CX18" s="106" cm="1">
        <f t="array" ref="CX18">IFERROR(OptionProfit($C18,$D18,$E18,$F18,$G18,CX$4),0)</f>
        <v>0</v>
      </c>
      <c r="CY18" s="106" cm="1">
        <f t="array" ref="CY18">IFERROR(OptionProfit($C18,$D18,$E18,$F18,$G18,CY$4),0)</f>
        <v>0</v>
      </c>
      <c r="CZ18" s="106" cm="1">
        <f t="array" ref="CZ18">IFERROR(OptionProfit($C18,$D18,$E18,$F18,$G18,CZ$4),0)</f>
        <v>0</v>
      </c>
      <c r="DA18" s="106" cm="1">
        <f t="array" ref="DA18">IFERROR(OptionProfit($C18,$D18,$E18,$F18,$G18,DA$4),0)</f>
        <v>0</v>
      </c>
      <c r="DB18" s="106" cm="1">
        <f t="array" ref="DB18">IFERROR(OptionProfit($C18,$D18,$E18,$F18,$G18,DB$4),0)</f>
        <v>0</v>
      </c>
      <c r="DC18" s="106" cm="1">
        <f t="array" ref="DC18">IFERROR(OptionProfit($C18,$D18,$E18,$F18,$G18,DC$4),0)</f>
        <v>0</v>
      </c>
      <c r="DD18" s="106" cm="1">
        <f t="array" ref="DD18">IFERROR(OptionProfit($C18,$D18,$E18,$F18,$G18,DD$4),0)</f>
        <v>0</v>
      </c>
      <c r="DE18" s="106" cm="1">
        <f t="array" ref="DE18">IFERROR(OptionProfit($C18,$D18,$E18,$F18,$G18,DE$4),0)</f>
        <v>0</v>
      </c>
      <c r="DF18" s="106" cm="1">
        <f t="array" ref="DF18">IFERROR(OptionProfit($C18,$D18,$E18,$F18,$G18,DF$4),0)</f>
        <v>0</v>
      </c>
      <c r="DG18" s="106" cm="1">
        <f t="array" ref="DG18">IFERROR(OptionProfit($C18,$D18,$E18,$F18,$G18,DG$4),0)</f>
        <v>0</v>
      </c>
      <c r="DH18" s="106" cm="1">
        <f t="array" ref="DH18">IFERROR(OptionProfit($C18,$D18,$E18,$F18,$G18,DH$4),0)</f>
        <v>0</v>
      </c>
      <c r="DI18" s="106" cm="1">
        <f t="array" ref="DI18">IFERROR(OptionProfit($C18,$D18,$E18,$F18,$G18,DI$4),0)</f>
        <v>0</v>
      </c>
      <c r="DJ18" s="106" cm="1">
        <f t="array" ref="DJ18">IFERROR(OptionProfit($C18,$D18,$E18,$F18,$G18,DJ$4),0)</f>
        <v>0</v>
      </c>
      <c r="DK18" s="106" cm="1">
        <f t="array" ref="DK18">IFERROR(OptionProfit($C18,$D18,$E18,$F18,$G18,DK$4),0)</f>
        <v>0</v>
      </c>
      <c r="DL18" s="106" cm="1">
        <f t="array" ref="DL18">IFERROR(OptionProfit($C18,$D18,$E18,$F18,$G18,DL$4),0)</f>
        <v>0</v>
      </c>
      <c r="DM18" s="106" cm="1">
        <f t="array" ref="DM18">IFERROR(OptionProfit($C18,$D18,$E18,$F18,$G18,DM$4),0)</f>
        <v>0</v>
      </c>
      <c r="DN18" s="106" cm="1">
        <f t="array" ref="DN18">IFERROR(OptionProfit($C18,$D18,$E18,$F18,$G18,DN$4),0)</f>
        <v>0</v>
      </c>
      <c r="DP18" s="91" t="str">
        <f t="shared" si="0"/>
        <v/>
      </c>
      <c r="DQ18" s="91" t="str">
        <f t="shared" si="1"/>
        <v/>
      </c>
      <c r="DR18" s="91" t="str">
        <f t="shared" si="2"/>
        <v>=XQFAP|Quote!'.TF-price'</v>
      </c>
    </row>
    <row r="19" spans="1:133" ht="21" customHeight="1" x14ac:dyDescent="0.25">
      <c r="A19" s="108"/>
      <c r="B19" s="121"/>
      <c r="C19" s="108"/>
      <c r="D19" s="108"/>
      <c r="E19" s="108"/>
      <c r="F19" s="108"/>
      <c r="G19" s="108"/>
      <c r="H19" s="122" cm="1">
        <f t="array" ref="H19">IFERROR(OptionPnL(D19,G19,B19,F19),0)</f>
        <v>0</v>
      </c>
      <c r="O19" s="126">
        <v>20650</v>
      </c>
      <c r="P19" s="110">
        <f t="shared" si="3"/>
        <v>-161675</v>
      </c>
      <c r="Q19" s="107">
        <f>SUM(AE6:AE38)</f>
        <v>-3233.5</v>
      </c>
      <c r="R19" s="106" cm="1">
        <f t="array" ref="R19">IFERROR(OptionProfit($C19,$D19,$E19,$F19,$G19,R$4),0)</f>
        <v>0</v>
      </c>
      <c r="S19" s="106" cm="1">
        <f t="array" ref="S19">IFERROR(OptionProfit($C19,$D19,$E19,$F19,$G19,S$4),0)</f>
        <v>0</v>
      </c>
      <c r="T19" s="106" cm="1">
        <f t="array" ref="T19">IFERROR(OptionProfit($C19,$D19,$E19,$F19,$G19,T$4),0)</f>
        <v>0</v>
      </c>
      <c r="U19" s="106" cm="1">
        <f t="array" ref="U19">IFERROR(OptionProfit($C19,$D19,$E19,$F19,$G19,U$4),0)</f>
        <v>0</v>
      </c>
      <c r="V19" s="106" cm="1">
        <f t="array" ref="V19">IFERROR(OptionProfit($C19,$D19,$E19,$F19,$G19,V$4),0)</f>
        <v>0</v>
      </c>
      <c r="W19" s="106" cm="1">
        <f t="array" ref="W19">IFERROR(OptionProfit($C19,$D19,$E19,$F19,$G19,W$4),0)</f>
        <v>0</v>
      </c>
      <c r="X19" s="106" cm="1">
        <f t="array" ref="X19">IFERROR(OptionProfit($C19,$D19,$E19,$F19,$G19,X$4),0)</f>
        <v>0</v>
      </c>
      <c r="Y19" s="106" cm="1">
        <f t="array" ref="Y19">IFERROR(OptionProfit($C19,$D19,$E19,$F19,$G19,Y$4),0)</f>
        <v>0</v>
      </c>
      <c r="Z19" s="106" cm="1">
        <f t="array" ref="Z19">IFERROR(OptionProfit($C19,$D19,$E19,$F19,$G19,Z$4),0)</f>
        <v>0</v>
      </c>
      <c r="AA19" s="106" cm="1">
        <f t="array" ref="AA19">IFERROR(OptionProfit($C19,$D19,$E19,$F19,$G19,AA$4),0)</f>
        <v>0</v>
      </c>
      <c r="AB19" s="106" cm="1">
        <f t="array" ref="AB19">IFERROR(OptionProfit($C19,$D19,$E19,$F19,$G19,AB$4),0)</f>
        <v>0</v>
      </c>
      <c r="AC19" s="106" cm="1">
        <f t="array" ref="AC19">IFERROR(OptionProfit($C19,$D19,$E19,$F19,$G19,AC$4),0)</f>
        <v>0</v>
      </c>
      <c r="AD19" s="106" cm="1">
        <f t="array" ref="AD19">IFERROR(OptionProfit($C19,$D19,$E19,$F19,$G19,AD$4),0)</f>
        <v>0</v>
      </c>
      <c r="AE19" s="106" cm="1">
        <f t="array" ref="AE19">IFERROR(OptionProfit($C19,$D19,$E19,$F19,$G19,AE$4),0)</f>
        <v>0</v>
      </c>
      <c r="AF19" s="106" cm="1">
        <f t="array" ref="AF19">IFERROR(OptionProfit($C19,$D19,$E19,$F19,$G19,AF$4),0)</f>
        <v>0</v>
      </c>
      <c r="AG19" s="106" cm="1">
        <f t="array" ref="AG19">IFERROR(OptionProfit($C19,$D19,$E19,$F19,$G19,AG$4),0)</f>
        <v>0</v>
      </c>
      <c r="AH19" s="106" cm="1">
        <f t="array" ref="AH19">IFERROR(OptionProfit($C19,$D19,$E19,$F19,$G19,AH$4),0)</f>
        <v>0</v>
      </c>
      <c r="AI19" s="106" cm="1">
        <f t="array" ref="AI19">IFERROR(OptionProfit($C19,$D19,$E19,$F19,$G19,AI$4),0)</f>
        <v>0</v>
      </c>
      <c r="AJ19" s="106" cm="1">
        <f t="array" ref="AJ19">IFERROR(OptionProfit($C19,$D19,$E19,$F19,$G19,AJ$4),0)</f>
        <v>0</v>
      </c>
      <c r="AK19" s="106" cm="1">
        <f t="array" ref="AK19">IFERROR(OptionProfit($C19,$D19,$E19,$F19,$G19,AK$4),0)</f>
        <v>0</v>
      </c>
      <c r="AL19" s="106" cm="1">
        <f t="array" ref="AL19">IFERROR(OptionProfit($C19,$D19,$E19,$F19,$G19,AL$4),0)</f>
        <v>0</v>
      </c>
      <c r="AM19" s="106" cm="1">
        <f t="array" ref="AM19">IFERROR(OptionProfit($C19,$D19,$E19,$F19,$G19,AM$4),0)</f>
        <v>0</v>
      </c>
      <c r="AN19" s="106" cm="1">
        <f t="array" ref="AN19">IFERROR(OptionProfit($C19,$D19,$E19,$F19,$G19,AN$4),0)</f>
        <v>0</v>
      </c>
      <c r="AO19" s="106" cm="1">
        <f t="array" ref="AO19">IFERROR(OptionProfit($C19,$D19,$E19,$F19,$G19,AO$4),0)</f>
        <v>0</v>
      </c>
      <c r="AP19" s="106" cm="1">
        <f t="array" ref="AP19">IFERROR(OptionProfit($C19,$D19,$E19,$F19,$G19,AP$4),0)</f>
        <v>0</v>
      </c>
      <c r="AQ19" s="106" cm="1">
        <f t="array" ref="AQ19">IFERROR(OptionProfit($C19,$D19,$E19,$F19,$G19,AQ$4),0)</f>
        <v>0</v>
      </c>
      <c r="AR19" s="106" cm="1">
        <f t="array" ref="AR19">IFERROR(OptionProfit($C19,$D19,$E19,$F19,$G19,AR$4),0)</f>
        <v>0</v>
      </c>
      <c r="AS19" s="106" cm="1">
        <f t="array" ref="AS19">IFERROR(OptionProfit($C19,$D19,$E19,$F19,$G19,AS$4),0)</f>
        <v>0</v>
      </c>
      <c r="AT19" s="106" cm="1">
        <f t="array" ref="AT19">IFERROR(OptionProfit($C19,$D19,$E19,$F19,$G19,AT$4),0)</f>
        <v>0</v>
      </c>
      <c r="AU19" s="106" cm="1">
        <f t="array" ref="AU19">IFERROR(OptionProfit($C19,$D19,$E19,$F19,$G19,AU$4),0)</f>
        <v>0</v>
      </c>
      <c r="AV19" s="106" cm="1">
        <f t="array" ref="AV19">IFERROR(OptionProfit($C19,$D19,$E19,$F19,$G19,AV$4),0)</f>
        <v>0</v>
      </c>
      <c r="AW19" s="106" cm="1">
        <f t="array" ref="AW19">IFERROR(OptionProfit($C19,$D19,$E19,$F19,$G19,AW$4),0)</f>
        <v>0</v>
      </c>
      <c r="AX19" s="106" cm="1">
        <f t="array" ref="AX19">IFERROR(OptionProfit($C19,$D19,$E19,$F19,$G19,AX$4),0)</f>
        <v>0</v>
      </c>
      <c r="AY19" s="106" cm="1">
        <f t="array" ref="AY19">IFERROR(OptionProfit($C19,$D19,$E19,$F19,$G19,AY$4),0)</f>
        <v>0</v>
      </c>
      <c r="AZ19" s="106" cm="1">
        <f t="array" ref="AZ19">IFERROR(OptionProfit($C19,$D19,$E19,$F19,$G19,AZ$4),0)</f>
        <v>0</v>
      </c>
      <c r="BA19" s="106" cm="1">
        <f t="array" ref="BA19">IFERROR(OptionProfit($C19,$D19,$E19,$F19,$G19,BA$4),0)</f>
        <v>0</v>
      </c>
      <c r="BB19" s="106" cm="1">
        <f t="array" ref="BB19">IFERROR(OptionProfit($C19,$D19,$E19,$F19,$G19,BB$4),0)</f>
        <v>0</v>
      </c>
      <c r="BC19" s="106" cm="1">
        <f t="array" ref="BC19">IFERROR(OptionProfit($C19,$D19,$E19,$F19,$G19,BC$4),0)</f>
        <v>0</v>
      </c>
      <c r="BD19" s="106" cm="1">
        <f t="array" ref="BD19">IFERROR(OptionProfit($C19,$D19,$E19,$F19,$G19,BD$4),0)</f>
        <v>0</v>
      </c>
      <c r="BE19" s="106" cm="1">
        <f t="array" ref="BE19">IFERROR(OptionProfit($C19,$D19,$E19,$F19,$G19,BE$4),0)</f>
        <v>0</v>
      </c>
      <c r="BF19" s="106" cm="1">
        <f t="array" ref="BF19">IFERROR(OptionProfit($C19,$D19,$E19,$F19,$G19,BF$4),0)</f>
        <v>0</v>
      </c>
      <c r="BG19" s="106" cm="1">
        <f t="array" ref="BG19">IFERROR(OptionProfit($C19,$D19,$E19,$F19,$G19,BG$4),0)</f>
        <v>0</v>
      </c>
      <c r="BH19" s="106" cm="1">
        <f t="array" ref="BH19">IFERROR(OptionProfit($C19,$D19,$E19,$F19,$G19,BH$4),0)</f>
        <v>0</v>
      </c>
      <c r="BI19" s="106" cm="1">
        <f t="array" ref="BI19">IFERROR(OptionProfit($C19,$D19,$E19,$F19,$G19,BI$4),0)</f>
        <v>0</v>
      </c>
      <c r="BJ19" s="106" cm="1">
        <f t="array" ref="BJ19">IFERROR(OptionProfit($C19,$D19,$E19,$F19,$G19,BJ$4),0)</f>
        <v>0</v>
      </c>
      <c r="BK19" s="106" cm="1">
        <f t="array" ref="BK19">IFERROR(OptionProfit($C19,$D19,$E19,$F19,$G19,BK$4),0)</f>
        <v>0</v>
      </c>
      <c r="BL19" s="106" cm="1">
        <f t="array" ref="BL19">IFERROR(OptionProfit($C19,$D19,$E19,$F19,$G19,BL$4),0)</f>
        <v>0</v>
      </c>
      <c r="BM19" s="106" cm="1">
        <f t="array" ref="BM19">IFERROR(OptionProfit($C19,$D19,$E19,$F19,$G19,BM$4),0)</f>
        <v>0</v>
      </c>
      <c r="BN19" s="106" cm="1">
        <f t="array" ref="BN19">IFERROR(OptionProfit($C19,$D19,$E19,$F19,$G19,BN$4),0)</f>
        <v>0</v>
      </c>
      <c r="BO19" s="106" cm="1">
        <f t="array" ref="BO19">IFERROR(OptionProfit($C19,$D19,$E19,$F19,$G19,BO$4),0)</f>
        <v>0</v>
      </c>
      <c r="BP19" s="106" cm="1">
        <f t="array" ref="BP19">IFERROR(OptionProfit($C19,$D19,$E19,$F19,$G19,BP$4),0)</f>
        <v>0</v>
      </c>
      <c r="BQ19" s="106" cm="1">
        <f t="array" ref="BQ19">IFERROR(OptionProfit($C19,$D19,$E19,$F19,$G19,BQ$4),0)</f>
        <v>0</v>
      </c>
      <c r="BR19" s="106" cm="1">
        <f t="array" ref="BR19">IFERROR(OptionProfit($C19,$D19,$E19,$F19,$G19,BR$4),0)</f>
        <v>0</v>
      </c>
      <c r="BS19" s="106" cm="1">
        <f t="array" ref="BS19">IFERROR(OptionProfit($C19,$D19,$E19,$F19,$G19,BS$4),0)</f>
        <v>0</v>
      </c>
      <c r="BT19" s="106" cm="1">
        <f t="array" ref="BT19">IFERROR(OptionProfit($C19,$D19,$E19,$F19,$G19,BT$4),0)</f>
        <v>0</v>
      </c>
      <c r="BU19" s="106" cm="1">
        <f t="array" ref="BU19">IFERROR(OptionProfit($C19,$D19,$E19,$F19,$G19,BU$4),0)</f>
        <v>0</v>
      </c>
      <c r="BV19" s="106" cm="1">
        <f t="array" ref="BV19">IFERROR(OptionProfit($C19,$D19,$E19,$F19,$G19,BV$4),0)</f>
        <v>0</v>
      </c>
      <c r="BW19" s="106" cm="1">
        <f t="array" ref="BW19">IFERROR(OptionProfit($C19,$D19,$E19,$F19,$G19,BW$4),0)</f>
        <v>0</v>
      </c>
      <c r="BX19" s="106" cm="1">
        <f t="array" ref="BX19">IFERROR(OptionProfit($C19,$D19,$E19,$F19,$G19,BX$4),0)</f>
        <v>0</v>
      </c>
      <c r="BY19" s="106" cm="1">
        <f t="array" ref="BY19">IFERROR(OptionProfit($C19,$D19,$E19,$F19,$G19,BY$4),0)</f>
        <v>0</v>
      </c>
      <c r="BZ19" s="106" cm="1">
        <f t="array" ref="BZ19">IFERROR(OptionProfit($C19,$D19,$E19,$F19,$G19,BZ$4),0)</f>
        <v>0</v>
      </c>
      <c r="CA19" s="106" cm="1">
        <f t="array" ref="CA19">IFERROR(OptionProfit($C19,$D19,$E19,$F19,$G19,CA$4),0)</f>
        <v>0</v>
      </c>
      <c r="CB19" s="106" cm="1">
        <f t="array" ref="CB19">IFERROR(OptionProfit($C19,$D19,$E19,$F19,$G19,CB$4),0)</f>
        <v>0</v>
      </c>
      <c r="CC19" s="106" cm="1">
        <f t="array" ref="CC19">IFERROR(OptionProfit($C19,$D19,$E19,$F19,$G19,CC$4),0)</f>
        <v>0</v>
      </c>
      <c r="CD19" s="106" cm="1">
        <f t="array" ref="CD19">IFERROR(OptionProfit($C19,$D19,$E19,$F19,$G19,CD$4),0)</f>
        <v>0</v>
      </c>
      <c r="CE19" s="106" cm="1">
        <f t="array" ref="CE19">IFERROR(OptionProfit($C19,$D19,$E19,$F19,$G19,CE$4),0)</f>
        <v>0</v>
      </c>
      <c r="CF19" s="106" cm="1">
        <f t="array" ref="CF19">IFERROR(OptionProfit($C19,$D19,$E19,$F19,$G19,CF$4),0)</f>
        <v>0</v>
      </c>
      <c r="CG19" s="106" cm="1">
        <f t="array" ref="CG19">IFERROR(OptionProfit($C19,$D19,$E19,$F19,$G19,CG$4),0)</f>
        <v>0</v>
      </c>
      <c r="CH19" s="106" cm="1">
        <f t="array" ref="CH19">IFERROR(OptionProfit($C19,$D19,$E19,$F19,$G19,CH$4),0)</f>
        <v>0</v>
      </c>
      <c r="CI19" s="106" cm="1">
        <f t="array" ref="CI19">IFERROR(OptionProfit($C19,$D19,$E19,$F19,$G19,CI$4),0)</f>
        <v>0</v>
      </c>
      <c r="CJ19" s="106" cm="1">
        <f t="array" ref="CJ19">IFERROR(OptionProfit($C19,$D19,$E19,$F19,$G19,CJ$4),0)</f>
        <v>0</v>
      </c>
      <c r="CK19" s="106" cm="1">
        <f t="array" ref="CK19">IFERROR(OptionProfit($C19,$D19,$E19,$F19,$G19,CK$4),0)</f>
        <v>0</v>
      </c>
      <c r="CL19" s="106" cm="1">
        <f t="array" ref="CL19">IFERROR(OptionProfit($C19,$D19,$E19,$F19,$G19,CL$4),0)</f>
        <v>0</v>
      </c>
      <c r="CM19" s="106" cm="1">
        <f t="array" ref="CM19">IFERROR(OptionProfit($C19,$D19,$E19,$F19,$G19,CM$4),0)</f>
        <v>0</v>
      </c>
      <c r="CN19" s="106" cm="1">
        <f t="array" ref="CN19">IFERROR(OptionProfit($C19,$D19,$E19,$F19,$G19,CN$4),0)</f>
        <v>0</v>
      </c>
      <c r="CO19" s="106" cm="1">
        <f t="array" ref="CO19">IFERROR(OptionProfit($C19,$D19,$E19,$F19,$G19,CO$4),0)</f>
        <v>0</v>
      </c>
      <c r="CP19" s="106" cm="1">
        <f t="array" ref="CP19">IFERROR(OptionProfit($C19,$D19,$E19,$F19,$G19,CP$4),0)</f>
        <v>0</v>
      </c>
      <c r="CQ19" s="106" cm="1">
        <f t="array" ref="CQ19">IFERROR(OptionProfit($C19,$D19,$E19,$F19,$G19,CQ$4),0)</f>
        <v>0</v>
      </c>
      <c r="CR19" s="106" cm="1">
        <f t="array" ref="CR19">IFERROR(OptionProfit($C19,$D19,$E19,$F19,$G19,CR$4),0)</f>
        <v>0</v>
      </c>
      <c r="CS19" s="106" cm="1">
        <f t="array" ref="CS19">IFERROR(OptionProfit($C19,$D19,$E19,$F19,$G19,CS$4),0)</f>
        <v>0</v>
      </c>
      <c r="CT19" s="106" cm="1">
        <f t="array" ref="CT19">IFERROR(OptionProfit($C19,$D19,$E19,$F19,$G19,CT$4),0)</f>
        <v>0</v>
      </c>
      <c r="CU19" s="106" cm="1">
        <f t="array" ref="CU19">IFERROR(OptionProfit($C19,$D19,$E19,$F19,$G19,CU$4),0)</f>
        <v>0</v>
      </c>
      <c r="CV19" s="128" cm="1">
        <f t="array" ref="CV19">IFERROR(OptionProfit($C19,$D19,$E19,$F19,$G19,CV$4),0)</f>
        <v>0</v>
      </c>
      <c r="CW19" s="128" cm="1">
        <f t="array" ref="CW19">IFERROR(OptionProfit($C19,$D19,$E19,$F19,$G19,CW$4),0)</f>
        <v>0</v>
      </c>
      <c r="CX19" s="106" cm="1">
        <f t="array" ref="CX19">IFERROR(OptionProfit($C19,$D19,$E19,$F19,$G19,CX$4),0)</f>
        <v>0</v>
      </c>
      <c r="CY19" s="106" cm="1">
        <f t="array" ref="CY19">IFERROR(OptionProfit($C19,$D19,$E19,$F19,$G19,CY$4),0)</f>
        <v>0</v>
      </c>
      <c r="CZ19" s="106" cm="1">
        <f t="array" ref="CZ19">IFERROR(OptionProfit($C19,$D19,$E19,$F19,$G19,CZ$4),0)</f>
        <v>0</v>
      </c>
      <c r="DA19" s="106" cm="1">
        <f t="array" ref="DA19">IFERROR(OptionProfit($C19,$D19,$E19,$F19,$G19,DA$4),0)</f>
        <v>0</v>
      </c>
      <c r="DB19" s="106" cm="1">
        <f t="array" ref="DB19">IFERROR(OptionProfit($C19,$D19,$E19,$F19,$G19,DB$4),0)</f>
        <v>0</v>
      </c>
      <c r="DC19" s="106" cm="1">
        <f t="array" ref="DC19">IFERROR(OptionProfit($C19,$D19,$E19,$F19,$G19,DC$4),0)</f>
        <v>0</v>
      </c>
      <c r="DD19" s="106" cm="1">
        <f t="array" ref="DD19">IFERROR(OptionProfit($C19,$D19,$E19,$F19,$G19,DD$4),0)</f>
        <v>0</v>
      </c>
      <c r="DE19" s="106" cm="1">
        <f t="array" ref="DE19">IFERROR(OptionProfit($C19,$D19,$E19,$F19,$G19,DE$4),0)</f>
        <v>0</v>
      </c>
      <c r="DF19" s="106" cm="1">
        <f t="array" ref="DF19">IFERROR(OptionProfit($C19,$D19,$E19,$F19,$G19,DF$4),0)</f>
        <v>0</v>
      </c>
      <c r="DG19" s="106" cm="1">
        <f t="array" ref="DG19">IFERROR(OptionProfit($C19,$D19,$E19,$F19,$G19,DG$4),0)</f>
        <v>0</v>
      </c>
      <c r="DH19" s="106" cm="1">
        <f t="array" ref="DH19">IFERROR(OptionProfit($C19,$D19,$E19,$F19,$G19,DH$4),0)</f>
        <v>0</v>
      </c>
      <c r="DI19" s="106" cm="1">
        <f t="array" ref="DI19">IFERROR(OptionProfit($C19,$D19,$E19,$F19,$G19,DI$4),0)</f>
        <v>0</v>
      </c>
      <c r="DJ19" s="106" cm="1">
        <f t="array" ref="DJ19">IFERROR(OptionProfit($C19,$D19,$E19,$F19,$G19,DJ$4),0)</f>
        <v>0</v>
      </c>
      <c r="DK19" s="106" cm="1">
        <f t="array" ref="DK19">IFERROR(OptionProfit($C19,$D19,$E19,$F19,$G19,DK$4),0)</f>
        <v>0</v>
      </c>
      <c r="DL19" s="106" cm="1">
        <f t="array" ref="DL19">IFERROR(OptionProfit($C19,$D19,$E19,$F19,$G19,DL$4),0)</f>
        <v>0</v>
      </c>
      <c r="DM19" s="106" cm="1">
        <f t="array" ref="DM19">IFERROR(OptionProfit($C19,$D19,$E19,$F19,$G19,DM$4),0)</f>
        <v>0</v>
      </c>
      <c r="DN19" s="106" cm="1">
        <f t="array" ref="DN19">IFERROR(OptionProfit($C19,$D19,$E19,$F19,$G19,DN$4),0)</f>
        <v>0</v>
      </c>
      <c r="DP19" s="91" t="str">
        <f t="shared" si="0"/>
        <v/>
      </c>
      <c r="DQ19" s="91" t="str">
        <f t="shared" si="1"/>
        <v/>
      </c>
      <c r="DR19" s="91" t="str">
        <f t="shared" si="2"/>
        <v>=XQFAP|Quote!'.TF-price'</v>
      </c>
    </row>
    <row r="20" spans="1:133" ht="21" customHeight="1" x14ac:dyDescent="0.25">
      <c r="A20" s="108"/>
      <c r="B20" s="121"/>
      <c r="C20" s="108"/>
      <c r="D20" s="108"/>
      <c r="E20" s="108"/>
      <c r="F20" s="108"/>
      <c r="G20" s="108"/>
      <c r="H20" s="122" cm="1">
        <f t="array" ref="H20">IFERROR(OptionPnL(D20,G20,B20,F20),0)</f>
        <v>0</v>
      </c>
      <c r="O20" s="126">
        <v>20700</v>
      </c>
      <c r="P20" s="110">
        <f t="shared" si="3"/>
        <v>-156675</v>
      </c>
      <c r="Q20" s="107">
        <f>SUM(AF6:AF38)</f>
        <v>-3133.5</v>
      </c>
      <c r="R20" s="106" cm="1">
        <f t="array" ref="R20">IFERROR(OptionProfit($C20,$D20,$E20,$F20,$G20,R$4),0)</f>
        <v>0</v>
      </c>
      <c r="S20" s="106" cm="1">
        <f t="array" ref="S20">IFERROR(OptionProfit($C20,$D20,$E20,$F20,$G20,S$4),0)</f>
        <v>0</v>
      </c>
      <c r="T20" s="106" cm="1">
        <f t="array" ref="T20">IFERROR(OptionProfit($C20,$D20,$E20,$F20,$G20,T$4),0)</f>
        <v>0</v>
      </c>
      <c r="U20" s="106" cm="1">
        <f t="array" ref="U20">IFERROR(OptionProfit($C20,$D20,$E20,$F20,$G20,U$4),0)</f>
        <v>0</v>
      </c>
      <c r="V20" s="106" cm="1">
        <f t="array" ref="V20">IFERROR(OptionProfit($C20,$D20,$E20,$F20,$G20,V$4),0)</f>
        <v>0</v>
      </c>
      <c r="W20" s="106" cm="1">
        <f t="array" ref="W20">IFERROR(OptionProfit($C20,$D20,$E20,$F20,$G20,W$4),0)</f>
        <v>0</v>
      </c>
      <c r="X20" s="106" cm="1">
        <f t="array" ref="X20">IFERROR(OptionProfit($C20,$D20,$E20,$F20,$G20,X$4),0)</f>
        <v>0</v>
      </c>
      <c r="Y20" s="106" cm="1">
        <f t="array" ref="Y20">IFERROR(OptionProfit($C20,$D20,$E20,$F20,$G20,Y$4),0)</f>
        <v>0</v>
      </c>
      <c r="Z20" s="106" cm="1">
        <f t="array" ref="Z20">IFERROR(OptionProfit($C20,$D20,$E20,$F20,$G20,Z$4),0)</f>
        <v>0</v>
      </c>
      <c r="AA20" s="106" cm="1">
        <f t="array" ref="AA20">IFERROR(OptionProfit($C20,$D20,$E20,$F20,$G20,AA$4),0)</f>
        <v>0</v>
      </c>
      <c r="AB20" s="106" cm="1">
        <f t="array" ref="AB20">IFERROR(OptionProfit($C20,$D20,$E20,$F20,$G20,AB$4),0)</f>
        <v>0</v>
      </c>
      <c r="AC20" s="106" cm="1">
        <f t="array" ref="AC20">IFERROR(OptionProfit($C20,$D20,$E20,$F20,$G20,AC$4),0)</f>
        <v>0</v>
      </c>
      <c r="AD20" s="106" cm="1">
        <f t="array" ref="AD20">IFERROR(OptionProfit($C20,$D20,$E20,$F20,$G20,AD$4),0)</f>
        <v>0</v>
      </c>
      <c r="AE20" s="106" cm="1">
        <f t="array" ref="AE20">IFERROR(OptionProfit($C20,$D20,$E20,$F20,$G20,AE$4),0)</f>
        <v>0</v>
      </c>
      <c r="AF20" s="106" cm="1">
        <f t="array" ref="AF20">IFERROR(OptionProfit($C20,$D20,$E20,$F20,$G20,AF$4),0)</f>
        <v>0</v>
      </c>
      <c r="AG20" s="106" cm="1">
        <f t="array" ref="AG20">IFERROR(OptionProfit($C20,$D20,$E20,$F20,$G20,AG$4),0)</f>
        <v>0</v>
      </c>
      <c r="AH20" s="106" cm="1">
        <f t="array" ref="AH20">IFERROR(OptionProfit($C20,$D20,$E20,$F20,$G20,AH$4),0)</f>
        <v>0</v>
      </c>
      <c r="AI20" s="106" cm="1">
        <f t="array" ref="AI20">IFERROR(OptionProfit($C20,$D20,$E20,$F20,$G20,AI$4),0)</f>
        <v>0</v>
      </c>
      <c r="AJ20" s="106" cm="1">
        <f t="array" ref="AJ20">IFERROR(OptionProfit($C20,$D20,$E20,$F20,$G20,AJ$4),0)</f>
        <v>0</v>
      </c>
      <c r="AK20" s="106" cm="1">
        <f t="array" ref="AK20">IFERROR(OptionProfit($C20,$D20,$E20,$F20,$G20,AK$4),0)</f>
        <v>0</v>
      </c>
      <c r="AL20" s="106" cm="1">
        <f t="array" ref="AL20">IFERROR(OptionProfit($C20,$D20,$E20,$F20,$G20,AL$4),0)</f>
        <v>0</v>
      </c>
      <c r="AM20" s="106" cm="1">
        <f t="array" ref="AM20">IFERROR(OptionProfit($C20,$D20,$E20,$F20,$G20,AM$4),0)</f>
        <v>0</v>
      </c>
      <c r="AN20" s="106" cm="1">
        <f t="array" ref="AN20">IFERROR(OptionProfit($C20,$D20,$E20,$F20,$G20,AN$4),0)</f>
        <v>0</v>
      </c>
      <c r="AO20" s="106" cm="1">
        <f t="array" ref="AO20">IFERROR(OptionProfit($C20,$D20,$E20,$F20,$G20,AO$4),0)</f>
        <v>0</v>
      </c>
      <c r="AP20" s="106" cm="1">
        <f t="array" ref="AP20">IFERROR(OptionProfit($C20,$D20,$E20,$F20,$G20,AP$4),0)</f>
        <v>0</v>
      </c>
      <c r="AQ20" s="106" cm="1">
        <f t="array" ref="AQ20">IFERROR(OptionProfit($C20,$D20,$E20,$F20,$G20,AQ$4),0)</f>
        <v>0</v>
      </c>
      <c r="AR20" s="106" cm="1">
        <f t="array" ref="AR20">IFERROR(OptionProfit($C20,$D20,$E20,$F20,$G20,AR$4),0)</f>
        <v>0</v>
      </c>
      <c r="AS20" s="106" cm="1">
        <f t="array" ref="AS20">IFERROR(OptionProfit($C20,$D20,$E20,$F20,$G20,AS$4),0)</f>
        <v>0</v>
      </c>
      <c r="AT20" s="106" cm="1">
        <f t="array" ref="AT20">IFERROR(OptionProfit($C20,$D20,$E20,$F20,$G20,AT$4),0)</f>
        <v>0</v>
      </c>
      <c r="AU20" s="106" cm="1">
        <f t="array" ref="AU20">IFERROR(OptionProfit($C20,$D20,$E20,$F20,$G20,AU$4),0)</f>
        <v>0</v>
      </c>
      <c r="AV20" s="106" cm="1">
        <f t="array" ref="AV20">IFERROR(OptionProfit($C20,$D20,$E20,$F20,$G20,AV$4),0)</f>
        <v>0</v>
      </c>
      <c r="AW20" s="106" cm="1">
        <f t="array" ref="AW20">IFERROR(OptionProfit($C20,$D20,$E20,$F20,$G20,AW$4),0)</f>
        <v>0</v>
      </c>
      <c r="AX20" s="106" cm="1">
        <f t="array" ref="AX20">IFERROR(OptionProfit($C20,$D20,$E20,$F20,$G20,AX$4),0)</f>
        <v>0</v>
      </c>
      <c r="AY20" s="106" cm="1">
        <f t="array" ref="AY20">IFERROR(OptionProfit($C20,$D20,$E20,$F20,$G20,AY$4),0)</f>
        <v>0</v>
      </c>
      <c r="AZ20" s="106" cm="1">
        <f t="array" ref="AZ20">IFERROR(OptionProfit($C20,$D20,$E20,$F20,$G20,AZ$4),0)</f>
        <v>0</v>
      </c>
      <c r="BA20" s="106" cm="1">
        <f t="array" ref="BA20">IFERROR(OptionProfit($C20,$D20,$E20,$F20,$G20,BA$4),0)</f>
        <v>0</v>
      </c>
      <c r="BB20" s="106" cm="1">
        <f t="array" ref="BB20">IFERROR(OptionProfit($C20,$D20,$E20,$F20,$G20,BB$4),0)</f>
        <v>0</v>
      </c>
      <c r="BC20" s="106" cm="1">
        <f t="array" ref="BC20">IFERROR(OptionProfit($C20,$D20,$E20,$F20,$G20,BC$4),0)</f>
        <v>0</v>
      </c>
      <c r="BD20" s="106" cm="1">
        <f t="array" ref="BD20">IFERROR(OptionProfit($C20,$D20,$E20,$F20,$G20,BD$4),0)</f>
        <v>0</v>
      </c>
      <c r="BE20" s="106" cm="1">
        <f t="array" ref="BE20">IFERROR(OptionProfit($C20,$D20,$E20,$F20,$G20,BE$4),0)</f>
        <v>0</v>
      </c>
      <c r="BF20" s="106" cm="1">
        <f t="array" ref="BF20">IFERROR(OptionProfit($C20,$D20,$E20,$F20,$G20,BF$4),0)</f>
        <v>0</v>
      </c>
      <c r="BG20" s="106" cm="1">
        <f t="array" ref="BG20">IFERROR(OptionProfit($C20,$D20,$E20,$F20,$G20,BG$4),0)</f>
        <v>0</v>
      </c>
      <c r="BH20" s="106" cm="1">
        <f t="array" ref="BH20">IFERROR(OptionProfit($C20,$D20,$E20,$F20,$G20,BH$4),0)</f>
        <v>0</v>
      </c>
      <c r="BI20" s="106" cm="1">
        <f t="array" ref="BI20">IFERROR(OptionProfit($C20,$D20,$E20,$F20,$G20,BI$4),0)</f>
        <v>0</v>
      </c>
      <c r="BJ20" s="106" cm="1">
        <f t="array" ref="BJ20">IFERROR(OptionProfit($C20,$D20,$E20,$F20,$G20,BJ$4),0)</f>
        <v>0</v>
      </c>
      <c r="BK20" s="106" cm="1">
        <f t="array" ref="BK20">IFERROR(OptionProfit($C20,$D20,$E20,$F20,$G20,BK$4),0)</f>
        <v>0</v>
      </c>
      <c r="BL20" s="106" cm="1">
        <f t="array" ref="BL20">IFERROR(OptionProfit($C20,$D20,$E20,$F20,$G20,BL$4),0)</f>
        <v>0</v>
      </c>
      <c r="BM20" s="106" cm="1">
        <f t="array" ref="BM20">IFERROR(OptionProfit($C20,$D20,$E20,$F20,$G20,BM$4),0)</f>
        <v>0</v>
      </c>
      <c r="BN20" s="106" cm="1">
        <f t="array" ref="BN20">IFERROR(OptionProfit($C20,$D20,$E20,$F20,$G20,BN$4),0)</f>
        <v>0</v>
      </c>
      <c r="BO20" s="106" cm="1">
        <f t="array" ref="BO20">IFERROR(OptionProfit($C20,$D20,$E20,$F20,$G20,BO$4),0)</f>
        <v>0</v>
      </c>
      <c r="BP20" s="106" cm="1">
        <f t="array" ref="BP20">IFERROR(OptionProfit($C20,$D20,$E20,$F20,$G20,BP$4),0)</f>
        <v>0</v>
      </c>
      <c r="BQ20" s="106" cm="1">
        <f t="array" ref="BQ20">IFERROR(OptionProfit($C20,$D20,$E20,$F20,$G20,BQ$4),0)</f>
        <v>0</v>
      </c>
      <c r="BR20" s="106" cm="1">
        <f t="array" ref="BR20">IFERROR(OptionProfit($C20,$D20,$E20,$F20,$G20,BR$4),0)</f>
        <v>0</v>
      </c>
      <c r="BS20" s="106" cm="1">
        <f t="array" ref="BS20">IFERROR(OptionProfit($C20,$D20,$E20,$F20,$G20,BS$4),0)</f>
        <v>0</v>
      </c>
      <c r="BT20" s="106" cm="1">
        <f t="array" ref="BT20">IFERROR(OptionProfit($C20,$D20,$E20,$F20,$G20,BT$4),0)</f>
        <v>0</v>
      </c>
      <c r="BU20" s="106" cm="1">
        <f t="array" ref="BU20">IFERROR(OptionProfit($C20,$D20,$E20,$F20,$G20,BU$4),0)</f>
        <v>0</v>
      </c>
      <c r="BV20" s="106" cm="1">
        <f t="array" ref="BV20">IFERROR(OptionProfit($C20,$D20,$E20,$F20,$G20,BV$4),0)</f>
        <v>0</v>
      </c>
      <c r="BW20" s="106" cm="1">
        <f t="array" ref="BW20">IFERROR(OptionProfit($C20,$D20,$E20,$F20,$G20,BW$4),0)</f>
        <v>0</v>
      </c>
      <c r="BX20" s="106" cm="1">
        <f t="array" ref="BX20">IFERROR(OptionProfit($C20,$D20,$E20,$F20,$G20,BX$4),0)</f>
        <v>0</v>
      </c>
      <c r="BY20" s="106" cm="1">
        <f t="array" ref="BY20">IFERROR(OptionProfit($C20,$D20,$E20,$F20,$G20,BY$4),0)</f>
        <v>0</v>
      </c>
      <c r="BZ20" s="106" cm="1">
        <f t="array" ref="BZ20">IFERROR(OptionProfit($C20,$D20,$E20,$F20,$G20,BZ$4),0)</f>
        <v>0</v>
      </c>
      <c r="CA20" s="106" cm="1">
        <f t="array" ref="CA20">IFERROR(OptionProfit($C20,$D20,$E20,$F20,$G20,CA$4),0)</f>
        <v>0</v>
      </c>
      <c r="CB20" s="106" cm="1">
        <f t="array" ref="CB20">IFERROR(OptionProfit($C20,$D20,$E20,$F20,$G20,CB$4),0)</f>
        <v>0</v>
      </c>
      <c r="CC20" s="106" cm="1">
        <f t="array" ref="CC20">IFERROR(OptionProfit($C20,$D20,$E20,$F20,$G20,CC$4),0)</f>
        <v>0</v>
      </c>
      <c r="CD20" s="106" cm="1">
        <f t="array" ref="CD20">IFERROR(OptionProfit($C20,$D20,$E20,$F20,$G20,CD$4),0)</f>
        <v>0</v>
      </c>
      <c r="CE20" s="106" cm="1">
        <f t="array" ref="CE20">IFERROR(OptionProfit($C20,$D20,$E20,$F20,$G20,CE$4),0)</f>
        <v>0</v>
      </c>
      <c r="CF20" s="106" cm="1">
        <f t="array" ref="CF20">IFERROR(OptionProfit($C20,$D20,$E20,$F20,$G20,CF$4),0)</f>
        <v>0</v>
      </c>
      <c r="CG20" s="106" cm="1">
        <f t="array" ref="CG20">IFERROR(OptionProfit($C20,$D20,$E20,$F20,$G20,CG$4),0)</f>
        <v>0</v>
      </c>
      <c r="CH20" s="106" cm="1">
        <f t="array" ref="CH20">IFERROR(OptionProfit($C20,$D20,$E20,$F20,$G20,CH$4),0)</f>
        <v>0</v>
      </c>
      <c r="CI20" s="106" cm="1">
        <f t="array" ref="CI20">IFERROR(OptionProfit($C20,$D20,$E20,$F20,$G20,CI$4),0)</f>
        <v>0</v>
      </c>
      <c r="CJ20" s="106" cm="1">
        <f t="array" ref="CJ20">IFERROR(OptionProfit($C20,$D20,$E20,$F20,$G20,CJ$4),0)</f>
        <v>0</v>
      </c>
      <c r="CK20" s="106" cm="1">
        <f t="array" ref="CK20">IFERROR(OptionProfit($C20,$D20,$E20,$F20,$G20,CK$4),0)</f>
        <v>0</v>
      </c>
      <c r="CL20" s="106" cm="1">
        <f t="array" ref="CL20">IFERROR(OptionProfit($C20,$D20,$E20,$F20,$G20,CL$4),0)</f>
        <v>0</v>
      </c>
      <c r="CM20" s="106" cm="1">
        <f t="array" ref="CM20">IFERROR(OptionProfit($C20,$D20,$E20,$F20,$G20,CM$4),0)</f>
        <v>0</v>
      </c>
      <c r="CN20" s="106" cm="1">
        <f t="array" ref="CN20">IFERROR(OptionProfit($C20,$D20,$E20,$F20,$G20,CN$4),0)</f>
        <v>0</v>
      </c>
      <c r="CO20" s="106" cm="1">
        <f t="array" ref="CO20">IFERROR(OptionProfit($C20,$D20,$E20,$F20,$G20,CO$4),0)</f>
        <v>0</v>
      </c>
      <c r="CP20" s="106" cm="1">
        <f t="array" ref="CP20">IFERROR(OptionProfit($C20,$D20,$E20,$F20,$G20,CP$4),0)</f>
        <v>0</v>
      </c>
      <c r="CQ20" s="106" cm="1">
        <f t="array" ref="CQ20">IFERROR(OptionProfit($C20,$D20,$E20,$F20,$G20,CQ$4),0)</f>
        <v>0</v>
      </c>
      <c r="CR20" s="106" cm="1">
        <f t="array" ref="CR20">IFERROR(OptionProfit($C20,$D20,$E20,$F20,$G20,CR$4),0)</f>
        <v>0</v>
      </c>
      <c r="CS20" s="106" cm="1">
        <f t="array" ref="CS20">IFERROR(OptionProfit($C20,$D20,$E20,$F20,$G20,CS$4),0)</f>
        <v>0</v>
      </c>
      <c r="CT20" s="106" cm="1">
        <f t="array" ref="CT20">IFERROR(OptionProfit($C20,$D20,$E20,$F20,$G20,CT$4),0)</f>
        <v>0</v>
      </c>
      <c r="CU20" s="106" cm="1">
        <f t="array" ref="CU20">IFERROR(OptionProfit($C20,$D20,$E20,$F20,$G20,CU$4),0)</f>
        <v>0</v>
      </c>
      <c r="CV20" s="128" cm="1">
        <f t="array" ref="CV20">IFERROR(OptionProfit($C20,$D20,$E20,$F20,$G20,CV$4),0)</f>
        <v>0</v>
      </c>
      <c r="CW20" s="128" cm="1">
        <f t="array" ref="CW20">IFERROR(OptionProfit($C20,$D20,$E20,$F20,$G20,CW$4),0)</f>
        <v>0</v>
      </c>
      <c r="CX20" s="106" cm="1">
        <f t="array" ref="CX20">IFERROR(OptionProfit($C20,$D20,$E20,$F20,$G20,CX$4),0)</f>
        <v>0</v>
      </c>
      <c r="CY20" s="106" cm="1">
        <f t="array" ref="CY20">IFERROR(OptionProfit($C20,$D20,$E20,$F20,$G20,CY$4),0)</f>
        <v>0</v>
      </c>
      <c r="CZ20" s="106" cm="1">
        <f t="array" ref="CZ20">IFERROR(OptionProfit($C20,$D20,$E20,$F20,$G20,CZ$4),0)</f>
        <v>0</v>
      </c>
      <c r="DA20" s="106" cm="1">
        <f t="array" ref="DA20">IFERROR(OptionProfit($C20,$D20,$E20,$F20,$G20,DA$4),0)</f>
        <v>0</v>
      </c>
      <c r="DB20" s="106" cm="1">
        <f t="array" ref="DB20">IFERROR(OptionProfit($C20,$D20,$E20,$F20,$G20,DB$4),0)</f>
        <v>0</v>
      </c>
      <c r="DC20" s="106" cm="1">
        <f t="array" ref="DC20">IFERROR(OptionProfit($C20,$D20,$E20,$F20,$G20,DC$4),0)</f>
        <v>0</v>
      </c>
      <c r="DD20" s="106" cm="1">
        <f t="array" ref="DD20">IFERROR(OptionProfit($C20,$D20,$E20,$F20,$G20,DD$4),0)</f>
        <v>0</v>
      </c>
      <c r="DE20" s="106" cm="1">
        <f t="array" ref="DE20">IFERROR(OptionProfit($C20,$D20,$E20,$F20,$G20,DE$4),0)</f>
        <v>0</v>
      </c>
      <c r="DF20" s="106" cm="1">
        <f t="array" ref="DF20">IFERROR(OptionProfit($C20,$D20,$E20,$F20,$G20,DF$4),0)</f>
        <v>0</v>
      </c>
      <c r="DG20" s="106" cm="1">
        <f t="array" ref="DG20">IFERROR(OptionProfit($C20,$D20,$E20,$F20,$G20,DG$4),0)</f>
        <v>0</v>
      </c>
      <c r="DH20" s="106" cm="1">
        <f t="array" ref="DH20">IFERROR(OptionProfit($C20,$D20,$E20,$F20,$G20,DH$4),0)</f>
        <v>0</v>
      </c>
      <c r="DI20" s="106" cm="1">
        <f t="array" ref="DI20">IFERROR(OptionProfit($C20,$D20,$E20,$F20,$G20,DI$4),0)</f>
        <v>0</v>
      </c>
      <c r="DJ20" s="106" cm="1">
        <f t="array" ref="DJ20">IFERROR(OptionProfit($C20,$D20,$E20,$F20,$G20,DJ$4),0)</f>
        <v>0</v>
      </c>
      <c r="DK20" s="106" cm="1">
        <f t="array" ref="DK20">IFERROR(OptionProfit($C20,$D20,$E20,$F20,$G20,DK$4),0)</f>
        <v>0</v>
      </c>
      <c r="DL20" s="106" cm="1">
        <f t="array" ref="DL20">IFERROR(OptionProfit($C20,$D20,$E20,$F20,$G20,DL$4),0)</f>
        <v>0</v>
      </c>
      <c r="DM20" s="106" cm="1">
        <f t="array" ref="DM20">IFERROR(OptionProfit($C20,$D20,$E20,$F20,$G20,DM$4),0)</f>
        <v>0</v>
      </c>
      <c r="DN20" s="106" cm="1">
        <f t="array" ref="DN20">IFERROR(OptionProfit($C20,$D20,$E20,$F20,$G20,DN$4),0)</f>
        <v>0</v>
      </c>
      <c r="DP20" s="91" t="str">
        <f t="shared" si="0"/>
        <v/>
      </c>
      <c r="DQ20" s="91" t="str">
        <f t="shared" si="1"/>
        <v/>
      </c>
      <c r="DR20" s="91" t="str">
        <f t="shared" si="2"/>
        <v>=XQFAP|Quote!'.TF-price'</v>
      </c>
    </row>
    <row r="21" spans="1:133" ht="21" customHeight="1" x14ac:dyDescent="0.25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26">
        <v>20750</v>
      </c>
      <c r="P21" s="110">
        <f t="shared" si="3"/>
        <v>-151675</v>
      </c>
      <c r="Q21" s="107">
        <f>SUM(AG6:AG38)</f>
        <v>-3033.5</v>
      </c>
      <c r="R21" s="106" cm="1">
        <f t="array" ref="R21">IFERROR(OptionProfit($C21,$D21,$E21,$F21,$G21,R$4),0)</f>
        <v>0</v>
      </c>
      <c r="S21" s="106" cm="1">
        <f t="array" ref="S21">IFERROR(OptionProfit($C21,$D21,$E21,$F21,$G21,S$4),0)</f>
        <v>0</v>
      </c>
      <c r="T21" s="106" cm="1">
        <f t="array" ref="T21">IFERROR(OptionProfit($C21,$D21,$E21,$F21,$G21,T$4),0)</f>
        <v>0</v>
      </c>
      <c r="U21" s="106" cm="1">
        <f t="array" ref="U21">IFERROR(OptionProfit($C21,$D21,$E21,$F21,$G21,U$4),0)</f>
        <v>0</v>
      </c>
      <c r="V21" s="106" cm="1">
        <f t="array" ref="V21">IFERROR(OptionProfit($C21,$D21,$E21,$F21,$G21,V$4),0)</f>
        <v>0</v>
      </c>
      <c r="W21" s="106" cm="1">
        <f t="array" ref="W21">IFERROR(OptionProfit($C21,$D21,$E21,$F21,$G21,W$4),0)</f>
        <v>0</v>
      </c>
      <c r="X21" s="106" cm="1">
        <f t="array" ref="X21">IFERROR(OptionProfit($C21,$D21,$E21,$F21,$G21,X$4),0)</f>
        <v>0</v>
      </c>
      <c r="Y21" s="106" cm="1">
        <f t="array" ref="Y21">IFERROR(OptionProfit($C21,$D21,$E21,$F21,$G21,Y$4),0)</f>
        <v>0</v>
      </c>
      <c r="Z21" s="106" cm="1">
        <f t="array" ref="Z21">IFERROR(OptionProfit($C21,$D21,$E21,$F21,$G21,Z$4),0)</f>
        <v>0</v>
      </c>
      <c r="AA21" s="106" cm="1">
        <f t="array" ref="AA21">IFERROR(OptionProfit($C21,$D21,$E21,$F21,$G21,AA$4),0)</f>
        <v>0</v>
      </c>
      <c r="AB21" s="106" cm="1">
        <f t="array" ref="AB21">IFERROR(OptionProfit($C21,$D21,$E21,$F21,$G21,AB$4),0)</f>
        <v>0</v>
      </c>
      <c r="AC21" s="106" cm="1">
        <f t="array" ref="AC21">IFERROR(OptionProfit($C21,$D21,$E21,$F21,$G21,AC$4),0)</f>
        <v>0</v>
      </c>
      <c r="AD21" s="106" cm="1">
        <f t="array" ref="AD21">IFERROR(OptionProfit($C21,$D21,$E21,$F21,$G21,AD$4),0)</f>
        <v>0</v>
      </c>
      <c r="AE21" s="106" cm="1">
        <f t="array" ref="AE21">IFERROR(OptionProfit($C21,$D21,$E21,$F21,$G21,AE$4),0)</f>
        <v>0</v>
      </c>
      <c r="AF21" s="106" cm="1">
        <f t="array" ref="AF21">IFERROR(OptionProfit($C21,$D21,$E21,$F21,$G21,AF$4),0)</f>
        <v>0</v>
      </c>
      <c r="AG21" s="106" cm="1">
        <f t="array" ref="AG21">IFERROR(OptionProfit($C21,$D21,$E21,$F21,$G21,AG$4),0)</f>
        <v>0</v>
      </c>
      <c r="AH21" s="106" cm="1">
        <f t="array" ref="AH21">IFERROR(OptionProfit($C21,$D21,$E21,$F21,$G21,AH$4),0)</f>
        <v>0</v>
      </c>
      <c r="AI21" s="106" cm="1">
        <f t="array" ref="AI21">IFERROR(OptionProfit($C21,$D21,$E21,$F21,$G21,AI$4),0)</f>
        <v>0</v>
      </c>
      <c r="AJ21" s="106" cm="1">
        <f t="array" ref="AJ21">IFERROR(OptionProfit($C21,$D21,$E21,$F21,$G21,AJ$4),0)</f>
        <v>0</v>
      </c>
      <c r="AK21" s="106" cm="1">
        <f t="array" ref="AK21">IFERROR(OptionProfit($C21,$D21,$E21,$F21,$G21,AK$4),0)</f>
        <v>0</v>
      </c>
      <c r="AL21" s="106" cm="1">
        <f t="array" ref="AL21">IFERROR(OptionProfit($C21,$D21,$E21,$F21,$G21,AL$4),0)</f>
        <v>0</v>
      </c>
      <c r="AM21" s="106" cm="1">
        <f t="array" ref="AM21">IFERROR(OptionProfit($C21,$D21,$E21,$F21,$G21,AM$4),0)</f>
        <v>0</v>
      </c>
      <c r="AN21" s="106" cm="1">
        <f t="array" ref="AN21">IFERROR(OptionProfit($C21,$D21,$E21,$F21,$G21,AN$4),0)</f>
        <v>0</v>
      </c>
      <c r="AO21" s="106" cm="1">
        <f t="array" ref="AO21">IFERROR(OptionProfit($C21,$D21,$E21,$F21,$G21,AO$4),0)</f>
        <v>0</v>
      </c>
      <c r="AP21" s="106" cm="1">
        <f t="array" ref="AP21">IFERROR(OptionProfit($C21,$D21,$E21,$F21,$G21,AP$4),0)</f>
        <v>0</v>
      </c>
      <c r="AQ21" s="106" cm="1">
        <f t="array" ref="AQ21">IFERROR(OptionProfit($C21,$D21,$E21,$F21,$G21,AQ$4),0)</f>
        <v>0</v>
      </c>
      <c r="AR21" s="106" cm="1">
        <f t="array" ref="AR21">IFERROR(OptionProfit($C21,$D21,$E21,$F21,$G21,AR$4),0)</f>
        <v>0</v>
      </c>
      <c r="AS21" s="106" cm="1">
        <f t="array" ref="AS21">IFERROR(OptionProfit($C21,$D21,$E21,$F21,$G21,AS$4),0)</f>
        <v>0</v>
      </c>
      <c r="AT21" s="106" cm="1">
        <f t="array" ref="AT21">IFERROR(OptionProfit($C21,$D21,$E21,$F21,$G21,AT$4),0)</f>
        <v>0</v>
      </c>
      <c r="AU21" s="106" cm="1">
        <f t="array" ref="AU21">IFERROR(OptionProfit($C21,$D21,$E21,$F21,$G21,AU$4),0)</f>
        <v>0</v>
      </c>
      <c r="AV21" s="106" cm="1">
        <f t="array" ref="AV21">IFERROR(OptionProfit($C21,$D21,$E21,$F21,$G21,AV$4),0)</f>
        <v>0</v>
      </c>
      <c r="AW21" s="106" cm="1">
        <f t="array" ref="AW21">IFERROR(OptionProfit($C21,$D21,$E21,$F21,$G21,AW$4),0)</f>
        <v>0</v>
      </c>
      <c r="AX21" s="106" cm="1">
        <f t="array" ref="AX21">IFERROR(OptionProfit($C21,$D21,$E21,$F21,$G21,AX$4),0)</f>
        <v>0</v>
      </c>
      <c r="AY21" s="106" cm="1">
        <f t="array" ref="AY21">IFERROR(OptionProfit($C21,$D21,$E21,$F21,$G21,AY$4),0)</f>
        <v>0</v>
      </c>
      <c r="AZ21" s="106" cm="1">
        <f t="array" ref="AZ21">IFERROR(OptionProfit($C21,$D21,$E21,$F21,$G21,AZ$4),0)</f>
        <v>0</v>
      </c>
      <c r="BA21" s="106" cm="1">
        <f t="array" ref="BA21">IFERROR(OptionProfit($C21,$D21,$E21,$F21,$G21,BA$4),0)</f>
        <v>0</v>
      </c>
      <c r="BB21" s="106" cm="1">
        <f t="array" ref="BB21">IFERROR(OptionProfit($C21,$D21,$E21,$F21,$G21,BB$4),0)</f>
        <v>0</v>
      </c>
      <c r="BC21" s="106" cm="1">
        <f t="array" ref="BC21">IFERROR(OptionProfit($C21,$D21,$E21,$F21,$G21,BC$4),0)</f>
        <v>0</v>
      </c>
      <c r="BD21" s="106" cm="1">
        <f t="array" ref="BD21">IFERROR(OptionProfit($C21,$D21,$E21,$F21,$G21,BD$4),0)</f>
        <v>0</v>
      </c>
      <c r="BE21" s="106" cm="1">
        <f t="array" ref="BE21">IFERROR(OptionProfit($C21,$D21,$E21,$F21,$G21,BE$4),0)</f>
        <v>0</v>
      </c>
      <c r="BF21" s="106" cm="1">
        <f t="array" ref="BF21">IFERROR(OptionProfit($C21,$D21,$E21,$F21,$G21,BF$4),0)</f>
        <v>0</v>
      </c>
      <c r="BG21" s="106" cm="1">
        <f t="array" ref="BG21">IFERROR(OptionProfit($C21,$D21,$E21,$F21,$G21,BG$4),0)</f>
        <v>0</v>
      </c>
      <c r="BH21" s="106" cm="1">
        <f t="array" ref="BH21">IFERROR(OptionProfit($C21,$D21,$E21,$F21,$G21,BH$4),0)</f>
        <v>0</v>
      </c>
      <c r="BI21" s="106" cm="1">
        <f t="array" ref="BI21">IFERROR(OptionProfit($C21,$D21,$E21,$F21,$G21,BI$4),0)</f>
        <v>0</v>
      </c>
      <c r="BJ21" s="106" cm="1">
        <f t="array" ref="BJ21">IFERROR(OptionProfit($C21,$D21,$E21,$F21,$G21,BJ$4),0)</f>
        <v>0</v>
      </c>
      <c r="BK21" s="106" cm="1">
        <f t="array" ref="BK21">IFERROR(OptionProfit($C21,$D21,$E21,$F21,$G21,BK$4),0)</f>
        <v>0</v>
      </c>
      <c r="BL21" s="106" cm="1">
        <f t="array" ref="BL21">IFERROR(OptionProfit($C21,$D21,$E21,$F21,$G21,BL$4),0)</f>
        <v>0</v>
      </c>
      <c r="BM21" s="106" cm="1">
        <f t="array" ref="BM21">IFERROR(OptionProfit($C21,$D21,$E21,$F21,$G21,BM$4),0)</f>
        <v>0</v>
      </c>
      <c r="BN21" s="106" cm="1">
        <f t="array" ref="BN21">IFERROR(OptionProfit($C21,$D21,$E21,$F21,$G21,BN$4),0)</f>
        <v>0</v>
      </c>
      <c r="BO21" s="106" cm="1">
        <f t="array" ref="BO21">IFERROR(OptionProfit($C21,$D21,$E21,$F21,$G21,BO$4),0)</f>
        <v>0</v>
      </c>
      <c r="BP21" s="106" cm="1">
        <f t="array" ref="BP21">IFERROR(OptionProfit($C21,$D21,$E21,$F21,$G21,BP$4),0)</f>
        <v>0</v>
      </c>
      <c r="BQ21" s="106" cm="1">
        <f t="array" ref="BQ21">IFERROR(OptionProfit($C21,$D21,$E21,$F21,$G21,BQ$4),0)</f>
        <v>0</v>
      </c>
      <c r="BR21" s="106" cm="1">
        <f t="array" ref="BR21">IFERROR(OptionProfit($C21,$D21,$E21,$F21,$G21,BR$4),0)</f>
        <v>0</v>
      </c>
      <c r="BS21" s="106" cm="1">
        <f t="array" ref="BS21">IFERROR(OptionProfit($C21,$D21,$E21,$F21,$G21,BS$4),0)</f>
        <v>0</v>
      </c>
      <c r="BT21" s="106" cm="1">
        <f t="array" ref="BT21">IFERROR(OptionProfit($C21,$D21,$E21,$F21,$G21,BT$4),0)</f>
        <v>0</v>
      </c>
      <c r="BU21" s="106" cm="1">
        <f t="array" ref="BU21">IFERROR(OptionProfit($C21,$D21,$E21,$F21,$G21,BU$4),0)</f>
        <v>0</v>
      </c>
      <c r="BV21" s="106" cm="1">
        <f t="array" ref="BV21">IFERROR(OptionProfit($C21,$D21,$E21,$F21,$G21,BV$4),0)</f>
        <v>0</v>
      </c>
      <c r="BW21" s="106" cm="1">
        <f t="array" ref="BW21">IFERROR(OptionProfit($C21,$D21,$E21,$F21,$G21,BW$4),0)</f>
        <v>0</v>
      </c>
      <c r="BX21" s="106" cm="1">
        <f t="array" ref="BX21">IFERROR(OptionProfit($C21,$D21,$E21,$F21,$G21,BX$4),0)</f>
        <v>0</v>
      </c>
      <c r="BY21" s="106" cm="1">
        <f t="array" ref="BY21">IFERROR(OptionProfit($C21,$D21,$E21,$F21,$G21,BY$4),0)</f>
        <v>0</v>
      </c>
      <c r="BZ21" s="106" cm="1">
        <f t="array" ref="BZ21">IFERROR(OptionProfit($C21,$D21,$E21,$F21,$G21,BZ$4),0)</f>
        <v>0</v>
      </c>
      <c r="CA21" s="106" cm="1">
        <f t="array" ref="CA21">IFERROR(OptionProfit($C21,$D21,$E21,$F21,$G21,CA$4),0)</f>
        <v>0</v>
      </c>
      <c r="CB21" s="106" cm="1">
        <f t="array" ref="CB21">IFERROR(OptionProfit($C21,$D21,$E21,$F21,$G21,CB$4),0)</f>
        <v>0</v>
      </c>
      <c r="CC21" s="106" cm="1">
        <f t="array" ref="CC21">IFERROR(OptionProfit($C21,$D21,$E21,$F21,$G21,CC$4),0)</f>
        <v>0</v>
      </c>
      <c r="CD21" s="106" cm="1">
        <f t="array" ref="CD21">IFERROR(OptionProfit($C21,$D21,$E21,$F21,$G21,CD$4),0)</f>
        <v>0</v>
      </c>
      <c r="CE21" s="106" cm="1">
        <f t="array" ref="CE21">IFERROR(OptionProfit($C21,$D21,$E21,$F21,$G21,CE$4),0)</f>
        <v>0</v>
      </c>
      <c r="CF21" s="106" cm="1">
        <f t="array" ref="CF21">IFERROR(OptionProfit($C21,$D21,$E21,$F21,$G21,CF$4),0)</f>
        <v>0</v>
      </c>
      <c r="CG21" s="106" cm="1">
        <f t="array" ref="CG21">IFERROR(OptionProfit($C21,$D21,$E21,$F21,$G21,CG$4),0)</f>
        <v>0</v>
      </c>
      <c r="CH21" s="106" cm="1">
        <f t="array" ref="CH21">IFERROR(OptionProfit($C21,$D21,$E21,$F21,$G21,CH$4),0)</f>
        <v>0</v>
      </c>
      <c r="CI21" s="106" cm="1">
        <f t="array" ref="CI21">IFERROR(OptionProfit($C21,$D21,$E21,$F21,$G21,CI$4),0)</f>
        <v>0</v>
      </c>
      <c r="CJ21" s="106" cm="1">
        <f t="array" ref="CJ21">IFERROR(OptionProfit($C21,$D21,$E21,$F21,$G21,CJ$4),0)</f>
        <v>0</v>
      </c>
      <c r="CK21" s="106" cm="1">
        <f t="array" ref="CK21">IFERROR(OptionProfit($C21,$D21,$E21,$F21,$G21,CK$4),0)</f>
        <v>0</v>
      </c>
      <c r="CL21" s="106" cm="1">
        <f t="array" ref="CL21">IFERROR(OptionProfit($C21,$D21,$E21,$F21,$G21,CL$4),0)</f>
        <v>0</v>
      </c>
      <c r="CM21" s="106" cm="1">
        <f t="array" ref="CM21">IFERROR(OptionProfit($C21,$D21,$E21,$F21,$G21,CM$4),0)</f>
        <v>0</v>
      </c>
      <c r="CN21" s="106" cm="1">
        <f t="array" ref="CN21">IFERROR(OptionProfit($C21,$D21,$E21,$F21,$G21,CN$4),0)</f>
        <v>0</v>
      </c>
      <c r="CO21" s="106" cm="1">
        <f t="array" ref="CO21">IFERROR(OptionProfit($C21,$D21,$E21,$F21,$G21,CO$4),0)</f>
        <v>0</v>
      </c>
      <c r="CP21" s="106" cm="1">
        <f t="array" ref="CP21">IFERROR(OptionProfit($C21,$D21,$E21,$F21,$G21,CP$4),0)</f>
        <v>0</v>
      </c>
      <c r="CQ21" s="106" cm="1">
        <f t="array" ref="CQ21">IFERROR(OptionProfit($C21,$D21,$E21,$F21,$G21,CQ$4),0)</f>
        <v>0</v>
      </c>
      <c r="CR21" s="106" cm="1">
        <f t="array" ref="CR21">IFERROR(OptionProfit($C21,$D21,$E21,$F21,$G21,CR$4),0)</f>
        <v>0</v>
      </c>
      <c r="CS21" s="106" cm="1">
        <f t="array" ref="CS21">IFERROR(OptionProfit($C21,$D21,$E21,$F21,$G21,CS$4),0)</f>
        <v>0</v>
      </c>
      <c r="CT21" s="106" cm="1">
        <f t="array" ref="CT21">IFERROR(OptionProfit($C21,$D21,$E21,$F21,$G21,CT$4),0)</f>
        <v>0</v>
      </c>
      <c r="CU21" s="106" cm="1">
        <f t="array" ref="CU21">IFERROR(OptionProfit($C21,$D21,$E21,$F21,$G21,CU$4),0)</f>
        <v>0</v>
      </c>
      <c r="CV21" s="128" cm="1">
        <f t="array" ref="CV21">IFERROR(OptionProfit($C21,$D21,$E21,$F21,$G21,CV$4),0)</f>
        <v>0</v>
      </c>
      <c r="CW21" s="128" cm="1">
        <f t="array" ref="CW21">IFERROR(OptionProfit($C21,$D21,$E21,$F21,$G21,CW$4),0)</f>
        <v>0</v>
      </c>
      <c r="CX21" s="106" cm="1">
        <f t="array" ref="CX21">IFERROR(OptionProfit($C21,$D21,$E21,$F21,$G21,CX$4),0)</f>
        <v>0</v>
      </c>
      <c r="CY21" s="106" cm="1">
        <f t="array" ref="CY21">IFERROR(OptionProfit($C21,$D21,$E21,$F21,$G21,CY$4),0)</f>
        <v>0</v>
      </c>
      <c r="CZ21" s="106" cm="1">
        <f t="array" ref="CZ21">IFERROR(OptionProfit($C21,$D21,$E21,$F21,$G21,CZ$4),0)</f>
        <v>0</v>
      </c>
      <c r="DA21" s="106" cm="1">
        <f t="array" ref="DA21">IFERROR(OptionProfit($C21,$D21,$E21,$F21,$G21,DA$4),0)</f>
        <v>0</v>
      </c>
      <c r="DB21" s="106" cm="1">
        <f t="array" ref="DB21">IFERROR(OptionProfit($C21,$D21,$E21,$F21,$G21,DB$4),0)</f>
        <v>0</v>
      </c>
      <c r="DC21" s="106" cm="1">
        <f t="array" ref="DC21">IFERROR(OptionProfit($C21,$D21,$E21,$F21,$G21,DC$4),0)</f>
        <v>0</v>
      </c>
      <c r="DD21" s="106" cm="1">
        <f t="array" ref="DD21">IFERROR(OptionProfit($C21,$D21,$E21,$F21,$G21,DD$4),0)</f>
        <v>0</v>
      </c>
      <c r="DE21" s="106" cm="1">
        <f t="array" ref="DE21">IFERROR(OptionProfit($C21,$D21,$E21,$F21,$G21,DE$4),0)</f>
        <v>0</v>
      </c>
      <c r="DF21" s="106" cm="1">
        <f t="array" ref="DF21">IFERROR(OptionProfit($C21,$D21,$E21,$F21,$G21,DF$4),0)</f>
        <v>0</v>
      </c>
      <c r="DG21" s="106" cm="1">
        <f t="array" ref="DG21">IFERROR(OptionProfit($C21,$D21,$E21,$F21,$G21,DG$4),0)</f>
        <v>0</v>
      </c>
      <c r="DH21" s="106" cm="1">
        <f t="array" ref="DH21">IFERROR(OptionProfit($C21,$D21,$E21,$F21,$G21,DH$4),0)</f>
        <v>0</v>
      </c>
      <c r="DI21" s="106" cm="1">
        <f t="array" ref="DI21">IFERROR(OptionProfit($C21,$D21,$E21,$F21,$G21,DI$4),0)</f>
        <v>0</v>
      </c>
      <c r="DJ21" s="106" cm="1">
        <f t="array" ref="DJ21">IFERROR(OptionProfit($C21,$D21,$E21,$F21,$G21,DJ$4),0)</f>
        <v>0</v>
      </c>
      <c r="DK21" s="106" cm="1">
        <f t="array" ref="DK21">IFERROR(OptionProfit($C21,$D21,$E21,$F21,$G21,DK$4),0)</f>
        <v>0</v>
      </c>
      <c r="DL21" s="106" cm="1">
        <f t="array" ref="DL21">IFERROR(OptionProfit($C21,$D21,$E21,$F21,$G21,DL$4),0)</f>
        <v>0</v>
      </c>
      <c r="DM21" s="106" cm="1">
        <f t="array" ref="DM21">IFERROR(OptionProfit($C21,$D21,$E21,$F21,$G21,DM$4),0)</f>
        <v>0</v>
      </c>
      <c r="DN21" s="106" cm="1">
        <f t="array" ref="DN21">IFERROR(OptionProfit($C21,$D21,$E21,$F21,$G21,DN$4),0)</f>
        <v>0</v>
      </c>
      <c r="DP21" s="91"/>
      <c r="DQ21" s="91"/>
      <c r="DR21" s="91"/>
      <c r="EC21" s="93" t="s">
        <v>31</v>
      </c>
    </row>
    <row r="22" spans="1:133" ht="21" customHeight="1" x14ac:dyDescent="0.25">
      <c r="A22" s="112"/>
      <c r="B22" s="112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26">
        <v>20800</v>
      </c>
      <c r="P22" s="110">
        <f t="shared" si="3"/>
        <v>-146675</v>
      </c>
      <c r="Q22" s="107">
        <f>SUM(AH6:AH38)</f>
        <v>-2933.5</v>
      </c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  <c r="DI22" s="106"/>
      <c r="DJ22" s="106"/>
      <c r="DK22" s="106"/>
      <c r="DL22" s="106"/>
      <c r="DM22" s="106"/>
      <c r="DN22" s="106"/>
      <c r="DP22" s="91"/>
      <c r="DQ22" s="91"/>
      <c r="DR22" s="91"/>
    </row>
    <row r="23" spans="1:133" ht="21" customHeight="1" x14ac:dyDescent="0.25">
      <c r="A23" s="112"/>
      <c r="B23" s="112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26">
        <v>20850</v>
      </c>
      <c r="P23" s="110">
        <f t="shared" si="3"/>
        <v>-141675</v>
      </c>
      <c r="Q23" s="107">
        <f>SUM(AI6:AI38)</f>
        <v>-2833.5</v>
      </c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  <c r="DI23" s="106"/>
      <c r="DJ23" s="106"/>
      <c r="DK23" s="106"/>
      <c r="DL23" s="106"/>
      <c r="DM23" s="106"/>
      <c r="DN23" s="106"/>
      <c r="DP23" s="91"/>
      <c r="DQ23" s="91"/>
      <c r="DR23" s="91"/>
    </row>
    <row r="24" spans="1:133" ht="21" customHeight="1" x14ac:dyDescent="0.25">
      <c r="A24" s="112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26">
        <v>20900</v>
      </c>
      <c r="P24" s="110">
        <f t="shared" si="3"/>
        <v>-136675</v>
      </c>
      <c r="Q24" s="107">
        <f>SUM(AJ6:AJ38)</f>
        <v>-2733.5</v>
      </c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  <c r="DI24" s="106"/>
      <c r="DJ24" s="106"/>
      <c r="DK24" s="106"/>
      <c r="DL24" s="106"/>
      <c r="DM24" s="106"/>
      <c r="DN24" s="106"/>
      <c r="DP24" s="91"/>
      <c r="DQ24" s="91"/>
      <c r="DR24" s="91"/>
    </row>
    <row r="25" spans="1:133" ht="21" customHeight="1" x14ac:dyDescent="0.25">
      <c r="A25" s="112"/>
      <c r="B25" s="112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26">
        <v>20950</v>
      </c>
      <c r="P25" s="110">
        <f t="shared" si="3"/>
        <v>-131675</v>
      </c>
      <c r="Q25" s="107">
        <f>SUM(AK6:AK38)</f>
        <v>-2633.5</v>
      </c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  <c r="CY25" s="106"/>
      <c r="CZ25" s="106"/>
      <c r="DA25" s="106"/>
      <c r="DB25" s="106"/>
      <c r="DC25" s="106"/>
      <c r="DD25" s="106"/>
      <c r="DE25" s="106"/>
      <c r="DF25" s="106"/>
      <c r="DG25" s="106"/>
      <c r="DH25" s="106"/>
      <c r="DI25" s="106"/>
      <c r="DJ25" s="106"/>
      <c r="DK25" s="106"/>
      <c r="DL25" s="106"/>
      <c r="DM25" s="106"/>
      <c r="DN25" s="106"/>
      <c r="DP25" s="91"/>
      <c r="DQ25" s="91"/>
      <c r="DR25" s="91"/>
    </row>
    <row r="26" spans="1:133" ht="21" customHeight="1" x14ac:dyDescent="0.25">
      <c r="A26" s="112"/>
      <c r="B26" s="112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26">
        <v>21000</v>
      </c>
      <c r="P26" s="110">
        <f t="shared" si="3"/>
        <v>-126675</v>
      </c>
      <c r="Q26" s="107">
        <f>SUM(AL6:AL38)</f>
        <v>-2533.5</v>
      </c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P26" s="91"/>
      <c r="DQ26" s="91"/>
      <c r="DR26" s="91"/>
    </row>
    <row r="27" spans="1:133" ht="21" customHeight="1" x14ac:dyDescent="0.25">
      <c r="A27" s="112"/>
      <c r="B27" s="112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26">
        <v>21050</v>
      </c>
      <c r="P27" s="110">
        <f t="shared" si="3"/>
        <v>-121675</v>
      </c>
      <c r="Q27" s="107">
        <f>SUM(AM6:AM38)</f>
        <v>-2433.5</v>
      </c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  <c r="CW27" s="106"/>
      <c r="CX27" s="106"/>
      <c r="CY27" s="106"/>
      <c r="CZ27" s="106"/>
      <c r="DA27" s="106"/>
      <c r="DB27" s="106"/>
      <c r="DC27" s="106"/>
      <c r="DD27" s="106"/>
      <c r="DE27" s="106"/>
      <c r="DF27" s="106"/>
      <c r="DG27" s="106"/>
      <c r="DH27" s="106"/>
      <c r="DI27" s="106"/>
      <c r="DJ27" s="106"/>
      <c r="DK27" s="106"/>
      <c r="DL27" s="106"/>
      <c r="DM27" s="106"/>
      <c r="DN27" s="106"/>
      <c r="DP27" s="91"/>
      <c r="DQ27" s="91"/>
      <c r="DR27" s="91"/>
    </row>
    <row r="28" spans="1:133" ht="21" customHeight="1" x14ac:dyDescent="0.25">
      <c r="A28" s="112"/>
      <c r="B28" s="112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26">
        <v>21100</v>
      </c>
      <c r="P28" s="110">
        <f t="shared" si="3"/>
        <v>-116675</v>
      </c>
      <c r="Q28" s="107">
        <f>SUM(AN6:AN38)</f>
        <v>-2333.5</v>
      </c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P28" s="91"/>
      <c r="DQ28" s="91"/>
      <c r="DR28" s="91"/>
    </row>
    <row r="29" spans="1:133" ht="21" customHeight="1" x14ac:dyDescent="0.25">
      <c r="A29" s="112"/>
      <c r="B29" s="112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26">
        <v>21150</v>
      </c>
      <c r="P29" s="110">
        <f t="shared" si="3"/>
        <v>-111675</v>
      </c>
      <c r="Q29" s="107">
        <f>SUM(AO6:AO38)</f>
        <v>-2233.5</v>
      </c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06"/>
      <c r="DA29" s="106"/>
      <c r="DB29" s="106"/>
      <c r="DC29" s="106"/>
      <c r="DD29" s="106"/>
      <c r="DE29" s="106"/>
      <c r="DF29" s="106"/>
      <c r="DG29" s="106"/>
      <c r="DH29" s="106"/>
      <c r="DI29" s="106"/>
      <c r="DJ29" s="106"/>
      <c r="DK29" s="106"/>
      <c r="DL29" s="106"/>
      <c r="DM29" s="106"/>
      <c r="DN29" s="106"/>
      <c r="DP29" s="91"/>
      <c r="DQ29" s="91"/>
      <c r="DR29" s="91"/>
    </row>
    <row r="30" spans="1:133" ht="21" customHeight="1" x14ac:dyDescent="0.25">
      <c r="A30" s="112"/>
      <c r="B30" s="112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26">
        <v>21200</v>
      </c>
      <c r="P30" s="110">
        <f t="shared" si="3"/>
        <v>-106675</v>
      </c>
      <c r="Q30" s="107">
        <f>SUM(AP6:AP38)</f>
        <v>-2133.5</v>
      </c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P30" s="91"/>
      <c r="DQ30" s="91"/>
      <c r="DR30" s="91"/>
    </row>
    <row r="31" spans="1:133" ht="21" customHeight="1" x14ac:dyDescent="0.25">
      <c r="A31" s="112"/>
      <c r="B31" s="112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26">
        <v>21250</v>
      </c>
      <c r="P31" s="110">
        <f t="shared" si="3"/>
        <v>-101675</v>
      </c>
      <c r="Q31" s="107">
        <f>SUM(AQ6:AQ38)</f>
        <v>-2033.5</v>
      </c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6"/>
      <c r="DH31" s="106"/>
      <c r="DI31" s="106"/>
      <c r="DJ31" s="106"/>
      <c r="DK31" s="106"/>
      <c r="DL31" s="106"/>
      <c r="DM31" s="106"/>
      <c r="DN31" s="106"/>
      <c r="DP31" s="91"/>
      <c r="DQ31" s="91"/>
      <c r="DR31" s="91"/>
    </row>
    <row r="32" spans="1:133" ht="21" customHeight="1" x14ac:dyDescent="0.25">
      <c r="A32" s="112"/>
      <c r="B32" s="112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26">
        <v>21300</v>
      </c>
      <c r="P32" s="110">
        <f t="shared" si="3"/>
        <v>-96675</v>
      </c>
      <c r="Q32" s="107">
        <f>SUM(AR6:AR38)</f>
        <v>-1933.5</v>
      </c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  <c r="DI32" s="106"/>
      <c r="DJ32" s="106"/>
      <c r="DK32" s="106"/>
      <c r="DL32" s="106"/>
      <c r="DM32" s="106"/>
      <c r="DN32" s="106"/>
      <c r="DP32" s="91"/>
      <c r="DQ32" s="91"/>
      <c r="DR32" s="91"/>
    </row>
    <row r="33" spans="1:122" ht="21" customHeight="1" x14ac:dyDescent="0.25">
      <c r="A33" s="112"/>
      <c r="B33" s="112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26">
        <v>21350</v>
      </c>
      <c r="P33" s="110">
        <f t="shared" si="3"/>
        <v>-91675</v>
      </c>
      <c r="Q33" s="107">
        <f>SUM(AS6:AS38)</f>
        <v>-1833.5</v>
      </c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  <c r="DI33" s="106"/>
      <c r="DJ33" s="106"/>
      <c r="DK33" s="106"/>
      <c r="DL33" s="106"/>
      <c r="DM33" s="106"/>
      <c r="DN33" s="106"/>
      <c r="DP33" s="91"/>
      <c r="DQ33" s="91"/>
      <c r="DR33" s="91"/>
    </row>
    <row r="34" spans="1:122" ht="21" customHeight="1" x14ac:dyDescent="0.25">
      <c r="A34" s="112"/>
      <c r="B34" s="112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26">
        <v>21400</v>
      </c>
      <c r="P34" s="110">
        <f t="shared" si="3"/>
        <v>-86675</v>
      </c>
      <c r="Q34" s="107">
        <f>SUM(AT6:AT38)</f>
        <v>-1733.5</v>
      </c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  <c r="DF34" s="106"/>
      <c r="DG34" s="106"/>
      <c r="DH34" s="106"/>
      <c r="DI34" s="106"/>
      <c r="DJ34" s="106"/>
      <c r="DK34" s="106"/>
      <c r="DL34" s="106"/>
      <c r="DM34" s="106"/>
      <c r="DN34" s="106"/>
      <c r="DP34" s="91"/>
      <c r="DQ34" s="91"/>
      <c r="DR34" s="91"/>
    </row>
    <row r="35" spans="1:122" ht="21" customHeight="1" x14ac:dyDescent="0.25">
      <c r="A35" s="112"/>
      <c r="B35" s="112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26">
        <v>21450</v>
      </c>
      <c r="P35" s="110">
        <f t="shared" si="3"/>
        <v>-81675</v>
      </c>
      <c r="Q35" s="107">
        <f>SUM(AU6:AU38)</f>
        <v>-1633.5</v>
      </c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  <c r="DI35" s="106"/>
      <c r="DJ35" s="106"/>
      <c r="DK35" s="106"/>
      <c r="DL35" s="106"/>
      <c r="DM35" s="106"/>
      <c r="DN35" s="106"/>
      <c r="DP35" s="91"/>
      <c r="DQ35" s="91"/>
      <c r="DR35" s="91"/>
    </row>
    <row r="36" spans="1:122" ht="21" customHeight="1" x14ac:dyDescent="0.25">
      <c r="A36" s="112"/>
      <c r="B36" s="112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26">
        <v>21500</v>
      </c>
      <c r="P36" s="110">
        <f t="shared" si="3"/>
        <v>-76675</v>
      </c>
      <c r="Q36" s="107">
        <f>SUM(AV6:AV38)</f>
        <v>-1533.5</v>
      </c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P36" s="91"/>
      <c r="DQ36" s="91"/>
      <c r="DR36" s="91"/>
    </row>
    <row r="37" spans="1:122" ht="21" customHeight="1" x14ac:dyDescent="0.25">
      <c r="A37" s="112"/>
      <c r="B37" s="112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26">
        <v>21550</v>
      </c>
      <c r="P37" s="110">
        <f t="shared" si="3"/>
        <v>-74175</v>
      </c>
      <c r="Q37" s="107">
        <f>SUM(AW6:AW38)</f>
        <v>-1483.5</v>
      </c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P37" s="91"/>
      <c r="DQ37" s="91"/>
      <c r="DR37" s="91"/>
    </row>
    <row r="38" spans="1:122" ht="21" customHeight="1" x14ac:dyDescent="0.25">
      <c r="A38" s="112"/>
      <c r="B38" s="112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26">
        <v>21600</v>
      </c>
      <c r="P38" s="110">
        <f t="shared" ref="P38:P101" si="4">Q38*50</f>
        <v>-71675</v>
      </c>
      <c r="Q38" s="107">
        <f>SUM(AX6:AX38)</f>
        <v>-1433.5</v>
      </c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6"/>
      <c r="DH38" s="106"/>
      <c r="DI38" s="106"/>
      <c r="DJ38" s="106"/>
      <c r="DK38" s="106"/>
      <c r="DL38" s="106"/>
      <c r="DM38" s="106"/>
      <c r="DN38" s="106"/>
      <c r="DP38" s="91"/>
      <c r="DQ38" s="91"/>
      <c r="DR38" s="91"/>
    </row>
    <row r="39" spans="1:122" ht="21" customHeight="1" x14ac:dyDescent="0.25">
      <c r="O39" s="126">
        <v>21650</v>
      </c>
      <c r="P39" s="110">
        <f t="shared" si="4"/>
        <v>-69175</v>
      </c>
      <c r="Q39" s="107">
        <f>SUM(AY6:AY38)</f>
        <v>-1383.5</v>
      </c>
    </row>
    <row r="40" spans="1:122" ht="21" customHeight="1" x14ac:dyDescent="0.25">
      <c r="O40" s="126">
        <v>21700</v>
      </c>
      <c r="P40" s="110">
        <f t="shared" si="4"/>
        <v>-66675</v>
      </c>
      <c r="Q40" s="107">
        <f>SUM(AZ6:AZ38)</f>
        <v>-1333.5</v>
      </c>
    </row>
    <row r="41" spans="1:122" ht="21" customHeight="1" x14ac:dyDescent="0.25">
      <c r="O41" s="126">
        <v>21750</v>
      </c>
      <c r="P41" s="110">
        <f t="shared" si="4"/>
        <v>-64175</v>
      </c>
      <c r="Q41" s="107">
        <f>SUM(BA6:BA38)</f>
        <v>-1283.5</v>
      </c>
    </row>
    <row r="42" spans="1:122" ht="21" customHeight="1" x14ac:dyDescent="0.25">
      <c r="O42" s="126">
        <v>21800</v>
      </c>
      <c r="P42" s="110">
        <f t="shared" si="4"/>
        <v>-61675</v>
      </c>
      <c r="Q42" s="107">
        <f>SUM(BB6:BB38)</f>
        <v>-1233.5</v>
      </c>
    </row>
    <row r="43" spans="1:122" ht="21" customHeight="1" x14ac:dyDescent="0.25">
      <c r="O43" s="126">
        <v>21850</v>
      </c>
      <c r="P43" s="110">
        <f t="shared" si="4"/>
        <v>-56675</v>
      </c>
      <c r="Q43" s="107">
        <f>SUM(BC6:BC38)</f>
        <v>-1133.5</v>
      </c>
    </row>
    <row r="44" spans="1:122" ht="21" customHeight="1" x14ac:dyDescent="0.25">
      <c r="O44" s="126">
        <v>21900</v>
      </c>
      <c r="P44" s="110">
        <f t="shared" si="4"/>
        <v>-51675</v>
      </c>
      <c r="Q44" s="107">
        <f>SUM(BD6:BD38)</f>
        <v>-1033.5</v>
      </c>
    </row>
    <row r="45" spans="1:122" ht="21" customHeight="1" x14ac:dyDescent="0.25">
      <c r="O45" s="126">
        <v>21950</v>
      </c>
      <c r="P45" s="110">
        <f t="shared" si="4"/>
        <v>-46675</v>
      </c>
      <c r="Q45" s="107">
        <f>SUM(BE6:BE38)</f>
        <v>-933.5</v>
      </c>
    </row>
    <row r="46" spans="1:122" ht="21" customHeight="1" x14ac:dyDescent="0.25">
      <c r="O46" s="126">
        <v>22000</v>
      </c>
      <c r="P46" s="110">
        <f t="shared" si="4"/>
        <v>-41675</v>
      </c>
      <c r="Q46" s="107">
        <f>SUM(BF6:BF38)</f>
        <v>-833.5</v>
      </c>
    </row>
    <row r="47" spans="1:122" ht="21" customHeight="1" x14ac:dyDescent="0.25">
      <c r="O47" s="126">
        <v>22050</v>
      </c>
      <c r="P47" s="110">
        <f t="shared" si="4"/>
        <v>-36675</v>
      </c>
      <c r="Q47" s="107">
        <f>SUM(BG6:BG38)</f>
        <v>-733.5</v>
      </c>
    </row>
    <row r="48" spans="1:122" ht="21" customHeight="1" x14ac:dyDescent="0.25">
      <c r="O48" s="126">
        <v>22100</v>
      </c>
      <c r="P48" s="110">
        <f t="shared" si="4"/>
        <v>-31675</v>
      </c>
      <c r="Q48" s="107">
        <f>SUM(BH6:BH38)</f>
        <v>-633.5</v>
      </c>
    </row>
    <row r="49" spans="15:17" ht="21" customHeight="1" x14ac:dyDescent="0.25">
      <c r="O49" s="126">
        <v>22150</v>
      </c>
      <c r="P49" s="110">
        <f t="shared" si="4"/>
        <v>-26675</v>
      </c>
      <c r="Q49" s="107">
        <f>SUM(BI6:BI38)</f>
        <v>-533.5</v>
      </c>
    </row>
    <row r="50" spans="15:17" ht="21" customHeight="1" x14ac:dyDescent="0.25">
      <c r="O50" s="126">
        <v>22200</v>
      </c>
      <c r="P50" s="110">
        <f t="shared" si="4"/>
        <v>-21675</v>
      </c>
      <c r="Q50" s="107">
        <f>SUM(BJ6:BJ38)</f>
        <v>-433.5</v>
      </c>
    </row>
    <row r="51" spans="15:17" ht="21" customHeight="1" x14ac:dyDescent="0.25">
      <c r="O51" s="126">
        <v>22250</v>
      </c>
      <c r="P51" s="110">
        <f t="shared" si="4"/>
        <v>-16675</v>
      </c>
      <c r="Q51" s="107">
        <f>SUM(BK6:BK38)</f>
        <v>-333.5</v>
      </c>
    </row>
    <row r="52" spans="15:17" ht="21" customHeight="1" x14ac:dyDescent="0.25">
      <c r="O52" s="126">
        <v>22300</v>
      </c>
      <c r="P52" s="110">
        <f t="shared" si="4"/>
        <v>-11675</v>
      </c>
      <c r="Q52" s="107">
        <f>SUM(BL6:BL38)</f>
        <v>-233.5</v>
      </c>
    </row>
    <row r="53" spans="15:17" ht="21" customHeight="1" x14ac:dyDescent="0.25">
      <c r="O53" s="126">
        <v>22350</v>
      </c>
      <c r="P53" s="110">
        <f t="shared" si="4"/>
        <v>-6675</v>
      </c>
      <c r="Q53" s="107">
        <f>SUM(BM6:BM38)</f>
        <v>-133.5</v>
      </c>
    </row>
    <row r="54" spans="15:17" ht="21" customHeight="1" x14ac:dyDescent="0.25">
      <c r="O54" s="127">
        <v>22400</v>
      </c>
      <c r="P54" s="128">
        <f t="shared" si="4"/>
        <v>-1675</v>
      </c>
      <c r="Q54" s="127">
        <f>SUM(BN6:BN38)</f>
        <v>-33.5</v>
      </c>
    </row>
    <row r="55" spans="15:17" ht="21" customHeight="1" x14ac:dyDescent="0.25">
      <c r="O55" s="126">
        <v>22450</v>
      </c>
      <c r="P55" s="110">
        <f t="shared" si="4"/>
        <v>3325</v>
      </c>
      <c r="Q55" s="107">
        <f>SUM(BO6:BO38)</f>
        <v>66.5</v>
      </c>
    </row>
    <row r="56" spans="15:17" ht="21" customHeight="1" x14ac:dyDescent="0.25">
      <c r="O56" s="126">
        <v>22500</v>
      </c>
      <c r="P56" s="110">
        <f t="shared" si="4"/>
        <v>8325</v>
      </c>
      <c r="Q56" s="107">
        <f>SUM(BP6:BP38)</f>
        <v>166.5</v>
      </c>
    </row>
    <row r="57" spans="15:17" ht="21" customHeight="1" x14ac:dyDescent="0.25">
      <c r="O57" s="126">
        <v>22550</v>
      </c>
      <c r="P57" s="110">
        <f t="shared" si="4"/>
        <v>13325</v>
      </c>
      <c r="Q57" s="107">
        <f>SUM(BQ6:BQ38)</f>
        <v>266.5</v>
      </c>
    </row>
    <row r="58" spans="15:17" ht="21" customHeight="1" x14ac:dyDescent="0.25">
      <c r="O58" s="126">
        <v>22600</v>
      </c>
      <c r="P58" s="110">
        <f t="shared" si="4"/>
        <v>18325</v>
      </c>
      <c r="Q58" s="107">
        <f>SUM(BR6:BR38)</f>
        <v>366.5</v>
      </c>
    </row>
    <row r="59" spans="15:17" ht="21" customHeight="1" x14ac:dyDescent="0.25">
      <c r="O59" s="126">
        <v>22650</v>
      </c>
      <c r="P59" s="110">
        <f t="shared" si="4"/>
        <v>15825</v>
      </c>
      <c r="Q59" s="107">
        <f>SUM(BS6:BS38)</f>
        <v>316.5</v>
      </c>
    </row>
    <row r="60" spans="15:17" ht="21" customHeight="1" x14ac:dyDescent="0.25">
      <c r="O60" s="126">
        <v>22700</v>
      </c>
      <c r="P60" s="110">
        <f t="shared" si="4"/>
        <v>13325</v>
      </c>
      <c r="Q60" s="107">
        <f>SUM(BT6:BT38)</f>
        <v>266.5</v>
      </c>
    </row>
    <row r="61" spans="15:17" ht="21" customHeight="1" x14ac:dyDescent="0.25">
      <c r="O61" s="126">
        <v>22750</v>
      </c>
      <c r="P61" s="110">
        <f t="shared" si="4"/>
        <v>10825</v>
      </c>
      <c r="Q61" s="107">
        <f>SUM(BU6:BU38)</f>
        <v>216.5</v>
      </c>
    </row>
    <row r="62" spans="15:17" ht="21" customHeight="1" x14ac:dyDescent="0.25">
      <c r="O62" s="126">
        <v>22800</v>
      </c>
      <c r="P62" s="110">
        <f t="shared" si="4"/>
        <v>8325</v>
      </c>
      <c r="Q62" s="107">
        <f>SUM(BV6:BV38)</f>
        <v>166.5</v>
      </c>
    </row>
    <row r="63" spans="15:17" ht="21" customHeight="1" x14ac:dyDescent="0.25">
      <c r="O63" s="126">
        <v>22850</v>
      </c>
      <c r="P63" s="110">
        <f t="shared" si="4"/>
        <v>5825</v>
      </c>
      <c r="Q63" s="107">
        <f>SUM(BW6:BW38)</f>
        <v>116.5</v>
      </c>
    </row>
    <row r="64" spans="15:17" ht="21" customHeight="1" x14ac:dyDescent="0.25">
      <c r="O64" s="126">
        <v>22900</v>
      </c>
      <c r="P64" s="110">
        <f t="shared" si="4"/>
        <v>3325</v>
      </c>
      <c r="Q64" s="107">
        <f>SUM(BX6:BX38)</f>
        <v>66.5</v>
      </c>
    </row>
    <row r="65" spans="15:17" ht="21" customHeight="1" x14ac:dyDescent="0.25">
      <c r="O65" s="126">
        <v>22950</v>
      </c>
      <c r="P65" s="110">
        <f t="shared" si="4"/>
        <v>3325</v>
      </c>
      <c r="Q65" s="107">
        <f>SUM(BY6:BY38)</f>
        <v>66.5</v>
      </c>
    </row>
    <row r="66" spans="15:17" ht="21" customHeight="1" x14ac:dyDescent="0.25">
      <c r="O66" s="126">
        <v>23000</v>
      </c>
      <c r="P66" s="110">
        <f t="shared" si="4"/>
        <v>3325</v>
      </c>
      <c r="Q66" s="107">
        <f>SUM(BZ6:BZ38)</f>
        <v>66.5</v>
      </c>
    </row>
    <row r="67" spans="15:17" ht="21" customHeight="1" x14ac:dyDescent="0.25">
      <c r="O67" s="126">
        <v>23050</v>
      </c>
      <c r="P67" s="110">
        <f t="shared" si="4"/>
        <v>3325</v>
      </c>
      <c r="Q67" s="107">
        <f>SUM(CA6:CA38)</f>
        <v>66.5</v>
      </c>
    </row>
    <row r="68" spans="15:17" ht="21" customHeight="1" x14ac:dyDescent="0.25">
      <c r="O68" s="126">
        <v>23100</v>
      </c>
      <c r="P68" s="110">
        <f t="shared" si="4"/>
        <v>3325</v>
      </c>
      <c r="Q68" s="107">
        <f>SUM(CB6:CB38)</f>
        <v>66.5</v>
      </c>
    </row>
    <row r="69" spans="15:17" ht="21" customHeight="1" x14ac:dyDescent="0.25">
      <c r="O69" s="126">
        <v>23150</v>
      </c>
      <c r="P69" s="110">
        <f t="shared" si="4"/>
        <v>3325</v>
      </c>
      <c r="Q69" s="107">
        <f>SUM(CC6:CC38)</f>
        <v>66.5</v>
      </c>
    </row>
    <row r="70" spans="15:17" ht="21" customHeight="1" x14ac:dyDescent="0.25">
      <c r="O70" s="126">
        <v>23200</v>
      </c>
      <c r="P70" s="110">
        <f t="shared" si="4"/>
        <v>3325</v>
      </c>
      <c r="Q70" s="107">
        <f>SUM(CD6:CD38)</f>
        <v>66.5</v>
      </c>
    </row>
    <row r="71" spans="15:17" ht="21" customHeight="1" x14ac:dyDescent="0.25">
      <c r="O71" s="126">
        <v>23250</v>
      </c>
      <c r="P71" s="110">
        <f t="shared" si="4"/>
        <v>3325</v>
      </c>
      <c r="Q71" s="107">
        <f>SUM(CE6:CE38)</f>
        <v>66.5</v>
      </c>
    </row>
    <row r="72" spans="15:17" ht="21" customHeight="1" x14ac:dyDescent="0.25">
      <c r="O72" s="126">
        <v>23300</v>
      </c>
      <c r="P72" s="110">
        <f t="shared" si="4"/>
        <v>3325</v>
      </c>
      <c r="Q72" s="107">
        <f>SUM(CF6:CF38)</f>
        <v>66.5</v>
      </c>
    </row>
    <row r="73" spans="15:17" ht="21" customHeight="1" x14ac:dyDescent="0.25">
      <c r="O73" s="126">
        <v>23350</v>
      </c>
      <c r="P73" s="110">
        <f t="shared" si="4"/>
        <v>3325</v>
      </c>
      <c r="Q73" s="107">
        <f>SUM(CG6:CG38)</f>
        <v>66.5</v>
      </c>
    </row>
    <row r="74" spans="15:17" ht="21" customHeight="1" x14ac:dyDescent="0.25">
      <c r="O74" s="126">
        <v>23400</v>
      </c>
      <c r="P74" s="110">
        <f t="shared" si="4"/>
        <v>3325</v>
      </c>
      <c r="Q74" s="107">
        <f>SUM(CH6:CH38)</f>
        <v>66.5</v>
      </c>
    </row>
    <row r="75" spans="15:17" ht="21" customHeight="1" x14ac:dyDescent="0.25">
      <c r="O75" s="126">
        <v>23450</v>
      </c>
      <c r="P75" s="110">
        <f t="shared" si="4"/>
        <v>3325</v>
      </c>
      <c r="Q75" s="107">
        <f>SUM(CI6:CI38)</f>
        <v>66.5</v>
      </c>
    </row>
    <row r="76" spans="15:17" ht="21" customHeight="1" x14ac:dyDescent="0.25">
      <c r="O76" s="126">
        <v>23500</v>
      </c>
      <c r="P76" s="110">
        <f t="shared" si="4"/>
        <v>3325</v>
      </c>
      <c r="Q76" s="107">
        <f>SUM(CJ6:CJ38)</f>
        <v>66.5</v>
      </c>
    </row>
    <row r="77" spans="15:17" ht="21" customHeight="1" x14ac:dyDescent="0.25">
      <c r="O77" s="126">
        <v>23550</v>
      </c>
      <c r="P77" s="110">
        <f t="shared" si="4"/>
        <v>3325</v>
      </c>
      <c r="Q77" s="107">
        <f>SUM(CK6:CK38)</f>
        <v>66.5</v>
      </c>
    </row>
    <row r="78" spans="15:17" ht="21" customHeight="1" x14ac:dyDescent="0.25">
      <c r="O78" s="126">
        <v>23600</v>
      </c>
      <c r="P78" s="110">
        <f t="shared" si="4"/>
        <v>3325</v>
      </c>
      <c r="Q78" s="107">
        <f>SUM(CL6:CL38)</f>
        <v>66.5</v>
      </c>
    </row>
    <row r="79" spans="15:17" ht="21" customHeight="1" x14ac:dyDescent="0.25">
      <c r="O79" s="126">
        <v>23650</v>
      </c>
      <c r="P79" s="110">
        <f t="shared" si="4"/>
        <v>3325</v>
      </c>
      <c r="Q79" s="107">
        <f>SUM(CM6:CM38)</f>
        <v>66.5</v>
      </c>
    </row>
    <row r="80" spans="15:17" ht="21" customHeight="1" x14ac:dyDescent="0.25">
      <c r="O80" s="126">
        <v>23700</v>
      </c>
      <c r="P80" s="110">
        <f t="shared" si="4"/>
        <v>3325</v>
      </c>
      <c r="Q80" s="107">
        <f>SUM(CN6:CN38)</f>
        <v>66.5</v>
      </c>
    </row>
    <row r="81" spans="15:17" ht="21" customHeight="1" x14ac:dyDescent="0.25">
      <c r="O81" s="126">
        <v>23750</v>
      </c>
      <c r="P81" s="110">
        <f t="shared" si="4"/>
        <v>5825</v>
      </c>
      <c r="Q81" s="107">
        <f>SUM(CO6:CO38)</f>
        <v>116.5</v>
      </c>
    </row>
    <row r="82" spans="15:17" ht="21" customHeight="1" x14ac:dyDescent="0.25">
      <c r="O82" s="126">
        <v>23800</v>
      </c>
      <c r="P82" s="110">
        <f t="shared" si="4"/>
        <v>8325</v>
      </c>
      <c r="Q82" s="107">
        <f>SUM(CP6:CP38)</f>
        <v>166.5</v>
      </c>
    </row>
    <row r="83" spans="15:17" ht="21" customHeight="1" x14ac:dyDescent="0.25">
      <c r="O83" s="126">
        <v>23850</v>
      </c>
      <c r="P83" s="110">
        <f t="shared" si="4"/>
        <v>10825</v>
      </c>
      <c r="Q83" s="107">
        <f>SUM(CQ6:CQ38)</f>
        <v>216.5</v>
      </c>
    </row>
    <row r="84" spans="15:17" ht="21" customHeight="1" x14ac:dyDescent="0.25">
      <c r="O84" s="126">
        <v>23900</v>
      </c>
      <c r="P84" s="110">
        <f t="shared" si="4"/>
        <v>13325</v>
      </c>
      <c r="Q84" s="107">
        <f>SUM(CR6:CR38)</f>
        <v>266.5</v>
      </c>
    </row>
    <row r="85" spans="15:17" ht="21" customHeight="1" x14ac:dyDescent="0.25">
      <c r="O85" s="126">
        <v>23950</v>
      </c>
      <c r="P85" s="110">
        <f t="shared" si="4"/>
        <v>15825</v>
      </c>
      <c r="Q85" s="107">
        <f>SUM(CS6:CS38)</f>
        <v>316.5</v>
      </c>
    </row>
    <row r="86" spans="15:17" ht="21" customHeight="1" x14ac:dyDescent="0.25">
      <c r="O86" s="126">
        <v>24000</v>
      </c>
      <c r="P86" s="110">
        <f t="shared" si="4"/>
        <v>18325</v>
      </c>
      <c r="Q86" s="107">
        <f>SUM(CT6:CT38)</f>
        <v>366.5</v>
      </c>
    </row>
    <row r="87" spans="15:17" ht="21" customHeight="1" x14ac:dyDescent="0.25">
      <c r="O87" s="126">
        <v>24050</v>
      </c>
      <c r="P87" s="110">
        <f t="shared" si="4"/>
        <v>10825</v>
      </c>
      <c r="Q87" s="107">
        <f>SUM(CU6:CU38)</f>
        <v>216.5</v>
      </c>
    </row>
    <row r="88" spans="15:17" ht="21" customHeight="1" x14ac:dyDescent="0.25">
      <c r="O88" s="127">
        <v>24100</v>
      </c>
      <c r="P88" s="128">
        <f t="shared" si="4"/>
        <v>3325</v>
      </c>
      <c r="Q88" s="127">
        <f>SUM(CV6:CV38)</f>
        <v>66.5</v>
      </c>
    </row>
    <row r="89" spans="15:17" ht="21" customHeight="1" x14ac:dyDescent="0.25">
      <c r="O89" s="127">
        <v>24150</v>
      </c>
      <c r="P89" s="128">
        <f t="shared" si="4"/>
        <v>-4175</v>
      </c>
      <c r="Q89" s="127">
        <f>SUM(CW6:CW38)</f>
        <v>-83.5</v>
      </c>
    </row>
    <row r="90" spans="15:17" ht="21" customHeight="1" x14ac:dyDescent="0.25">
      <c r="O90" s="126">
        <v>24200</v>
      </c>
      <c r="P90" s="110">
        <f t="shared" si="4"/>
        <v>-11675</v>
      </c>
      <c r="Q90" s="107">
        <f>SUM(CX6:CX38)</f>
        <v>-233.5</v>
      </c>
    </row>
    <row r="91" spans="15:17" ht="21" customHeight="1" x14ac:dyDescent="0.25">
      <c r="O91" s="126">
        <v>24250</v>
      </c>
      <c r="P91" s="110">
        <f t="shared" si="4"/>
        <v>-19175</v>
      </c>
      <c r="Q91" s="107">
        <f>SUM(CY6:CY38)</f>
        <v>-383.5</v>
      </c>
    </row>
    <row r="92" spans="15:17" ht="21" customHeight="1" x14ac:dyDescent="0.25">
      <c r="O92" s="126">
        <v>24300</v>
      </c>
      <c r="P92" s="110">
        <f t="shared" si="4"/>
        <v>-26675</v>
      </c>
      <c r="Q92" s="107">
        <f>SUM(CZ6:CZ38)</f>
        <v>-533.5</v>
      </c>
    </row>
    <row r="93" spans="15:17" ht="21" customHeight="1" x14ac:dyDescent="0.25">
      <c r="O93" s="126">
        <v>24350</v>
      </c>
      <c r="P93" s="110">
        <f t="shared" si="4"/>
        <v>-34175</v>
      </c>
      <c r="Q93" s="107">
        <f>SUM(DA6:DA38)</f>
        <v>-683.5</v>
      </c>
    </row>
    <row r="94" spans="15:17" ht="21" customHeight="1" x14ac:dyDescent="0.25">
      <c r="O94" s="126">
        <v>24400</v>
      </c>
      <c r="P94" s="110">
        <f t="shared" si="4"/>
        <v>-41675</v>
      </c>
      <c r="Q94" s="107">
        <f>SUM(DB6:DB38)</f>
        <v>-833.5</v>
      </c>
    </row>
    <row r="95" spans="15:17" ht="21" customHeight="1" x14ac:dyDescent="0.25">
      <c r="O95" s="126">
        <v>24450</v>
      </c>
      <c r="P95" s="110">
        <f t="shared" si="4"/>
        <v>-49175</v>
      </c>
      <c r="Q95" s="107">
        <f>SUM(DC6:DC38)</f>
        <v>-983.5</v>
      </c>
    </row>
    <row r="96" spans="15:17" ht="21" customHeight="1" x14ac:dyDescent="0.25">
      <c r="O96" s="126">
        <v>24500</v>
      </c>
      <c r="P96" s="110">
        <f t="shared" si="4"/>
        <v>-56675</v>
      </c>
      <c r="Q96" s="107">
        <f>SUM(DD6:DD38)</f>
        <v>-1133.5</v>
      </c>
    </row>
    <row r="97" spans="15:17" ht="21" customHeight="1" x14ac:dyDescent="0.25">
      <c r="O97" s="126">
        <v>24550</v>
      </c>
      <c r="P97" s="110">
        <f t="shared" si="4"/>
        <v>-64175</v>
      </c>
      <c r="Q97" s="107">
        <f>SUM(DE6:DE38)</f>
        <v>-1283.5</v>
      </c>
    </row>
    <row r="98" spans="15:17" ht="21" customHeight="1" x14ac:dyDescent="0.25">
      <c r="O98" s="126">
        <v>24600</v>
      </c>
      <c r="P98" s="110">
        <f t="shared" si="4"/>
        <v>-71675</v>
      </c>
      <c r="Q98" s="107">
        <f>SUM(DF6:DF38)</f>
        <v>-1433.5</v>
      </c>
    </row>
    <row r="99" spans="15:17" ht="21" customHeight="1" x14ac:dyDescent="0.25">
      <c r="O99" s="126">
        <v>24650</v>
      </c>
      <c r="P99" s="110">
        <f t="shared" si="4"/>
        <v>-79175</v>
      </c>
      <c r="Q99" s="107">
        <f>SUM(DG6:DG38)</f>
        <v>-1583.5</v>
      </c>
    </row>
    <row r="100" spans="15:17" ht="21" customHeight="1" x14ac:dyDescent="0.25">
      <c r="O100" s="126">
        <v>24700</v>
      </c>
      <c r="P100" s="110">
        <f t="shared" si="4"/>
        <v>-86675</v>
      </c>
      <c r="Q100" s="107">
        <f>SUM(DH6:DH38)</f>
        <v>-1733.5</v>
      </c>
    </row>
    <row r="101" spans="15:17" ht="21" customHeight="1" x14ac:dyDescent="0.25">
      <c r="O101" s="126">
        <v>24750</v>
      </c>
      <c r="P101" s="110">
        <f t="shared" si="4"/>
        <v>-94175</v>
      </c>
      <c r="Q101" s="107">
        <f>SUM(DI6:DI38)</f>
        <v>-1883.5</v>
      </c>
    </row>
    <row r="102" spans="15:17" ht="21" customHeight="1" x14ac:dyDescent="0.25">
      <c r="O102" s="126">
        <v>24800</v>
      </c>
      <c r="P102" s="110">
        <f t="shared" ref="P102:P106" si="5">Q102*50</f>
        <v>-101675</v>
      </c>
      <c r="Q102" s="107">
        <f>SUM(DJ6:DJ38)</f>
        <v>-2033.5</v>
      </c>
    </row>
    <row r="103" spans="15:17" ht="21" customHeight="1" x14ac:dyDescent="0.25">
      <c r="O103" s="126">
        <v>24850</v>
      </c>
      <c r="P103" s="110">
        <f t="shared" si="5"/>
        <v>-109175</v>
      </c>
      <c r="Q103" s="107">
        <f>SUM(DK6:DK38)</f>
        <v>-2183.5</v>
      </c>
    </row>
    <row r="104" spans="15:17" ht="21" customHeight="1" x14ac:dyDescent="0.25">
      <c r="O104" s="126">
        <v>24900</v>
      </c>
      <c r="P104" s="110">
        <f t="shared" si="5"/>
        <v>-116675</v>
      </c>
      <c r="Q104" s="107">
        <f>SUM(DL6:DL38)</f>
        <v>-2333.5</v>
      </c>
    </row>
    <row r="105" spans="15:17" ht="21" customHeight="1" x14ac:dyDescent="0.25">
      <c r="O105" s="126">
        <v>24950</v>
      </c>
      <c r="P105" s="110">
        <f t="shared" si="5"/>
        <v>-124175</v>
      </c>
      <c r="Q105" s="107">
        <f>SUM(DM6:DM38)</f>
        <v>-2483.5</v>
      </c>
    </row>
    <row r="106" spans="15:17" ht="21" customHeight="1" x14ac:dyDescent="0.25">
      <c r="O106" s="126">
        <v>25000</v>
      </c>
      <c r="P106" s="110">
        <f t="shared" si="5"/>
        <v>-131675</v>
      </c>
      <c r="Q106" s="107">
        <f>SUM(DN6:DN38)</f>
        <v>-2633.5</v>
      </c>
    </row>
  </sheetData>
  <mergeCells count="9">
    <mergeCell ref="O4:P4"/>
    <mergeCell ref="A1:F1"/>
    <mergeCell ref="I1:I2"/>
    <mergeCell ref="J1:J2"/>
    <mergeCell ref="K1:L1"/>
    <mergeCell ref="M1:N1"/>
    <mergeCell ref="A4:A5"/>
    <mergeCell ref="B4:B5"/>
    <mergeCell ref="H4:H5"/>
  </mergeCells>
  <phoneticPr fontId="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19302-64C3-408E-B061-A9EA99115C10}">
  <sheetPr codeName="工作表14">
    <tabColor theme="7" tint="0.79998168889431442"/>
  </sheetPr>
  <dimension ref="A1:AE10002"/>
  <sheetViews>
    <sheetView tabSelected="1" topLeftCell="P1" zoomScale="160" zoomScaleNormal="160" workbookViewId="0">
      <selection activeCell="V6" sqref="V6"/>
    </sheetView>
  </sheetViews>
  <sheetFormatPr defaultColWidth="8.5" defaultRowHeight="17.25" x14ac:dyDescent="0.25"/>
  <cols>
    <col min="1" max="3" width="10.375" style="161" hidden="1" customWidth="1"/>
    <col min="4" max="4" width="10.375" style="167" hidden="1" customWidth="1"/>
    <col min="5" max="12" width="10.375" style="161" hidden="1" customWidth="1"/>
    <col min="13" max="13" width="10.75" style="161" hidden="1" customWidth="1"/>
    <col min="14" max="14" width="2.875" style="161" hidden="1" customWidth="1"/>
    <col min="15" max="19" width="7.875" style="161" customWidth="1"/>
    <col min="20" max="20" width="2.5" style="168" customWidth="1"/>
    <col min="21" max="22" width="8.5" style="161"/>
    <col min="23" max="23" width="2.75" style="161" customWidth="1"/>
    <col min="24" max="25" width="8.5" style="161"/>
    <col min="26" max="26" width="5.875" style="161" customWidth="1"/>
    <col min="27" max="27" width="17.5" style="161" customWidth="1"/>
    <col min="28" max="30" width="14.875" style="169" customWidth="1"/>
    <col min="31" max="31" width="7.625" style="161" customWidth="1"/>
    <col min="32" max="16384" width="8.5" style="161"/>
  </cols>
  <sheetData>
    <row r="1" spans="2:31" ht="17.25" customHeight="1" x14ac:dyDescent="0.25">
      <c r="B1" s="163" t="s">
        <v>11</v>
      </c>
      <c r="C1" s="163"/>
      <c r="D1" s="161" t="s">
        <v>171</v>
      </c>
      <c r="E1" s="163" t="s">
        <v>12</v>
      </c>
      <c r="F1" s="163"/>
      <c r="H1" s="163" t="s">
        <v>11</v>
      </c>
      <c r="I1" s="163"/>
      <c r="J1" s="161" t="s">
        <v>171</v>
      </c>
      <c r="K1" s="163" t="s">
        <v>12</v>
      </c>
      <c r="L1" s="163"/>
      <c r="O1" s="164" t="s">
        <v>11</v>
      </c>
      <c r="P1" s="164"/>
      <c r="Q1" s="160" t="s">
        <v>175</v>
      </c>
      <c r="R1" s="164" t="s">
        <v>12</v>
      </c>
      <c r="S1" s="164"/>
      <c r="T1" s="161"/>
      <c r="U1" s="160" t="s">
        <v>172</v>
      </c>
      <c r="V1" s="160" t="s">
        <v>172</v>
      </c>
      <c r="X1" s="160" t="s">
        <v>173</v>
      </c>
      <c r="Y1" s="160" t="s">
        <v>173</v>
      </c>
      <c r="AB1" s="171" t="s">
        <v>178</v>
      </c>
      <c r="AC1" s="171"/>
      <c r="AD1" s="161"/>
    </row>
    <row r="2" spans="2:31" ht="15.75" x14ac:dyDescent="0.25">
      <c r="B2" s="161" t="s">
        <v>170</v>
      </c>
      <c r="C2" s="161" t="s">
        <v>174</v>
      </c>
      <c r="D2" s="165" t="s">
        <v>6</v>
      </c>
      <c r="E2" s="161" t="s">
        <v>170</v>
      </c>
      <c r="F2" s="161" t="s">
        <v>174</v>
      </c>
      <c r="H2" s="161" t="s">
        <v>170</v>
      </c>
      <c r="I2" s="161" t="s">
        <v>174</v>
      </c>
      <c r="J2" s="165" t="s">
        <v>6</v>
      </c>
      <c r="K2" s="161" t="s">
        <v>170</v>
      </c>
      <c r="L2" s="161" t="s">
        <v>174</v>
      </c>
      <c r="O2" s="160" t="s">
        <v>170</v>
      </c>
      <c r="P2" s="160" t="s">
        <v>174</v>
      </c>
      <c r="Q2" s="166" t="s">
        <v>6</v>
      </c>
      <c r="R2" s="160" t="s">
        <v>170</v>
      </c>
      <c r="S2" s="160" t="s">
        <v>174</v>
      </c>
      <c r="T2" s="161"/>
      <c r="U2" s="160" t="s">
        <v>170</v>
      </c>
      <c r="V2" s="160" t="s">
        <v>174</v>
      </c>
      <c r="X2" s="160" t="s">
        <v>170</v>
      </c>
      <c r="Y2" s="160" t="s">
        <v>174</v>
      </c>
      <c r="AA2" s="160" t="s">
        <v>179</v>
      </c>
      <c r="AB2" s="162" t="s">
        <v>176</v>
      </c>
      <c r="AC2" s="162" t="s">
        <v>177</v>
      </c>
      <c r="AD2" s="162" t="s">
        <v>180</v>
      </c>
      <c r="AE2" s="160" t="s">
        <v>181</v>
      </c>
    </row>
    <row r="3" spans="2:31" ht="15.75" x14ac:dyDescent="0.25">
      <c r="B3" s="161">
        <f>IF('callPut（W）'!D2="--",0,'callPut（W）'!D2)</f>
        <v>0</v>
      </c>
      <c r="C3" s="161">
        <f>IF('callPut（W）'!E2="--",0,'callPut（W）'!E2)</f>
        <v>0</v>
      </c>
      <c r="D3" s="165">
        <v>15500</v>
      </c>
      <c r="E3" s="161">
        <f>IF('callPut（W）'!L2="--",0,'callPut（W）'!L2)</f>
        <v>0</v>
      </c>
      <c r="F3" s="161">
        <f>IF('callPut（W）'!M2="--",0,'callPut（W）'!M2)</f>
        <v>0</v>
      </c>
      <c r="H3" s="161">
        <f>IF('callPut（F）'!D2="--",0,'callPut（F）'!D2)</f>
        <v>0</v>
      </c>
      <c r="I3" s="161">
        <f>IF('callPut（F）'!E2="--",0,'callPut（F）'!E2)</f>
        <v>0</v>
      </c>
      <c r="J3" s="165">
        <v>15500</v>
      </c>
      <c r="K3" s="161">
        <f>IF('callPut（F）'!L2="--",0,'callPut（F）'!L2)</f>
        <v>0</v>
      </c>
      <c r="L3" s="161">
        <f>IF('callPut（F）'!M2="--",0,'callPut（F）'!M2)</f>
        <v>0</v>
      </c>
      <c r="O3" s="160">
        <f>B3+H3</f>
        <v>0</v>
      </c>
      <c r="P3" s="160">
        <f>C3+I3</f>
        <v>0</v>
      </c>
      <c r="Q3" s="166">
        <v>15500</v>
      </c>
      <c r="R3" s="160">
        <f>E3+K3</f>
        <v>0</v>
      </c>
      <c r="S3" s="160">
        <f>F3+L3</f>
        <v>0</v>
      </c>
      <c r="T3" s="161"/>
      <c r="U3" s="170">
        <v>139</v>
      </c>
      <c r="V3" s="170">
        <v>7463</v>
      </c>
      <c r="X3" s="170">
        <v>287</v>
      </c>
      <c r="Y3" s="170">
        <v>5382</v>
      </c>
      <c r="AA3" s="172">
        <v>45859.041481481479</v>
      </c>
      <c r="AB3" s="162">
        <v>168.69</v>
      </c>
      <c r="AC3" s="162">
        <v>215.43</v>
      </c>
      <c r="AD3" s="162">
        <f>AB3+AC3</f>
        <v>384.12</v>
      </c>
      <c r="AE3" s="160">
        <v>1</v>
      </c>
    </row>
    <row r="4" spans="2:31" ht="15.75" x14ac:dyDescent="0.25">
      <c r="B4" s="161">
        <f>IF('callPut（W）'!D3="--",0,'callPut（W）'!D3)</f>
        <v>0</v>
      </c>
      <c r="C4" s="161">
        <f>IF('callPut（W）'!E3="--",0,'callPut（W）'!E3)</f>
        <v>0</v>
      </c>
      <c r="D4" s="165">
        <v>15550</v>
      </c>
      <c r="E4" s="161">
        <f>IF('callPut（W）'!L3="--",0,'callPut（W）'!L3)</f>
        <v>0</v>
      </c>
      <c r="F4" s="161">
        <f>IF('callPut（W）'!M3="--",0,'callPut（W）'!M3)</f>
        <v>0</v>
      </c>
      <c r="H4" s="161">
        <f>IF('callPut（F）'!D3="--",0,'callPut（F）'!D3)</f>
        <v>0</v>
      </c>
      <c r="I4" s="161">
        <f>IF('callPut（F）'!E3="--",0,'callPut（F）'!E3)</f>
        <v>0</v>
      </c>
      <c r="J4" s="165">
        <v>15550</v>
      </c>
      <c r="K4" s="161">
        <f>IF('callPut（F）'!L3="--",0,'callPut（F）'!L3)</f>
        <v>0</v>
      </c>
      <c r="L4" s="161">
        <f>IF('callPut（F）'!M3="--",0,'callPut（F）'!M3)</f>
        <v>0</v>
      </c>
      <c r="O4" s="160">
        <f t="shared" ref="O4:O67" si="0">B4+H4</f>
        <v>0</v>
      </c>
      <c r="P4" s="160">
        <f t="shared" ref="P4:P67" si="1">C4+I4</f>
        <v>0</v>
      </c>
      <c r="Q4" s="166">
        <v>15550</v>
      </c>
      <c r="R4" s="160">
        <f t="shared" ref="R4:R67" si="2">E4+K4</f>
        <v>0</v>
      </c>
      <c r="S4" s="160">
        <f t="shared" ref="S4:S67" si="3">F4+L4</f>
        <v>0</v>
      </c>
      <c r="T4" s="161"/>
      <c r="U4" s="160">
        <v>85.5</v>
      </c>
      <c r="V4" s="160">
        <v>6038</v>
      </c>
      <c r="X4" s="160">
        <v>162</v>
      </c>
      <c r="Y4" s="160">
        <v>4988</v>
      </c>
      <c r="AA4" s="172">
        <v>45859.042175925926</v>
      </c>
      <c r="AB4" s="162">
        <v>168.69</v>
      </c>
      <c r="AC4" s="162">
        <v>215.43</v>
      </c>
      <c r="AD4" s="162">
        <f t="shared" ref="AD4:AD67" si="4">AB4+AC4</f>
        <v>384.12</v>
      </c>
      <c r="AE4" s="160">
        <v>2</v>
      </c>
    </row>
    <row r="5" spans="2:31" ht="15.75" x14ac:dyDescent="0.25">
      <c r="B5" s="161">
        <f>IF('callPut（W）'!D4="--",0,'callPut（W）'!D4)</f>
        <v>0</v>
      </c>
      <c r="C5" s="161">
        <f>IF('callPut（W）'!E4="--",0,'callPut（W）'!E4)</f>
        <v>0</v>
      </c>
      <c r="D5" s="165">
        <v>15600</v>
      </c>
      <c r="E5" s="161">
        <f>IF('callPut（W）'!L4="--",0,'callPut（W）'!L4)</f>
        <v>0</v>
      </c>
      <c r="F5" s="161">
        <f>IF('callPut（W）'!M4="--",0,'callPut（W）'!M4)</f>
        <v>0</v>
      </c>
      <c r="H5" s="161">
        <f>IF('callPut（F）'!D4="--",0,'callPut（F）'!D4)</f>
        <v>0</v>
      </c>
      <c r="I5" s="161">
        <f>IF('callPut（F）'!E4="--",0,'callPut（F）'!E4)</f>
        <v>0</v>
      </c>
      <c r="J5" s="165">
        <v>15600</v>
      </c>
      <c r="K5" s="161">
        <f>IF('callPut（F）'!L4="--",0,'callPut（F）'!L4)</f>
        <v>0</v>
      </c>
      <c r="L5" s="161">
        <f>IF('callPut（F）'!M4="--",0,'callPut（F）'!M4)</f>
        <v>0</v>
      </c>
      <c r="O5" s="160">
        <f t="shared" si="0"/>
        <v>0</v>
      </c>
      <c r="P5" s="160">
        <f t="shared" si="1"/>
        <v>0</v>
      </c>
      <c r="Q5" s="166">
        <v>15600</v>
      </c>
      <c r="R5" s="160">
        <f t="shared" si="2"/>
        <v>0</v>
      </c>
      <c r="S5" s="160">
        <f t="shared" si="3"/>
        <v>0</v>
      </c>
      <c r="T5" s="161"/>
      <c r="U5" s="160">
        <v>206</v>
      </c>
      <c r="V5" s="160">
        <v>5751</v>
      </c>
      <c r="X5" s="160">
        <v>358</v>
      </c>
      <c r="Y5" s="160">
        <v>4309</v>
      </c>
      <c r="AA5" s="172">
        <v>45859.042893518519</v>
      </c>
      <c r="AB5" s="162">
        <v>168.69</v>
      </c>
      <c r="AC5" s="162">
        <v>215.43</v>
      </c>
      <c r="AD5" s="162">
        <f t="shared" si="4"/>
        <v>384.12</v>
      </c>
      <c r="AE5" s="160">
        <v>3</v>
      </c>
    </row>
    <row r="6" spans="2:31" ht="15.75" x14ac:dyDescent="0.25">
      <c r="B6" s="161">
        <f>IF('callPut（W）'!D5="--",0,'callPut（W）'!D5)</f>
        <v>0</v>
      </c>
      <c r="C6" s="161">
        <f>IF('callPut（W）'!E5="--",0,'callPut（W）'!E5)</f>
        <v>0</v>
      </c>
      <c r="D6" s="165">
        <v>15650</v>
      </c>
      <c r="E6" s="161">
        <f>IF('callPut（W）'!L5="--",0,'callPut（W）'!L5)</f>
        <v>0</v>
      </c>
      <c r="F6" s="161">
        <f>IF('callPut（W）'!M5="--",0,'callPut（W）'!M5)</f>
        <v>0</v>
      </c>
      <c r="H6" s="161">
        <f>IF('callPut（F）'!D5="--",0,'callPut（F）'!D5)</f>
        <v>0</v>
      </c>
      <c r="I6" s="161">
        <f>IF('callPut（F）'!E5="--",0,'callPut（F）'!E5)</f>
        <v>0</v>
      </c>
      <c r="J6" s="165">
        <v>15650</v>
      </c>
      <c r="K6" s="161">
        <f>IF('callPut（F）'!L5="--",0,'callPut（F）'!L5)</f>
        <v>0</v>
      </c>
      <c r="L6" s="161">
        <f>IF('callPut（F）'!M5="--",0,'callPut（F）'!M5)</f>
        <v>0</v>
      </c>
      <c r="O6" s="160">
        <f t="shared" si="0"/>
        <v>0</v>
      </c>
      <c r="P6" s="160">
        <f t="shared" si="1"/>
        <v>0</v>
      </c>
      <c r="Q6" s="166">
        <v>15650</v>
      </c>
      <c r="R6" s="160">
        <f t="shared" si="2"/>
        <v>0</v>
      </c>
      <c r="S6" s="160">
        <f t="shared" si="3"/>
        <v>0</v>
      </c>
      <c r="T6" s="161"/>
      <c r="U6" s="160">
        <v>56.5</v>
      </c>
      <c r="V6" s="160">
        <v>5348</v>
      </c>
      <c r="X6" s="160">
        <v>202</v>
      </c>
      <c r="Y6" s="160">
        <v>4074</v>
      </c>
      <c r="AA6" s="172">
        <v>45859.043587962966</v>
      </c>
      <c r="AB6" s="162">
        <v>168.69</v>
      </c>
      <c r="AC6" s="162">
        <v>215.43</v>
      </c>
      <c r="AD6" s="162">
        <f t="shared" si="4"/>
        <v>384.12</v>
      </c>
      <c r="AE6" s="160">
        <v>4</v>
      </c>
    </row>
    <row r="7" spans="2:31" ht="15.75" x14ac:dyDescent="0.25">
      <c r="B7" s="161">
        <f>IF('callPut（W）'!D6="--",0,'callPut（W）'!D6)</f>
        <v>0</v>
      </c>
      <c r="C7" s="161">
        <f>IF('callPut（W）'!E6="--",0,'callPut（W）'!E6)</f>
        <v>0</v>
      </c>
      <c r="D7" s="165">
        <v>15700</v>
      </c>
      <c r="E7" s="161">
        <f>IF('callPut（W）'!L6="--",0,'callPut（W）'!L6)</f>
        <v>0</v>
      </c>
      <c r="F7" s="161">
        <f>IF('callPut（W）'!M6="--",0,'callPut（W）'!M6)</f>
        <v>0</v>
      </c>
      <c r="H7" s="161">
        <f>IF('callPut（F）'!D6="--",0,'callPut（F）'!D6)</f>
        <v>0</v>
      </c>
      <c r="I7" s="161">
        <f>IF('callPut（F）'!E6="--",0,'callPut（F）'!E6)</f>
        <v>0</v>
      </c>
      <c r="J7" s="165">
        <v>15700</v>
      </c>
      <c r="K7" s="161">
        <f>IF('callPut（F）'!L6="--",0,'callPut（F）'!L6)</f>
        <v>0</v>
      </c>
      <c r="L7" s="161">
        <f>IF('callPut（F）'!M6="--",0,'callPut（F）'!M6)</f>
        <v>0</v>
      </c>
      <c r="O7" s="160">
        <f t="shared" si="0"/>
        <v>0</v>
      </c>
      <c r="P7" s="160">
        <f t="shared" si="1"/>
        <v>0</v>
      </c>
      <c r="Q7" s="166">
        <v>15700</v>
      </c>
      <c r="R7" s="160">
        <f t="shared" si="2"/>
        <v>0</v>
      </c>
      <c r="S7" s="160">
        <f t="shared" si="3"/>
        <v>0</v>
      </c>
      <c r="T7" s="161"/>
      <c r="U7" s="160">
        <v>308</v>
      </c>
      <c r="V7" s="160">
        <v>4644</v>
      </c>
      <c r="X7" s="160">
        <v>309</v>
      </c>
      <c r="Y7" s="160">
        <v>3273</v>
      </c>
      <c r="AA7" s="172">
        <v>45859.044282407405</v>
      </c>
      <c r="AB7" s="162">
        <v>168.69</v>
      </c>
      <c r="AC7" s="162">
        <v>215.43</v>
      </c>
      <c r="AD7" s="162">
        <f t="shared" si="4"/>
        <v>384.12</v>
      </c>
      <c r="AE7" s="160">
        <v>5</v>
      </c>
    </row>
    <row r="8" spans="2:31" ht="15.75" x14ac:dyDescent="0.25">
      <c r="B8" s="161">
        <f>IF('callPut（W）'!D7="--",0,'callPut（W）'!D7)</f>
        <v>0</v>
      </c>
      <c r="C8" s="161">
        <f>IF('callPut（W）'!E7="--",0,'callPut（W）'!E7)</f>
        <v>0</v>
      </c>
      <c r="D8" s="165">
        <v>15750</v>
      </c>
      <c r="E8" s="161">
        <f>IF('callPut（W）'!L7="--",0,'callPut（W）'!L7)</f>
        <v>0</v>
      </c>
      <c r="F8" s="161">
        <f>IF('callPut（W）'!M7="--",0,'callPut（W）'!M7)</f>
        <v>0</v>
      </c>
      <c r="H8" s="161">
        <f>IF('callPut（F）'!D7="--",0,'callPut（F）'!D7)</f>
        <v>0</v>
      </c>
      <c r="I8" s="161">
        <f>IF('callPut（F）'!E7="--",0,'callPut（F）'!E7)</f>
        <v>0</v>
      </c>
      <c r="J8" s="165">
        <v>15750</v>
      </c>
      <c r="K8" s="161">
        <f>IF('callPut（F）'!L7="--",0,'callPut（F）'!L7)</f>
        <v>0</v>
      </c>
      <c r="L8" s="161">
        <f>IF('callPut（F）'!M7="--",0,'callPut（F）'!M7)</f>
        <v>0</v>
      </c>
      <c r="O8" s="160">
        <f t="shared" si="0"/>
        <v>0</v>
      </c>
      <c r="P8" s="160">
        <f t="shared" si="1"/>
        <v>0</v>
      </c>
      <c r="Q8" s="166">
        <v>15750</v>
      </c>
      <c r="R8" s="160">
        <f t="shared" si="2"/>
        <v>0</v>
      </c>
      <c r="S8" s="160">
        <f t="shared" si="3"/>
        <v>0</v>
      </c>
      <c r="T8" s="161"/>
      <c r="U8" s="160">
        <v>175</v>
      </c>
      <c r="V8" s="160">
        <v>4532</v>
      </c>
      <c r="X8" s="160">
        <v>475</v>
      </c>
      <c r="Y8" s="160">
        <v>3228</v>
      </c>
      <c r="AA8" s="172">
        <v>45859.044999999998</v>
      </c>
      <c r="AB8" s="162">
        <v>168.69</v>
      </c>
      <c r="AC8" s="162">
        <v>215.43</v>
      </c>
      <c r="AD8" s="162">
        <f t="shared" si="4"/>
        <v>384.12</v>
      </c>
      <c r="AE8" s="160">
        <v>6</v>
      </c>
    </row>
    <row r="9" spans="2:31" ht="15.75" x14ac:dyDescent="0.25">
      <c r="B9" s="161">
        <f>IF('callPut（W）'!D8="--",0,'callPut（W）'!D8)</f>
        <v>0</v>
      </c>
      <c r="C9" s="161">
        <f>IF('callPut（W）'!E8="--",0,'callPut（W）'!E8)</f>
        <v>0</v>
      </c>
      <c r="D9" s="165">
        <v>15800</v>
      </c>
      <c r="E9" s="161">
        <f>IF('callPut（W）'!L8="--",0,'callPut（W）'!L8)</f>
        <v>0</v>
      </c>
      <c r="F9" s="161">
        <f>IF('callPut（W）'!M8="--",0,'callPut（W）'!M8)</f>
        <v>0</v>
      </c>
      <c r="H9" s="161">
        <f>IF('callPut（F）'!D8="--",0,'callPut（F）'!D8)</f>
        <v>0</v>
      </c>
      <c r="I9" s="161">
        <f>IF('callPut（F）'!E8="--",0,'callPut（F）'!E8)</f>
        <v>0</v>
      </c>
      <c r="J9" s="165">
        <v>15800</v>
      </c>
      <c r="K9" s="161">
        <f>IF('callPut（F）'!L8="--",0,'callPut（F）'!L8)</f>
        <v>0</v>
      </c>
      <c r="L9" s="161">
        <f>IF('callPut（F）'!M8="--",0,'callPut（F）'!M8)</f>
        <v>0</v>
      </c>
      <c r="O9" s="160">
        <f t="shared" si="0"/>
        <v>0</v>
      </c>
      <c r="P9" s="160">
        <f t="shared" si="1"/>
        <v>0</v>
      </c>
      <c r="Q9" s="166">
        <v>15800</v>
      </c>
      <c r="R9" s="160">
        <f t="shared" si="2"/>
        <v>0</v>
      </c>
      <c r="S9" s="160">
        <f t="shared" si="3"/>
        <v>0</v>
      </c>
      <c r="T9" s="161"/>
      <c r="U9" s="160">
        <v>33.700000000000003</v>
      </c>
      <c r="V9" s="160">
        <v>4362</v>
      </c>
      <c r="X9" s="160">
        <v>193</v>
      </c>
      <c r="Y9" s="160">
        <v>3156</v>
      </c>
      <c r="AA9" s="172">
        <v>45859.045694444445</v>
      </c>
      <c r="AB9" s="162">
        <v>168.69</v>
      </c>
      <c r="AC9" s="162">
        <v>215.43</v>
      </c>
      <c r="AD9" s="162">
        <f t="shared" si="4"/>
        <v>384.12</v>
      </c>
      <c r="AE9" s="160">
        <v>7</v>
      </c>
    </row>
    <row r="10" spans="2:31" ht="15.75" x14ac:dyDescent="0.25">
      <c r="B10" s="161">
        <f>IF('callPut（W）'!D9="--",0,'callPut（W）'!D9)</f>
        <v>0</v>
      </c>
      <c r="C10" s="161">
        <f>IF('callPut（W）'!E9="--",0,'callPut（W）'!E9)</f>
        <v>0</v>
      </c>
      <c r="D10" s="165">
        <v>15850</v>
      </c>
      <c r="E10" s="161">
        <f>IF('callPut（W）'!L9="--",0,'callPut（W）'!L9)</f>
        <v>0</v>
      </c>
      <c r="F10" s="161">
        <f>IF('callPut（W）'!M9="--",0,'callPut（W）'!M9)</f>
        <v>0</v>
      </c>
      <c r="H10" s="161">
        <f>IF('callPut（F）'!D9="--",0,'callPut（F）'!D9)</f>
        <v>0</v>
      </c>
      <c r="I10" s="161">
        <f>IF('callPut（F）'!E9="--",0,'callPut（F）'!E9)</f>
        <v>0</v>
      </c>
      <c r="J10" s="165">
        <v>15850</v>
      </c>
      <c r="K10" s="161">
        <f>IF('callPut（F）'!L9="--",0,'callPut（F）'!L9)</f>
        <v>0</v>
      </c>
      <c r="L10" s="161">
        <f>IF('callPut（F）'!M9="--",0,'callPut（F）'!M9)</f>
        <v>0</v>
      </c>
      <c r="O10" s="160">
        <f t="shared" si="0"/>
        <v>0</v>
      </c>
      <c r="P10" s="160">
        <f t="shared" si="1"/>
        <v>0</v>
      </c>
      <c r="Q10" s="166">
        <v>15850</v>
      </c>
      <c r="R10" s="160">
        <f t="shared" si="2"/>
        <v>0</v>
      </c>
      <c r="S10" s="160">
        <f t="shared" si="3"/>
        <v>0</v>
      </c>
      <c r="T10" s="161"/>
      <c r="U10" s="160">
        <v>108.5</v>
      </c>
      <c r="V10" s="160">
        <v>3864</v>
      </c>
      <c r="X10" s="160">
        <v>242</v>
      </c>
      <c r="Y10" s="160">
        <v>2582</v>
      </c>
      <c r="AA10" s="172">
        <v>45859.046435185184</v>
      </c>
      <c r="AB10" s="162">
        <v>168.69</v>
      </c>
      <c r="AC10" s="162">
        <v>215.43</v>
      </c>
      <c r="AD10" s="162">
        <f t="shared" si="4"/>
        <v>384.12</v>
      </c>
      <c r="AE10" s="160">
        <v>8</v>
      </c>
    </row>
    <row r="11" spans="2:31" ht="15.75" x14ac:dyDescent="0.25">
      <c r="B11" s="161">
        <f>IF('callPut（W）'!D10="--",0,'callPut（W）'!D10)</f>
        <v>0</v>
      </c>
      <c r="C11" s="161">
        <f>IF('callPut（W）'!E10="--",0,'callPut（W）'!E10)</f>
        <v>0</v>
      </c>
      <c r="D11" s="165">
        <v>15900</v>
      </c>
      <c r="E11" s="161">
        <f>IF('callPut（W）'!L10="--",0,'callPut（W）'!L10)</f>
        <v>0</v>
      </c>
      <c r="F11" s="161">
        <f>IF('callPut（W）'!M10="--",0,'callPut（W）'!M10)</f>
        <v>0</v>
      </c>
      <c r="H11" s="161">
        <f>IF('callPut（F）'!D10="--",0,'callPut（F）'!D10)</f>
        <v>0</v>
      </c>
      <c r="I11" s="161">
        <f>IF('callPut（F）'!E10="--",0,'callPut（F）'!E10)</f>
        <v>0</v>
      </c>
      <c r="J11" s="165">
        <v>15900</v>
      </c>
      <c r="K11" s="161">
        <f>IF('callPut（F）'!L10="--",0,'callPut（F）'!L10)</f>
        <v>0</v>
      </c>
      <c r="L11" s="161">
        <f>IF('callPut（F）'!M10="--",0,'callPut（F）'!M10)</f>
        <v>0</v>
      </c>
      <c r="O11" s="160">
        <f t="shared" si="0"/>
        <v>0</v>
      </c>
      <c r="P11" s="160">
        <f t="shared" si="1"/>
        <v>0</v>
      </c>
      <c r="Q11" s="166">
        <v>15900</v>
      </c>
      <c r="R11" s="160">
        <f t="shared" si="2"/>
        <v>0</v>
      </c>
      <c r="S11" s="160">
        <f t="shared" si="3"/>
        <v>0</v>
      </c>
      <c r="T11" s="161"/>
      <c r="U11" s="160">
        <v>44</v>
      </c>
      <c r="V11" s="160">
        <v>3858</v>
      </c>
      <c r="X11" s="160">
        <v>118.5</v>
      </c>
      <c r="Y11" s="160">
        <v>2545</v>
      </c>
      <c r="AA11" s="172">
        <v>45859.047129629631</v>
      </c>
      <c r="AB11" s="162">
        <v>168.69</v>
      </c>
      <c r="AC11" s="162">
        <v>215.43</v>
      </c>
      <c r="AD11" s="162">
        <f t="shared" si="4"/>
        <v>384.12</v>
      </c>
      <c r="AE11" s="160">
        <v>9</v>
      </c>
    </row>
    <row r="12" spans="2:31" ht="15.75" x14ac:dyDescent="0.25">
      <c r="B12" s="161">
        <f>IF('callPut（W）'!D11="--",0,'callPut（W）'!D11)</f>
        <v>0</v>
      </c>
      <c r="C12" s="161">
        <f>IF('callPut（W）'!E11="--",0,'callPut（W）'!E11)</f>
        <v>0</v>
      </c>
      <c r="D12" s="165">
        <v>15950</v>
      </c>
      <c r="E12" s="161">
        <f>IF('callPut（W）'!L11="--",0,'callPut（W）'!L11)</f>
        <v>0</v>
      </c>
      <c r="F12" s="161">
        <f>IF('callPut（W）'!M11="--",0,'callPut（W）'!M11)</f>
        <v>0</v>
      </c>
      <c r="H12" s="161">
        <f>IF('callPut（F）'!D11="--",0,'callPut（F）'!D11)</f>
        <v>0</v>
      </c>
      <c r="I12" s="161">
        <f>IF('callPut（F）'!E11="--",0,'callPut（F）'!E11)</f>
        <v>0</v>
      </c>
      <c r="J12" s="165">
        <v>15950</v>
      </c>
      <c r="K12" s="161">
        <f>IF('callPut（F）'!L11="--",0,'callPut（F）'!L11)</f>
        <v>0</v>
      </c>
      <c r="L12" s="161">
        <f>IF('callPut（F）'!M11="--",0,'callPut（F）'!M11)</f>
        <v>0</v>
      </c>
      <c r="O12" s="160">
        <f t="shared" si="0"/>
        <v>0</v>
      </c>
      <c r="P12" s="160">
        <f t="shared" si="1"/>
        <v>0</v>
      </c>
      <c r="Q12" s="166">
        <v>15950</v>
      </c>
      <c r="R12" s="160">
        <f t="shared" si="2"/>
        <v>0</v>
      </c>
      <c r="S12" s="160">
        <f t="shared" si="3"/>
        <v>0</v>
      </c>
      <c r="T12" s="161"/>
      <c r="U12" s="160">
        <v>264</v>
      </c>
      <c r="V12" s="160">
        <v>2922</v>
      </c>
      <c r="X12" s="160">
        <v>429</v>
      </c>
      <c r="Y12" s="160">
        <v>2310</v>
      </c>
      <c r="AA12" s="172">
        <v>45859.047835648147</v>
      </c>
      <c r="AB12" s="162">
        <v>168.69</v>
      </c>
      <c r="AC12" s="162">
        <v>215.43</v>
      </c>
      <c r="AD12" s="162">
        <f t="shared" si="4"/>
        <v>384.12</v>
      </c>
      <c r="AE12" s="160">
        <v>10</v>
      </c>
    </row>
    <row r="13" spans="2:31" ht="15.75" x14ac:dyDescent="0.25">
      <c r="B13" s="161">
        <f>IF('callPut（W）'!D12="--",0,'callPut（W）'!D12)</f>
        <v>0</v>
      </c>
      <c r="C13" s="161">
        <f>IF('callPut（W）'!E12="--",0,'callPut（W）'!E12)</f>
        <v>0</v>
      </c>
      <c r="D13" s="165">
        <v>16000</v>
      </c>
      <c r="E13" s="161">
        <f>IF('callPut（W）'!L12="--",0,'callPut（W）'!L12)</f>
        <v>0</v>
      </c>
      <c r="F13" s="161">
        <f>IF('callPut（W）'!M12="--",0,'callPut（W）'!M12)</f>
        <v>0</v>
      </c>
      <c r="H13" s="161">
        <f>IF('callPut（F）'!D12="--",0,'callPut（F）'!D12)</f>
        <v>0</v>
      </c>
      <c r="I13" s="161">
        <f>IF('callPut（F）'!E12="--",0,'callPut（F）'!E12)</f>
        <v>0</v>
      </c>
      <c r="J13" s="165">
        <v>16000</v>
      </c>
      <c r="K13" s="161">
        <f>IF('callPut（F）'!L12="--",0,'callPut（F）'!L12)</f>
        <v>0</v>
      </c>
      <c r="L13" s="161">
        <f>IF('callPut（F）'!M12="--",0,'callPut（F）'!M12)</f>
        <v>0</v>
      </c>
      <c r="O13" s="160">
        <f t="shared" si="0"/>
        <v>0</v>
      </c>
      <c r="P13" s="160">
        <f t="shared" si="1"/>
        <v>0</v>
      </c>
      <c r="Q13" s="166">
        <v>16000</v>
      </c>
      <c r="R13" s="160">
        <f t="shared" si="2"/>
        <v>0</v>
      </c>
      <c r="S13" s="160">
        <f t="shared" si="3"/>
        <v>0</v>
      </c>
      <c r="T13" s="161"/>
      <c r="U13" s="160">
        <v>66.5</v>
      </c>
      <c r="V13" s="160">
        <v>2804</v>
      </c>
      <c r="X13" s="160">
        <v>93.5</v>
      </c>
      <c r="Y13" s="160">
        <v>2298</v>
      </c>
      <c r="AA13" s="172">
        <v>45859.048715277779</v>
      </c>
      <c r="AB13" s="162">
        <v>168.69</v>
      </c>
      <c r="AC13" s="162">
        <v>215.43</v>
      </c>
      <c r="AD13" s="162">
        <f t="shared" si="4"/>
        <v>384.12</v>
      </c>
      <c r="AE13" s="160">
        <v>11</v>
      </c>
    </row>
    <row r="14" spans="2:31" ht="15.75" x14ac:dyDescent="0.25">
      <c r="B14" s="161">
        <f>IF('callPut（W）'!D13="--",0,'callPut（W）'!D13)</f>
        <v>0</v>
      </c>
      <c r="C14" s="161">
        <f>IF('callPut（W）'!E13="--",0,'callPut（W）'!E13)</f>
        <v>0</v>
      </c>
      <c r="D14" s="165">
        <v>16050</v>
      </c>
      <c r="E14" s="161">
        <f>IF('callPut（W）'!L13="--",0,'callPut（W）'!L13)</f>
        <v>0</v>
      </c>
      <c r="F14" s="161">
        <f>IF('callPut（W）'!M13="--",0,'callPut（W）'!M13)</f>
        <v>0</v>
      </c>
      <c r="H14" s="161">
        <f>IF('callPut（F）'!D13="--",0,'callPut（F）'!D13)</f>
        <v>0</v>
      </c>
      <c r="I14" s="161">
        <f>IF('callPut（F）'!E13="--",0,'callPut（F）'!E13)</f>
        <v>0</v>
      </c>
      <c r="J14" s="165">
        <v>16050</v>
      </c>
      <c r="K14" s="161">
        <f>IF('callPut（F）'!L13="--",0,'callPut（F）'!L13)</f>
        <v>0</v>
      </c>
      <c r="L14" s="161">
        <f>IF('callPut（F）'!M13="--",0,'callPut（F）'!M13)</f>
        <v>0</v>
      </c>
      <c r="O14" s="160">
        <f t="shared" si="0"/>
        <v>0</v>
      </c>
      <c r="P14" s="160">
        <f t="shared" si="1"/>
        <v>0</v>
      </c>
      <c r="Q14" s="166">
        <v>16050</v>
      </c>
      <c r="R14" s="160">
        <f t="shared" si="2"/>
        <v>0</v>
      </c>
      <c r="S14" s="160">
        <f t="shared" si="3"/>
        <v>0</v>
      </c>
      <c r="T14" s="161"/>
      <c r="U14" s="160">
        <v>17.100000000000001</v>
      </c>
      <c r="V14" s="160">
        <v>2530</v>
      </c>
      <c r="X14" s="160">
        <v>147.5</v>
      </c>
      <c r="Y14" s="160">
        <v>1767</v>
      </c>
      <c r="AA14" s="172">
        <v>45859.049409722225</v>
      </c>
      <c r="AB14" s="162">
        <v>168.69</v>
      </c>
      <c r="AC14" s="162">
        <v>215.43</v>
      </c>
      <c r="AD14" s="162">
        <f t="shared" si="4"/>
        <v>384.12</v>
      </c>
      <c r="AE14" s="160">
        <v>12</v>
      </c>
    </row>
    <row r="15" spans="2:31" ht="15.75" x14ac:dyDescent="0.25">
      <c r="B15" s="161">
        <f>IF('callPut（W）'!D14="--",0,'callPut（W）'!D14)</f>
        <v>0</v>
      </c>
      <c r="C15" s="161">
        <f>IF('callPut（W）'!E14="--",0,'callPut（W）'!E14)</f>
        <v>0</v>
      </c>
      <c r="D15" s="165">
        <v>16100</v>
      </c>
      <c r="E15" s="161">
        <f>IF('callPut（W）'!L14="--",0,'callPut（W）'!L14)</f>
        <v>0</v>
      </c>
      <c r="F15" s="161">
        <f>IF('callPut（W）'!M14="--",0,'callPut（W）'!M14)</f>
        <v>0</v>
      </c>
      <c r="H15" s="161">
        <f>IF('callPut（F）'!D14="--",0,'callPut（F）'!D14)</f>
        <v>0</v>
      </c>
      <c r="I15" s="161">
        <f>IF('callPut（F）'!E14="--",0,'callPut（F）'!E14)</f>
        <v>0</v>
      </c>
      <c r="J15" s="165">
        <v>16100</v>
      </c>
      <c r="K15" s="161">
        <f>IF('callPut（F）'!L14="--",0,'callPut（F）'!L14)</f>
        <v>0</v>
      </c>
      <c r="L15" s="161">
        <f>IF('callPut（F）'!M14="--",0,'callPut（F）'!M14)</f>
        <v>0</v>
      </c>
      <c r="O15" s="160">
        <f t="shared" si="0"/>
        <v>0</v>
      </c>
      <c r="P15" s="160">
        <f t="shared" si="1"/>
        <v>0</v>
      </c>
      <c r="Q15" s="166">
        <v>16100</v>
      </c>
      <c r="R15" s="160">
        <f t="shared" si="2"/>
        <v>0</v>
      </c>
      <c r="S15" s="160">
        <f t="shared" si="3"/>
        <v>0</v>
      </c>
      <c r="T15" s="161"/>
      <c r="U15" s="160">
        <v>22</v>
      </c>
      <c r="V15" s="160">
        <v>2380</v>
      </c>
      <c r="X15" s="160">
        <v>48</v>
      </c>
      <c r="Y15" s="160">
        <v>1465</v>
      </c>
      <c r="AA15" s="172">
        <v>45859.05027777778</v>
      </c>
      <c r="AB15" s="162">
        <v>168.69</v>
      </c>
      <c r="AC15" s="162">
        <v>215.43</v>
      </c>
      <c r="AD15" s="162">
        <f t="shared" si="4"/>
        <v>384.12</v>
      </c>
      <c r="AE15" s="160">
        <v>13</v>
      </c>
    </row>
    <row r="16" spans="2:31" ht="15.75" x14ac:dyDescent="0.25">
      <c r="B16" s="161">
        <f>IF('callPut（W）'!D15="--",0,'callPut（W）'!D15)</f>
        <v>0</v>
      </c>
      <c r="C16" s="161">
        <f>IF('callPut（W）'!E15="--",0,'callPut（W）'!E15)</f>
        <v>0</v>
      </c>
      <c r="D16" s="165">
        <v>16150</v>
      </c>
      <c r="E16" s="161">
        <f>IF('callPut（W）'!L15="--",0,'callPut（W）'!L15)</f>
        <v>0</v>
      </c>
      <c r="F16" s="161">
        <f>IF('callPut（W）'!M15="--",0,'callPut（W）'!M15)</f>
        <v>0</v>
      </c>
      <c r="H16" s="161">
        <f>IF('callPut（F）'!D15="--",0,'callPut（F）'!D15)</f>
        <v>0</v>
      </c>
      <c r="I16" s="161">
        <f>IF('callPut（F）'!E15="--",0,'callPut（F）'!E15)</f>
        <v>0</v>
      </c>
      <c r="J16" s="165">
        <v>16150</v>
      </c>
      <c r="K16" s="161">
        <f>IF('callPut（F）'!L15="--",0,'callPut（F）'!L15)</f>
        <v>0</v>
      </c>
      <c r="L16" s="161">
        <f>IF('callPut（F）'!M15="--",0,'callPut（F）'!M15)</f>
        <v>0</v>
      </c>
      <c r="O16" s="160">
        <f t="shared" si="0"/>
        <v>0</v>
      </c>
      <c r="P16" s="160">
        <f t="shared" si="1"/>
        <v>0</v>
      </c>
      <c r="Q16" s="166">
        <v>16150</v>
      </c>
      <c r="R16" s="160">
        <f t="shared" si="2"/>
        <v>0</v>
      </c>
      <c r="S16" s="160">
        <f t="shared" si="3"/>
        <v>0</v>
      </c>
      <c r="T16" s="161"/>
      <c r="U16" s="160">
        <v>362</v>
      </c>
      <c r="V16" s="160">
        <v>1949</v>
      </c>
      <c r="X16" s="160">
        <v>116</v>
      </c>
      <c r="Y16" s="160">
        <v>1358</v>
      </c>
      <c r="AA16" s="160"/>
      <c r="AB16" s="162"/>
      <c r="AC16" s="162"/>
      <c r="AD16" s="162">
        <f t="shared" si="4"/>
        <v>0</v>
      </c>
      <c r="AE16" s="160">
        <v>14</v>
      </c>
    </row>
    <row r="17" spans="2:31" ht="15.75" x14ac:dyDescent="0.25">
      <c r="B17" s="161">
        <f>IF('callPut（W）'!D16="--",0,'callPut（W）'!D16)</f>
        <v>0</v>
      </c>
      <c r="C17" s="161">
        <f>IF('callPut（W）'!E16="--",0,'callPut（W）'!E16)</f>
        <v>0</v>
      </c>
      <c r="D17" s="165">
        <v>16200</v>
      </c>
      <c r="E17" s="161">
        <f>IF('callPut（W）'!L16="--",0,'callPut（W）'!L16)</f>
        <v>0</v>
      </c>
      <c r="F17" s="161">
        <f>IF('callPut（W）'!M16="--",0,'callPut（W）'!M16)</f>
        <v>0</v>
      </c>
      <c r="H17" s="161">
        <f>IF('callPut（F）'!D16="--",0,'callPut（F）'!D16)</f>
        <v>0</v>
      </c>
      <c r="I17" s="161">
        <f>IF('callPut（F）'!E16="--",0,'callPut（F）'!E16)</f>
        <v>0</v>
      </c>
      <c r="J17" s="165">
        <v>16200</v>
      </c>
      <c r="K17" s="161">
        <f>IF('callPut（F）'!L16="--",0,'callPut（F）'!L16)</f>
        <v>0</v>
      </c>
      <c r="L17" s="161">
        <f>IF('callPut（F）'!M16="--",0,'callPut（F）'!M16)</f>
        <v>0</v>
      </c>
      <c r="O17" s="160">
        <f t="shared" si="0"/>
        <v>0</v>
      </c>
      <c r="P17" s="160">
        <f t="shared" si="1"/>
        <v>0</v>
      </c>
      <c r="Q17" s="166">
        <v>16200</v>
      </c>
      <c r="R17" s="160">
        <f t="shared" si="2"/>
        <v>0</v>
      </c>
      <c r="S17" s="160">
        <f t="shared" si="3"/>
        <v>0</v>
      </c>
      <c r="T17" s="161"/>
      <c r="U17" s="160">
        <v>422</v>
      </c>
      <c r="V17" s="160">
        <v>1827</v>
      </c>
      <c r="X17" s="160">
        <v>65.5</v>
      </c>
      <c r="Y17" s="160">
        <v>1182</v>
      </c>
      <c r="AA17" s="160"/>
      <c r="AB17" s="162"/>
      <c r="AC17" s="162"/>
      <c r="AD17" s="162">
        <f t="shared" si="4"/>
        <v>0</v>
      </c>
      <c r="AE17" s="160">
        <v>15</v>
      </c>
    </row>
    <row r="18" spans="2:31" ht="15.75" x14ac:dyDescent="0.25">
      <c r="B18" s="161">
        <f>IF('callPut（W）'!D17="--",0,'callPut（W）'!D17)</f>
        <v>0</v>
      </c>
      <c r="C18" s="161">
        <f>IF('callPut（W）'!E17="--",0,'callPut（W）'!E17)</f>
        <v>0</v>
      </c>
      <c r="D18" s="165">
        <v>16250</v>
      </c>
      <c r="E18" s="161">
        <f>IF('callPut（W）'!L17="--",0,'callPut（W）'!L17)</f>
        <v>0</v>
      </c>
      <c r="F18" s="161">
        <f>IF('callPut（W）'!M17="--",0,'callPut（W）'!M17)</f>
        <v>0</v>
      </c>
      <c r="H18" s="161">
        <f>IF('callPut（F）'!D17="--",0,'callPut（F）'!D17)</f>
        <v>0</v>
      </c>
      <c r="I18" s="161">
        <f>IF('callPut（F）'!E17="--",0,'callPut（F）'!E17)</f>
        <v>0</v>
      </c>
      <c r="J18" s="165">
        <v>16250</v>
      </c>
      <c r="K18" s="161">
        <f>IF('callPut（F）'!L17="--",0,'callPut（F）'!L17)</f>
        <v>0</v>
      </c>
      <c r="L18" s="161">
        <f>IF('callPut（F）'!M17="--",0,'callPut（F）'!M17)</f>
        <v>0</v>
      </c>
      <c r="O18" s="160">
        <f t="shared" si="0"/>
        <v>0</v>
      </c>
      <c r="P18" s="160">
        <f t="shared" si="1"/>
        <v>0</v>
      </c>
      <c r="Q18" s="166">
        <v>16250</v>
      </c>
      <c r="R18" s="160">
        <f t="shared" si="2"/>
        <v>0</v>
      </c>
      <c r="S18" s="160">
        <f t="shared" si="3"/>
        <v>0</v>
      </c>
      <c r="T18" s="161"/>
      <c r="U18" s="160">
        <v>5.0999999999999996</v>
      </c>
      <c r="V18" s="160">
        <v>806</v>
      </c>
      <c r="X18" s="160">
        <v>273</v>
      </c>
      <c r="Y18" s="160">
        <v>1088</v>
      </c>
      <c r="AA18" s="160"/>
      <c r="AB18" s="162"/>
      <c r="AC18" s="162"/>
      <c r="AD18" s="162">
        <f t="shared" si="4"/>
        <v>0</v>
      </c>
      <c r="AE18" s="160">
        <v>16</v>
      </c>
    </row>
    <row r="19" spans="2:31" ht="15.75" x14ac:dyDescent="0.25">
      <c r="B19" s="161">
        <f>IF('callPut（W）'!D18="--",0,'callPut（W）'!D18)</f>
        <v>0</v>
      </c>
      <c r="C19" s="161">
        <f>IF('callPut（W）'!E18="--",0,'callPut（W）'!E18)</f>
        <v>0</v>
      </c>
      <c r="D19" s="165">
        <v>16300</v>
      </c>
      <c r="E19" s="161">
        <f>IF('callPut（W）'!L18="--",0,'callPut（W）'!L18)</f>
        <v>0</v>
      </c>
      <c r="F19" s="161">
        <f>IF('callPut（W）'!M18="--",0,'callPut（W）'!M18)</f>
        <v>0</v>
      </c>
      <c r="H19" s="161">
        <f>IF('callPut（F）'!D18="--",0,'callPut（F）'!D18)</f>
        <v>0</v>
      </c>
      <c r="I19" s="161">
        <f>IF('callPut（F）'!E18="--",0,'callPut（F）'!E18)</f>
        <v>0</v>
      </c>
      <c r="J19" s="165">
        <v>16300</v>
      </c>
      <c r="K19" s="161">
        <f>IF('callPut（F）'!L18="--",0,'callPut（F）'!L18)</f>
        <v>0</v>
      </c>
      <c r="L19" s="161">
        <f>IF('callPut（F）'!M18="--",0,'callPut（F）'!M18)</f>
        <v>0</v>
      </c>
      <c r="O19" s="160">
        <f t="shared" si="0"/>
        <v>0</v>
      </c>
      <c r="P19" s="160">
        <f t="shared" si="1"/>
        <v>0</v>
      </c>
      <c r="Q19" s="166">
        <v>16300</v>
      </c>
      <c r="R19" s="160">
        <f t="shared" si="2"/>
        <v>0</v>
      </c>
      <c r="S19" s="160">
        <f t="shared" si="3"/>
        <v>0</v>
      </c>
      <c r="T19" s="161"/>
      <c r="U19" s="160">
        <v>9</v>
      </c>
      <c r="V19" s="160">
        <v>777</v>
      </c>
      <c r="X19" s="160">
        <v>77</v>
      </c>
      <c r="Y19" s="160">
        <v>897</v>
      </c>
      <c r="AA19" s="160"/>
      <c r="AB19" s="162"/>
      <c r="AC19" s="162"/>
      <c r="AD19" s="162">
        <f t="shared" si="4"/>
        <v>0</v>
      </c>
      <c r="AE19" s="160">
        <v>17</v>
      </c>
    </row>
    <row r="20" spans="2:31" ht="15.75" x14ac:dyDescent="0.25">
      <c r="B20" s="161">
        <f>IF('callPut（W）'!D19="--",0,'callPut（W）'!D19)</f>
        <v>0</v>
      </c>
      <c r="C20" s="161">
        <f>IF('callPut（W）'!E19="--",0,'callPut（W）'!E19)</f>
        <v>0</v>
      </c>
      <c r="D20" s="165">
        <v>16350</v>
      </c>
      <c r="E20" s="161">
        <f>IF('callPut（W）'!L19="--",0,'callPut（W）'!L19)</f>
        <v>0</v>
      </c>
      <c r="F20" s="161">
        <f>IF('callPut（W）'!M19="--",0,'callPut（W）'!M19)</f>
        <v>0</v>
      </c>
      <c r="H20" s="161">
        <f>IF('callPut（F）'!D19="--",0,'callPut（F）'!D19)</f>
        <v>0</v>
      </c>
      <c r="I20" s="161">
        <f>IF('callPut（F）'!E19="--",0,'callPut（F）'!E19)</f>
        <v>0</v>
      </c>
      <c r="J20" s="165">
        <v>16350</v>
      </c>
      <c r="K20" s="161">
        <f>IF('callPut（F）'!L19="--",0,'callPut（F）'!L19)</f>
        <v>0</v>
      </c>
      <c r="L20" s="161">
        <f>IF('callPut（F）'!M19="--",0,'callPut（F）'!M19)</f>
        <v>0</v>
      </c>
      <c r="O20" s="160">
        <f t="shared" si="0"/>
        <v>0</v>
      </c>
      <c r="P20" s="160">
        <f t="shared" si="1"/>
        <v>0</v>
      </c>
      <c r="Q20" s="166">
        <v>16350</v>
      </c>
      <c r="R20" s="160">
        <f t="shared" si="2"/>
        <v>0</v>
      </c>
      <c r="S20" s="160">
        <f t="shared" si="3"/>
        <v>0</v>
      </c>
      <c r="T20" s="161"/>
      <c r="U20" s="160">
        <v>547</v>
      </c>
      <c r="V20" s="160">
        <v>557</v>
      </c>
      <c r="X20" s="160">
        <v>54</v>
      </c>
      <c r="Y20" s="160">
        <v>836</v>
      </c>
      <c r="AA20" s="160"/>
      <c r="AB20" s="162"/>
      <c r="AC20" s="162"/>
      <c r="AD20" s="162">
        <f t="shared" si="4"/>
        <v>0</v>
      </c>
      <c r="AE20" s="160">
        <v>18</v>
      </c>
    </row>
    <row r="21" spans="2:31" ht="15.75" x14ac:dyDescent="0.25">
      <c r="B21" s="161">
        <f>IF('callPut（W）'!D20="--",0,'callPut（W）'!D20)</f>
        <v>0</v>
      </c>
      <c r="C21" s="161">
        <f>IF('callPut（W）'!E20="--",0,'callPut（W）'!E20)</f>
        <v>0</v>
      </c>
      <c r="D21" s="165">
        <v>16400</v>
      </c>
      <c r="E21" s="161">
        <f>IF('callPut（W）'!L20="--",0,'callPut（W）'!L20)</f>
        <v>0</v>
      </c>
      <c r="F21" s="161">
        <f>IF('callPut（W）'!M20="--",0,'callPut（W）'!M20)</f>
        <v>0</v>
      </c>
      <c r="H21" s="161">
        <f>IF('callPut（F）'!D20="--",0,'callPut（F）'!D20)</f>
        <v>0</v>
      </c>
      <c r="I21" s="161">
        <f>IF('callPut（F）'!E20="--",0,'callPut（F）'!E20)</f>
        <v>0</v>
      </c>
      <c r="J21" s="165">
        <v>16400</v>
      </c>
      <c r="K21" s="161">
        <f>IF('callPut（F）'!L20="--",0,'callPut（F）'!L20)</f>
        <v>0</v>
      </c>
      <c r="L21" s="161">
        <f>IF('callPut（F）'!M20="--",0,'callPut（F）'!M20)</f>
        <v>0</v>
      </c>
      <c r="O21" s="160">
        <f t="shared" si="0"/>
        <v>0</v>
      </c>
      <c r="P21" s="160">
        <f t="shared" si="1"/>
        <v>0</v>
      </c>
      <c r="Q21" s="166">
        <v>16400</v>
      </c>
      <c r="R21" s="160">
        <f t="shared" si="2"/>
        <v>0</v>
      </c>
      <c r="S21" s="160">
        <f t="shared" si="3"/>
        <v>0</v>
      </c>
      <c r="T21" s="161"/>
      <c r="U21" s="160">
        <v>5</v>
      </c>
      <c r="V21" s="160">
        <v>419</v>
      </c>
      <c r="X21" s="160">
        <v>59</v>
      </c>
      <c r="Y21" s="160">
        <v>755</v>
      </c>
      <c r="AA21" s="160"/>
      <c r="AB21" s="162"/>
      <c r="AC21" s="162"/>
      <c r="AD21" s="162">
        <f t="shared" si="4"/>
        <v>0</v>
      </c>
      <c r="AE21" s="160">
        <v>19</v>
      </c>
    </row>
    <row r="22" spans="2:31" ht="15.75" x14ac:dyDescent="0.25">
      <c r="B22" s="161">
        <f>IF('callPut（W）'!D21="--",0,'callPut（W）'!D21)</f>
        <v>0</v>
      </c>
      <c r="C22" s="161">
        <f>IF('callPut（W）'!E21="--",0,'callPut（W）'!E21)</f>
        <v>0</v>
      </c>
      <c r="D22" s="165">
        <v>16450</v>
      </c>
      <c r="E22" s="161">
        <f>IF('callPut（W）'!L21="--",0,'callPut（W）'!L21)</f>
        <v>0</v>
      </c>
      <c r="F22" s="161">
        <f>IF('callPut（W）'!M21="--",0,'callPut（W）'!M21)</f>
        <v>0</v>
      </c>
      <c r="H22" s="161">
        <f>IF('callPut（F）'!D21="--",0,'callPut（F）'!D21)</f>
        <v>0</v>
      </c>
      <c r="I22" s="161">
        <f>IF('callPut（F）'!E21="--",0,'callPut（F）'!E21)</f>
        <v>0</v>
      </c>
      <c r="J22" s="165">
        <v>16450</v>
      </c>
      <c r="K22" s="161">
        <f>IF('callPut（F）'!L21="--",0,'callPut（F）'!L21)</f>
        <v>0</v>
      </c>
      <c r="L22" s="161">
        <f>IF('callPut（F）'!M21="--",0,'callPut（F）'!M21)</f>
        <v>0</v>
      </c>
      <c r="O22" s="160">
        <f t="shared" si="0"/>
        <v>0</v>
      </c>
      <c r="P22" s="160">
        <f t="shared" si="1"/>
        <v>0</v>
      </c>
      <c r="Q22" s="166">
        <v>16450</v>
      </c>
      <c r="R22" s="160">
        <f t="shared" si="2"/>
        <v>0</v>
      </c>
      <c r="S22" s="160">
        <f t="shared" si="3"/>
        <v>0</v>
      </c>
      <c r="T22" s="161"/>
      <c r="U22" s="160">
        <v>1.6</v>
      </c>
      <c r="V22" s="160">
        <v>404</v>
      </c>
      <c r="X22" s="160">
        <v>528</v>
      </c>
      <c r="Y22" s="160">
        <v>739</v>
      </c>
      <c r="AA22" s="160"/>
      <c r="AB22" s="162"/>
      <c r="AC22" s="162"/>
      <c r="AD22" s="162">
        <f t="shared" si="4"/>
        <v>0</v>
      </c>
      <c r="AE22" s="160">
        <v>20</v>
      </c>
    </row>
    <row r="23" spans="2:31" ht="15.75" x14ac:dyDescent="0.25">
      <c r="B23" s="161">
        <f>IF('callPut（W）'!D22="--",0,'callPut（W）'!D22)</f>
        <v>0</v>
      </c>
      <c r="C23" s="161">
        <f>IF('callPut（W）'!E22="--",0,'callPut（W）'!E22)</f>
        <v>0</v>
      </c>
      <c r="D23" s="165">
        <v>16500</v>
      </c>
      <c r="E23" s="161">
        <f>IF('callPut（W）'!L22="--",0,'callPut（W）'!L22)</f>
        <v>0</v>
      </c>
      <c r="F23" s="161">
        <f>IF('callPut（W）'!M22="--",0,'callPut（W）'!M22)</f>
        <v>0</v>
      </c>
      <c r="H23" s="161">
        <f>IF('callPut（F）'!D22="--",0,'callPut（F）'!D22)</f>
        <v>0</v>
      </c>
      <c r="I23" s="161">
        <f>IF('callPut（F）'!E22="--",0,'callPut（F）'!E22)</f>
        <v>0</v>
      </c>
      <c r="J23" s="165">
        <v>16500</v>
      </c>
      <c r="K23" s="161">
        <f>IF('callPut（F）'!L22="--",0,'callPut（F）'!L22)</f>
        <v>0</v>
      </c>
      <c r="L23" s="161">
        <f>IF('callPut（F）'!M22="--",0,'callPut（F）'!M22)</f>
        <v>0</v>
      </c>
      <c r="O23" s="160">
        <f t="shared" si="0"/>
        <v>0</v>
      </c>
      <c r="P23" s="160">
        <f t="shared" si="1"/>
        <v>0</v>
      </c>
      <c r="Q23" s="166">
        <v>16500</v>
      </c>
      <c r="R23" s="160">
        <f t="shared" si="2"/>
        <v>0</v>
      </c>
      <c r="S23" s="160">
        <f t="shared" si="3"/>
        <v>0</v>
      </c>
      <c r="T23" s="161"/>
      <c r="U23" s="160">
        <v>493</v>
      </c>
      <c r="V23" s="160">
        <v>401</v>
      </c>
      <c r="X23" s="160">
        <v>21.6</v>
      </c>
      <c r="Y23" s="160">
        <v>536</v>
      </c>
      <c r="AA23" s="160"/>
      <c r="AB23" s="162"/>
      <c r="AC23" s="162"/>
      <c r="AD23" s="162">
        <f t="shared" si="4"/>
        <v>0</v>
      </c>
      <c r="AE23" s="160">
        <v>21</v>
      </c>
    </row>
    <row r="24" spans="2:31" ht="15.75" x14ac:dyDescent="0.25">
      <c r="B24" s="161">
        <f>IF('callPut（W）'!D23="--",0,'callPut（W）'!D23)</f>
        <v>0</v>
      </c>
      <c r="C24" s="161">
        <f>IF('callPut（W）'!E23="--",0,'callPut（W）'!E23)</f>
        <v>0</v>
      </c>
      <c r="D24" s="165">
        <v>16550</v>
      </c>
      <c r="E24" s="161">
        <f>IF('callPut（W）'!L23="--",0,'callPut（W）'!L23)</f>
        <v>0</v>
      </c>
      <c r="F24" s="161">
        <f>IF('callPut（W）'!M23="--",0,'callPut（W）'!M23)</f>
        <v>0</v>
      </c>
      <c r="H24" s="161">
        <f>IF('callPut（F）'!D23="--",0,'callPut（F）'!D23)</f>
        <v>0</v>
      </c>
      <c r="I24" s="161">
        <f>IF('callPut（F）'!E23="--",0,'callPut（F）'!E23)</f>
        <v>0</v>
      </c>
      <c r="J24" s="165">
        <v>16550</v>
      </c>
      <c r="K24" s="161">
        <f>IF('callPut（F）'!L23="--",0,'callPut（F）'!L23)</f>
        <v>0</v>
      </c>
      <c r="L24" s="161">
        <f>IF('callPut（F）'!M23="--",0,'callPut（F）'!M23)</f>
        <v>0</v>
      </c>
      <c r="O24" s="160">
        <f t="shared" si="0"/>
        <v>0</v>
      </c>
      <c r="P24" s="160">
        <f t="shared" si="1"/>
        <v>0</v>
      </c>
      <c r="Q24" s="166">
        <v>16550</v>
      </c>
      <c r="R24" s="160">
        <f t="shared" si="2"/>
        <v>0</v>
      </c>
      <c r="S24" s="160">
        <f t="shared" si="3"/>
        <v>0</v>
      </c>
      <c r="T24" s="161"/>
      <c r="U24" s="160">
        <v>3.3</v>
      </c>
      <c r="V24" s="160">
        <v>330</v>
      </c>
      <c r="X24" s="160">
        <v>50</v>
      </c>
      <c r="Y24" s="160">
        <v>526</v>
      </c>
      <c r="AA24" s="160"/>
      <c r="AB24" s="162"/>
      <c r="AC24" s="162"/>
      <c r="AD24" s="162">
        <f t="shared" si="4"/>
        <v>0</v>
      </c>
      <c r="AE24" s="160">
        <v>22</v>
      </c>
    </row>
    <row r="25" spans="2:31" ht="15.75" x14ac:dyDescent="0.25">
      <c r="B25" s="161">
        <f>IF('callPut（W）'!D24="--",0,'callPut（W）'!D24)</f>
        <v>0</v>
      </c>
      <c r="C25" s="161">
        <f>IF('callPut（W）'!E24="--",0,'callPut（W）'!E24)</f>
        <v>0</v>
      </c>
      <c r="D25" s="165">
        <v>16600</v>
      </c>
      <c r="E25" s="161">
        <f>IF('callPut（W）'!L24="--",0,'callPut（W）'!L24)</f>
        <v>0</v>
      </c>
      <c r="F25" s="161">
        <f>IF('callPut（W）'!M24="--",0,'callPut（W）'!M24)</f>
        <v>0</v>
      </c>
      <c r="H25" s="161">
        <f>IF('callPut（F）'!D24="--",0,'callPut（F）'!D24)</f>
        <v>0</v>
      </c>
      <c r="I25" s="161">
        <f>IF('callPut（F）'!E24="--",0,'callPut（F）'!E24)</f>
        <v>0</v>
      </c>
      <c r="J25" s="165">
        <v>16600</v>
      </c>
      <c r="K25" s="161">
        <f>IF('callPut（F）'!L24="--",0,'callPut（F）'!L24)</f>
        <v>0</v>
      </c>
      <c r="L25" s="161">
        <f>IF('callPut（F）'!M24="--",0,'callPut（F）'!M24)</f>
        <v>0</v>
      </c>
      <c r="O25" s="160">
        <f t="shared" si="0"/>
        <v>0</v>
      </c>
      <c r="P25" s="160">
        <f t="shared" si="1"/>
        <v>0</v>
      </c>
      <c r="Q25" s="166">
        <v>16600</v>
      </c>
      <c r="R25" s="160">
        <f t="shared" si="2"/>
        <v>0</v>
      </c>
      <c r="S25" s="160">
        <f t="shared" si="3"/>
        <v>0</v>
      </c>
      <c r="T25" s="161"/>
      <c r="U25" s="160">
        <v>714</v>
      </c>
      <c r="V25" s="160">
        <v>297</v>
      </c>
      <c r="X25" s="160">
        <v>1</v>
      </c>
      <c r="Y25" s="160">
        <v>499</v>
      </c>
      <c r="AA25" s="160"/>
      <c r="AB25" s="162"/>
      <c r="AC25" s="162"/>
      <c r="AD25" s="162">
        <f t="shared" si="4"/>
        <v>0</v>
      </c>
      <c r="AE25" s="160">
        <v>23</v>
      </c>
    </row>
    <row r="26" spans="2:31" ht="15.75" x14ac:dyDescent="0.25">
      <c r="B26" s="161">
        <f>IF('callPut（W）'!D25="--",0,'callPut（W）'!D25)</f>
        <v>0</v>
      </c>
      <c r="C26" s="161">
        <f>IF('callPut（W）'!E25="--",0,'callPut（W）'!E25)</f>
        <v>0</v>
      </c>
      <c r="D26" s="165">
        <v>16650</v>
      </c>
      <c r="E26" s="161">
        <f>IF('callPut（W）'!L25="--",0,'callPut（W）'!L25)</f>
        <v>0</v>
      </c>
      <c r="F26" s="161">
        <f>IF('callPut（W）'!M25="--",0,'callPut（W）'!M25)</f>
        <v>0</v>
      </c>
      <c r="H26" s="161">
        <f>IF('callPut（F）'!D25="--",0,'callPut（F）'!D25)</f>
        <v>0</v>
      </c>
      <c r="I26" s="161">
        <f>IF('callPut（F）'!E25="--",0,'callPut（F）'!E25)</f>
        <v>0</v>
      </c>
      <c r="J26" s="165">
        <v>16650</v>
      </c>
      <c r="K26" s="161">
        <f>IF('callPut（F）'!L25="--",0,'callPut（F）'!L25)</f>
        <v>0</v>
      </c>
      <c r="L26" s="161">
        <f>IF('callPut（F）'!M25="--",0,'callPut（F）'!M25)</f>
        <v>0</v>
      </c>
      <c r="O26" s="160">
        <f t="shared" si="0"/>
        <v>0</v>
      </c>
      <c r="P26" s="160">
        <f t="shared" si="1"/>
        <v>0</v>
      </c>
      <c r="Q26" s="166">
        <v>16650</v>
      </c>
      <c r="R26" s="160">
        <f t="shared" si="2"/>
        <v>0</v>
      </c>
      <c r="S26" s="160">
        <f t="shared" si="3"/>
        <v>0</v>
      </c>
      <c r="T26" s="161"/>
      <c r="U26" s="160">
        <v>6</v>
      </c>
      <c r="V26" s="160">
        <v>295</v>
      </c>
      <c r="X26" s="160">
        <v>32.5</v>
      </c>
      <c r="Y26" s="160">
        <v>395</v>
      </c>
      <c r="AA26" s="160"/>
      <c r="AB26" s="162"/>
      <c r="AC26" s="162"/>
      <c r="AD26" s="162">
        <f t="shared" si="4"/>
        <v>0</v>
      </c>
      <c r="AE26" s="160">
        <v>24</v>
      </c>
    </row>
    <row r="27" spans="2:31" ht="15.75" x14ac:dyDescent="0.25">
      <c r="B27" s="161">
        <f>IF('callPut（W）'!D26="--",0,'callPut（W）'!D26)</f>
        <v>0</v>
      </c>
      <c r="C27" s="161">
        <f>IF('callPut（W）'!E26="--",0,'callPut（W）'!E26)</f>
        <v>0</v>
      </c>
      <c r="D27" s="165">
        <v>16700</v>
      </c>
      <c r="E27" s="161">
        <f>IF('callPut（W）'!L26="--",0,'callPut（W）'!L26)</f>
        <v>0</v>
      </c>
      <c r="F27" s="161">
        <f>IF('callPut（W）'!M26="--",0,'callPut（W）'!M26)</f>
        <v>0</v>
      </c>
      <c r="H27" s="161">
        <f>IF('callPut（F）'!D26="--",0,'callPut（F）'!D26)</f>
        <v>0</v>
      </c>
      <c r="I27" s="161">
        <f>IF('callPut（F）'!E26="--",0,'callPut（F）'!E26)</f>
        <v>0</v>
      </c>
      <c r="J27" s="165">
        <v>16700</v>
      </c>
      <c r="K27" s="161">
        <f>IF('callPut（F）'!L26="--",0,'callPut（F）'!L26)</f>
        <v>0</v>
      </c>
      <c r="L27" s="161">
        <f>IF('callPut（F）'!M26="--",0,'callPut（F）'!M26)</f>
        <v>0</v>
      </c>
      <c r="O27" s="160">
        <f t="shared" si="0"/>
        <v>0</v>
      </c>
      <c r="P27" s="160">
        <f t="shared" si="1"/>
        <v>0</v>
      </c>
      <c r="Q27" s="166">
        <v>16700</v>
      </c>
      <c r="R27" s="160">
        <f t="shared" si="2"/>
        <v>0</v>
      </c>
      <c r="S27" s="160">
        <f t="shared" si="3"/>
        <v>0</v>
      </c>
      <c r="T27" s="161"/>
      <c r="U27" s="160">
        <v>1.3</v>
      </c>
      <c r="V27" s="160">
        <v>262</v>
      </c>
      <c r="X27" s="160">
        <v>34.1</v>
      </c>
      <c r="Y27" s="160">
        <v>357</v>
      </c>
      <c r="AA27" s="160"/>
      <c r="AB27" s="162"/>
      <c r="AC27" s="162"/>
      <c r="AD27" s="162">
        <f t="shared" si="4"/>
        <v>0</v>
      </c>
      <c r="AE27" s="160">
        <v>25</v>
      </c>
    </row>
    <row r="28" spans="2:31" ht="15.75" x14ac:dyDescent="0.25">
      <c r="B28" s="161">
        <f>IF('callPut（W）'!D27="--",0,'callPut（W）'!D27)</f>
        <v>0</v>
      </c>
      <c r="C28" s="161">
        <f>IF('callPut（W）'!E27="--",0,'callPut（W）'!E27)</f>
        <v>0</v>
      </c>
      <c r="D28" s="165">
        <v>16750</v>
      </c>
      <c r="E28" s="161">
        <f>IF('callPut（W）'!L27="--",0,'callPut（W）'!L27)</f>
        <v>0</v>
      </c>
      <c r="F28" s="161">
        <f>IF('callPut（W）'!M27="--",0,'callPut（W）'!M27)</f>
        <v>0</v>
      </c>
      <c r="H28" s="161">
        <f>IF('callPut（F）'!D27="--",0,'callPut（F）'!D27)</f>
        <v>0</v>
      </c>
      <c r="I28" s="161">
        <f>IF('callPut（F）'!E27="--",0,'callPut（F）'!E27)</f>
        <v>0</v>
      </c>
      <c r="J28" s="165">
        <v>16750</v>
      </c>
      <c r="K28" s="161">
        <f>IF('callPut（F）'!L27="--",0,'callPut（F）'!L27)</f>
        <v>0</v>
      </c>
      <c r="L28" s="161">
        <f>IF('callPut（F）'!M27="--",0,'callPut（F）'!M27)</f>
        <v>0</v>
      </c>
      <c r="O28" s="160">
        <f t="shared" si="0"/>
        <v>0</v>
      </c>
      <c r="P28" s="160">
        <f t="shared" si="1"/>
        <v>0</v>
      </c>
      <c r="Q28" s="166">
        <v>16750</v>
      </c>
      <c r="R28" s="160">
        <f t="shared" si="2"/>
        <v>0</v>
      </c>
      <c r="S28" s="160">
        <f t="shared" si="3"/>
        <v>0</v>
      </c>
      <c r="T28" s="161"/>
      <c r="U28" s="160">
        <v>276</v>
      </c>
      <c r="V28" s="160">
        <v>215</v>
      </c>
      <c r="X28" s="160">
        <v>42.3</v>
      </c>
      <c r="Y28" s="160">
        <v>341</v>
      </c>
      <c r="AA28" s="160"/>
      <c r="AB28" s="162"/>
      <c r="AC28" s="162"/>
      <c r="AD28" s="162">
        <f t="shared" si="4"/>
        <v>0</v>
      </c>
      <c r="AE28" s="160">
        <v>26</v>
      </c>
    </row>
    <row r="29" spans="2:31" ht="15.75" x14ac:dyDescent="0.25">
      <c r="B29" s="161">
        <f>IF('callPut（W）'!D28="--",0,'callPut（W）'!D28)</f>
        <v>0</v>
      </c>
      <c r="C29" s="161">
        <f>IF('callPut（W）'!E28="--",0,'callPut（W）'!E28)</f>
        <v>0</v>
      </c>
      <c r="D29" s="165">
        <v>16800</v>
      </c>
      <c r="E29" s="161">
        <f>IF('callPut（W）'!L28="--",0,'callPut（W）'!L28)</f>
        <v>0</v>
      </c>
      <c r="F29" s="161">
        <f>IF('callPut（W）'!M28="--",0,'callPut（W）'!M28)</f>
        <v>0</v>
      </c>
      <c r="H29" s="161">
        <f>IF('callPut（F）'!D28="--",0,'callPut（F）'!D28)</f>
        <v>0</v>
      </c>
      <c r="I29" s="161">
        <f>IF('callPut（F）'!E28="--",0,'callPut（F）'!E28)</f>
        <v>0</v>
      </c>
      <c r="J29" s="165">
        <v>16800</v>
      </c>
      <c r="K29" s="161">
        <f>IF('callPut（F）'!L28="--",0,'callPut（F）'!L28)</f>
        <v>0</v>
      </c>
      <c r="L29" s="161">
        <f>IF('callPut（F）'!M28="--",0,'callPut（F）'!M28)</f>
        <v>0</v>
      </c>
      <c r="O29" s="160">
        <f t="shared" si="0"/>
        <v>0</v>
      </c>
      <c r="P29" s="160">
        <f t="shared" si="1"/>
        <v>0</v>
      </c>
      <c r="Q29" s="166">
        <v>16800</v>
      </c>
      <c r="R29" s="160">
        <f t="shared" si="2"/>
        <v>0</v>
      </c>
      <c r="S29" s="160">
        <f t="shared" si="3"/>
        <v>0</v>
      </c>
      <c r="T29" s="161"/>
      <c r="U29" s="160">
        <v>3.5</v>
      </c>
      <c r="V29" s="160">
        <v>188</v>
      </c>
      <c r="X29" s="160">
        <v>27</v>
      </c>
      <c r="Y29" s="160">
        <v>321</v>
      </c>
      <c r="AA29" s="160"/>
      <c r="AB29" s="162"/>
      <c r="AC29" s="162"/>
      <c r="AD29" s="162">
        <f t="shared" si="4"/>
        <v>0</v>
      </c>
      <c r="AE29" s="160">
        <v>27</v>
      </c>
    </row>
    <row r="30" spans="2:31" ht="15.75" x14ac:dyDescent="0.25">
      <c r="B30" s="161">
        <f>IF('callPut（W）'!D29="--",0,'callPut（W）'!D29)</f>
        <v>0</v>
      </c>
      <c r="C30" s="161">
        <f>IF('callPut（W）'!E29="--",0,'callPut（W）'!E29)</f>
        <v>0</v>
      </c>
      <c r="D30" s="165">
        <v>16850</v>
      </c>
      <c r="E30" s="161">
        <f>IF('callPut（W）'!L29="--",0,'callPut（W）'!L29)</f>
        <v>0</v>
      </c>
      <c r="F30" s="161">
        <f>IF('callPut（W）'!M29="--",0,'callPut（W）'!M29)</f>
        <v>0</v>
      </c>
      <c r="H30" s="161">
        <f>IF('callPut（F）'!D29="--",0,'callPut（F）'!D29)</f>
        <v>0</v>
      </c>
      <c r="I30" s="161">
        <f>IF('callPut（F）'!E29="--",0,'callPut（F）'!E29)</f>
        <v>0</v>
      </c>
      <c r="J30" s="165">
        <v>16850</v>
      </c>
      <c r="K30" s="161">
        <f>IF('callPut（F）'!L29="--",0,'callPut（F）'!L29)</f>
        <v>0</v>
      </c>
      <c r="L30" s="161">
        <f>IF('callPut（F）'!M29="--",0,'callPut（F）'!M29)</f>
        <v>0</v>
      </c>
      <c r="O30" s="160">
        <f t="shared" si="0"/>
        <v>0</v>
      </c>
      <c r="P30" s="160">
        <f t="shared" si="1"/>
        <v>0</v>
      </c>
      <c r="Q30" s="166">
        <v>16850</v>
      </c>
      <c r="R30" s="160">
        <f t="shared" si="2"/>
        <v>0</v>
      </c>
      <c r="S30" s="160">
        <f t="shared" si="3"/>
        <v>0</v>
      </c>
      <c r="T30" s="161"/>
      <c r="U30" s="160">
        <v>922</v>
      </c>
      <c r="V30" s="160">
        <v>73</v>
      </c>
      <c r="X30" s="160">
        <v>311</v>
      </c>
      <c r="Y30" s="160">
        <v>272</v>
      </c>
      <c r="AA30" s="160"/>
      <c r="AB30" s="162"/>
      <c r="AC30" s="162"/>
      <c r="AD30" s="162">
        <f t="shared" si="4"/>
        <v>0</v>
      </c>
      <c r="AE30" s="160">
        <v>28</v>
      </c>
    </row>
    <row r="31" spans="2:31" ht="15.75" x14ac:dyDescent="0.25">
      <c r="B31" s="161">
        <f>IF('callPut（W）'!D30="--",0,'callPut（W）'!D30)</f>
        <v>0</v>
      </c>
      <c r="C31" s="161">
        <f>IF('callPut（W）'!E30="--",0,'callPut（W）'!E30)</f>
        <v>0</v>
      </c>
      <c r="D31" s="165">
        <v>16900</v>
      </c>
      <c r="E31" s="161">
        <f>IF('callPut（W）'!L30="--",0,'callPut（W）'!L30)</f>
        <v>0</v>
      </c>
      <c r="F31" s="161">
        <f>IF('callPut（W）'!M30="--",0,'callPut（W）'!M30)</f>
        <v>0</v>
      </c>
      <c r="H31" s="161">
        <f>IF('callPut（F）'!D30="--",0,'callPut（F）'!D30)</f>
        <v>0</v>
      </c>
      <c r="I31" s="161">
        <f>IF('callPut（F）'!E30="--",0,'callPut（F）'!E30)</f>
        <v>0</v>
      </c>
      <c r="J31" s="165">
        <v>16900</v>
      </c>
      <c r="K31" s="161">
        <f>IF('callPut（F）'!L30="--",0,'callPut（F）'!L30)</f>
        <v>0</v>
      </c>
      <c r="L31" s="161">
        <f>IF('callPut（F）'!M30="--",0,'callPut（F）'!M30)</f>
        <v>0</v>
      </c>
      <c r="O31" s="160">
        <f t="shared" si="0"/>
        <v>0</v>
      </c>
      <c r="P31" s="160">
        <f t="shared" si="1"/>
        <v>0</v>
      </c>
      <c r="Q31" s="166">
        <v>16900</v>
      </c>
      <c r="R31" s="160">
        <f t="shared" si="2"/>
        <v>0</v>
      </c>
      <c r="S31" s="160">
        <f t="shared" si="3"/>
        <v>0</v>
      </c>
      <c r="T31" s="161"/>
      <c r="U31" s="160">
        <v>370</v>
      </c>
      <c r="V31" s="160">
        <v>19</v>
      </c>
      <c r="X31" s="160">
        <v>18.7</v>
      </c>
      <c r="Y31" s="160">
        <v>243</v>
      </c>
      <c r="AA31" s="160"/>
      <c r="AB31" s="162"/>
      <c r="AC31" s="162"/>
      <c r="AD31" s="162">
        <f t="shared" si="4"/>
        <v>0</v>
      </c>
      <c r="AE31" s="160">
        <v>29</v>
      </c>
    </row>
    <row r="32" spans="2:31" ht="15.75" x14ac:dyDescent="0.25">
      <c r="B32" s="161">
        <f>IF('callPut（W）'!D31="--",0,'callPut（W）'!D31)</f>
        <v>0</v>
      </c>
      <c r="C32" s="161">
        <f>IF('callPut（W）'!E31="--",0,'callPut（W）'!E31)</f>
        <v>0</v>
      </c>
      <c r="D32" s="165">
        <v>16950</v>
      </c>
      <c r="E32" s="161">
        <f>IF('callPut（W）'!L31="--",0,'callPut（W）'!L31)</f>
        <v>0</v>
      </c>
      <c r="F32" s="161">
        <f>IF('callPut（W）'!M31="--",0,'callPut（W）'!M31)</f>
        <v>0</v>
      </c>
      <c r="H32" s="161">
        <f>IF('callPut（F）'!D31="--",0,'callPut（F）'!D31)</f>
        <v>0</v>
      </c>
      <c r="I32" s="161">
        <f>IF('callPut（F）'!E31="--",0,'callPut（F）'!E31)</f>
        <v>0</v>
      </c>
      <c r="J32" s="165">
        <v>16950</v>
      </c>
      <c r="K32" s="161">
        <f>IF('callPut（F）'!L31="--",0,'callPut（F）'!L31)</f>
        <v>0</v>
      </c>
      <c r="L32" s="161">
        <f>IF('callPut（F）'!M31="--",0,'callPut（F）'!M31)</f>
        <v>0</v>
      </c>
      <c r="O32" s="160">
        <f t="shared" si="0"/>
        <v>0</v>
      </c>
      <c r="P32" s="160">
        <f t="shared" si="1"/>
        <v>0</v>
      </c>
      <c r="Q32" s="166">
        <v>16950</v>
      </c>
      <c r="R32" s="160">
        <f t="shared" si="2"/>
        <v>0</v>
      </c>
      <c r="S32" s="160">
        <f t="shared" si="3"/>
        <v>0</v>
      </c>
      <c r="T32" s="161"/>
      <c r="U32" s="160">
        <v>1235</v>
      </c>
      <c r="V32" s="160">
        <v>12</v>
      </c>
      <c r="X32" s="160">
        <v>713</v>
      </c>
      <c r="Y32" s="160">
        <v>185</v>
      </c>
      <c r="AA32" s="160"/>
      <c r="AB32" s="162"/>
      <c r="AC32" s="162"/>
      <c r="AD32" s="162">
        <f t="shared" si="4"/>
        <v>0</v>
      </c>
      <c r="AE32" s="160">
        <v>30</v>
      </c>
    </row>
    <row r="33" spans="2:31" ht="15.75" x14ac:dyDescent="0.25">
      <c r="B33" s="161">
        <f>IF('callPut（W）'!D32="--",0,'callPut（W）'!D32)</f>
        <v>0</v>
      </c>
      <c r="C33" s="161">
        <f>IF('callPut（W）'!E32="--",0,'callPut（W）'!E32)</f>
        <v>0</v>
      </c>
      <c r="D33" s="165">
        <v>17000</v>
      </c>
      <c r="E33" s="161">
        <f>IF('callPut（W）'!L32="--",0,'callPut（W）'!L32)</f>
        <v>0</v>
      </c>
      <c r="F33" s="161">
        <f>IF('callPut（W）'!M32="--",0,'callPut（W）'!M32)</f>
        <v>0</v>
      </c>
      <c r="H33" s="161">
        <f>IF('callPut（F）'!D32="--",0,'callPut（F）'!D32)</f>
        <v>0</v>
      </c>
      <c r="I33" s="161">
        <f>IF('callPut（F）'!E32="--",0,'callPut（F）'!E32)</f>
        <v>0</v>
      </c>
      <c r="J33" s="165">
        <v>17000</v>
      </c>
      <c r="K33" s="161">
        <f>IF('callPut（F）'!L32="--",0,'callPut（F）'!L32)</f>
        <v>0</v>
      </c>
      <c r="L33" s="161">
        <f>IF('callPut（F）'!M32="--",0,'callPut（F）'!M32)</f>
        <v>0</v>
      </c>
      <c r="O33" s="160">
        <f t="shared" si="0"/>
        <v>0</v>
      </c>
      <c r="P33" s="160">
        <f t="shared" si="1"/>
        <v>0</v>
      </c>
      <c r="Q33" s="166">
        <v>17000</v>
      </c>
      <c r="R33" s="160">
        <f t="shared" si="2"/>
        <v>0</v>
      </c>
      <c r="S33" s="160">
        <f t="shared" si="3"/>
        <v>0</v>
      </c>
      <c r="T33" s="161"/>
      <c r="U33" s="160">
        <v>700</v>
      </c>
      <c r="V33" s="160">
        <v>10</v>
      </c>
      <c r="X33" s="160">
        <v>32</v>
      </c>
      <c r="Y33" s="160">
        <v>181</v>
      </c>
      <c r="AA33" s="160"/>
      <c r="AB33" s="162"/>
      <c r="AC33" s="162"/>
      <c r="AD33" s="162">
        <f t="shared" si="4"/>
        <v>0</v>
      </c>
      <c r="AE33" s="160">
        <v>31</v>
      </c>
    </row>
    <row r="34" spans="2:31" ht="15.75" x14ac:dyDescent="0.25">
      <c r="B34" s="161">
        <f>IF('callPut（W）'!D33="--",0,'callPut（W）'!D33)</f>
        <v>0</v>
      </c>
      <c r="C34" s="161">
        <f>IF('callPut（W）'!E33="--",0,'callPut（W）'!E33)</f>
        <v>0</v>
      </c>
      <c r="D34" s="165">
        <v>17050</v>
      </c>
      <c r="E34" s="161">
        <f>IF('callPut（W）'!L33="--",0,'callPut（W）'!L33)</f>
        <v>0</v>
      </c>
      <c r="F34" s="161">
        <f>IF('callPut（W）'!M33="--",0,'callPut（W）'!M33)</f>
        <v>0</v>
      </c>
      <c r="H34" s="161">
        <f>IF('callPut（F）'!D33="--",0,'callPut（F）'!D33)</f>
        <v>0</v>
      </c>
      <c r="I34" s="161">
        <f>IF('callPut（F）'!E33="--",0,'callPut（F）'!E33)</f>
        <v>0</v>
      </c>
      <c r="J34" s="165">
        <v>17050</v>
      </c>
      <c r="K34" s="161">
        <f>IF('callPut（F）'!L33="--",0,'callPut（F）'!L33)</f>
        <v>0</v>
      </c>
      <c r="L34" s="161">
        <f>IF('callPut（F）'!M33="--",0,'callPut（F）'!M33)</f>
        <v>0</v>
      </c>
      <c r="O34" s="160">
        <f t="shared" si="0"/>
        <v>0</v>
      </c>
      <c r="P34" s="160">
        <f t="shared" si="1"/>
        <v>0</v>
      </c>
      <c r="Q34" s="166">
        <v>17050</v>
      </c>
      <c r="R34" s="160">
        <f t="shared" si="2"/>
        <v>0</v>
      </c>
      <c r="S34" s="160">
        <f t="shared" si="3"/>
        <v>0</v>
      </c>
      <c r="T34" s="161"/>
      <c r="U34" s="160">
        <v>780</v>
      </c>
      <c r="V34" s="160">
        <v>9</v>
      </c>
      <c r="X34" s="160">
        <v>24.1</v>
      </c>
      <c r="Y34" s="160">
        <v>174</v>
      </c>
      <c r="AA34" s="160"/>
      <c r="AB34" s="162"/>
      <c r="AC34" s="162"/>
      <c r="AD34" s="162">
        <f t="shared" si="4"/>
        <v>0</v>
      </c>
      <c r="AE34" s="160">
        <v>32</v>
      </c>
    </row>
    <row r="35" spans="2:31" ht="15.75" x14ac:dyDescent="0.25">
      <c r="B35" s="161">
        <f>IF('callPut（W）'!D34="--",0,'callPut（W）'!D34)</f>
        <v>0</v>
      </c>
      <c r="C35" s="161">
        <f>IF('callPut（W）'!E34="--",0,'callPut（W）'!E34)</f>
        <v>0</v>
      </c>
      <c r="D35" s="165">
        <v>17100</v>
      </c>
      <c r="E35" s="161">
        <f>IF('callPut（W）'!L34="--",0,'callPut（W）'!L34)</f>
        <v>0</v>
      </c>
      <c r="F35" s="161">
        <f>IF('callPut（W）'!M34="--",0,'callPut（W）'!M34)</f>
        <v>0</v>
      </c>
      <c r="H35" s="161">
        <f>IF('callPut（F）'!D34="--",0,'callPut（F）'!D34)</f>
        <v>0</v>
      </c>
      <c r="I35" s="161">
        <f>IF('callPut（F）'!E34="--",0,'callPut（F）'!E34)</f>
        <v>0</v>
      </c>
      <c r="J35" s="165">
        <v>17100</v>
      </c>
      <c r="K35" s="161">
        <f>IF('callPut（F）'!L34="--",0,'callPut（F）'!L34)</f>
        <v>0</v>
      </c>
      <c r="L35" s="161">
        <f>IF('callPut（F）'!M34="--",0,'callPut（F）'!M34)</f>
        <v>0</v>
      </c>
      <c r="O35" s="160">
        <f t="shared" si="0"/>
        <v>0</v>
      </c>
      <c r="P35" s="160">
        <f t="shared" si="1"/>
        <v>0</v>
      </c>
      <c r="Q35" s="166">
        <v>17100</v>
      </c>
      <c r="R35" s="160">
        <f t="shared" si="2"/>
        <v>0</v>
      </c>
      <c r="S35" s="160">
        <f t="shared" si="3"/>
        <v>0</v>
      </c>
      <c r="T35" s="161"/>
      <c r="U35" s="160">
        <v>525</v>
      </c>
      <c r="V35" s="160">
        <v>9</v>
      </c>
      <c r="X35" s="160">
        <v>16.7</v>
      </c>
      <c r="Y35" s="160">
        <v>158</v>
      </c>
      <c r="AA35" s="160"/>
      <c r="AB35" s="162"/>
      <c r="AC35" s="162"/>
      <c r="AD35" s="162">
        <f t="shared" si="4"/>
        <v>0</v>
      </c>
      <c r="AE35" s="160">
        <v>33</v>
      </c>
    </row>
    <row r="36" spans="2:31" ht="15.75" x14ac:dyDescent="0.25">
      <c r="B36" s="161">
        <f>IF('callPut（W）'!D35="--",0,'callPut（W）'!D35)</f>
        <v>0</v>
      </c>
      <c r="C36" s="161">
        <f>IF('callPut（W）'!E35="--",0,'callPut（W）'!E35)</f>
        <v>0</v>
      </c>
      <c r="D36" s="165">
        <v>17150</v>
      </c>
      <c r="E36" s="161">
        <f>IF('callPut（W）'!L35="--",0,'callPut（W）'!L35)</f>
        <v>0</v>
      </c>
      <c r="F36" s="161">
        <f>IF('callPut（W）'!M35="--",0,'callPut（W）'!M35)</f>
        <v>0</v>
      </c>
      <c r="H36" s="161">
        <f>IF('callPut（F）'!D35="--",0,'callPut（F）'!D35)</f>
        <v>0</v>
      </c>
      <c r="I36" s="161">
        <f>IF('callPut（F）'!E35="--",0,'callPut（F）'!E35)</f>
        <v>0</v>
      </c>
      <c r="J36" s="165">
        <v>17150</v>
      </c>
      <c r="K36" s="161">
        <f>IF('callPut（F）'!L35="--",0,'callPut（F）'!L35)</f>
        <v>0</v>
      </c>
      <c r="L36" s="161">
        <f>IF('callPut（F）'!M35="--",0,'callPut（F）'!M35)</f>
        <v>0</v>
      </c>
      <c r="O36" s="160">
        <f t="shared" si="0"/>
        <v>0</v>
      </c>
      <c r="P36" s="160">
        <f t="shared" si="1"/>
        <v>0</v>
      </c>
      <c r="Q36" s="166">
        <v>17150</v>
      </c>
      <c r="R36" s="160">
        <f t="shared" si="2"/>
        <v>0</v>
      </c>
      <c r="S36" s="160">
        <f t="shared" si="3"/>
        <v>0</v>
      </c>
      <c r="T36" s="161"/>
      <c r="U36" s="160">
        <v>0.4</v>
      </c>
      <c r="V36" s="160">
        <v>9</v>
      </c>
      <c r="X36" s="160">
        <v>38</v>
      </c>
      <c r="Y36" s="160">
        <v>121</v>
      </c>
      <c r="AA36" s="160"/>
      <c r="AB36" s="162"/>
      <c r="AC36" s="162"/>
      <c r="AD36" s="162">
        <f t="shared" si="4"/>
        <v>0</v>
      </c>
      <c r="AE36" s="160">
        <v>34</v>
      </c>
    </row>
    <row r="37" spans="2:31" ht="15.75" x14ac:dyDescent="0.25">
      <c r="B37" s="161">
        <f>IF('callPut（W）'!D36="--",0,'callPut（W）'!D36)</f>
        <v>0</v>
      </c>
      <c r="C37" s="161">
        <f>IF('callPut（W）'!E36="--",0,'callPut（W）'!E36)</f>
        <v>0</v>
      </c>
      <c r="D37" s="165">
        <v>17200</v>
      </c>
      <c r="E37" s="161">
        <f>IF('callPut（W）'!L36="--",0,'callPut（W）'!L36)</f>
        <v>0</v>
      </c>
      <c r="F37" s="161">
        <f>IF('callPut（W）'!M36="--",0,'callPut（W）'!M36)</f>
        <v>0</v>
      </c>
      <c r="H37" s="161">
        <f>IF('callPut（F）'!D36="--",0,'callPut（F）'!D36)</f>
        <v>0</v>
      </c>
      <c r="I37" s="161">
        <f>IF('callPut（F）'!E36="--",0,'callPut（F）'!E36)</f>
        <v>0</v>
      </c>
      <c r="J37" s="165">
        <v>17200</v>
      </c>
      <c r="K37" s="161">
        <f>IF('callPut（F）'!L36="--",0,'callPut（F）'!L36)</f>
        <v>0</v>
      </c>
      <c r="L37" s="161">
        <f>IF('callPut（F）'!M36="--",0,'callPut（F）'!M36)</f>
        <v>0</v>
      </c>
      <c r="O37" s="160">
        <f t="shared" si="0"/>
        <v>0</v>
      </c>
      <c r="P37" s="160">
        <f t="shared" si="1"/>
        <v>0</v>
      </c>
      <c r="Q37" s="166">
        <v>17200</v>
      </c>
      <c r="R37" s="160">
        <f t="shared" si="2"/>
        <v>0</v>
      </c>
      <c r="S37" s="160">
        <f t="shared" si="3"/>
        <v>0</v>
      </c>
      <c r="T37" s="161"/>
      <c r="U37" s="160">
        <v>0.4</v>
      </c>
      <c r="V37" s="160">
        <v>6</v>
      </c>
      <c r="X37" s="160">
        <v>25.5</v>
      </c>
      <c r="Y37" s="160">
        <v>119</v>
      </c>
      <c r="AA37" s="160"/>
      <c r="AB37" s="162"/>
      <c r="AC37" s="162"/>
      <c r="AD37" s="162">
        <f t="shared" si="4"/>
        <v>0</v>
      </c>
      <c r="AE37" s="160">
        <v>35</v>
      </c>
    </row>
    <row r="38" spans="2:31" ht="15.75" x14ac:dyDescent="0.25">
      <c r="B38" s="161">
        <f>IF('callPut（W）'!D37="--",0,'callPut（W）'!D37)</f>
        <v>0</v>
      </c>
      <c r="C38" s="161">
        <f>IF('callPut（W）'!E37="--",0,'callPut（W）'!E37)</f>
        <v>0</v>
      </c>
      <c r="D38" s="165">
        <v>17250</v>
      </c>
      <c r="E38" s="161">
        <f>IF('callPut（W）'!L37="--",0,'callPut（W）'!L37)</f>
        <v>0</v>
      </c>
      <c r="F38" s="161">
        <f>IF('callPut（W）'!M37="--",0,'callPut（W）'!M37)</f>
        <v>0</v>
      </c>
      <c r="H38" s="161">
        <f>IF('callPut（F）'!D37="--",0,'callPut（F）'!D37)</f>
        <v>0</v>
      </c>
      <c r="I38" s="161">
        <f>IF('callPut（F）'!E37="--",0,'callPut（F）'!E37)</f>
        <v>0</v>
      </c>
      <c r="J38" s="165">
        <v>17250</v>
      </c>
      <c r="K38" s="161">
        <f>IF('callPut（F）'!L37="--",0,'callPut（F）'!L37)</f>
        <v>0</v>
      </c>
      <c r="L38" s="161">
        <f>IF('callPut（F）'!M37="--",0,'callPut（F）'!M37)</f>
        <v>0</v>
      </c>
      <c r="O38" s="160">
        <f t="shared" si="0"/>
        <v>0</v>
      </c>
      <c r="P38" s="160">
        <f t="shared" si="1"/>
        <v>0</v>
      </c>
      <c r="Q38" s="166">
        <v>17250</v>
      </c>
      <c r="R38" s="160">
        <f t="shared" si="2"/>
        <v>0</v>
      </c>
      <c r="S38" s="160">
        <f t="shared" si="3"/>
        <v>0</v>
      </c>
      <c r="T38" s="161"/>
      <c r="U38" s="160">
        <v>1</v>
      </c>
      <c r="V38" s="160">
        <v>5</v>
      </c>
      <c r="X38" s="160">
        <v>10.1</v>
      </c>
      <c r="Y38" s="160">
        <v>113</v>
      </c>
      <c r="AA38" s="160"/>
      <c r="AB38" s="162"/>
      <c r="AC38" s="162"/>
      <c r="AD38" s="162">
        <f t="shared" si="4"/>
        <v>0</v>
      </c>
      <c r="AE38" s="160">
        <v>36</v>
      </c>
    </row>
    <row r="39" spans="2:31" ht="15.75" x14ac:dyDescent="0.25">
      <c r="B39" s="161">
        <f>IF('callPut（W）'!D38="--",0,'callPut（W）'!D38)</f>
        <v>0</v>
      </c>
      <c r="C39" s="161">
        <f>IF('callPut（W）'!E38="--",0,'callPut（W）'!E38)</f>
        <v>0</v>
      </c>
      <c r="D39" s="165">
        <v>17300</v>
      </c>
      <c r="E39" s="161">
        <f>IF('callPut（W）'!L38="--",0,'callPut（W）'!L38)</f>
        <v>0</v>
      </c>
      <c r="F39" s="161">
        <f>IF('callPut（W）'!M38="--",0,'callPut（W）'!M38)</f>
        <v>0</v>
      </c>
      <c r="H39" s="161">
        <f>IF('callPut（F）'!D38="--",0,'callPut（F）'!D38)</f>
        <v>0</v>
      </c>
      <c r="I39" s="161">
        <f>IF('callPut（F）'!E38="--",0,'callPut（F）'!E38)</f>
        <v>0</v>
      </c>
      <c r="J39" s="165">
        <v>17300</v>
      </c>
      <c r="K39" s="161">
        <f>IF('callPut（F）'!L38="--",0,'callPut（F）'!L38)</f>
        <v>0</v>
      </c>
      <c r="L39" s="161">
        <f>IF('callPut（F）'!M38="--",0,'callPut（F）'!M38)</f>
        <v>0</v>
      </c>
      <c r="O39" s="160">
        <f t="shared" si="0"/>
        <v>0</v>
      </c>
      <c r="P39" s="160">
        <f t="shared" si="1"/>
        <v>0</v>
      </c>
      <c r="Q39" s="166">
        <v>17300</v>
      </c>
      <c r="R39" s="160">
        <f t="shared" si="2"/>
        <v>0</v>
      </c>
      <c r="S39" s="160">
        <f t="shared" si="3"/>
        <v>0</v>
      </c>
      <c r="T39" s="161"/>
      <c r="U39" s="160">
        <v>462</v>
      </c>
      <c r="V39" s="160">
        <v>4</v>
      </c>
      <c r="X39" s="160">
        <v>1.3</v>
      </c>
      <c r="Y39" s="160">
        <v>101</v>
      </c>
      <c r="AA39" s="160"/>
      <c r="AB39" s="162"/>
      <c r="AC39" s="162"/>
      <c r="AD39" s="162">
        <f t="shared" si="4"/>
        <v>0</v>
      </c>
      <c r="AE39" s="160">
        <v>37</v>
      </c>
    </row>
    <row r="40" spans="2:31" ht="15.75" x14ac:dyDescent="0.25">
      <c r="B40" s="161">
        <f>IF('callPut（W）'!D39="--",0,'callPut（W）'!D39)</f>
        <v>0</v>
      </c>
      <c r="C40" s="161">
        <f>IF('callPut（W）'!E39="--",0,'callPut（W）'!E39)</f>
        <v>0</v>
      </c>
      <c r="D40" s="165">
        <v>17350</v>
      </c>
      <c r="E40" s="161">
        <f>IF('callPut（W）'!L39="--",0,'callPut（W）'!L39)</f>
        <v>0</v>
      </c>
      <c r="F40" s="161">
        <f>IF('callPut（W）'!M39="--",0,'callPut（W）'!M39)</f>
        <v>0</v>
      </c>
      <c r="H40" s="161">
        <f>IF('callPut（F）'!D39="--",0,'callPut（F）'!D39)</f>
        <v>0</v>
      </c>
      <c r="I40" s="161">
        <f>IF('callPut（F）'!E39="--",0,'callPut（F）'!E39)</f>
        <v>0</v>
      </c>
      <c r="J40" s="165">
        <v>17350</v>
      </c>
      <c r="K40" s="161">
        <f>IF('callPut（F）'!L39="--",0,'callPut（F）'!L39)</f>
        <v>0</v>
      </c>
      <c r="L40" s="161">
        <f>IF('callPut（F）'!M39="--",0,'callPut（F）'!M39)</f>
        <v>0</v>
      </c>
      <c r="O40" s="160">
        <f t="shared" si="0"/>
        <v>0</v>
      </c>
      <c r="P40" s="160">
        <f t="shared" si="1"/>
        <v>0</v>
      </c>
      <c r="Q40" s="166">
        <v>17350</v>
      </c>
      <c r="R40" s="160">
        <f t="shared" si="2"/>
        <v>0</v>
      </c>
      <c r="S40" s="160">
        <f t="shared" si="3"/>
        <v>0</v>
      </c>
      <c r="T40" s="161"/>
      <c r="U40" s="160">
        <v>1050</v>
      </c>
      <c r="V40" s="160">
        <v>2</v>
      </c>
      <c r="X40" s="160">
        <v>8.6999999999999993</v>
      </c>
      <c r="Y40" s="160">
        <v>93</v>
      </c>
      <c r="AA40" s="160"/>
      <c r="AB40" s="162"/>
      <c r="AC40" s="162"/>
      <c r="AD40" s="162">
        <f t="shared" si="4"/>
        <v>0</v>
      </c>
      <c r="AE40" s="160">
        <v>38</v>
      </c>
    </row>
    <row r="41" spans="2:31" ht="15.75" x14ac:dyDescent="0.25">
      <c r="B41" s="161">
        <f>IF('callPut（W）'!D40="--",0,'callPut（W）'!D40)</f>
        <v>0</v>
      </c>
      <c r="C41" s="161">
        <f>IF('callPut（W）'!E40="--",0,'callPut（W）'!E40)</f>
        <v>0</v>
      </c>
      <c r="D41" s="165">
        <v>17400</v>
      </c>
      <c r="E41" s="161">
        <f>IF('callPut（W）'!L40="--",0,'callPut（W）'!L40)</f>
        <v>0</v>
      </c>
      <c r="F41" s="161">
        <f>IF('callPut（W）'!M40="--",0,'callPut（W）'!M40)</f>
        <v>0</v>
      </c>
      <c r="H41" s="161">
        <f>IF('callPut（F）'!D40="--",0,'callPut（F）'!D40)</f>
        <v>0</v>
      </c>
      <c r="I41" s="161">
        <f>IF('callPut（F）'!E40="--",0,'callPut（F）'!E40)</f>
        <v>0</v>
      </c>
      <c r="J41" s="165">
        <v>17400</v>
      </c>
      <c r="K41" s="161">
        <f>IF('callPut（F）'!L40="--",0,'callPut（F）'!L40)</f>
        <v>0</v>
      </c>
      <c r="L41" s="161">
        <f>IF('callPut（F）'!M40="--",0,'callPut（F）'!M40)</f>
        <v>0</v>
      </c>
      <c r="O41" s="160">
        <f t="shared" si="0"/>
        <v>0</v>
      </c>
      <c r="P41" s="160">
        <f t="shared" si="1"/>
        <v>0</v>
      </c>
      <c r="Q41" s="166">
        <v>17400</v>
      </c>
      <c r="R41" s="160">
        <f t="shared" si="2"/>
        <v>0</v>
      </c>
      <c r="S41" s="160">
        <f t="shared" si="3"/>
        <v>0</v>
      </c>
      <c r="T41" s="161"/>
      <c r="U41" s="160">
        <v>645</v>
      </c>
      <c r="V41" s="160">
        <v>2</v>
      </c>
      <c r="X41" s="160">
        <v>392</v>
      </c>
      <c r="Y41" s="160">
        <v>85</v>
      </c>
      <c r="AA41" s="160"/>
      <c r="AB41" s="162"/>
      <c r="AC41" s="162"/>
      <c r="AD41" s="162">
        <f t="shared" si="4"/>
        <v>0</v>
      </c>
      <c r="AE41" s="160">
        <v>39</v>
      </c>
    </row>
    <row r="42" spans="2:31" ht="15.75" x14ac:dyDescent="0.25">
      <c r="B42" s="161">
        <f>IF('callPut（W）'!D41="--",0,'callPut（W）'!D41)</f>
        <v>0</v>
      </c>
      <c r="C42" s="161">
        <f>IF('callPut（W）'!E41="--",0,'callPut（W）'!E41)</f>
        <v>0</v>
      </c>
      <c r="D42" s="165">
        <v>17450</v>
      </c>
      <c r="E42" s="161">
        <f>IF('callPut（W）'!L41="--",0,'callPut（W）'!L41)</f>
        <v>0</v>
      </c>
      <c r="F42" s="161">
        <f>IF('callPut（W）'!M41="--",0,'callPut（W）'!M41)</f>
        <v>0</v>
      </c>
      <c r="H42" s="161">
        <f>IF('callPut（F）'!D41="--",0,'callPut（F）'!D41)</f>
        <v>0</v>
      </c>
      <c r="I42" s="161">
        <f>IF('callPut（F）'!E41="--",0,'callPut（F）'!E41)</f>
        <v>0</v>
      </c>
      <c r="J42" s="165">
        <v>17450</v>
      </c>
      <c r="K42" s="161">
        <f>IF('callPut（F）'!L41="--",0,'callPut（F）'!L41)</f>
        <v>0</v>
      </c>
      <c r="L42" s="161">
        <f>IF('callPut（F）'!M41="--",0,'callPut（F）'!M41)</f>
        <v>0</v>
      </c>
      <c r="O42" s="160">
        <f t="shared" si="0"/>
        <v>0</v>
      </c>
      <c r="P42" s="160">
        <f t="shared" si="1"/>
        <v>0</v>
      </c>
      <c r="Q42" s="166">
        <v>17450</v>
      </c>
      <c r="R42" s="160">
        <f t="shared" si="2"/>
        <v>0</v>
      </c>
      <c r="S42" s="160">
        <f t="shared" si="3"/>
        <v>0</v>
      </c>
      <c r="T42" s="161"/>
      <c r="U42" s="160">
        <v>2360</v>
      </c>
      <c r="V42" s="160">
        <v>1</v>
      </c>
      <c r="X42" s="160">
        <v>11.6</v>
      </c>
      <c r="Y42" s="160">
        <v>77</v>
      </c>
      <c r="AA42" s="160"/>
      <c r="AB42" s="162"/>
      <c r="AC42" s="162"/>
      <c r="AD42" s="162">
        <f t="shared" si="4"/>
        <v>0</v>
      </c>
      <c r="AE42" s="160">
        <v>40</v>
      </c>
    </row>
    <row r="43" spans="2:31" ht="15.75" x14ac:dyDescent="0.25">
      <c r="B43" s="161">
        <f>IF('callPut（W）'!D42="--",0,'callPut（W）'!D42)</f>
        <v>0</v>
      </c>
      <c r="C43" s="161">
        <f>IF('callPut（W）'!E42="--",0,'callPut（W）'!E42)</f>
        <v>0</v>
      </c>
      <c r="D43" s="165">
        <v>17500</v>
      </c>
      <c r="E43" s="161">
        <f>IF('callPut（W）'!L42="--",0,'callPut（W）'!L42)</f>
        <v>0</v>
      </c>
      <c r="F43" s="161">
        <f>IF('callPut（W）'!M42="--",0,'callPut（W）'!M42)</f>
        <v>0</v>
      </c>
      <c r="H43" s="161">
        <f>IF('callPut（F）'!D42="--",0,'callPut（F）'!D42)</f>
        <v>0</v>
      </c>
      <c r="I43" s="161">
        <f>IF('callPut（F）'!E42="--",0,'callPut（F）'!E42)</f>
        <v>0</v>
      </c>
      <c r="J43" s="165">
        <v>17500</v>
      </c>
      <c r="K43" s="161">
        <f>IF('callPut（F）'!L42="--",0,'callPut（F）'!L42)</f>
        <v>0</v>
      </c>
      <c r="L43" s="161">
        <f>IF('callPut（F）'!M42="--",0,'callPut（F）'!M42)</f>
        <v>0</v>
      </c>
      <c r="O43" s="160">
        <f t="shared" si="0"/>
        <v>0</v>
      </c>
      <c r="P43" s="160">
        <f t="shared" si="1"/>
        <v>0</v>
      </c>
      <c r="Q43" s="166">
        <v>17500</v>
      </c>
      <c r="R43" s="160">
        <f t="shared" si="2"/>
        <v>0</v>
      </c>
      <c r="S43" s="160">
        <f t="shared" si="3"/>
        <v>0</v>
      </c>
      <c r="T43" s="161"/>
      <c r="U43" s="160">
        <v>975</v>
      </c>
      <c r="V43" s="160">
        <v>1</v>
      </c>
      <c r="X43" s="160">
        <v>2</v>
      </c>
      <c r="Y43" s="160">
        <v>63</v>
      </c>
      <c r="AA43" s="160"/>
      <c r="AB43" s="162"/>
      <c r="AC43" s="162"/>
      <c r="AD43" s="162">
        <f t="shared" si="4"/>
        <v>0</v>
      </c>
      <c r="AE43" s="160">
        <v>41</v>
      </c>
    </row>
    <row r="44" spans="2:31" ht="15.75" x14ac:dyDescent="0.25">
      <c r="B44" s="161">
        <f>IF('callPut（W）'!D43="--",0,'callPut（W）'!D43)</f>
        <v>0</v>
      </c>
      <c r="C44" s="161">
        <f>IF('callPut（W）'!E43="--",0,'callPut（W）'!E43)</f>
        <v>0</v>
      </c>
      <c r="D44" s="165">
        <v>17550</v>
      </c>
      <c r="E44" s="161">
        <f>IF('callPut（W）'!L43="--",0,'callPut（W）'!L43)</f>
        <v>0</v>
      </c>
      <c r="F44" s="161">
        <f>IF('callPut（W）'!M43="--",0,'callPut（W）'!M43)</f>
        <v>0</v>
      </c>
      <c r="H44" s="161">
        <f>IF('callPut（F）'!D43="--",0,'callPut（F）'!D43)</f>
        <v>0</v>
      </c>
      <c r="I44" s="161">
        <f>IF('callPut（F）'!E43="--",0,'callPut（F）'!E43)</f>
        <v>0</v>
      </c>
      <c r="J44" s="165">
        <v>17550</v>
      </c>
      <c r="K44" s="161">
        <f>IF('callPut（F）'!L43="--",0,'callPut（F）'!L43)</f>
        <v>0</v>
      </c>
      <c r="L44" s="161">
        <f>IF('callPut（F）'!M43="--",0,'callPut（F）'!M43)</f>
        <v>0</v>
      </c>
      <c r="O44" s="160">
        <f t="shared" si="0"/>
        <v>0</v>
      </c>
      <c r="P44" s="160">
        <f t="shared" si="1"/>
        <v>0</v>
      </c>
      <c r="Q44" s="166">
        <v>17550</v>
      </c>
      <c r="R44" s="160">
        <f t="shared" si="2"/>
        <v>0</v>
      </c>
      <c r="S44" s="160">
        <f t="shared" si="3"/>
        <v>0</v>
      </c>
      <c r="T44" s="161"/>
      <c r="U44" s="160">
        <v>720</v>
      </c>
      <c r="V44" s="160">
        <v>1</v>
      </c>
      <c r="X44" s="160">
        <v>20</v>
      </c>
      <c r="Y44" s="160">
        <v>47</v>
      </c>
      <c r="AA44" s="160"/>
      <c r="AB44" s="162"/>
      <c r="AC44" s="162"/>
      <c r="AD44" s="162">
        <f t="shared" si="4"/>
        <v>0</v>
      </c>
      <c r="AE44" s="160">
        <v>42</v>
      </c>
    </row>
    <row r="45" spans="2:31" ht="15.75" x14ac:dyDescent="0.25">
      <c r="B45" s="161">
        <f>IF('callPut（W）'!D44="--",0,'callPut（W）'!D44)</f>
        <v>0</v>
      </c>
      <c r="C45" s="161">
        <f>IF('callPut（W）'!E44="--",0,'callPut（W）'!E44)</f>
        <v>0</v>
      </c>
      <c r="D45" s="165">
        <v>17600</v>
      </c>
      <c r="E45" s="161">
        <f>IF('callPut（W）'!L44="--",0,'callPut（W）'!L44)</f>
        <v>0</v>
      </c>
      <c r="F45" s="161">
        <f>IF('callPut（W）'!M44="--",0,'callPut（W）'!M44)</f>
        <v>0</v>
      </c>
      <c r="H45" s="161">
        <f>IF('callPut（F）'!D44="--",0,'callPut（F）'!D44)</f>
        <v>0</v>
      </c>
      <c r="I45" s="161">
        <f>IF('callPut（F）'!E44="--",0,'callPut（F）'!E44)</f>
        <v>0</v>
      </c>
      <c r="J45" s="165">
        <v>17600</v>
      </c>
      <c r="K45" s="161">
        <f>IF('callPut（F）'!L44="--",0,'callPut（F）'!L44)</f>
        <v>0</v>
      </c>
      <c r="L45" s="161">
        <f>IF('callPut（F）'!M44="--",0,'callPut（F）'!M44)</f>
        <v>0</v>
      </c>
      <c r="O45" s="160">
        <f t="shared" si="0"/>
        <v>0</v>
      </c>
      <c r="P45" s="160">
        <f t="shared" si="1"/>
        <v>0</v>
      </c>
      <c r="Q45" s="166">
        <v>17600</v>
      </c>
      <c r="R45" s="160">
        <f t="shared" si="2"/>
        <v>0</v>
      </c>
      <c r="S45" s="160">
        <f t="shared" si="3"/>
        <v>0</v>
      </c>
      <c r="T45" s="161"/>
      <c r="U45" s="160">
        <v>540</v>
      </c>
      <c r="V45" s="160">
        <v>1</v>
      </c>
      <c r="X45" s="160">
        <v>3.3</v>
      </c>
      <c r="Y45" s="160">
        <v>31</v>
      </c>
      <c r="AA45" s="160"/>
      <c r="AB45" s="162"/>
      <c r="AC45" s="162"/>
      <c r="AD45" s="162">
        <f t="shared" si="4"/>
        <v>0</v>
      </c>
      <c r="AE45" s="160">
        <v>43</v>
      </c>
    </row>
    <row r="46" spans="2:31" ht="15.75" x14ac:dyDescent="0.25">
      <c r="B46" s="161">
        <f>IF('callPut（W）'!D45="--",0,'callPut（W）'!D45)</f>
        <v>0</v>
      </c>
      <c r="C46" s="161">
        <f>IF('callPut（W）'!E45="--",0,'callPut（W）'!E45)</f>
        <v>0</v>
      </c>
      <c r="D46" s="165">
        <v>17650</v>
      </c>
      <c r="E46" s="161">
        <f>IF('callPut（W）'!L45="--",0,'callPut（W）'!L45)</f>
        <v>0</v>
      </c>
      <c r="F46" s="161">
        <f>IF('callPut（W）'!M45="--",0,'callPut（W）'!M45)</f>
        <v>0</v>
      </c>
      <c r="H46" s="161">
        <f>IF('callPut（F）'!D45="--",0,'callPut（F）'!D45)</f>
        <v>0</v>
      </c>
      <c r="I46" s="161">
        <f>IF('callPut（F）'!E45="--",0,'callPut（F）'!E45)</f>
        <v>0</v>
      </c>
      <c r="J46" s="165">
        <v>17650</v>
      </c>
      <c r="K46" s="161">
        <f>IF('callPut（F）'!L45="--",0,'callPut（F）'!L45)</f>
        <v>0</v>
      </c>
      <c r="L46" s="161">
        <f>IF('callPut（F）'!M45="--",0,'callPut（F）'!M45)</f>
        <v>0</v>
      </c>
      <c r="O46" s="160">
        <f t="shared" si="0"/>
        <v>0</v>
      </c>
      <c r="P46" s="160">
        <f t="shared" si="1"/>
        <v>0</v>
      </c>
      <c r="Q46" s="166">
        <v>17650</v>
      </c>
      <c r="R46" s="160">
        <f t="shared" si="2"/>
        <v>0</v>
      </c>
      <c r="S46" s="160">
        <f t="shared" si="3"/>
        <v>0</v>
      </c>
      <c r="T46" s="161"/>
      <c r="U46" s="160">
        <v>0.2</v>
      </c>
      <c r="V46" s="160">
        <v>1</v>
      </c>
      <c r="X46" s="160">
        <v>855</v>
      </c>
      <c r="Y46" s="160">
        <v>30</v>
      </c>
      <c r="AA46" s="160"/>
      <c r="AB46" s="162"/>
      <c r="AC46" s="162"/>
      <c r="AD46" s="162">
        <f t="shared" si="4"/>
        <v>0</v>
      </c>
      <c r="AE46" s="160">
        <v>44</v>
      </c>
    </row>
    <row r="47" spans="2:31" ht="15.75" x14ac:dyDescent="0.25">
      <c r="B47" s="161">
        <f>IF('callPut（W）'!D46="--",0,'callPut（W）'!D46)</f>
        <v>0</v>
      </c>
      <c r="C47" s="161">
        <f>IF('callPut（W）'!E46="--",0,'callPut（W）'!E46)</f>
        <v>0</v>
      </c>
      <c r="D47" s="165">
        <v>17700</v>
      </c>
      <c r="E47" s="161">
        <f>IF('callPut（W）'!L46="--",0,'callPut（W）'!L46)</f>
        <v>0</v>
      </c>
      <c r="F47" s="161">
        <f>IF('callPut（W）'!M46="--",0,'callPut（W）'!M46)</f>
        <v>0</v>
      </c>
      <c r="H47" s="161">
        <f>IF('callPut（F）'!D46="--",0,'callPut（F）'!D46)</f>
        <v>0</v>
      </c>
      <c r="I47" s="161">
        <f>IF('callPut（F）'!E46="--",0,'callPut（F）'!E46)</f>
        <v>0</v>
      </c>
      <c r="J47" s="165">
        <v>17700</v>
      </c>
      <c r="K47" s="161">
        <f>IF('callPut（F）'!L46="--",0,'callPut（F）'!L46)</f>
        <v>0</v>
      </c>
      <c r="L47" s="161">
        <f>IF('callPut（F）'!M46="--",0,'callPut（F）'!M46)</f>
        <v>0</v>
      </c>
      <c r="O47" s="160">
        <f t="shared" si="0"/>
        <v>0</v>
      </c>
      <c r="P47" s="160">
        <f t="shared" si="1"/>
        <v>0</v>
      </c>
      <c r="Q47" s="166">
        <v>17700</v>
      </c>
      <c r="R47" s="160">
        <f t="shared" si="2"/>
        <v>0</v>
      </c>
      <c r="S47" s="160">
        <f t="shared" si="3"/>
        <v>0</v>
      </c>
      <c r="T47" s="161"/>
      <c r="U47" s="160">
        <v>0.2</v>
      </c>
      <c r="V47" s="160">
        <v>1</v>
      </c>
      <c r="X47" s="160">
        <v>910</v>
      </c>
      <c r="Y47" s="160">
        <v>25</v>
      </c>
      <c r="AA47" s="160"/>
      <c r="AB47" s="162"/>
      <c r="AC47" s="162"/>
      <c r="AD47" s="162">
        <f t="shared" si="4"/>
        <v>0</v>
      </c>
      <c r="AE47" s="160">
        <v>45</v>
      </c>
    </row>
    <row r="48" spans="2:31" ht="15.75" x14ac:dyDescent="0.25">
      <c r="B48" s="161">
        <f>IF('callPut（W）'!D47="--",0,'callPut（W）'!D47)</f>
        <v>0</v>
      </c>
      <c r="C48" s="161">
        <f>IF('callPut（W）'!E47="--",0,'callPut（W）'!E47)</f>
        <v>0</v>
      </c>
      <c r="D48" s="165">
        <v>17750</v>
      </c>
      <c r="E48" s="161">
        <f>IF('callPut（W）'!L47="--",0,'callPut（W）'!L47)</f>
        <v>0</v>
      </c>
      <c r="F48" s="161">
        <f>IF('callPut（W）'!M47="--",0,'callPut（W）'!M47)</f>
        <v>0</v>
      </c>
      <c r="H48" s="161">
        <f>IF('callPut（F）'!D47="--",0,'callPut（F）'!D47)</f>
        <v>0</v>
      </c>
      <c r="I48" s="161">
        <f>IF('callPut（F）'!E47="--",0,'callPut（F）'!E47)</f>
        <v>0</v>
      </c>
      <c r="J48" s="165">
        <v>17750</v>
      </c>
      <c r="K48" s="161">
        <f>IF('callPut（F）'!L47="--",0,'callPut（F）'!L47)</f>
        <v>0</v>
      </c>
      <c r="L48" s="161">
        <f>IF('callPut（F）'!M47="--",0,'callPut（F）'!M47)</f>
        <v>0</v>
      </c>
      <c r="O48" s="160">
        <f t="shared" si="0"/>
        <v>0</v>
      </c>
      <c r="P48" s="160">
        <f t="shared" si="1"/>
        <v>0</v>
      </c>
      <c r="Q48" s="166">
        <v>17750</v>
      </c>
      <c r="R48" s="160">
        <f t="shared" si="2"/>
        <v>0</v>
      </c>
      <c r="S48" s="160">
        <f t="shared" si="3"/>
        <v>0</v>
      </c>
      <c r="T48" s="161"/>
      <c r="U48" s="160">
        <v>0</v>
      </c>
      <c r="V48" s="160">
        <v>0</v>
      </c>
      <c r="X48" s="160">
        <v>1.4</v>
      </c>
      <c r="Y48" s="160">
        <v>21</v>
      </c>
      <c r="AA48" s="160"/>
      <c r="AB48" s="162"/>
      <c r="AC48" s="162"/>
      <c r="AD48" s="162">
        <f t="shared" si="4"/>
        <v>0</v>
      </c>
      <c r="AE48" s="160">
        <v>46</v>
      </c>
    </row>
    <row r="49" spans="2:31" ht="15.75" x14ac:dyDescent="0.25">
      <c r="B49" s="161">
        <f>IF('callPut（W）'!D48="--",0,'callPut（W）'!D48)</f>
        <v>0</v>
      </c>
      <c r="C49" s="161">
        <f>IF('callPut（W）'!E48="--",0,'callPut（W）'!E48)</f>
        <v>0</v>
      </c>
      <c r="D49" s="165">
        <v>17800</v>
      </c>
      <c r="E49" s="161">
        <f>IF('callPut（W）'!L48="--",0,'callPut（W）'!L48)</f>
        <v>0</v>
      </c>
      <c r="F49" s="161">
        <f>IF('callPut（W）'!M48="--",0,'callPut（W）'!M48)</f>
        <v>0</v>
      </c>
      <c r="H49" s="161">
        <f>IF('callPut（F）'!D48="--",0,'callPut（F）'!D48)</f>
        <v>0</v>
      </c>
      <c r="I49" s="161">
        <f>IF('callPut（F）'!E48="--",0,'callPut（F）'!E48)</f>
        <v>0</v>
      </c>
      <c r="J49" s="165">
        <v>17800</v>
      </c>
      <c r="K49" s="161">
        <f>IF('callPut（F）'!L48="--",0,'callPut（F）'!L48)</f>
        <v>0</v>
      </c>
      <c r="L49" s="161">
        <f>IF('callPut（F）'!M48="--",0,'callPut（F）'!M48)</f>
        <v>0</v>
      </c>
      <c r="O49" s="160">
        <f t="shared" si="0"/>
        <v>0</v>
      </c>
      <c r="P49" s="160">
        <f t="shared" si="1"/>
        <v>0</v>
      </c>
      <c r="Q49" s="166">
        <v>17800</v>
      </c>
      <c r="R49" s="160">
        <f t="shared" si="2"/>
        <v>0</v>
      </c>
      <c r="S49" s="160">
        <f t="shared" si="3"/>
        <v>0</v>
      </c>
      <c r="T49" s="161"/>
      <c r="U49" s="160">
        <v>0</v>
      </c>
      <c r="V49" s="160">
        <v>0</v>
      </c>
      <c r="X49" s="160">
        <v>438</v>
      </c>
      <c r="Y49" s="160">
        <v>20</v>
      </c>
      <c r="AA49" s="160"/>
      <c r="AB49" s="162"/>
      <c r="AC49" s="162"/>
      <c r="AD49" s="162">
        <f t="shared" si="4"/>
        <v>0</v>
      </c>
      <c r="AE49" s="160">
        <v>47</v>
      </c>
    </row>
    <row r="50" spans="2:31" ht="15.75" x14ac:dyDescent="0.25">
      <c r="B50" s="161">
        <f>IF('callPut（W）'!D49="--",0,'callPut（W）'!D49)</f>
        <v>0</v>
      </c>
      <c r="C50" s="161">
        <f>IF('callPut（W）'!E49="--",0,'callPut（W）'!E49)</f>
        <v>0</v>
      </c>
      <c r="D50" s="165">
        <v>17850</v>
      </c>
      <c r="E50" s="161">
        <f>IF('callPut（W）'!L49="--",0,'callPut（W）'!L49)</f>
        <v>0</v>
      </c>
      <c r="F50" s="161">
        <f>IF('callPut（W）'!M49="--",0,'callPut（W）'!M49)</f>
        <v>0</v>
      </c>
      <c r="H50" s="161">
        <f>IF('callPut（F）'!D49="--",0,'callPut（F）'!D49)</f>
        <v>0</v>
      </c>
      <c r="I50" s="161">
        <f>IF('callPut（F）'!E49="--",0,'callPut（F）'!E49)</f>
        <v>0</v>
      </c>
      <c r="J50" s="165">
        <v>17850</v>
      </c>
      <c r="K50" s="161">
        <f>IF('callPut（F）'!L49="--",0,'callPut（F）'!L49)</f>
        <v>0</v>
      </c>
      <c r="L50" s="161">
        <f>IF('callPut（F）'!M49="--",0,'callPut（F）'!M49)</f>
        <v>0</v>
      </c>
      <c r="O50" s="160">
        <f t="shared" si="0"/>
        <v>0</v>
      </c>
      <c r="P50" s="160">
        <f t="shared" si="1"/>
        <v>0</v>
      </c>
      <c r="Q50" s="166">
        <v>17850</v>
      </c>
      <c r="R50" s="160">
        <f t="shared" si="2"/>
        <v>0</v>
      </c>
      <c r="S50" s="160">
        <f t="shared" si="3"/>
        <v>0</v>
      </c>
      <c r="T50" s="161"/>
      <c r="U50" s="160">
        <v>0</v>
      </c>
      <c r="V50" s="160">
        <v>0</v>
      </c>
      <c r="X50" s="160">
        <v>2.5</v>
      </c>
      <c r="Y50" s="160">
        <v>19</v>
      </c>
      <c r="AA50" s="160"/>
      <c r="AB50" s="162"/>
      <c r="AC50" s="162"/>
      <c r="AD50" s="162">
        <f t="shared" si="4"/>
        <v>0</v>
      </c>
      <c r="AE50" s="160">
        <v>48</v>
      </c>
    </row>
    <row r="51" spans="2:31" ht="15.75" x14ac:dyDescent="0.25">
      <c r="B51" s="161">
        <f>IF('callPut（W）'!D50="--",0,'callPut（W）'!D50)</f>
        <v>0</v>
      </c>
      <c r="C51" s="161">
        <f>IF('callPut（W）'!E50="--",0,'callPut（W）'!E50)</f>
        <v>0</v>
      </c>
      <c r="D51" s="165">
        <v>17900</v>
      </c>
      <c r="E51" s="161">
        <f>IF('callPut（W）'!L50="--",0,'callPut（W）'!L50)</f>
        <v>0</v>
      </c>
      <c r="F51" s="161">
        <f>IF('callPut（W）'!M50="--",0,'callPut（W）'!M50)</f>
        <v>0</v>
      </c>
      <c r="H51" s="161">
        <f>IF('callPut（F）'!D50="--",0,'callPut（F）'!D50)</f>
        <v>0</v>
      </c>
      <c r="I51" s="161">
        <f>IF('callPut（F）'!E50="--",0,'callPut（F）'!E50)</f>
        <v>0</v>
      </c>
      <c r="J51" s="165">
        <v>17900</v>
      </c>
      <c r="K51" s="161">
        <f>IF('callPut（F）'!L50="--",0,'callPut（F）'!L50)</f>
        <v>0</v>
      </c>
      <c r="L51" s="161">
        <f>IF('callPut（F）'!M50="--",0,'callPut（F）'!M50)</f>
        <v>0</v>
      </c>
      <c r="O51" s="160">
        <f t="shared" si="0"/>
        <v>0</v>
      </c>
      <c r="P51" s="160">
        <f t="shared" si="1"/>
        <v>0</v>
      </c>
      <c r="Q51" s="166">
        <v>17900</v>
      </c>
      <c r="R51" s="160">
        <f t="shared" si="2"/>
        <v>0</v>
      </c>
      <c r="S51" s="160">
        <f t="shared" si="3"/>
        <v>0</v>
      </c>
      <c r="T51" s="161"/>
      <c r="U51" s="160">
        <v>0</v>
      </c>
      <c r="V51" s="160">
        <v>0</v>
      </c>
      <c r="X51" s="160">
        <v>4.3</v>
      </c>
      <c r="Y51" s="160">
        <v>17</v>
      </c>
      <c r="AA51" s="160"/>
      <c r="AB51" s="162"/>
      <c r="AC51" s="162"/>
      <c r="AD51" s="162">
        <f t="shared" si="4"/>
        <v>0</v>
      </c>
      <c r="AE51" s="160">
        <v>49</v>
      </c>
    </row>
    <row r="52" spans="2:31" ht="15.75" x14ac:dyDescent="0.25">
      <c r="B52" s="161">
        <f>IF('callPut（W）'!D51="--",0,'callPut（W）'!D51)</f>
        <v>0</v>
      </c>
      <c r="C52" s="161">
        <f>IF('callPut（W）'!E51="--",0,'callPut（W）'!E51)</f>
        <v>0</v>
      </c>
      <c r="D52" s="165">
        <v>17950</v>
      </c>
      <c r="E52" s="161">
        <f>IF('callPut（W）'!L51="--",0,'callPut（W）'!L51)</f>
        <v>0</v>
      </c>
      <c r="F52" s="161">
        <f>IF('callPut（W）'!M51="--",0,'callPut（W）'!M51)</f>
        <v>0</v>
      </c>
      <c r="H52" s="161">
        <f>IF('callPut（F）'!D51="--",0,'callPut（F）'!D51)</f>
        <v>0</v>
      </c>
      <c r="I52" s="161">
        <f>IF('callPut（F）'!E51="--",0,'callPut（F）'!E51)</f>
        <v>0</v>
      </c>
      <c r="J52" s="165">
        <v>17950</v>
      </c>
      <c r="K52" s="161">
        <f>IF('callPut（F）'!L51="--",0,'callPut（F）'!L51)</f>
        <v>0</v>
      </c>
      <c r="L52" s="161">
        <f>IF('callPut（F）'!M51="--",0,'callPut（F）'!M51)</f>
        <v>0</v>
      </c>
      <c r="O52" s="160">
        <f t="shared" si="0"/>
        <v>0</v>
      </c>
      <c r="P52" s="160">
        <f t="shared" si="1"/>
        <v>0</v>
      </c>
      <c r="Q52" s="166">
        <v>17950</v>
      </c>
      <c r="R52" s="160">
        <f t="shared" si="2"/>
        <v>0</v>
      </c>
      <c r="S52" s="160">
        <f t="shared" si="3"/>
        <v>0</v>
      </c>
      <c r="T52" s="161"/>
      <c r="U52" s="160">
        <v>0</v>
      </c>
      <c r="V52" s="160">
        <v>0</v>
      </c>
      <c r="X52" s="160">
        <v>13</v>
      </c>
      <c r="Y52" s="160">
        <v>15</v>
      </c>
      <c r="AA52" s="160"/>
      <c r="AB52" s="162"/>
      <c r="AC52" s="162"/>
      <c r="AD52" s="162">
        <f t="shared" si="4"/>
        <v>0</v>
      </c>
      <c r="AE52" s="160">
        <v>50</v>
      </c>
    </row>
    <row r="53" spans="2:31" ht="15.75" x14ac:dyDescent="0.25">
      <c r="B53" s="161">
        <f>IF('callPut（W）'!D52="--",0,'callPut（W）'!D52)</f>
        <v>0</v>
      </c>
      <c r="C53" s="161">
        <f>IF('callPut（W）'!E52="--",0,'callPut（W）'!E52)</f>
        <v>0</v>
      </c>
      <c r="D53" s="165">
        <v>18000</v>
      </c>
      <c r="E53" s="161">
        <f>IF('callPut（W）'!L52="--",0,'callPut（W）'!L52)</f>
        <v>0</v>
      </c>
      <c r="F53" s="161">
        <f>IF('callPut（W）'!M52="--",0,'callPut（W）'!M52)</f>
        <v>0</v>
      </c>
      <c r="H53" s="161">
        <f>IF('callPut（F）'!D52="--",0,'callPut（F）'!D52)</f>
        <v>0</v>
      </c>
      <c r="I53" s="161">
        <f>IF('callPut（F）'!E52="--",0,'callPut（F）'!E52)</f>
        <v>0</v>
      </c>
      <c r="J53" s="165">
        <v>18000</v>
      </c>
      <c r="K53" s="161">
        <f>IF('callPut（F）'!L52="--",0,'callPut（F）'!L52)</f>
        <v>0</v>
      </c>
      <c r="L53" s="161">
        <f>IF('callPut（F）'!M52="--",0,'callPut（F）'!M52)</f>
        <v>0</v>
      </c>
      <c r="O53" s="160">
        <f t="shared" si="0"/>
        <v>0</v>
      </c>
      <c r="P53" s="160">
        <f t="shared" si="1"/>
        <v>0</v>
      </c>
      <c r="Q53" s="166">
        <v>18000</v>
      </c>
      <c r="R53" s="160">
        <f t="shared" si="2"/>
        <v>0</v>
      </c>
      <c r="S53" s="160">
        <f t="shared" si="3"/>
        <v>0</v>
      </c>
      <c r="T53" s="161"/>
      <c r="U53" s="160">
        <v>0</v>
      </c>
      <c r="V53" s="160">
        <v>0</v>
      </c>
      <c r="X53" s="160">
        <v>1.9</v>
      </c>
      <c r="Y53" s="160">
        <v>12</v>
      </c>
      <c r="AA53" s="160"/>
      <c r="AB53" s="162"/>
      <c r="AC53" s="162"/>
      <c r="AD53" s="162">
        <f t="shared" si="4"/>
        <v>0</v>
      </c>
      <c r="AE53" s="160">
        <v>51</v>
      </c>
    </row>
    <row r="54" spans="2:31" ht="15.75" x14ac:dyDescent="0.25">
      <c r="B54" s="161">
        <f>IF('callPut（W）'!D53="--",0,'callPut（W）'!D53)</f>
        <v>0</v>
      </c>
      <c r="C54" s="161">
        <f>IF('callPut（W）'!E53="--",0,'callPut（W）'!E53)</f>
        <v>0</v>
      </c>
      <c r="D54" s="165">
        <v>18050</v>
      </c>
      <c r="E54" s="161">
        <f>IF('callPut（W）'!L53="--",0,'callPut（W）'!L53)</f>
        <v>0</v>
      </c>
      <c r="F54" s="161">
        <f>IF('callPut（W）'!M53="--",0,'callPut（W）'!M53)</f>
        <v>0</v>
      </c>
      <c r="H54" s="161">
        <f>IF('callPut（F）'!D53="--",0,'callPut（F）'!D53)</f>
        <v>0</v>
      </c>
      <c r="I54" s="161">
        <f>IF('callPut（F）'!E53="--",0,'callPut（F）'!E53)</f>
        <v>0</v>
      </c>
      <c r="J54" s="165">
        <v>18050</v>
      </c>
      <c r="K54" s="161">
        <f>IF('callPut（F）'!L53="--",0,'callPut（F）'!L53)</f>
        <v>0</v>
      </c>
      <c r="L54" s="161">
        <f>IF('callPut（F）'!M53="--",0,'callPut（F）'!M53)</f>
        <v>0</v>
      </c>
      <c r="O54" s="160">
        <f t="shared" si="0"/>
        <v>0</v>
      </c>
      <c r="P54" s="160">
        <f t="shared" si="1"/>
        <v>0</v>
      </c>
      <c r="Q54" s="166">
        <v>18050</v>
      </c>
      <c r="R54" s="160">
        <f t="shared" si="2"/>
        <v>0</v>
      </c>
      <c r="S54" s="160">
        <f t="shared" si="3"/>
        <v>0</v>
      </c>
      <c r="T54" s="161"/>
      <c r="U54" s="160">
        <v>0</v>
      </c>
      <c r="V54" s="160">
        <v>0</v>
      </c>
      <c r="X54" s="160">
        <v>520</v>
      </c>
      <c r="Y54" s="160">
        <v>11</v>
      </c>
      <c r="AA54" s="160"/>
      <c r="AB54" s="162"/>
      <c r="AC54" s="162"/>
      <c r="AD54" s="162">
        <f t="shared" si="4"/>
        <v>0</v>
      </c>
      <c r="AE54" s="160">
        <v>52</v>
      </c>
    </row>
    <row r="55" spans="2:31" ht="15.75" x14ac:dyDescent="0.25">
      <c r="B55" s="161">
        <f>IF('callPut（W）'!D54="--",0,'callPut（W）'!D54)</f>
        <v>0</v>
      </c>
      <c r="C55" s="161">
        <f>IF('callPut（W）'!E54="--",0,'callPut（W）'!E54)</f>
        <v>0</v>
      </c>
      <c r="D55" s="165">
        <v>18100</v>
      </c>
      <c r="E55" s="161">
        <f>IF('callPut（W）'!L54="--",0,'callPut（W）'!L54)</f>
        <v>0</v>
      </c>
      <c r="F55" s="161">
        <f>IF('callPut（W）'!M54="--",0,'callPut（W）'!M54)</f>
        <v>0</v>
      </c>
      <c r="H55" s="161">
        <f>IF('callPut（F）'!D54="--",0,'callPut（F）'!D54)</f>
        <v>0</v>
      </c>
      <c r="I55" s="161">
        <f>IF('callPut（F）'!E54="--",0,'callPut（F）'!E54)</f>
        <v>0</v>
      </c>
      <c r="J55" s="165">
        <v>18100</v>
      </c>
      <c r="K55" s="161">
        <f>IF('callPut（F）'!L54="--",0,'callPut（F）'!L54)</f>
        <v>0</v>
      </c>
      <c r="L55" s="161">
        <f>IF('callPut（F）'!M54="--",0,'callPut（F）'!M54)</f>
        <v>0</v>
      </c>
      <c r="O55" s="160">
        <f t="shared" si="0"/>
        <v>0</v>
      </c>
      <c r="P55" s="160">
        <f t="shared" si="1"/>
        <v>0</v>
      </c>
      <c r="Q55" s="166">
        <v>18100</v>
      </c>
      <c r="R55" s="160">
        <f t="shared" si="2"/>
        <v>0</v>
      </c>
      <c r="S55" s="160">
        <f t="shared" si="3"/>
        <v>0</v>
      </c>
      <c r="T55" s="161"/>
      <c r="U55" s="160">
        <v>0</v>
      </c>
      <c r="V55" s="160">
        <v>0</v>
      </c>
      <c r="X55" s="160">
        <v>1</v>
      </c>
      <c r="Y55" s="160">
        <v>7</v>
      </c>
      <c r="AA55" s="160"/>
      <c r="AB55" s="162"/>
      <c r="AC55" s="162"/>
      <c r="AD55" s="162">
        <f t="shared" si="4"/>
        <v>0</v>
      </c>
      <c r="AE55" s="160">
        <v>53</v>
      </c>
    </row>
    <row r="56" spans="2:31" ht="15.75" x14ac:dyDescent="0.25">
      <c r="B56" s="161">
        <f>IF('callPut（W）'!D55="--",0,'callPut（W）'!D55)</f>
        <v>0</v>
      </c>
      <c r="C56" s="161">
        <f>IF('callPut（W）'!E55="--",0,'callPut（W）'!E55)</f>
        <v>0</v>
      </c>
      <c r="D56" s="165">
        <v>18150</v>
      </c>
      <c r="E56" s="161">
        <f>IF('callPut（W）'!L55="--",0,'callPut（W）'!L55)</f>
        <v>0</v>
      </c>
      <c r="F56" s="161">
        <f>IF('callPut（W）'!M55="--",0,'callPut（W）'!M55)</f>
        <v>0</v>
      </c>
      <c r="H56" s="161">
        <f>IF('callPut（F）'!D55="--",0,'callPut（F）'!D55)</f>
        <v>0</v>
      </c>
      <c r="I56" s="161">
        <f>IF('callPut（F）'!E55="--",0,'callPut（F）'!E55)</f>
        <v>0</v>
      </c>
      <c r="J56" s="165">
        <v>18150</v>
      </c>
      <c r="K56" s="161">
        <f>IF('callPut（F）'!L55="--",0,'callPut（F）'!L55)</f>
        <v>0</v>
      </c>
      <c r="L56" s="161">
        <f>IF('callPut（F）'!M55="--",0,'callPut（F）'!M55)</f>
        <v>0</v>
      </c>
      <c r="O56" s="160">
        <f t="shared" si="0"/>
        <v>0</v>
      </c>
      <c r="P56" s="160">
        <f t="shared" si="1"/>
        <v>0</v>
      </c>
      <c r="Q56" s="166">
        <v>18150</v>
      </c>
      <c r="R56" s="160">
        <f t="shared" si="2"/>
        <v>0</v>
      </c>
      <c r="S56" s="160">
        <f t="shared" si="3"/>
        <v>0</v>
      </c>
      <c r="T56" s="161"/>
      <c r="U56" s="160">
        <v>0</v>
      </c>
      <c r="V56" s="160">
        <v>0</v>
      </c>
      <c r="X56" s="160">
        <v>8.1999999999999993</v>
      </c>
      <c r="Y56" s="160">
        <v>7</v>
      </c>
      <c r="AA56" s="160"/>
      <c r="AB56" s="162"/>
      <c r="AC56" s="162"/>
      <c r="AD56" s="162">
        <f t="shared" si="4"/>
        <v>0</v>
      </c>
      <c r="AE56" s="160">
        <v>54</v>
      </c>
    </row>
    <row r="57" spans="2:31" ht="15.75" x14ac:dyDescent="0.25">
      <c r="B57" s="161">
        <f>IF('callPut（W）'!D56="--",0,'callPut（W）'!D56)</f>
        <v>0</v>
      </c>
      <c r="C57" s="161">
        <f>IF('callPut（W）'!E56="--",0,'callPut（W）'!E56)</f>
        <v>0</v>
      </c>
      <c r="D57" s="165">
        <v>18200</v>
      </c>
      <c r="E57" s="161">
        <f>IF('callPut（W）'!L56="--",0,'callPut（W）'!L56)</f>
        <v>0</v>
      </c>
      <c r="F57" s="161">
        <f>IF('callPut（W）'!M56="--",0,'callPut（W）'!M56)</f>
        <v>0</v>
      </c>
      <c r="H57" s="161">
        <f>IF('callPut（F）'!D56="--",0,'callPut（F）'!D56)</f>
        <v>0</v>
      </c>
      <c r="I57" s="161">
        <f>IF('callPut（F）'!E56="--",0,'callPut（F）'!E56)</f>
        <v>0</v>
      </c>
      <c r="J57" s="165">
        <v>18200</v>
      </c>
      <c r="K57" s="161">
        <f>IF('callPut（F）'!L56="--",0,'callPut（F）'!L56)</f>
        <v>0</v>
      </c>
      <c r="L57" s="161">
        <f>IF('callPut（F）'!M56="--",0,'callPut（F）'!M56)</f>
        <v>0</v>
      </c>
      <c r="O57" s="160">
        <f t="shared" si="0"/>
        <v>0</v>
      </c>
      <c r="P57" s="160">
        <f t="shared" si="1"/>
        <v>0</v>
      </c>
      <c r="Q57" s="166">
        <v>18200</v>
      </c>
      <c r="R57" s="160">
        <f t="shared" si="2"/>
        <v>0</v>
      </c>
      <c r="S57" s="160">
        <f t="shared" si="3"/>
        <v>0</v>
      </c>
      <c r="T57" s="161"/>
      <c r="U57" s="160">
        <v>0</v>
      </c>
      <c r="V57" s="160">
        <v>0</v>
      </c>
      <c r="X57" s="160">
        <v>1.1000000000000001</v>
      </c>
      <c r="Y57" s="160">
        <v>5</v>
      </c>
      <c r="AA57" s="160"/>
      <c r="AB57" s="162"/>
      <c r="AC57" s="162"/>
      <c r="AD57" s="162">
        <f t="shared" si="4"/>
        <v>0</v>
      </c>
      <c r="AE57" s="160">
        <v>55</v>
      </c>
    </row>
    <row r="58" spans="2:31" ht="15.75" x14ac:dyDescent="0.25">
      <c r="B58" s="161">
        <f>IF('callPut（W）'!D57="--",0,'callPut（W）'!D57)</f>
        <v>0</v>
      </c>
      <c r="C58" s="161">
        <f>IF('callPut（W）'!E57="--",0,'callPut（W）'!E57)</f>
        <v>0</v>
      </c>
      <c r="D58" s="165">
        <v>18250</v>
      </c>
      <c r="E58" s="161">
        <f>IF('callPut（W）'!L57="--",0,'callPut（W）'!L57)</f>
        <v>0</v>
      </c>
      <c r="F58" s="161">
        <f>IF('callPut（W）'!M57="--",0,'callPut（W）'!M57)</f>
        <v>0</v>
      </c>
      <c r="H58" s="161">
        <f>IF('callPut（F）'!D57="--",0,'callPut（F）'!D57)</f>
        <v>0</v>
      </c>
      <c r="I58" s="161">
        <f>IF('callPut（F）'!E57="--",0,'callPut（F）'!E57)</f>
        <v>0</v>
      </c>
      <c r="J58" s="165">
        <v>18250</v>
      </c>
      <c r="K58" s="161">
        <f>IF('callPut（F）'!L57="--",0,'callPut（F）'!L57)</f>
        <v>0</v>
      </c>
      <c r="L58" s="161">
        <f>IF('callPut（F）'!M57="--",0,'callPut（F）'!M57)</f>
        <v>0</v>
      </c>
      <c r="O58" s="160">
        <f t="shared" si="0"/>
        <v>0</v>
      </c>
      <c r="P58" s="160">
        <f t="shared" si="1"/>
        <v>0</v>
      </c>
      <c r="Q58" s="166">
        <v>18250</v>
      </c>
      <c r="R58" s="160">
        <f t="shared" si="2"/>
        <v>0</v>
      </c>
      <c r="S58" s="160">
        <f t="shared" si="3"/>
        <v>0</v>
      </c>
      <c r="T58" s="161"/>
      <c r="U58" s="160">
        <v>0</v>
      </c>
      <c r="V58" s="160">
        <v>0</v>
      </c>
      <c r="X58" s="160">
        <v>1.3</v>
      </c>
      <c r="Y58" s="160">
        <v>5</v>
      </c>
      <c r="AA58" s="160"/>
      <c r="AB58" s="162"/>
      <c r="AC58" s="162"/>
      <c r="AD58" s="162">
        <f t="shared" si="4"/>
        <v>0</v>
      </c>
      <c r="AE58" s="160">
        <v>56</v>
      </c>
    </row>
    <row r="59" spans="2:31" ht="15.75" x14ac:dyDescent="0.25">
      <c r="B59" s="161">
        <f>IF('callPut（W）'!D58="--",0,'callPut（W）'!D58)</f>
        <v>0</v>
      </c>
      <c r="C59" s="161">
        <f>IF('callPut（W）'!E58="--",0,'callPut（W）'!E58)</f>
        <v>0</v>
      </c>
      <c r="D59" s="165">
        <v>18300</v>
      </c>
      <c r="E59" s="161">
        <f>IF('callPut（W）'!L58="--",0,'callPut（W）'!L58)</f>
        <v>0</v>
      </c>
      <c r="F59" s="161">
        <f>IF('callPut（W）'!M58="--",0,'callPut（W）'!M58)</f>
        <v>0</v>
      </c>
      <c r="H59" s="161">
        <f>IF('callPut（F）'!D58="--",0,'callPut（F）'!D58)</f>
        <v>0</v>
      </c>
      <c r="I59" s="161">
        <f>IF('callPut（F）'!E58="--",0,'callPut（F）'!E58)</f>
        <v>0</v>
      </c>
      <c r="J59" s="165">
        <v>18300</v>
      </c>
      <c r="K59" s="161">
        <f>IF('callPut（F）'!L58="--",0,'callPut（F）'!L58)</f>
        <v>0</v>
      </c>
      <c r="L59" s="161">
        <f>IF('callPut（F）'!M58="--",0,'callPut（F）'!M58)</f>
        <v>0</v>
      </c>
      <c r="O59" s="160">
        <f t="shared" si="0"/>
        <v>0</v>
      </c>
      <c r="P59" s="160">
        <f t="shared" si="1"/>
        <v>0</v>
      </c>
      <c r="Q59" s="166">
        <v>18300</v>
      </c>
      <c r="R59" s="160">
        <f t="shared" si="2"/>
        <v>0</v>
      </c>
      <c r="S59" s="160">
        <f t="shared" si="3"/>
        <v>0</v>
      </c>
      <c r="T59" s="161"/>
      <c r="U59" s="160">
        <v>0</v>
      </c>
      <c r="V59" s="160">
        <v>0</v>
      </c>
      <c r="X59" s="160">
        <v>1.1000000000000001</v>
      </c>
      <c r="Y59" s="160">
        <v>3</v>
      </c>
      <c r="AA59" s="160"/>
      <c r="AB59" s="162"/>
      <c r="AC59" s="162"/>
      <c r="AD59" s="162">
        <f t="shared" si="4"/>
        <v>0</v>
      </c>
      <c r="AE59" s="160">
        <v>57</v>
      </c>
    </row>
    <row r="60" spans="2:31" ht="15.75" x14ac:dyDescent="0.25">
      <c r="B60" s="161">
        <f>IF('callPut（W）'!D59="--",0,'callPut（W）'!D59)</f>
        <v>0</v>
      </c>
      <c r="C60" s="161">
        <f>IF('callPut（W）'!E59="--",0,'callPut（W）'!E59)</f>
        <v>0</v>
      </c>
      <c r="D60" s="165">
        <v>18350</v>
      </c>
      <c r="E60" s="161">
        <f>IF('callPut（W）'!L59="--",0,'callPut（W）'!L59)</f>
        <v>0</v>
      </c>
      <c r="F60" s="161">
        <f>IF('callPut（W）'!M59="--",0,'callPut（W）'!M59)</f>
        <v>0</v>
      </c>
      <c r="H60" s="161">
        <f>IF('callPut（F）'!D59="--",0,'callPut（F）'!D59)</f>
        <v>0</v>
      </c>
      <c r="I60" s="161">
        <f>IF('callPut（F）'!E59="--",0,'callPut（F）'!E59)</f>
        <v>0</v>
      </c>
      <c r="J60" s="165">
        <v>18350</v>
      </c>
      <c r="K60" s="161">
        <f>IF('callPut（F）'!L59="--",0,'callPut（F）'!L59)</f>
        <v>0</v>
      </c>
      <c r="L60" s="161">
        <f>IF('callPut（F）'!M59="--",0,'callPut（F）'!M59)</f>
        <v>0</v>
      </c>
      <c r="O60" s="160">
        <f t="shared" si="0"/>
        <v>0</v>
      </c>
      <c r="P60" s="160">
        <f t="shared" si="1"/>
        <v>0</v>
      </c>
      <c r="Q60" s="166">
        <v>18350</v>
      </c>
      <c r="R60" s="160">
        <f t="shared" si="2"/>
        <v>0</v>
      </c>
      <c r="S60" s="160">
        <f t="shared" si="3"/>
        <v>0</v>
      </c>
      <c r="T60" s="161"/>
      <c r="U60" s="160">
        <v>0</v>
      </c>
      <c r="V60" s="160">
        <v>0</v>
      </c>
      <c r="X60" s="160">
        <v>620</v>
      </c>
      <c r="Y60" s="160">
        <v>3</v>
      </c>
      <c r="AA60" s="160"/>
      <c r="AB60" s="162"/>
      <c r="AC60" s="162"/>
      <c r="AD60" s="162">
        <f t="shared" si="4"/>
        <v>0</v>
      </c>
      <c r="AE60" s="160">
        <v>58</v>
      </c>
    </row>
    <row r="61" spans="2:31" ht="15.75" x14ac:dyDescent="0.25">
      <c r="B61" s="161">
        <f>IF('callPut（W）'!D60="--",0,'callPut（W）'!D60)</f>
        <v>0</v>
      </c>
      <c r="C61" s="161">
        <f>IF('callPut（W）'!E60="--",0,'callPut（W）'!E60)</f>
        <v>0</v>
      </c>
      <c r="D61" s="165">
        <v>18400</v>
      </c>
      <c r="E61" s="161">
        <f>IF('callPut（W）'!L60="--",0,'callPut（W）'!L60)</f>
        <v>0</v>
      </c>
      <c r="F61" s="161">
        <f>IF('callPut（W）'!M60="--",0,'callPut（W）'!M60)</f>
        <v>0</v>
      </c>
      <c r="H61" s="161">
        <f>IF('callPut（F）'!D60="--",0,'callPut（F）'!D60)</f>
        <v>0</v>
      </c>
      <c r="I61" s="161">
        <f>IF('callPut（F）'!E60="--",0,'callPut（F）'!E60)</f>
        <v>0</v>
      </c>
      <c r="J61" s="165">
        <v>18400</v>
      </c>
      <c r="K61" s="161">
        <f>IF('callPut（F）'!L60="--",0,'callPut（F）'!L60)</f>
        <v>0</v>
      </c>
      <c r="L61" s="161">
        <f>IF('callPut（F）'!M60="--",0,'callPut（F）'!M60)</f>
        <v>0</v>
      </c>
      <c r="O61" s="160">
        <f t="shared" si="0"/>
        <v>0</v>
      </c>
      <c r="P61" s="160">
        <f t="shared" si="1"/>
        <v>0</v>
      </c>
      <c r="Q61" s="166">
        <v>18400</v>
      </c>
      <c r="R61" s="160">
        <f t="shared" si="2"/>
        <v>0</v>
      </c>
      <c r="S61" s="160">
        <f t="shared" si="3"/>
        <v>0</v>
      </c>
      <c r="T61" s="161"/>
      <c r="U61" s="160">
        <v>0</v>
      </c>
      <c r="V61" s="160">
        <v>0</v>
      </c>
      <c r="X61" s="160">
        <v>1.4</v>
      </c>
      <c r="Y61" s="160">
        <v>2</v>
      </c>
      <c r="AA61" s="160"/>
      <c r="AB61" s="162"/>
      <c r="AC61" s="162"/>
      <c r="AD61" s="162">
        <f t="shared" si="4"/>
        <v>0</v>
      </c>
      <c r="AE61" s="160">
        <v>59</v>
      </c>
    </row>
    <row r="62" spans="2:31" ht="15.75" x14ac:dyDescent="0.25">
      <c r="B62" s="161">
        <f>IF('callPut（W）'!D61="--",0,'callPut（W）'!D61)</f>
        <v>0</v>
      </c>
      <c r="C62" s="161">
        <f>IF('callPut（W）'!E61="--",0,'callPut（W）'!E61)</f>
        <v>0</v>
      </c>
      <c r="D62" s="165">
        <v>18450</v>
      </c>
      <c r="E62" s="161">
        <f>IF('callPut（W）'!L61="--",0,'callPut（W）'!L61)</f>
        <v>0</v>
      </c>
      <c r="F62" s="161">
        <f>IF('callPut（W）'!M61="--",0,'callPut（W）'!M61)</f>
        <v>0</v>
      </c>
      <c r="H62" s="161">
        <f>IF('callPut（F）'!D61="--",0,'callPut（F）'!D61)</f>
        <v>0</v>
      </c>
      <c r="I62" s="161">
        <f>IF('callPut（F）'!E61="--",0,'callPut（F）'!E61)</f>
        <v>0</v>
      </c>
      <c r="J62" s="165">
        <v>18450</v>
      </c>
      <c r="K62" s="161">
        <f>IF('callPut（F）'!L61="--",0,'callPut（F）'!L61)</f>
        <v>0</v>
      </c>
      <c r="L62" s="161">
        <f>IF('callPut（F）'!M61="--",0,'callPut（F）'!M61)</f>
        <v>0</v>
      </c>
      <c r="O62" s="160">
        <f t="shared" si="0"/>
        <v>0</v>
      </c>
      <c r="P62" s="160">
        <f t="shared" si="1"/>
        <v>0</v>
      </c>
      <c r="Q62" s="166">
        <v>18450</v>
      </c>
      <c r="R62" s="160">
        <f t="shared" si="2"/>
        <v>0</v>
      </c>
      <c r="S62" s="160">
        <f t="shared" si="3"/>
        <v>0</v>
      </c>
      <c r="T62" s="161"/>
      <c r="U62" s="160">
        <v>0</v>
      </c>
      <c r="V62" s="160">
        <v>0</v>
      </c>
      <c r="X62" s="160">
        <v>8.7999999999999989</v>
      </c>
      <c r="Y62" s="160">
        <v>2</v>
      </c>
      <c r="AA62" s="160"/>
      <c r="AB62" s="162"/>
      <c r="AC62" s="162"/>
      <c r="AD62" s="162">
        <f t="shared" si="4"/>
        <v>0</v>
      </c>
      <c r="AE62" s="160">
        <v>60</v>
      </c>
    </row>
    <row r="63" spans="2:31" ht="15.75" x14ac:dyDescent="0.25">
      <c r="B63" s="161">
        <f>IF('callPut（W）'!D62="--",0,'callPut（W）'!D62)</f>
        <v>0</v>
      </c>
      <c r="C63" s="161">
        <f>IF('callPut（W）'!E62="--",0,'callPut（W）'!E62)</f>
        <v>0</v>
      </c>
      <c r="D63" s="165">
        <v>18500</v>
      </c>
      <c r="E63" s="161">
        <f>IF('callPut（W）'!L62="--",0,'callPut（W）'!L62)</f>
        <v>0</v>
      </c>
      <c r="F63" s="161">
        <f>IF('callPut（W）'!M62="--",0,'callPut（W）'!M62)</f>
        <v>0</v>
      </c>
      <c r="H63" s="161">
        <f>IF('callPut（F）'!D62="--",0,'callPut（F）'!D62)</f>
        <v>0</v>
      </c>
      <c r="I63" s="161">
        <f>IF('callPut（F）'!E62="--",0,'callPut（F）'!E62)</f>
        <v>0</v>
      </c>
      <c r="J63" s="165">
        <v>18500</v>
      </c>
      <c r="K63" s="161">
        <f>IF('callPut（F）'!L62="--",0,'callPut（F）'!L62)</f>
        <v>0</v>
      </c>
      <c r="L63" s="161">
        <f>IF('callPut（F）'!M62="--",0,'callPut（F）'!M62)</f>
        <v>0</v>
      </c>
      <c r="O63" s="160">
        <f t="shared" si="0"/>
        <v>0</v>
      </c>
      <c r="P63" s="160">
        <f t="shared" si="1"/>
        <v>0</v>
      </c>
      <c r="Q63" s="166">
        <v>18500</v>
      </c>
      <c r="R63" s="160">
        <f t="shared" si="2"/>
        <v>0</v>
      </c>
      <c r="S63" s="160">
        <f t="shared" si="3"/>
        <v>0</v>
      </c>
      <c r="T63" s="161"/>
      <c r="U63" s="160">
        <v>0</v>
      </c>
      <c r="V63" s="160">
        <v>0</v>
      </c>
      <c r="X63" s="160">
        <v>650</v>
      </c>
      <c r="Y63" s="160">
        <v>2</v>
      </c>
      <c r="AA63" s="160"/>
      <c r="AB63" s="162"/>
      <c r="AC63" s="162"/>
      <c r="AD63" s="162">
        <f t="shared" si="4"/>
        <v>0</v>
      </c>
      <c r="AE63" s="160">
        <v>61</v>
      </c>
    </row>
    <row r="64" spans="2:31" ht="15.75" x14ac:dyDescent="0.25">
      <c r="B64" s="161">
        <f>IF('callPut（W）'!D63="--",0,'callPut（W）'!D63)</f>
        <v>0</v>
      </c>
      <c r="C64" s="161">
        <f>IF('callPut（W）'!E63="--",0,'callPut（W）'!E63)</f>
        <v>0</v>
      </c>
      <c r="D64" s="165">
        <v>18550</v>
      </c>
      <c r="E64" s="161">
        <f>IF('callPut（W）'!L63="--",0,'callPut（W）'!L63)</f>
        <v>0</v>
      </c>
      <c r="F64" s="161">
        <f>IF('callPut（W）'!M63="--",0,'callPut（W）'!M63)</f>
        <v>0</v>
      </c>
      <c r="H64" s="161">
        <f>IF('callPut（F）'!D63="--",0,'callPut（F）'!D63)</f>
        <v>0</v>
      </c>
      <c r="I64" s="161">
        <f>IF('callPut（F）'!E63="--",0,'callPut（F）'!E63)</f>
        <v>0</v>
      </c>
      <c r="J64" s="165">
        <v>18550</v>
      </c>
      <c r="K64" s="161">
        <f>IF('callPut（F）'!L63="--",0,'callPut（F）'!L63)</f>
        <v>0</v>
      </c>
      <c r="L64" s="161">
        <f>IF('callPut（F）'!M63="--",0,'callPut（F）'!M63)</f>
        <v>0</v>
      </c>
      <c r="O64" s="160">
        <f t="shared" si="0"/>
        <v>0</v>
      </c>
      <c r="P64" s="160">
        <f t="shared" si="1"/>
        <v>0</v>
      </c>
      <c r="Q64" s="166">
        <v>18550</v>
      </c>
      <c r="R64" s="160">
        <f t="shared" si="2"/>
        <v>0</v>
      </c>
      <c r="S64" s="160">
        <f t="shared" si="3"/>
        <v>0</v>
      </c>
      <c r="T64" s="161"/>
      <c r="U64" s="160">
        <v>0</v>
      </c>
      <c r="V64" s="160">
        <v>0</v>
      </c>
      <c r="X64" s="160">
        <v>1080</v>
      </c>
      <c r="Y64" s="160">
        <v>1</v>
      </c>
      <c r="AA64" s="160"/>
      <c r="AB64" s="162"/>
      <c r="AC64" s="162"/>
      <c r="AD64" s="162">
        <f t="shared" si="4"/>
        <v>0</v>
      </c>
      <c r="AE64" s="160">
        <v>62</v>
      </c>
    </row>
    <row r="65" spans="2:31" ht="15.75" x14ac:dyDescent="0.25">
      <c r="B65" s="161">
        <f>IF('callPut（W）'!D64="--",0,'callPut（W）'!D64)</f>
        <v>0</v>
      </c>
      <c r="C65" s="161">
        <f>IF('callPut（W）'!E64="--",0,'callPut（W）'!E64)</f>
        <v>0</v>
      </c>
      <c r="D65" s="165">
        <v>18600</v>
      </c>
      <c r="E65" s="161">
        <f>IF('callPut（W）'!L64="--",0,'callPut（W）'!L64)</f>
        <v>0</v>
      </c>
      <c r="F65" s="161">
        <f>IF('callPut（W）'!M64="--",0,'callPut（W）'!M64)</f>
        <v>0</v>
      </c>
      <c r="H65" s="161">
        <f>IF('callPut（F）'!D64="--",0,'callPut（F）'!D64)</f>
        <v>0</v>
      </c>
      <c r="I65" s="161">
        <f>IF('callPut（F）'!E64="--",0,'callPut（F）'!E64)</f>
        <v>0</v>
      </c>
      <c r="J65" s="165">
        <v>18600</v>
      </c>
      <c r="K65" s="161">
        <f>IF('callPut（F）'!L64="--",0,'callPut（F）'!L64)</f>
        <v>0</v>
      </c>
      <c r="L65" s="161">
        <f>IF('callPut（F）'!M64="--",0,'callPut（F）'!M64)</f>
        <v>0</v>
      </c>
      <c r="O65" s="160">
        <f t="shared" si="0"/>
        <v>0</v>
      </c>
      <c r="P65" s="160">
        <f t="shared" si="1"/>
        <v>0</v>
      </c>
      <c r="Q65" s="166">
        <v>18600</v>
      </c>
      <c r="R65" s="160">
        <f t="shared" si="2"/>
        <v>0</v>
      </c>
      <c r="S65" s="160">
        <f t="shared" si="3"/>
        <v>0</v>
      </c>
      <c r="T65" s="161"/>
      <c r="U65" s="160">
        <v>0</v>
      </c>
      <c r="V65" s="160">
        <v>0</v>
      </c>
      <c r="X65" s="160">
        <v>0</v>
      </c>
      <c r="Y65" s="160">
        <v>0</v>
      </c>
      <c r="AA65" s="160"/>
      <c r="AB65" s="162"/>
      <c r="AC65" s="162"/>
      <c r="AD65" s="162">
        <f t="shared" si="4"/>
        <v>0</v>
      </c>
      <c r="AE65" s="160">
        <v>63</v>
      </c>
    </row>
    <row r="66" spans="2:31" ht="15.75" x14ac:dyDescent="0.25">
      <c r="B66" s="161">
        <f>IF('callPut（W）'!D65="--",0,'callPut（W）'!D65)</f>
        <v>0</v>
      </c>
      <c r="C66" s="161">
        <f>IF('callPut（W）'!E65="--",0,'callPut（W）'!E65)</f>
        <v>0</v>
      </c>
      <c r="D66" s="165">
        <v>18650</v>
      </c>
      <c r="E66" s="161">
        <f>IF('callPut（W）'!L65="--",0,'callPut（W）'!L65)</f>
        <v>0</v>
      </c>
      <c r="F66" s="161">
        <f>IF('callPut（W）'!M65="--",0,'callPut（W）'!M65)</f>
        <v>0</v>
      </c>
      <c r="H66" s="161">
        <f>IF('callPut（F）'!D65="--",0,'callPut（F）'!D65)</f>
        <v>0</v>
      </c>
      <c r="I66" s="161">
        <f>IF('callPut（F）'!E65="--",0,'callPut（F）'!E65)</f>
        <v>0</v>
      </c>
      <c r="J66" s="165">
        <v>18650</v>
      </c>
      <c r="K66" s="161">
        <f>IF('callPut（F）'!L65="--",0,'callPut（F）'!L65)</f>
        <v>0</v>
      </c>
      <c r="L66" s="161">
        <f>IF('callPut（F）'!M65="--",0,'callPut（F）'!M65)</f>
        <v>0</v>
      </c>
      <c r="O66" s="160">
        <f t="shared" si="0"/>
        <v>0</v>
      </c>
      <c r="P66" s="160">
        <f t="shared" si="1"/>
        <v>0</v>
      </c>
      <c r="Q66" s="166">
        <v>18650</v>
      </c>
      <c r="R66" s="160">
        <f t="shared" si="2"/>
        <v>0</v>
      </c>
      <c r="S66" s="160">
        <f t="shared" si="3"/>
        <v>0</v>
      </c>
      <c r="T66" s="161"/>
      <c r="U66" s="160">
        <v>0</v>
      </c>
      <c r="V66" s="160">
        <v>0</v>
      </c>
      <c r="X66" s="160">
        <v>0</v>
      </c>
      <c r="Y66" s="160">
        <v>0</v>
      </c>
      <c r="AA66" s="160"/>
      <c r="AB66" s="162"/>
      <c r="AC66" s="162"/>
      <c r="AD66" s="162">
        <f t="shared" si="4"/>
        <v>0</v>
      </c>
      <c r="AE66" s="160">
        <v>64</v>
      </c>
    </row>
    <row r="67" spans="2:31" ht="15.75" x14ac:dyDescent="0.25">
      <c r="B67" s="161">
        <f>IF('callPut（W）'!D66="--",0,'callPut（W）'!D66)</f>
        <v>0</v>
      </c>
      <c r="C67" s="161">
        <f>IF('callPut（W）'!E66="--",0,'callPut（W）'!E66)</f>
        <v>0</v>
      </c>
      <c r="D67" s="165">
        <v>18700</v>
      </c>
      <c r="E67" s="161">
        <f>IF('callPut（W）'!L66="--",0,'callPut（W）'!L66)</f>
        <v>0</v>
      </c>
      <c r="F67" s="161">
        <f>IF('callPut（W）'!M66="--",0,'callPut（W）'!M66)</f>
        <v>0</v>
      </c>
      <c r="H67" s="161">
        <f>IF('callPut（F）'!D66="--",0,'callPut（F）'!D66)</f>
        <v>0</v>
      </c>
      <c r="I67" s="161">
        <f>IF('callPut（F）'!E66="--",0,'callPut（F）'!E66)</f>
        <v>0</v>
      </c>
      <c r="J67" s="165">
        <v>18700</v>
      </c>
      <c r="K67" s="161">
        <f>IF('callPut（F）'!L66="--",0,'callPut（F）'!L66)</f>
        <v>0</v>
      </c>
      <c r="L67" s="161">
        <f>IF('callPut（F）'!M66="--",0,'callPut（F）'!M66)</f>
        <v>0</v>
      </c>
      <c r="O67" s="160">
        <f t="shared" si="0"/>
        <v>0</v>
      </c>
      <c r="P67" s="160">
        <f t="shared" si="1"/>
        <v>0</v>
      </c>
      <c r="Q67" s="166">
        <v>18700</v>
      </c>
      <c r="R67" s="160">
        <f t="shared" si="2"/>
        <v>0</v>
      </c>
      <c r="S67" s="160">
        <f t="shared" si="3"/>
        <v>0</v>
      </c>
      <c r="T67" s="161"/>
      <c r="U67" s="160">
        <v>0</v>
      </c>
      <c r="V67" s="160">
        <v>0</v>
      </c>
      <c r="X67" s="160">
        <v>0</v>
      </c>
      <c r="Y67" s="160">
        <v>0</v>
      </c>
      <c r="AA67" s="160"/>
      <c r="AB67" s="162"/>
      <c r="AC67" s="162"/>
      <c r="AD67" s="162">
        <f t="shared" si="4"/>
        <v>0</v>
      </c>
      <c r="AE67" s="160">
        <v>65</v>
      </c>
    </row>
    <row r="68" spans="2:31" ht="15.75" x14ac:dyDescent="0.25">
      <c r="B68" s="161">
        <f>IF('callPut（W）'!D67="--",0,'callPut（W）'!D67)</f>
        <v>0</v>
      </c>
      <c r="C68" s="161">
        <f>IF('callPut（W）'!E67="--",0,'callPut（W）'!E67)</f>
        <v>0</v>
      </c>
      <c r="D68" s="165">
        <v>18750</v>
      </c>
      <c r="E68" s="161">
        <f>IF('callPut（W）'!L67="--",0,'callPut（W）'!L67)</f>
        <v>0</v>
      </c>
      <c r="F68" s="161">
        <f>IF('callPut（W）'!M67="--",0,'callPut（W）'!M67)</f>
        <v>0</v>
      </c>
      <c r="H68" s="161">
        <f>IF('callPut（F）'!D67="--",0,'callPut（F）'!D67)</f>
        <v>0</v>
      </c>
      <c r="I68" s="161">
        <f>IF('callPut（F）'!E67="--",0,'callPut（F）'!E67)</f>
        <v>0</v>
      </c>
      <c r="J68" s="165">
        <v>18750</v>
      </c>
      <c r="K68" s="161">
        <f>IF('callPut（F）'!L67="--",0,'callPut（F）'!L67)</f>
        <v>0</v>
      </c>
      <c r="L68" s="161">
        <f>IF('callPut（F）'!M67="--",0,'callPut（F）'!M67)</f>
        <v>0</v>
      </c>
      <c r="O68" s="160">
        <f t="shared" ref="O68:O131" si="5">B68+H68</f>
        <v>0</v>
      </c>
      <c r="P68" s="160">
        <f t="shared" ref="P68:P131" si="6">C68+I68</f>
        <v>0</v>
      </c>
      <c r="Q68" s="166">
        <v>18750</v>
      </c>
      <c r="R68" s="160">
        <f t="shared" ref="R68:R131" si="7">E68+K68</f>
        <v>0</v>
      </c>
      <c r="S68" s="160">
        <f t="shared" ref="S68:S131" si="8">F68+L68</f>
        <v>0</v>
      </c>
      <c r="T68" s="161"/>
      <c r="U68" s="160">
        <v>0</v>
      </c>
      <c r="V68" s="160">
        <v>0</v>
      </c>
      <c r="X68" s="160">
        <v>0</v>
      </c>
      <c r="Y68" s="160">
        <v>0</v>
      </c>
      <c r="AA68" s="160"/>
      <c r="AB68" s="162"/>
      <c r="AC68" s="162"/>
      <c r="AD68" s="162">
        <f t="shared" ref="AD68:AD131" si="9">AB68+AC68</f>
        <v>0</v>
      </c>
      <c r="AE68" s="160">
        <v>66</v>
      </c>
    </row>
    <row r="69" spans="2:31" ht="15.75" x14ac:dyDescent="0.25">
      <c r="B69" s="161">
        <f>IF('callPut（W）'!D68="--",0,'callPut（W）'!D68)</f>
        <v>0</v>
      </c>
      <c r="C69" s="161">
        <f>IF('callPut（W）'!E68="--",0,'callPut（W）'!E68)</f>
        <v>0</v>
      </c>
      <c r="D69" s="165">
        <v>18800</v>
      </c>
      <c r="E69" s="161">
        <f>IF('callPut（W）'!L68="--",0,'callPut（W）'!L68)</f>
        <v>0</v>
      </c>
      <c r="F69" s="161">
        <f>IF('callPut（W）'!M68="--",0,'callPut（W）'!M68)</f>
        <v>0</v>
      </c>
      <c r="H69" s="161">
        <f>IF('callPut（F）'!D68="--",0,'callPut（F）'!D68)</f>
        <v>0</v>
      </c>
      <c r="I69" s="161">
        <f>IF('callPut（F）'!E68="--",0,'callPut（F）'!E68)</f>
        <v>0</v>
      </c>
      <c r="J69" s="165">
        <v>18800</v>
      </c>
      <c r="K69" s="161">
        <f>IF('callPut（F）'!L68="--",0,'callPut（F）'!L68)</f>
        <v>0</v>
      </c>
      <c r="L69" s="161">
        <f>IF('callPut（F）'!M68="--",0,'callPut（F）'!M68)</f>
        <v>0</v>
      </c>
      <c r="O69" s="160">
        <f t="shared" si="5"/>
        <v>0</v>
      </c>
      <c r="P69" s="160">
        <f t="shared" si="6"/>
        <v>0</v>
      </c>
      <c r="Q69" s="166">
        <v>18800</v>
      </c>
      <c r="R69" s="160">
        <f t="shared" si="7"/>
        <v>0</v>
      </c>
      <c r="S69" s="160">
        <f t="shared" si="8"/>
        <v>0</v>
      </c>
      <c r="T69" s="161"/>
      <c r="U69" s="160">
        <v>0</v>
      </c>
      <c r="V69" s="160">
        <v>0</v>
      </c>
      <c r="X69" s="160">
        <v>0</v>
      </c>
      <c r="Y69" s="160">
        <v>0</v>
      </c>
      <c r="AA69" s="160"/>
      <c r="AB69" s="162"/>
      <c r="AC69" s="162"/>
      <c r="AD69" s="162">
        <f t="shared" si="9"/>
        <v>0</v>
      </c>
      <c r="AE69" s="160">
        <v>67</v>
      </c>
    </row>
    <row r="70" spans="2:31" ht="15.75" x14ac:dyDescent="0.25">
      <c r="B70" s="161">
        <f>IF('callPut（W）'!D69="--",0,'callPut（W）'!D69)</f>
        <v>0</v>
      </c>
      <c r="C70" s="161">
        <f>IF('callPut（W）'!E69="--",0,'callPut（W）'!E69)</f>
        <v>0</v>
      </c>
      <c r="D70" s="165">
        <v>18850</v>
      </c>
      <c r="E70" s="161">
        <f>IF('callPut（W）'!L69="--",0,'callPut（W）'!L69)</f>
        <v>0</v>
      </c>
      <c r="F70" s="161">
        <f>IF('callPut（W）'!M69="--",0,'callPut（W）'!M69)</f>
        <v>0</v>
      </c>
      <c r="H70" s="161">
        <f>IF('callPut（F）'!D69="--",0,'callPut（F）'!D69)</f>
        <v>0</v>
      </c>
      <c r="I70" s="161">
        <f>IF('callPut（F）'!E69="--",0,'callPut（F）'!E69)</f>
        <v>0</v>
      </c>
      <c r="J70" s="165">
        <v>18850</v>
      </c>
      <c r="K70" s="161">
        <f>IF('callPut（F）'!L69="--",0,'callPut（F）'!L69)</f>
        <v>0</v>
      </c>
      <c r="L70" s="161">
        <f>IF('callPut（F）'!M69="--",0,'callPut（F）'!M69)</f>
        <v>0</v>
      </c>
      <c r="O70" s="160">
        <f t="shared" si="5"/>
        <v>0</v>
      </c>
      <c r="P70" s="160">
        <f t="shared" si="6"/>
        <v>0</v>
      </c>
      <c r="Q70" s="166">
        <v>18850</v>
      </c>
      <c r="R70" s="160">
        <f t="shared" si="7"/>
        <v>0</v>
      </c>
      <c r="S70" s="160">
        <f t="shared" si="8"/>
        <v>0</v>
      </c>
      <c r="T70" s="161"/>
      <c r="U70" s="160">
        <v>0</v>
      </c>
      <c r="V70" s="160">
        <v>0</v>
      </c>
      <c r="X70" s="160">
        <v>0</v>
      </c>
      <c r="Y70" s="160">
        <v>0</v>
      </c>
      <c r="AA70" s="160"/>
      <c r="AB70" s="162"/>
      <c r="AC70" s="162"/>
      <c r="AD70" s="162">
        <f t="shared" si="9"/>
        <v>0</v>
      </c>
      <c r="AE70" s="160">
        <v>68</v>
      </c>
    </row>
    <row r="71" spans="2:31" ht="15.75" x14ac:dyDescent="0.25">
      <c r="B71" s="161">
        <f>IF('callPut（W）'!D70="--",0,'callPut（W）'!D70)</f>
        <v>0</v>
      </c>
      <c r="C71" s="161">
        <f>IF('callPut（W）'!E70="--",0,'callPut（W）'!E70)</f>
        <v>0</v>
      </c>
      <c r="D71" s="165">
        <v>18900</v>
      </c>
      <c r="E71" s="161">
        <f>IF('callPut（W）'!L70="--",0,'callPut（W）'!L70)</f>
        <v>0</v>
      </c>
      <c r="F71" s="161">
        <f>IF('callPut（W）'!M70="--",0,'callPut（W）'!M70)</f>
        <v>0</v>
      </c>
      <c r="H71" s="161">
        <f>IF('callPut（F）'!D70="--",0,'callPut（F）'!D70)</f>
        <v>0</v>
      </c>
      <c r="I71" s="161">
        <f>IF('callPut（F）'!E70="--",0,'callPut（F）'!E70)</f>
        <v>0</v>
      </c>
      <c r="J71" s="165">
        <v>18900</v>
      </c>
      <c r="K71" s="161">
        <f>IF('callPut（F）'!L70="--",0,'callPut（F）'!L70)</f>
        <v>0</v>
      </c>
      <c r="L71" s="161">
        <f>IF('callPut（F）'!M70="--",0,'callPut（F）'!M70)</f>
        <v>0</v>
      </c>
      <c r="O71" s="160">
        <f t="shared" si="5"/>
        <v>0</v>
      </c>
      <c r="P71" s="160">
        <f t="shared" si="6"/>
        <v>0</v>
      </c>
      <c r="Q71" s="166">
        <v>18900</v>
      </c>
      <c r="R71" s="160">
        <f t="shared" si="7"/>
        <v>0</v>
      </c>
      <c r="S71" s="160">
        <f t="shared" si="8"/>
        <v>0</v>
      </c>
      <c r="T71" s="161"/>
      <c r="U71" s="160">
        <v>0</v>
      </c>
      <c r="V71" s="160">
        <v>0</v>
      </c>
      <c r="X71" s="160">
        <v>0</v>
      </c>
      <c r="Y71" s="160">
        <v>0</v>
      </c>
      <c r="AA71" s="160"/>
      <c r="AB71" s="162"/>
      <c r="AC71" s="162"/>
      <c r="AD71" s="162">
        <f t="shared" si="9"/>
        <v>0</v>
      </c>
      <c r="AE71" s="160">
        <v>69</v>
      </c>
    </row>
    <row r="72" spans="2:31" ht="15.75" x14ac:dyDescent="0.25">
      <c r="B72" s="161">
        <f>IF('callPut（W）'!D71="--",0,'callPut（W）'!D71)</f>
        <v>0</v>
      </c>
      <c r="C72" s="161">
        <f>IF('callPut（W）'!E71="--",0,'callPut（W）'!E71)</f>
        <v>0</v>
      </c>
      <c r="D72" s="165">
        <v>18950</v>
      </c>
      <c r="E72" s="161">
        <f>IF('callPut（W）'!L71="--",0,'callPut（W）'!L71)</f>
        <v>0</v>
      </c>
      <c r="F72" s="161">
        <f>IF('callPut（W）'!M71="--",0,'callPut（W）'!M71)</f>
        <v>0</v>
      </c>
      <c r="H72" s="161">
        <f>IF('callPut（F）'!D71="--",0,'callPut（F）'!D71)</f>
        <v>0</v>
      </c>
      <c r="I72" s="161">
        <f>IF('callPut（F）'!E71="--",0,'callPut（F）'!E71)</f>
        <v>0</v>
      </c>
      <c r="J72" s="165">
        <v>18950</v>
      </c>
      <c r="K72" s="161">
        <f>IF('callPut（F）'!L71="--",0,'callPut（F）'!L71)</f>
        <v>0</v>
      </c>
      <c r="L72" s="161">
        <f>IF('callPut（F）'!M71="--",0,'callPut（F）'!M71)</f>
        <v>0</v>
      </c>
      <c r="O72" s="160">
        <f t="shared" si="5"/>
        <v>0</v>
      </c>
      <c r="P72" s="160">
        <f t="shared" si="6"/>
        <v>0</v>
      </c>
      <c r="Q72" s="166">
        <v>18950</v>
      </c>
      <c r="R72" s="160">
        <f t="shared" si="7"/>
        <v>0</v>
      </c>
      <c r="S72" s="160">
        <f t="shared" si="8"/>
        <v>0</v>
      </c>
      <c r="T72" s="161"/>
      <c r="U72" s="160">
        <v>0</v>
      </c>
      <c r="V72" s="160">
        <v>0</v>
      </c>
      <c r="X72" s="160">
        <v>0</v>
      </c>
      <c r="Y72" s="160">
        <v>0</v>
      </c>
      <c r="AA72" s="160"/>
      <c r="AB72" s="162"/>
      <c r="AC72" s="162"/>
      <c r="AD72" s="162">
        <f t="shared" si="9"/>
        <v>0</v>
      </c>
      <c r="AE72" s="160">
        <v>70</v>
      </c>
    </row>
    <row r="73" spans="2:31" ht="15.75" x14ac:dyDescent="0.25">
      <c r="B73" s="161">
        <f>IF('callPut（W）'!D72="--",0,'callPut（W）'!D72)</f>
        <v>0</v>
      </c>
      <c r="C73" s="161">
        <f>IF('callPut（W）'!E72="--",0,'callPut（W）'!E72)</f>
        <v>0</v>
      </c>
      <c r="D73" s="165">
        <v>19000</v>
      </c>
      <c r="E73" s="161">
        <f>IF('callPut（W）'!L72="--",0,'callPut（W）'!L72)</f>
        <v>0</v>
      </c>
      <c r="F73" s="161">
        <f>IF('callPut（W）'!M72="--",0,'callPut（W）'!M72)</f>
        <v>0</v>
      </c>
      <c r="H73" s="161">
        <f>IF('callPut（F）'!D72="--",0,'callPut（F）'!D72)</f>
        <v>0</v>
      </c>
      <c r="I73" s="161">
        <f>IF('callPut（F）'!E72="--",0,'callPut（F）'!E72)</f>
        <v>0</v>
      </c>
      <c r="J73" s="165">
        <v>19000</v>
      </c>
      <c r="K73" s="161">
        <f>IF('callPut（F）'!L72="--",0,'callPut（F）'!L72)</f>
        <v>0</v>
      </c>
      <c r="L73" s="161">
        <f>IF('callPut（F）'!M72="--",0,'callPut（F）'!M72)</f>
        <v>0</v>
      </c>
      <c r="O73" s="160">
        <f t="shared" si="5"/>
        <v>0</v>
      </c>
      <c r="P73" s="160">
        <f t="shared" si="6"/>
        <v>0</v>
      </c>
      <c r="Q73" s="166">
        <v>19000</v>
      </c>
      <c r="R73" s="160">
        <f t="shared" si="7"/>
        <v>0</v>
      </c>
      <c r="S73" s="160">
        <f t="shared" si="8"/>
        <v>0</v>
      </c>
      <c r="T73" s="161"/>
      <c r="U73" s="160">
        <v>0</v>
      </c>
      <c r="V73" s="160">
        <v>0</v>
      </c>
      <c r="X73" s="160">
        <v>0</v>
      </c>
      <c r="Y73" s="160">
        <v>0</v>
      </c>
      <c r="AA73" s="160"/>
      <c r="AB73" s="162"/>
      <c r="AC73" s="162"/>
      <c r="AD73" s="162">
        <f t="shared" si="9"/>
        <v>0</v>
      </c>
      <c r="AE73" s="160">
        <v>71</v>
      </c>
    </row>
    <row r="74" spans="2:31" ht="15.75" x14ac:dyDescent="0.25">
      <c r="B74" s="161">
        <f>IF('callPut（W）'!D73="--",0,'callPut（W）'!D73)</f>
        <v>0</v>
      </c>
      <c r="C74" s="161">
        <f>IF('callPut（W）'!E73="--",0,'callPut（W）'!E73)</f>
        <v>0</v>
      </c>
      <c r="D74" s="165">
        <v>19050</v>
      </c>
      <c r="E74" s="161">
        <f>IF('callPut（W）'!L73="--",0,'callPut（W）'!L73)</f>
        <v>0</v>
      </c>
      <c r="F74" s="161">
        <f>IF('callPut（W）'!M73="--",0,'callPut（W）'!M73)</f>
        <v>0</v>
      </c>
      <c r="H74" s="161">
        <f>IF('callPut（F）'!D73="--",0,'callPut（F）'!D73)</f>
        <v>0</v>
      </c>
      <c r="I74" s="161">
        <f>IF('callPut（F）'!E73="--",0,'callPut（F）'!E73)</f>
        <v>0</v>
      </c>
      <c r="J74" s="165">
        <v>19050</v>
      </c>
      <c r="K74" s="161">
        <f>IF('callPut（F）'!L73="--",0,'callPut（F）'!L73)</f>
        <v>0</v>
      </c>
      <c r="L74" s="161">
        <f>IF('callPut（F）'!M73="--",0,'callPut（F）'!M73)</f>
        <v>0</v>
      </c>
      <c r="O74" s="160">
        <f t="shared" si="5"/>
        <v>0</v>
      </c>
      <c r="P74" s="160">
        <f t="shared" si="6"/>
        <v>0</v>
      </c>
      <c r="Q74" s="166">
        <v>19050</v>
      </c>
      <c r="R74" s="160">
        <f t="shared" si="7"/>
        <v>0</v>
      </c>
      <c r="S74" s="160">
        <f t="shared" si="8"/>
        <v>0</v>
      </c>
      <c r="T74" s="161"/>
      <c r="U74" s="160">
        <v>0</v>
      </c>
      <c r="V74" s="160">
        <v>0</v>
      </c>
      <c r="X74" s="160">
        <v>0</v>
      </c>
      <c r="Y74" s="160">
        <v>0</v>
      </c>
      <c r="AA74" s="160"/>
      <c r="AB74" s="162"/>
      <c r="AC74" s="162"/>
      <c r="AD74" s="162">
        <f t="shared" si="9"/>
        <v>0</v>
      </c>
      <c r="AE74" s="160">
        <v>72</v>
      </c>
    </row>
    <row r="75" spans="2:31" ht="15.75" x14ac:dyDescent="0.25">
      <c r="B75" s="161">
        <f>IF('callPut（W）'!D74="--",0,'callPut（W）'!D74)</f>
        <v>0</v>
      </c>
      <c r="C75" s="161">
        <f>IF('callPut（W）'!E74="--",0,'callPut（W）'!E74)</f>
        <v>0</v>
      </c>
      <c r="D75" s="165">
        <v>19100</v>
      </c>
      <c r="E75" s="161">
        <f>IF('callPut（W）'!L74="--",0,'callPut（W）'!L74)</f>
        <v>0</v>
      </c>
      <c r="F75" s="161">
        <f>IF('callPut（W）'!M74="--",0,'callPut（W）'!M74)</f>
        <v>0</v>
      </c>
      <c r="H75" s="161">
        <f>IF('callPut（F）'!D74="--",0,'callPut（F）'!D74)</f>
        <v>0</v>
      </c>
      <c r="I75" s="161">
        <f>IF('callPut（F）'!E74="--",0,'callPut（F）'!E74)</f>
        <v>0</v>
      </c>
      <c r="J75" s="165">
        <v>19100</v>
      </c>
      <c r="K75" s="161">
        <f>IF('callPut（F）'!L74="--",0,'callPut（F）'!L74)</f>
        <v>0</v>
      </c>
      <c r="L75" s="161">
        <f>IF('callPut（F）'!M74="--",0,'callPut（F）'!M74)</f>
        <v>0</v>
      </c>
      <c r="O75" s="160">
        <f t="shared" si="5"/>
        <v>0</v>
      </c>
      <c r="P75" s="160">
        <f t="shared" si="6"/>
        <v>0</v>
      </c>
      <c r="Q75" s="166">
        <v>19100</v>
      </c>
      <c r="R75" s="160">
        <f t="shared" si="7"/>
        <v>0</v>
      </c>
      <c r="S75" s="160">
        <f t="shared" si="8"/>
        <v>0</v>
      </c>
      <c r="T75" s="161"/>
      <c r="U75" s="160">
        <v>0</v>
      </c>
      <c r="V75" s="160">
        <v>0</v>
      </c>
      <c r="X75" s="160">
        <v>0</v>
      </c>
      <c r="Y75" s="160">
        <v>0</v>
      </c>
      <c r="AA75" s="160"/>
      <c r="AB75" s="162"/>
      <c r="AC75" s="162"/>
      <c r="AD75" s="162">
        <f t="shared" si="9"/>
        <v>0</v>
      </c>
      <c r="AE75" s="160">
        <v>73</v>
      </c>
    </row>
    <row r="76" spans="2:31" ht="15.75" x14ac:dyDescent="0.25">
      <c r="B76" s="161">
        <f>IF('callPut（W）'!D75="--",0,'callPut（W）'!D75)</f>
        <v>0</v>
      </c>
      <c r="C76" s="161">
        <f>IF('callPut（W）'!E75="--",0,'callPut（W）'!E75)</f>
        <v>0</v>
      </c>
      <c r="D76" s="165">
        <v>19150</v>
      </c>
      <c r="E76" s="161">
        <f>IF('callPut（W）'!L75="--",0,'callPut（W）'!L75)</f>
        <v>0</v>
      </c>
      <c r="F76" s="161">
        <f>IF('callPut（W）'!M75="--",0,'callPut（W）'!M75)</f>
        <v>0</v>
      </c>
      <c r="H76" s="161">
        <f>IF('callPut（F）'!D75="--",0,'callPut（F）'!D75)</f>
        <v>0</v>
      </c>
      <c r="I76" s="161">
        <f>IF('callPut（F）'!E75="--",0,'callPut（F）'!E75)</f>
        <v>0</v>
      </c>
      <c r="J76" s="165">
        <v>19150</v>
      </c>
      <c r="K76" s="161">
        <f>IF('callPut（F）'!L75="--",0,'callPut（F）'!L75)</f>
        <v>0</v>
      </c>
      <c r="L76" s="161">
        <f>IF('callPut（F）'!M75="--",0,'callPut（F）'!M75)</f>
        <v>0</v>
      </c>
      <c r="O76" s="160">
        <f t="shared" si="5"/>
        <v>0</v>
      </c>
      <c r="P76" s="160">
        <f t="shared" si="6"/>
        <v>0</v>
      </c>
      <c r="Q76" s="166">
        <v>19150</v>
      </c>
      <c r="R76" s="160">
        <f t="shared" si="7"/>
        <v>0</v>
      </c>
      <c r="S76" s="160">
        <f t="shared" si="8"/>
        <v>0</v>
      </c>
      <c r="T76" s="161"/>
      <c r="U76" s="160">
        <v>0</v>
      </c>
      <c r="V76" s="160">
        <v>0</v>
      </c>
      <c r="X76" s="160">
        <v>0</v>
      </c>
      <c r="Y76" s="160">
        <v>0</v>
      </c>
      <c r="AA76" s="160"/>
      <c r="AB76" s="162"/>
      <c r="AC76" s="162"/>
      <c r="AD76" s="162">
        <f t="shared" si="9"/>
        <v>0</v>
      </c>
      <c r="AE76" s="160">
        <v>74</v>
      </c>
    </row>
    <row r="77" spans="2:31" ht="15.75" x14ac:dyDescent="0.25">
      <c r="B77" s="161">
        <f>IF('callPut（W）'!D76="--",0,'callPut（W）'!D76)</f>
        <v>0</v>
      </c>
      <c r="C77" s="161">
        <f>IF('callPut（W）'!E76="--",0,'callPut（W）'!E76)</f>
        <v>0</v>
      </c>
      <c r="D77" s="165">
        <v>19200</v>
      </c>
      <c r="E77" s="161">
        <f>IF('callPut（W）'!L76="--",0,'callPut（W）'!L76)</f>
        <v>0</v>
      </c>
      <c r="F77" s="161">
        <f>IF('callPut（W）'!M76="--",0,'callPut（W）'!M76)</f>
        <v>0</v>
      </c>
      <c r="H77" s="161">
        <f>IF('callPut（F）'!D76="--",0,'callPut（F）'!D76)</f>
        <v>0</v>
      </c>
      <c r="I77" s="161">
        <f>IF('callPut（F）'!E76="--",0,'callPut（F）'!E76)</f>
        <v>0</v>
      </c>
      <c r="J77" s="165">
        <v>19200</v>
      </c>
      <c r="K77" s="161">
        <f>IF('callPut（F）'!L76="--",0,'callPut（F）'!L76)</f>
        <v>0</v>
      </c>
      <c r="L77" s="161">
        <f>IF('callPut（F）'!M76="--",0,'callPut（F）'!M76)</f>
        <v>0</v>
      </c>
      <c r="O77" s="160">
        <f t="shared" si="5"/>
        <v>0</v>
      </c>
      <c r="P77" s="160">
        <f t="shared" si="6"/>
        <v>0</v>
      </c>
      <c r="Q77" s="166">
        <v>19200</v>
      </c>
      <c r="R77" s="160">
        <f t="shared" si="7"/>
        <v>0</v>
      </c>
      <c r="S77" s="160">
        <f t="shared" si="8"/>
        <v>0</v>
      </c>
      <c r="T77" s="161"/>
      <c r="U77" s="160">
        <v>0</v>
      </c>
      <c r="V77" s="160">
        <v>0</v>
      </c>
      <c r="X77" s="160">
        <v>0</v>
      </c>
      <c r="Y77" s="160">
        <v>0</v>
      </c>
      <c r="AA77" s="160"/>
      <c r="AB77" s="162"/>
      <c r="AC77" s="162"/>
      <c r="AD77" s="162">
        <f t="shared" si="9"/>
        <v>0</v>
      </c>
      <c r="AE77" s="160">
        <v>75</v>
      </c>
    </row>
    <row r="78" spans="2:31" ht="15.75" x14ac:dyDescent="0.25">
      <c r="B78" s="161">
        <f>IF('callPut（W）'!D77="--",0,'callPut（W）'!D77)</f>
        <v>0</v>
      </c>
      <c r="C78" s="161">
        <f>IF('callPut（W）'!E77="--",0,'callPut（W）'!E77)</f>
        <v>0</v>
      </c>
      <c r="D78" s="165">
        <v>19250</v>
      </c>
      <c r="E78" s="161">
        <f>IF('callPut（W）'!L77="--",0,'callPut（W）'!L77)</f>
        <v>0</v>
      </c>
      <c r="F78" s="161">
        <f>IF('callPut（W）'!M77="--",0,'callPut（W）'!M77)</f>
        <v>0</v>
      </c>
      <c r="H78" s="161">
        <f>IF('callPut（F）'!D77="--",0,'callPut（F）'!D77)</f>
        <v>0</v>
      </c>
      <c r="I78" s="161">
        <f>IF('callPut（F）'!E77="--",0,'callPut（F）'!E77)</f>
        <v>0</v>
      </c>
      <c r="J78" s="165">
        <v>19250</v>
      </c>
      <c r="K78" s="161">
        <f>IF('callPut（F）'!L77="--",0,'callPut（F）'!L77)</f>
        <v>0</v>
      </c>
      <c r="L78" s="161">
        <f>IF('callPut（F）'!M77="--",0,'callPut（F）'!M77)</f>
        <v>0</v>
      </c>
      <c r="O78" s="160">
        <f t="shared" si="5"/>
        <v>0</v>
      </c>
      <c r="P78" s="160">
        <f t="shared" si="6"/>
        <v>0</v>
      </c>
      <c r="Q78" s="166">
        <v>19250</v>
      </c>
      <c r="R78" s="160">
        <f t="shared" si="7"/>
        <v>0</v>
      </c>
      <c r="S78" s="160">
        <f t="shared" si="8"/>
        <v>0</v>
      </c>
      <c r="T78" s="161"/>
      <c r="U78" s="160">
        <v>0</v>
      </c>
      <c r="V78" s="160">
        <v>0</v>
      </c>
      <c r="X78" s="160">
        <v>0</v>
      </c>
      <c r="Y78" s="160">
        <v>0</v>
      </c>
      <c r="AA78" s="160"/>
      <c r="AB78" s="162"/>
      <c r="AC78" s="162"/>
      <c r="AD78" s="162">
        <f t="shared" si="9"/>
        <v>0</v>
      </c>
      <c r="AE78" s="160">
        <v>76</v>
      </c>
    </row>
    <row r="79" spans="2:31" ht="15.75" x14ac:dyDescent="0.25">
      <c r="B79" s="161">
        <f>IF('callPut（W）'!D78="--",0,'callPut（W）'!D78)</f>
        <v>0</v>
      </c>
      <c r="C79" s="161">
        <f>IF('callPut（W）'!E78="--",0,'callPut（W）'!E78)</f>
        <v>0</v>
      </c>
      <c r="D79" s="165">
        <v>19300</v>
      </c>
      <c r="E79" s="161">
        <f>IF('callPut（W）'!L78="--",0,'callPut（W）'!L78)</f>
        <v>0</v>
      </c>
      <c r="F79" s="161">
        <f>IF('callPut（W）'!M78="--",0,'callPut（W）'!M78)</f>
        <v>0</v>
      </c>
      <c r="H79" s="161">
        <f>IF('callPut（F）'!D78="--",0,'callPut（F）'!D78)</f>
        <v>0</v>
      </c>
      <c r="I79" s="161">
        <f>IF('callPut（F）'!E78="--",0,'callPut（F）'!E78)</f>
        <v>0</v>
      </c>
      <c r="J79" s="165">
        <v>19300</v>
      </c>
      <c r="K79" s="161">
        <f>IF('callPut（F）'!L78="--",0,'callPut（F）'!L78)</f>
        <v>0</v>
      </c>
      <c r="L79" s="161">
        <f>IF('callPut（F）'!M78="--",0,'callPut（F）'!M78)</f>
        <v>0</v>
      </c>
      <c r="O79" s="160">
        <f t="shared" si="5"/>
        <v>0</v>
      </c>
      <c r="P79" s="160">
        <f t="shared" si="6"/>
        <v>0</v>
      </c>
      <c r="Q79" s="166">
        <v>19300</v>
      </c>
      <c r="R79" s="160">
        <f t="shared" si="7"/>
        <v>0</v>
      </c>
      <c r="S79" s="160">
        <f t="shared" si="8"/>
        <v>0</v>
      </c>
      <c r="T79" s="161"/>
      <c r="U79" s="160">
        <v>0</v>
      </c>
      <c r="V79" s="160">
        <v>0</v>
      </c>
      <c r="X79" s="160">
        <v>0</v>
      </c>
      <c r="Y79" s="160">
        <v>0</v>
      </c>
      <c r="AA79" s="160"/>
      <c r="AB79" s="162"/>
      <c r="AC79" s="162"/>
      <c r="AD79" s="162">
        <f t="shared" si="9"/>
        <v>0</v>
      </c>
      <c r="AE79" s="160">
        <v>77</v>
      </c>
    </row>
    <row r="80" spans="2:31" ht="15.75" x14ac:dyDescent="0.25">
      <c r="B80" s="161">
        <f>IF('callPut（W）'!D79="--",0,'callPut（W）'!D79)</f>
        <v>0</v>
      </c>
      <c r="C80" s="161">
        <f>IF('callPut（W）'!E79="--",0,'callPut（W）'!E79)</f>
        <v>0</v>
      </c>
      <c r="D80" s="165">
        <v>19350</v>
      </c>
      <c r="E80" s="161">
        <f>IF('callPut（W）'!L79="--",0,'callPut（W）'!L79)</f>
        <v>0</v>
      </c>
      <c r="F80" s="161">
        <f>IF('callPut（W）'!M79="--",0,'callPut（W）'!M79)</f>
        <v>0</v>
      </c>
      <c r="H80" s="161">
        <f>IF('callPut（F）'!D79="--",0,'callPut（F）'!D79)</f>
        <v>0</v>
      </c>
      <c r="I80" s="161">
        <f>IF('callPut（F）'!E79="--",0,'callPut（F）'!E79)</f>
        <v>0</v>
      </c>
      <c r="J80" s="165">
        <v>19350</v>
      </c>
      <c r="K80" s="161">
        <f>IF('callPut（F）'!L79="--",0,'callPut（F）'!L79)</f>
        <v>0</v>
      </c>
      <c r="L80" s="161">
        <f>IF('callPut（F）'!M79="--",0,'callPut（F）'!M79)</f>
        <v>0</v>
      </c>
      <c r="O80" s="160">
        <f t="shared" si="5"/>
        <v>0</v>
      </c>
      <c r="P80" s="160">
        <f t="shared" si="6"/>
        <v>0</v>
      </c>
      <c r="Q80" s="166">
        <v>19350</v>
      </c>
      <c r="R80" s="160">
        <f t="shared" si="7"/>
        <v>0</v>
      </c>
      <c r="S80" s="160">
        <f t="shared" si="8"/>
        <v>0</v>
      </c>
      <c r="T80" s="161"/>
      <c r="U80" s="160">
        <v>0</v>
      </c>
      <c r="V80" s="160">
        <v>0</v>
      </c>
      <c r="X80" s="160">
        <v>0</v>
      </c>
      <c r="Y80" s="160">
        <v>0</v>
      </c>
      <c r="AA80" s="160"/>
      <c r="AB80" s="162"/>
      <c r="AC80" s="162"/>
      <c r="AD80" s="162">
        <f t="shared" si="9"/>
        <v>0</v>
      </c>
      <c r="AE80" s="160">
        <v>78</v>
      </c>
    </row>
    <row r="81" spans="2:31" ht="15.75" x14ac:dyDescent="0.25">
      <c r="B81" s="161">
        <f>IF('callPut（W）'!D80="--",0,'callPut（W）'!D80)</f>
        <v>0</v>
      </c>
      <c r="C81" s="161">
        <f>IF('callPut（W）'!E80="--",0,'callPut（W）'!E80)</f>
        <v>0</v>
      </c>
      <c r="D81" s="165">
        <v>19400</v>
      </c>
      <c r="E81" s="161">
        <f>IF('callPut（W）'!L80="--",0,'callPut（W）'!L80)</f>
        <v>0</v>
      </c>
      <c r="F81" s="161">
        <f>IF('callPut（W）'!M80="--",0,'callPut（W）'!M80)</f>
        <v>0</v>
      </c>
      <c r="H81" s="161">
        <f>IF('callPut（F）'!D80="--",0,'callPut（F）'!D80)</f>
        <v>0</v>
      </c>
      <c r="I81" s="161">
        <f>IF('callPut（F）'!E80="--",0,'callPut（F）'!E80)</f>
        <v>0</v>
      </c>
      <c r="J81" s="165">
        <v>19400</v>
      </c>
      <c r="K81" s="161">
        <f>IF('callPut（F）'!L80="--",0,'callPut（F）'!L80)</f>
        <v>0</v>
      </c>
      <c r="L81" s="161">
        <f>IF('callPut（F）'!M80="--",0,'callPut（F）'!M80)</f>
        <v>0</v>
      </c>
      <c r="O81" s="160">
        <f t="shared" si="5"/>
        <v>0</v>
      </c>
      <c r="P81" s="160">
        <f t="shared" si="6"/>
        <v>0</v>
      </c>
      <c r="Q81" s="166">
        <v>19400</v>
      </c>
      <c r="R81" s="160">
        <f t="shared" si="7"/>
        <v>0</v>
      </c>
      <c r="S81" s="160">
        <f t="shared" si="8"/>
        <v>0</v>
      </c>
      <c r="T81" s="161"/>
      <c r="U81" s="160">
        <v>0</v>
      </c>
      <c r="V81" s="160">
        <v>0</v>
      </c>
      <c r="X81" s="160">
        <v>0</v>
      </c>
      <c r="Y81" s="160">
        <v>0</v>
      </c>
      <c r="AA81" s="160"/>
      <c r="AB81" s="162"/>
      <c r="AC81" s="162"/>
      <c r="AD81" s="162">
        <f t="shared" si="9"/>
        <v>0</v>
      </c>
      <c r="AE81" s="160">
        <v>79</v>
      </c>
    </row>
    <row r="82" spans="2:31" ht="15.75" x14ac:dyDescent="0.25">
      <c r="B82" s="161">
        <f>IF('callPut（W）'!D81="--",0,'callPut（W）'!D81)</f>
        <v>0</v>
      </c>
      <c r="C82" s="161">
        <f>IF('callPut（W）'!E81="--",0,'callPut（W）'!E81)</f>
        <v>0</v>
      </c>
      <c r="D82" s="165">
        <v>19450</v>
      </c>
      <c r="E82" s="161">
        <f>IF('callPut（W）'!L81="--",0,'callPut（W）'!L81)</f>
        <v>0</v>
      </c>
      <c r="F82" s="161">
        <f>IF('callPut（W）'!M81="--",0,'callPut（W）'!M81)</f>
        <v>0</v>
      </c>
      <c r="H82" s="161">
        <f>IF('callPut（F）'!D81="--",0,'callPut（F）'!D81)</f>
        <v>0</v>
      </c>
      <c r="I82" s="161">
        <f>IF('callPut（F）'!E81="--",0,'callPut（F）'!E81)</f>
        <v>0</v>
      </c>
      <c r="J82" s="165">
        <v>19450</v>
      </c>
      <c r="K82" s="161">
        <f>IF('callPut（F）'!L81="--",0,'callPut（F）'!L81)</f>
        <v>0</v>
      </c>
      <c r="L82" s="161">
        <f>IF('callPut（F）'!M81="--",0,'callPut（F）'!M81)</f>
        <v>0</v>
      </c>
      <c r="O82" s="160">
        <f t="shared" si="5"/>
        <v>0</v>
      </c>
      <c r="P82" s="160">
        <f t="shared" si="6"/>
        <v>0</v>
      </c>
      <c r="Q82" s="166">
        <v>19450</v>
      </c>
      <c r="R82" s="160">
        <f t="shared" si="7"/>
        <v>0</v>
      </c>
      <c r="S82" s="160">
        <f t="shared" si="8"/>
        <v>0</v>
      </c>
      <c r="T82" s="161"/>
      <c r="U82" s="160">
        <v>0</v>
      </c>
      <c r="V82" s="160">
        <v>0</v>
      </c>
      <c r="X82" s="160">
        <v>0</v>
      </c>
      <c r="Y82" s="160">
        <v>0</v>
      </c>
      <c r="AA82" s="160"/>
      <c r="AB82" s="162"/>
      <c r="AC82" s="162"/>
      <c r="AD82" s="162">
        <f t="shared" si="9"/>
        <v>0</v>
      </c>
      <c r="AE82" s="160">
        <v>80</v>
      </c>
    </row>
    <row r="83" spans="2:31" ht="15.75" x14ac:dyDescent="0.25">
      <c r="B83" s="161">
        <f>IF('callPut（W）'!D82="--",0,'callPut（W）'!D82)</f>
        <v>0</v>
      </c>
      <c r="C83" s="161">
        <f>IF('callPut（W）'!E82="--",0,'callPut（W）'!E82)</f>
        <v>0</v>
      </c>
      <c r="D83" s="165">
        <v>19500</v>
      </c>
      <c r="E83" s="161">
        <f>IF('callPut（W）'!L82="--",0,'callPut（W）'!L82)</f>
        <v>0</v>
      </c>
      <c r="F83" s="161">
        <f>IF('callPut（W）'!M82="--",0,'callPut（W）'!M82)</f>
        <v>0</v>
      </c>
      <c r="H83" s="161">
        <f>IF('callPut（F）'!D82="--",0,'callPut（F）'!D82)</f>
        <v>0</v>
      </c>
      <c r="I83" s="161">
        <f>IF('callPut（F）'!E82="--",0,'callPut（F）'!E82)</f>
        <v>0</v>
      </c>
      <c r="J83" s="165">
        <v>19500</v>
      </c>
      <c r="K83" s="161">
        <f>IF('callPut（F）'!L82="--",0,'callPut（F）'!L82)</f>
        <v>0</v>
      </c>
      <c r="L83" s="161">
        <f>IF('callPut（F）'!M82="--",0,'callPut（F）'!M82)</f>
        <v>0</v>
      </c>
      <c r="O83" s="160">
        <f t="shared" si="5"/>
        <v>0</v>
      </c>
      <c r="P83" s="160">
        <f t="shared" si="6"/>
        <v>0</v>
      </c>
      <c r="Q83" s="166">
        <v>19500</v>
      </c>
      <c r="R83" s="160">
        <f t="shared" si="7"/>
        <v>0</v>
      </c>
      <c r="S83" s="160">
        <f t="shared" si="8"/>
        <v>0</v>
      </c>
      <c r="T83" s="161"/>
      <c r="U83" s="160">
        <v>0</v>
      </c>
      <c r="V83" s="160">
        <v>0</v>
      </c>
      <c r="X83" s="160">
        <v>0</v>
      </c>
      <c r="Y83" s="160">
        <v>0</v>
      </c>
      <c r="AA83" s="160"/>
      <c r="AB83" s="162"/>
      <c r="AC83" s="162"/>
      <c r="AD83" s="162">
        <f t="shared" si="9"/>
        <v>0</v>
      </c>
      <c r="AE83" s="160">
        <v>81</v>
      </c>
    </row>
    <row r="84" spans="2:31" ht="15.75" x14ac:dyDescent="0.25">
      <c r="B84" s="161">
        <f>IF('callPut（W）'!D83="--",0,'callPut（W）'!D83)</f>
        <v>0</v>
      </c>
      <c r="C84" s="161">
        <f>IF('callPut（W）'!E83="--",0,'callPut（W）'!E83)</f>
        <v>0</v>
      </c>
      <c r="D84" s="165">
        <v>19550</v>
      </c>
      <c r="E84" s="161">
        <f>IF('callPut（W）'!L83="--",0,'callPut（W）'!L83)</f>
        <v>0</v>
      </c>
      <c r="F84" s="161">
        <f>IF('callPut（W）'!M83="--",0,'callPut（W）'!M83)</f>
        <v>0</v>
      </c>
      <c r="H84" s="161">
        <f>IF('callPut（F）'!D83="--",0,'callPut（F）'!D83)</f>
        <v>0</v>
      </c>
      <c r="I84" s="161">
        <f>IF('callPut（F）'!E83="--",0,'callPut（F）'!E83)</f>
        <v>0</v>
      </c>
      <c r="J84" s="165">
        <v>19550</v>
      </c>
      <c r="K84" s="161">
        <f>IF('callPut（F）'!L83="--",0,'callPut（F）'!L83)</f>
        <v>0</v>
      </c>
      <c r="L84" s="161">
        <f>IF('callPut（F）'!M83="--",0,'callPut（F）'!M83)</f>
        <v>0</v>
      </c>
      <c r="O84" s="160">
        <f t="shared" si="5"/>
        <v>0</v>
      </c>
      <c r="P84" s="160">
        <f t="shared" si="6"/>
        <v>0</v>
      </c>
      <c r="Q84" s="166">
        <v>19550</v>
      </c>
      <c r="R84" s="160">
        <f t="shared" si="7"/>
        <v>0</v>
      </c>
      <c r="S84" s="160">
        <f t="shared" si="8"/>
        <v>0</v>
      </c>
      <c r="T84" s="161"/>
      <c r="U84" s="160">
        <v>0</v>
      </c>
      <c r="V84" s="160">
        <v>0</v>
      </c>
      <c r="X84" s="160">
        <v>0</v>
      </c>
      <c r="Y84" s="160">
        <v>0</v>
      </c>
      <c r="AA84" s="160"/>
      <c r="AB84" s="162"/>
      <c r="AC84" s="162"/>
      <c r="AD84" s="162">
        <f t="shared" si="9"/>
        <v>0</v>
      </c>
      <c r="AE84" s="160">
        <v>82</v>
      </c>
    </row>
    <row r="85" spans="2:31" ht="15.75" x14ac:dyDescent="0.25">
      <c r="B85" s="161">
        <f>IF('callPut（W）'!D84="--",0,'callPut（W）'!D84)</f>
        <v>0</v>
      </c>
      <c r="C85" s="161">
        <f>IF('callPut（W）'!E84="--",0,'callPut（W）'!E84)</f>
        <v>0</v>
      </c>
      <c r="D85" s="165">
        <v>19600</v>
      </c>
      <c r="E85" s="161">
        <f>IF('callPut（W）'!L84="--",0,'callPut（W）'!L84)</f>
        <v>0</v>
      </c>
      <c r="F85" s="161">
        <f>IF('callPut（W）'!M84="--",0,'callPut（W）'!M84)</f>
        <v>0</v>
      </c>
      <c r="H85" s="161">
        <f>IF('callPut（F）'!D84="--",0,'callPut（F）'!D84)</f>
        <v>0</v>
      </c>
      <c r="I85" s="161">
        <f>IF('callPut（F）'!E84="--",0,'callPut（F）'!E84)</f>
        <v>0</v>
      </c>
      <c r="J85" s="165">
        <v>19600</v>
      </c>
      <c r="K85" s="161">
        <f>IF('callPut（F）'!L84="--",0,'callPut（F）'!L84)</f>
        <v>0</v>
      </c>
      <c r="L85" s="161">
        <f>IF('callPut（F）'!M84="--",0,'callPut（F）'!M84)</f>
        <v>0</v>
      </c>
      <c r="O85" s="160">
        <f t="shared" si="5"/>
        <v>0</v>
      </c>
      <c r="P85" s="160">
        <f t="shared" si="6"/>
        <v>0</v>
      </c>
      <c r="Q85" s="166">
        <v>19600</v>
      </c>
      <c r="R85" s="160">
        <f t="shared" si="7"/>
        <v>0</v>
      </c>
      <c r="S85" s="160">
        <f t="shared" si="8"/>
        <v>0</v>
      </c>
      <c r="T85" s="161"/>
      <c r="U85" s="160">
        <v>0</v>
      </c>
      <c r="V85" s="160">
        <v>0</v>
      </c>
      <c r="X85" s="160">
        <v>0</v>
      </c>
      <c r="Y85" s="160">
        <v>0</v>
      </c>
      <c r="AA85" s="160"/>
      <c r="AB85" s="162"/>
      <c r="AC85" s="162"/>
      <c r="AD85" s="162">
        <f t="shared" si="9"/>
        <v>0</v>
      </c>
      <c r="AE85" s="160">
        <v>83</v>
      </c>
    </row>
    <row r="86" spans="2:31" ht="15.75" x14ac:dyDescent="0.25">
      <c r="B86" s="161">
        <f>IF('callPut（W）'!D85="--",0,'callPut（W）'!D85)</f>
        <v>0</v>
      </c>
      <c r="C86" s="161">
        <f>IF('callPut（W）'!E85="--",0,'callPut（W）'!E85)</f>
        <v>0</v>
      </c>
      <c r="D86" s="165">
        <v>19650</v>
      </c>
      <c r="E86" s="161">
        <f>IF('callPut（W）'!L85="--",0,'callPut（W）'!L85)</f>
        <v>0</v>
      </c>
      <c r="F86" s="161">
        <f>IF('callPut（W）'!M85="--",0,'callPut（W）'!M85)</f>
        <v>0</v>
      </c>
      <c r="H86" s="161">
        <f>IF('callPut（F）'!D85="--",0,'callPut（F）'!D85)</f>
        <v>0</v>
      </c>
      <c r="I86" s="161">
        <f>IF('callPut（F）'!E85="--",0,'callPut（F）'!E85)</f>
        <v>0</v>
      </c>
      <c r="J86" s="165">
        <v>19650</v>
      </c>
      <c r="K86" s="161">
        <f>IF('callPut（F）'!L85="--",0,'callPut（F）'!L85)</f>
        <v>0</v>
      </c>
      <c r="L86" s="161">
        <f>IF('callPut（F）'!M85="--",0,'callPut（F）'!M85)</f>
        <v>0</v>
      </c>
      <c r="O86" s="160">
        <f t="shared" si="5"/>
        <v>0</v>
      </c>
      <c r="P86" s="160">
        <f t="shared" si="6"/>
        <v>0</v>
      </c>
      <c r="Q86" s="166">
        <v>19650</v>
      </c>
      <c r="R86" s="160">
        <f t="shared" si="7"/>
        <v>0</v>
      </c>
      <c r="S86" s="160">
        <f t="shared" si="8"/>
        <v>0</v>
      </c>
      <c r="T86" s="161"/>
      <c r="U86" s="160">
        <v>0</v>
      </c>
      <c r="V86" s="160">
        <v>0</v>
      </c>
      <c r="X86" s="160">
        <v>0</v>
      </c>
      <c r="Y86" s="160">
        <v>0</v>
      </c>
      <c r="AA86" s="160"/>
      <c r="AB86" s="162"/>
      <c r="AC86" s="162"/>
      <c r="AD86" s="162">
        <f t="shared" si="9"/>
        <v>0</v>
      </c>
      <c r="AE86" s="160">
        <v>84</v>
      </c>
    </row>
    <row r="87" spans="2:31" ht="15.75" x14ac:dyDescent="0.25">
      <c r="B87" s="161">
        <f>IF('callPut（W）'!D86="--",0,'callPut（W）'!D86)</f>
        <v>0</v>
      </c>
      <c r="C87" s="161">
        <f>IF('callPut（W）'!E86="--",0,'callPut（W）'!E86)</f>
        <v>0</v>
      </c>
      <c r="D87" s="165">
        <v>19700</v>
      </c>
      <c r="E87" s="161">
        <f>IF('callPut（W）'!L86="--",0,'callPut（W）'!L86)</f>
        <v>0</v>
      </c>
      <c r="F87" s="161">
        <f>IF('callPut（W）'!M86="--",0,'callPut（W）'!M86)</f>
        <v>0</v>
      </c>
      <c r="H87" s="161">
        <f>IF('callPut（F）'!D86="--",0,'callPut（F）'!D86)</f>
        <v>0</v>
      </c>
      <c r="I87" s="161">
        <f>IF('callPut（F）'!E86="--",0,'callPut（F）'!E86)</f>
        <v>0</v>
      </c>
      <c r="J87" s="165">
        <v>19700</v>
      </c>
      <c r="K87" s="161">
        <f>IF('callPut（F）'!L86="--",0,'callPut（F）'!L86)</f>
        <v>0</v>
      </c>
      <c r="L87" s="161">
        <f>IF('callPut（F）'!M86="--",0,'callPut（F）'!M86)</f>
        <v>0</v>
      </c>
      <c r="O87" s="160">
        <f t="shared" si="5"/>
        <v>0</v>
      </c>
      <c r="P87" s="160">
        <f t="shared" si="6"/>
        <v>0</v>
      </c>
      <c r="Q87" s="166">
        <v>19700</v>
      </c>
      <c r="R87" s="160">
        <f t="shared" si="7"/>
        <v>0</v>
      </c>
      <c r="S87" s="160">
        <f t="shared" si="8"/>
        <v>0</v>
      </c>
      <c r="T87" s="161"/>
      <c r="U87" s="160">
        <v>0</v>
      </c>
      <c r="V87" s="160">
        <v>0</v>
      </c>
      <c r="X87" s="160">
        <v>0</v>
      </c>
      <c r="Y87" s="160">
        <v>0</v>
      </c>
      <c r="AA87" s="160"/>
      <c r="AB87" s="162"/>
      <c r="AC87" s="162"/>
      <c r="AD87" s="162">
        <f t="shared" si="9"/>
        <v>0</v>
      </c>
      <c r="AE87" s="160">
        <v>85</v>
      </c>
    </row>
    <row r="88" spans="2:31" ht="15.75" x14ac:dyDescent="0.25">
      <c r="B88" s="161">
        <f>IF('callPut（W）'!D87="--",0,'callPut（W）'!D87)</f>
        <v>0</v>
      </c>
      <c r="C88" s="161">
        <f>IF('callPut（W）'!E87="--",0,'callPut（W）'!E87)</f>
        <v>0</v>
      </c>
      <c r="D88" s="165">
        <v>19750</v>
      </c>
      <c r="E88" s="161">
        <f>IF('callPut（W）'!L87="--",0,'callPut（W）'!L87)</f>
        <v>0</v>
      </c>
      <c r="F88" s="161">
        <f>IF('callPut（W）'!M87="--",0,'callPut（W）'!M87)</f>
        <v>0</v>
      </c>
      <c r="H88" s="161">
        <f>IF('callPut（F）'!D87="--",0,'callPut（F）'!D87)</f>
        <v>0</v>
      </c>
      <c r="I88" s="161">
        <f>IF('callPut（F）'!E87="--",0,'callPut（F）'!E87)</f>
        <v>0</v>
      </c>
      <c r="J88" s="165">
        <v>19750</v>
      </c>
      <c r="K88" s="161">
        <f>IF('callPut（F）'!L87="--",0,'callPut（F）'!L87)</f>
        <v>0</v>
      </c>
      <c r="L88" s="161">
        <f>IF('callPut（F）'!M87="--",0,'callPut（F）'!M87)</f>
        <v>0</v>
      </c>
      <c r="O88" s="160">
        <f t="shared" si="5"/>
        <v>0</v>
      </c>
      <c r="P88" s="160">
        <f t="shared" si="6"/>
        <v>0</v>
      </c>
      <c r="Q88" s="166">
        <v>19750</v>
      </c>
      <c r="R88" s="160">
        <f t="shared" si="7"/>
        <v>0</v>
      </c>
      <c r="S88" s="160">
        <f t="shared" si="8"/>
        <v>0</v>
      </c>
      <c r="T88" s="161"/>
      <c r="U88" s="160">
        <v>0</v>
      </c>
      <c r="V88" s="160">
        <v>0</v>
      </c>
      <c r="X88" s="160">
        <v>0</v>
      </c>
      <c r="Y88" s="160">
        <v>0</v>
      </c>
      <c r="AA88" s="160"/>
      <c r="AB88" s="162"/>
      <c r="AC88" s="162"/>
      <c r="AD88" s="162">
        <f t="shared" si="9"/>
        <v>0</v>
      </c>
      <c r="AE88" s="160">
        <v>86</v>
      </c>
    </row>
    <row r="89" spans="2:31" ht="15.75" x14ac:dyDescent="0.25">
      <c r="B89" s="161">
        <f>IF('callPut（W）'!D88="--",0,'callPut（W）'!D88)</f>
        <v>0</v>
      </c>
      <c r="C89" s="161">
        <f>IF('callPut（W）'!E88="--",0,'callPut（W）'!E88)</f>
        <v>0</v>
      </c>
      <c r="D89" s="165">
        <v>19800</v>
      </c>
      <c r="E89" s="161">
        <f>IF('callPut（W）'!L88="--",0,'callPut（W）'!L88)</f>
        <v>0</v>
      </c>
      <c r="F89" s="161">
        <f>IF('callPut（W）'!M88="--",0,'callPut（W）'!M88)</f>
        <v>0</v>
      </c>
      <c r="H89" s="161">
        <f>IF('callPut（F）'!D88="--",0,'callPut（F）'!D88)</f>
        <v>0</v>
      </c>
      <c r="I89" s="161">
        <f>IF('callPut（F）'!E88="--",0,'callPut（F）'!E88)</f>
        <v>0</v>
      </c>
      <c r="J89" s="165">
        <v>19800</v>
      </c>
      <c r="K89" s="161">
        <f>IF('callPut（F）'!L88="--",0,'callPut（F）'!L88)</f>
        <v>0</v>
      </c>
      <c r="L89" s="161">
        <f>IF('callPut（F）'!M88="--",0,'callPut（F）'!M88)</f>
        <v>0</v>
      </c>
      <c r="O89" s="160">
        <f t="shared" si="5"/>
        <v>0</v>
      </c>
      <c r="P89" s="160">
        <f t="shared" si="6"/>
        <v>0</v>
      </c>
      <c r="Q89" s="166">
        <v>19800</v>
      </c>
      <c r="R89" s="160">
        <f t="shared" si="7"/>
        <v>0</v>
      </c>
      <c r="S89" s="160">
        <f t="shared" si="8"/>
        <v>0</v>
      </c>
      <c r="T89" s="161"/>
      <c r="U89" s="160">
        <v>0</v>
      </c>
      <c r="V89" s="160">
        <v>0</v>
      </c>
      <c r="X89" s="160">
        <v>0</v>
      </c>
      <c r="Y89" s="160">
        <v>0</v>
      </c>
      <c r="AA89" s="160"/>
      <c r="AB89" s="162"/>
      <c r="AC89" s="162"/>
      <c r="AD89" s="162">
        <f t="shared" si="9"/>
        <v>0</v>
      </c>
      <c r="AE89" s="160">
        <v>87</v>
      </c>
    </row>
    <row r="90" spans="2:31" ht="15.75" x14ac:dyDescent="0.25">
      <c r="B90" s="161">
        <f>IF('callPut（W）'!D89="--",0,'callPut（W）'!D89)</f>
        <v>0</v>
      </c>
      <c r="C90" s="161">
        <f>IF('callPut（W）'!E89="--",0,'callPut（W）'!E89)</f>
        <v>0</v>
      </c>
      <c r="D90" s="165">
        <v>19850</v>
      </c>
      <c r="E90" s="161">
        <f>IF('callPut（W）'!L89="--",0,'callPut（W）'!L89)</f>
        <v>0</v>
      </c>
      <c r="F90" s="161">
        <f>IF('callPut（W）'!M89="--",0,'callPut（W）'!M89)</f>
        <v>0</v>
      </c>
      <c r="H90" s="161">
        <f>IF('callPut（F）'!D89="--",0,'callPut（F）'!D89)</f>
        <v>0</v>
      </c>
      <c r="I90" s="161">
        <f>IF('callPut（F）'!E89="--",0,'callPut（F）'!E89)</f>
        <v>0</v>
      </c>
      <c r="J90" s="165">
        <v>19850</v>
      </c>
      <c r="K90" s="161">
        <f>IF('callPut（F）'!L89="--",0,'callPut（F）'!L89)</f>
        <v>0</v>
      </c>
      <c r="L90" s="161">
        <f>IF('callPut（F）'!M89="--",0,'callPut（F）'!M89)</f>
        <v>0</v>
      </c>
      <c r="O90" s="160">
        <f t="shared" si="5"/>
        <v>0</v>
      </c>
      <c r="P90" s="160">
        <f t="shared" si="6"/>
        <v>0</v>
      </c>
      <c r="Q90" s="166">
        <v>19850</v>
      </c>
      <c r="R90" s="160">
        <f t="shared" si="7"/>
        <v>0</v>
      </c>
      <c r="S90" s="160">
        <f t="shared" si="8"/>
        <v>0</v>
      </c>
      <c r="T90" s="161"/>
      <c r="U90" s="160">
        <v>0</v>
      </c>
      <c r="V90" s="160">
        <v>0</v>
      </c>
      <c r="X90" s="160">
        <v>0</v>
      </c>
      <c r="Y90" s="160">
        <v>0</v>
      </c>
      <c r="AA90" s="160"/>
      <c r="AB90" s="162"/>
      <c r="AC90" s="162"/>
      <c r="AD90" s="162">
        <f t="shared" si="9"/>
        <v>0</v>
      </c>
      <c r="AE90" s="160">
        <v>88</v>
      </c>
    </row>
    <row r="91" spans="2:31" ht="15.75" x14ac:dyDescent="0.25">
      <c r="B91" s="161">
        <f>IF('callPut（W）'!D90="--",0,'callPut（W）'!D90)</f>
        <v>0</v>
      </c>
      <c r="C91" s="161">
        <f>IF('callPut（W）'!E90="--",0,'callPut（W）'!E90)</f>
        <v>0</v>
      </c>
      <c r="D91" s="165">
        <v>19900</v>
      </c>
      <c r="E91" s="161">
        <f>IF('callPut（W）'!L90="--",0,'callPut（W）'!L90)</f>
        <v>0</v>
      </c>
      <c r="F91" s="161">
        <f>IF('callPut（W）'!M90="--",0,'callPut（W）'!M90)</f>
        <v>0</v>
      </c>
      <c r="H91" s="161">
        <f>IF('callPut（F）'!D90="--",0,'callPut（F）'!D90)</f>
        <v>0</v>
      </c>
      <c r="I91" s="161">
        <f>IF('callPut（F）'!E90="--",0,'callPut（F）'!E90)</f>
        <v>0</v>
      </c>
      <c r="J91" s="165">
        <v>19900</v>
      </c>
      <c r="K91" s="161">
        <f>IF('callPut（F）'!L90="--",0,'callPut（F）'!L90)</f>
        <v>0</v>
      </c>
      <c r="L91" s="161">
        <f>IF('callPut（F）'!M90="--",0,'callPut（F）'!M90)</f>
        <v>0</v>
      </c>
      <c r="O91" s="160">
        <f t="shared" si="5"/>
        <v>0</v>
      </c>
      <c r="P91" s="160">
        <f t="shared" si="6"/>
        <v>0</v>
      </c>
      <c r="Q91" s="166">
        <v>19900</v>
      </c>
      <c r="R91" s="160">
        <f t="shared" si="7"/>
        <v>0</v>
      </c>
      <c r="S91" s="160">
        <f t="shared" si="8"/>
        <v>0</v>
      </c>
      <c r="T91" s="161"/>
      <c r="U91" s="160">
        <v>0</v>
      </c>
      <c r="V91" s="160">
        <v>0</v>
      </c>
      <c r="X91" s="160">
        <v>0</v>
      </c>
      <c r="Y91" s="160">
        <v>0</v>
      </c>
      <c r="AA91" s="160"/>
      <c r="AB91" s="162"/>
      <c r="AC91" s="162"/>
      <c r="AD91" s="162">
        <f t="shared" si="9"/>
        <v>0</v>
      </c>
      <c r="AE91" s="160">
        <v>89</v>
      </c>
    </row>
    <row r="92" spans="2:31" ht="15.75" x14ac:dyDescent="0.25">
      <c r="B92" s="161">
        <f>IF('callPut（W）'!D91="--",0,'callPut（W）'!D91)</f>
        <v>0</v>
      </c>
      <c r="C92" s="161">
        <f>IF('callPut（W）'!E91="--",0,'callPut（W）'!E91)</f>
        <v>0</v>
      </c>
      <c r="D92" s="165">
        <v>19950</v>
      </c>
      <c r="E92" s="161">
        <f>IF('callPut（W）'!L91="--",0,'callPut（W）'!L91)</f>
        <v>0</v>
      </c>
      <c r="F92" s="161">
        <f>IF('callPut（W）'!M91="--",0,'callPut（W）'!M91)</f>
        <v>0</v>
      </c>
      <c r="H92" s="161">
        <f>IF('callPut（F）'!D91="--",0,'callPut（F）'!D91)</f>
        <v>0</v>
      </c>
      <c r="I92" s="161">
        <f>IF('callPut（F）'!E91="--",0,'callPut（F）'!E91)</f>
        <v>0</v>
      </c>
      <c r="J92" s="165">
        <v>19950</v>
      </c>
      <c r="K92" s="161">
        <f>IF('callPut（F）'!L91="--",0,'callPut（F）'!L91)</f>
        <v>0</v>
      </c>
      <c r="L92" s="161">
        <f>IF('callPut（F）'!M91="--",0,'callPut（F）'!M91)</f>
        <v>0</v>
      </c>
      <c r="O92" s="160">
        <f t="shared" si="5"/>
        <v>0</v>
      </c>
      <c r="P92" s="160">
        <f t="shared" si="6"/>
        <v>0</v>
      </c>
      <c r="Q92" s="166">
        <v>19950</v>
      </c>
      <c r="R92" s="160">
        <f t="shared" si="7"/>
        <v>0</v>
      </c>
      <c r="S92" s="160">
        <f t="shared" si="8"/>
        <v>0</v>
      </c>
      <c r="T92" s="161"/>
      <c r="U92" s="160">
        <v>0</v>
      </c>
      <c r="V92" s="160">
        <v>0</v>
      </c>
      <c r="X92" s="160">
        <v>0</v>
      </c>
      <c r="Y92" s="160">
        <v>0</v>
      </c>
      <c r="AA92" s="160"/>
      <c r="AB92" s="162"/>
      <c r="AC92" s="162"/>
      <c r="AD92" s="162">
        <f t="shared" si="9"/>
        <v>0</v>
      </c>
      <c r="AE92" s="160">
        <v>90</v>
      </c>
    </row>
    <row r="93" spans="2:31" ht="15.75" x14ac:dyDescent="0.25">
      <c r="B93" s="161">
        <f>IF('callPut（W）'!D92="--",0,'callPut（W）'!D92)</f>
        <v>0</v>
      </c>
      <c r="C93" s="161">
        <f>IF('callPut（W）'!E92="--",0,'callPut（W）'!E92)</f>
        <v>0</v>
      </c>
      <c r="D93" s="165">
        <v>20000</v>
      </c>
      <c r="E93" s="161">
        <f>IF('callPut（W）'!L92="--",0,'callPut（W）'!L92)</f>
        <v>0</v>
      </c>
      <c r="F93" s="161">
        <f>IF('callPut（W）'!M92="--",0,'callPut（W）'!M92)</f>
        <v>0</v>
      </c>
      <c r="H93" s="161">
        <f>IF('callPut（F）'!D92="--",0,'callPut（F）'!D92)</f>
        <v>0</v>
      </c>
      <c r="I93" s="161">
        <f>IF('callPut（F）'!E92="--",0,'callPut（F）'!E92)</f>
        <v>0</v>
      </c>
      <c r="J93" s="165">
        <v>20000</v>
      </c>
      <c r="K93" s="161">
        <f>IF('callPut（F）'!L92="--",0,'callPut（F）'!L92)</f>
        <v>0</v>
      </c>
      <c r="L93" s="161">
        <f>IF('callPut（F）'!M92="--",0,'callPut（F）'!M92)</f>
        <v>0</v>
      </c>
      <c r="O93" s="160">
        <f t="shared" si="5"/>
        <v>0</v>
      </c>
      <c r="P93" s="160">
        <f t="shared" si="6"/>
        <v>0</v>
      </c>
      <c r="Q93" s="166">
        <v>20000</v>
      </c>
      <c r="R93" s="160">
        <f t="shared" si="7"/>
        <v>0</v>
      </c>
      <c r="S93" s="160">
        <f t="shared" si="8"/>
        <v>0</v>
      </c>
      <c r="T93" s="161"/>
      <c r="U93" s="160">
        <v>0</v>
      </c>
      <c r="V93" s="160">
        <v>0</v>
      </c>
      <c r="X93" s="160">
        <v>0</v>
      </c>
      <c r="Y93" s="160">
        <v>0</v>
      </c>
      <c r="AA93" s="160"/>
      <c r="AB93" s="162"/>
      <c r="AC93" s="162"/>
      <c r="AD93" s="162">
        <f t="shared" si="9"/>
        <v>0</v>
      </c>
      <c r="AE93" s="160">
        <v>91</v>
      </c>
    </row>
    <row r="94" spans="2:31" ht="15.75" x14ac:dyDescent="0.25">
      <c r="B94" s="161">
        <f>IF('callPut（W）'!D93="--",0,'callPut（W）'!D93)</f>
        <v>0</v>
      </c>
      <c r="C94" s="161">
        <f>IF('callPut（W）'!E93="--",0,'callPut（W）'!E93)</f>
        <v>0</v>
      </c>
      <c r="D94" s="165">
        <v>20050</v>
      </c>
      <c r="E94" s="161">
        <f>IF('callPut（W）'!L93="--",0,'callPut（W）'!L93)</f>
        <v>0</v>
      </c>
      <c r="F94" s="161">
        <f>IF('callPut（W）'!M93="--",0,'callPut（W）'!M93)</f>
        <v>0</v>
      </c>
      <c r="H94" s="161">
        <f>IF('callPut（F）'!D93="--",0,'callPut（F）'!D93)</f>
        <v>0</v>
      </c>
      <c r="I94" s="161">
        <f>IF('callPut（F）'!E93="--",0,'callPut（F）'!E93)</f>
        <v>0</v>
      </c>
      <c r="J94" s="165">
        <v>20050</v>
      </c>
      <c r="K94" s="161">
        <f>IF('callPut（F）'!L93="--",0,'callPut（F）'!L93)</f>
        <v>0</v>
      </c>
      <c r="L94" s="161">
        <f>IF('callPut（F）'!M93="--",0,'callPut（F）'!M93)</f>
        <v>0</v>
      </c>
      <c r="O94" s="160">
        <f t="shared" si="5"/>
        <v>0</v>
      </c>
      <c r="P94" s="160">
        <f t="shared" si="6"/>
        <v>0</v>
      </c>
      <c r="Q94" s="166">
        <v>20050</v>
      </c>
      <c r="R94" s="160">
        <f t="shared" si="7"/>
        <v>0</v>
      </c>
      <c r="S94" s="160">
        <f t="shared" si="8"/>
        <v>0</v>
      </c>
      <c r="T94" s="161"/>
      <c r="U94" s="160">
        <v>0</v>
      </c>
      <c r="V94" s="160">
        <v>0</v>
      </c>
      <c r="X94" s="160">
        <v>0</v>
      </c>
      <c r="Y94" s="160">
        <v>0</v>
      </c>
      <c r="AA94" s="160"/>
      <c r="AB94" s="162"/>
      <c r="AC94" s="162"/>
      <c r="AD94" s="162">
        <f t="shared" si="9"/>
        <v>0</v>
      </c>
      <c r="AE94" s="160">
        <v>92</v>
      </c>
    </row>
    <row r="95" spans="2:31" ht="15.75" x14ac:dyDescent="0.25">
      <c r="B95" s="161">
        <f>IF('callPut（W）'!D94="--",0,'callPut（W）'!D94)</f>
        <v>0</v>
      </c>
      <c r="C95" s="161">
        <f>IF('callPut（W）'!E94="--",0,'callPut（W）'!E94)</f>
        <v>0</v>
      </c>
      <c r="D95" s="165">
        <v>20100</v>
      </c>
      <c r="E95" s="161">
        <f>IF('callPut（W）'!L94="--",0,'callPut（W）'!L94)</f>
        <v>1</v>
      </c>
      <c r="F95" s="161">
        <f>IF('callPut（W）'!M94="--",0,'callPut（W）'!M94)</f>
        <v>499</v>
      </c>
      <c r="H95" s="161">
        <f>IF('callPut（F）'!D94="--",0,'callPut（F）'!D94)</f>
        <v>0</v>
      </c>
      <c r="I95" s="161">
        <f>IF('callPut（F）'!E94="--",0,'callPut（F）'!E94)</f>
        <v>0</v>
      </c>
      <c r="J95" s="165">
        <v>20100</v>
      </c>
      <c r="K95" s="161">
        <f>IF('callPut（F）'!L94="--",0,'callPut（F）'!L94)</f>
        <v>0</v>
      </c>
      <c r="L95" s="161">
        <f>IF('callPut（F）'!M94="--",0,'callPut（F）'!M94)</f>
        <v>0</v>
      </c>
      <c r="O95" s="160">
        <f t="shared" si="5"/>
        <v>0</v>
      </c>
      <c r="P95" s="160">
        <f t="shared" si="6"/>
        <v>0</v>
      </c>
      <c r="Q95" s="166">
        <v>20100</v>
      </c>
      <c r="R95" s="160">
        <f t="shared" si="7"/>
        <v>1</v>
      </c>
      <c r="S95" s="160">
        <f t="shared" si="8"/>
        <v>499</v>
      </c>
      <c r="T95" s="161"/>
      <c r="U95" s="160">
        <v>0</v>
      </c>
      <c r="V95" s="160">
        <v>0</v>
      </c>
      <c r="X95" s="160">
        <v>0</v>
      </c>
      <c r="Y95" s="160">
        <v>0</v>
      </c>
      <c r="AA95" s="160"/>
      <c r="AB95" s="162"/>
      <c r="AC95" s="162"/>
      <c r="AD95" s="162">
        <f t="shared" si="9"/>
        <v>0</v>
      </c>
      <c r="AE95" s="160">
        <v>93</v>
      </c>
    </row>
    <row r="96" spans="2:31" ht="15.75" x14ac:dyDescent="0.25">
      <c r="B96" s="161">
        <f>IF('callPut（W）'!D95="--",0,'callPut（W）'!D95)</f>
        <v>0</v>
      </c>
      <c r="C96" s="161">
        <f>IF('callPut（W）'!E95="--",0,'callPut（W）'!E95)</f>
        <v>0</v>
      </c>
      <c r="D96" s="165">
        <v>20150</v>
      </c>
      <c r="E96" s="161">
        <f>IF('callPut（W）'!L95="--",0,'callPut（W）'!L95)</f>
        <v>0</v>
      </c>
      <c r="F96" s="161">
        <f>IF('callPut（W）'!M95="--",0,'callPut（W）'!M95)</f>
        <v>0</v>
      </c>
      <c r="H96" s="161">
        <f>IF('callPut（F）'!D95="--",0,'callPut（F）'!D95)</f>
        <v>0</v>
      </c>
      <c r="I96" s="161">
        <f>IF('callPut（F）'!E95="--",0,'callPut（F）'!E95)</f>
        <v>0</v>
      </c>
      <c r="J96" s="165">
        <v>20150</v>
      </c>
      <c r="K96" s="161">
        <f>IF('callPut（F）'!L95="--",0,'callPut（F）'!L95)</f>
        <v>0</v>
      </c>
      <c r="L96" s="161">
        <f>IF('callPut（F）'!M95="--",0,'callPut（F）'!M95)</f>
        <v>0</v>
      </c>
      <c r="O96" s="160">
        <f t="shared" si="5"/>
        <v>0</v>
      </c>
      <c r="P96" s="160">
        <f t="shared" si="6"/>
        <v>0</v>
      </c>
      <c r="Q96" s="166">
        <v>20150</v>
      </c>
      <c r="R96" s="160">
        <f t="shared" si="7"/>
        <v>0</v>
      </c>
      <c r="S96" s="160">
        <f t="shared" si="8"/>
        <v>0</v>
      </c>
      <c r="T96" s="161"/>
      <c r="U96" s="160">
        <v>0</v>
      </c>
      <c r="V96" s="160">
        <v>0</v>
      </c>
      <c r="X96" s="160">
        <v>0</v>
      </c>
      <c r="Y96" s="160">
        <v>0</v>
      </c>
      <c r="AA96" s="160"/>
      <c r="AB96" s="162"/>
      <c r="AC96" s="162"/>
      <c r="AD96" s="162">
        <f t="shared" si="9"/>
        <v>0</v>
      </c>
      <c r="AE96" s="160">
        <v>94</v>
      </c>
    </row>
    <row r="97" spans="2:31" ht="15.75" x14ac:dyDescent="0.25">
      <c r="B97" s="161">
        <f>IF('callPut（W）'!D96="--",0,'callPut（W）'!D96)</f>
        <v>0</v>
      </c>
      <c r="C97" s="161">
        <f>IF('callPut（W）'!E96="--",0,'callPut（W）'!E96)</f>
        <v>0</v>
      </c>
      <c r="D97" s="165">
        <v>20200</v>
      </c>
      <c r="E97" s="161">
        <f>IF('callPut（W）'!L96="--",0,'callPut（W）'!L96)</f>
        <v>1</v>
      </c>
      <c r="F97" s="161">
        <f>IF('callPut（W）'!M96="--",0,'callPut（W）'!M96)</f>
        <v>7</v>
      </c>
      <c r="H97" s="161">
        <f>IF('callPut（F）'!D96="--",0,'callPut（F）'!D96)</f>
        <v>0</v>
      </c>
      <c r="I97" s="161">
        <f>IF('callPut（F）'!E96="--",0,'callPut（F）'!E96)</f>
        <v>0</v>
      </c>
      <c r="J97" s="165">
        <v>20200</v>
      </c>
      <c r="K97" s="161">
        <f>IF('callPut（F）'!L96="--",0,'callPut（F）'!L96)</f>
        <v>0</v>
      </c>
      <c r="L97" s="161">
        <f>IF('callPut（F）'!M96="--",0,'callPut（F）'!M96)</f>
        <v>0</v>
      </c>
      <c r="O97" s="160">
        <f t="shared" si="5"/>
        <v>0</v>
      </c>
      <c r="P97" s="160">
        <f t="shared" si="6"/>
        <v>0</v>
      </c>
      <c r="Q97" s="166">
        <v>20200</v>
      </c>
      <c r="R97" s="160">
        <f t="shared" si="7"/>
        <v>1</v>
      </c>
      <c r="S97" s="160">
        <f t="shared" si="8"/>
        <v>7</v>
      </c>
      <c r="T97" s="161"/>
      <c r="U97" s="160">
        <v>0</v>
      </c>
      <c r="V97" s="160">
        <v>0</v>
      </c>
      <c r="X97" s="160">
        <v>0</v>
      </c>
      <c r="Y97" s="160">
        <v>0</v>
      </c>
      <c r="AA97" s="160"/>
      <c r="AB97" s="162"/>
      <c r="AC97" s="162"/>
      <c r="AD97" s="162">
        <f t="shared" si="9"/>
        <v>0</v>
      </c>
      <c r="AE97" s="160">
        <v>95</v>
      </c>
    </row>
    <row r="98" spans="2:31" ht="15.75" x14ac:dyDescent="0.25">
      <c r="B98" s="161">
        <f>IF('callPut（W）'!D97="--",0,'callPut（W）'!D97)</f>
        <v>0</v>
      </c>
      <c r="C98" s="161">
        <f>IF('callPut（W）'!E97="--",0,'callPut（W）'!E97)</f>
        <v>0</v>
      </c>
      <c r="D98" s="165">
        <v>20250</v>
      </c>
      <c r="E98" s="161">
        <f>IF('callPut（W）'!L97="--",0,'callPut（W）'!L97)</f>
        <v>0</v>
      </c>
      <c r="F98" s="161">
        <f>IF('callPut（W）'!M97="--",0,'callPut（W）'!M97)</f>
        <v>0</v>
      </c>
      <c r="H98" s="161">
        <f>IF('callPut（F）'!D97="--",0,'callPut（F）'!D97)</f>
        <v>0</v>
      </c>
      <c r="I98" s="161">
        <f>IF('callPut（F）'!E97="--",0,'callPut（F）'!E97)</f>
        <v>0</v>
      </c>
      <c r="J98" s="165">
        <v>20250</v>
      </c>
      <c r="K98" s="161">
        <f>IF('callPut（F）'!L97="--",0,'callPut（F）'!L97)</f>
        <v>0</v>
      </c>
      <c r="L98" s="161">
        <f>IF('callPut（F）'!M97="--",0,'callPut（F）'!M97)</f>
        <v>0</v>
      </c>
      <c r="O98" s="160">
        <f t="shared" si="5"/>
        <v>0</v>
      </c>
      <c r="P98" s="160">
        <f t="shared" si="6"/>
        <v>0</v>
      </c>
      <c r="Q98" s="166">
        <v>20250</v>
      </c>
      <c r="R98" s="160">
        <f t="shared" si="7"/>
        <v>0</v>
      </c>
      <c r="S98" s="160">
        <f t="shared" si="8"/>
        <v>0</v>
      </c>
      <c r="T98" s="161"/>
      <c r="U98" s="160">
        <v>0</v>
      </c>
      <c r="V98" s="160">
        <v>0</v>
      </c>
      <c r="X98" s="160">
        <v>0</v>
      </c>
      <c r="Y98" s="160">
        <v>0</v>
      </c>
      <c r="AA98" s="160"/>
      <c r="AB98" s="162"/>
      <c r="AC98" s="162"/>
      <c r="AD98" s="162">
        <f t="shared" si="9"/>
        <v>0</v>
      </c>
      <c r="AE98" s="160">
        <v>96</v>
      </c>
    </row>
    <row r="99" spans="2:31" ht="15.75" x14ac:dyDescent="0.25">
      <c r="B99" s="161">
        <f>IF('callPut（W）'!D98="--",0,'callPut（W）'!D98)</f>
        <v>0</v>
      </c>
      <c r="C99" s="161">
        <f>IF('callPut（W）'!E98="--",0,'callPut（W）'!E98)</f>
        <v>0</v>
      </c>
      <c r="D99" s="165">
        <v>20300</v>
      </c>
      <c r="E99" s="161">
        <f>IF('callPut（W）'!L98="--",0,'callPut（W）'!L98)</f>
        <v>1.3</v>
      </c>
      <c r="F99" s="161">
        <f>IF('callPut（W）'!M98="--",0,'callPut（W）'!M98)</f>
        <v>6</v>
      </c>
      <c r="H99" s="161">
        <f>IF('callPut（F）'!D98="--",0,'callPut（F）'!D98)</f>
        <v>0</v>
      </c>
      <c r="I99" s="161">
        <f>IF('callPut（F）'!E98="--",0,'callPut（F）'!E98)</f>
        <v>0</v>
      </c>
      <c r="J99" s="165">
        <v>20300</v>
      </c>
      <c r="K99" s="161">
        <f>IF('callPut（F）'!L98="--",0,'callPut（F）'!L98)</f>
        <v>3</v>
      </c>
      <c r="L99" s="161">
        <f>IF('callPut（F）'!M98="--",0,'callPut（F）'!M98)</f>
        <v>11</v>
      </c>
      <c r="O99" s="160">
        <f t="shared" si="5"/>
        <v>0</v>
      </c>
      <c r="P99" s="160">
        <f t="shared" si="6"/>
        <v>0</v>
      </c>
      <c r="Q99" s="166">
        <v>20300</v>
      </c>
      <c r="R99" s="160">
        <f t="shared" si="7"/>
        <v>4.3</v>
      </c>
      <c r="S99" s="160">
        <f t="shared" si="8"/>
        <v>17</v>
      </c>
      <c r="T99" s="161"/>
      <c r="U99" s="160">
        <v>0</v>
      </c>
      <c r="V99" s="160">
        <v>0</v>
      </c>
      <c r="X99" s="160">
        <v>0</v>
      </c>
      <c r="Y99" s="160">
        <v>0</v>
      </c>
      <c r="AA99" s="160"/>
      <c r="AB99" s="162"/>
      <c r="AC99" s="162"/>
      <c r="AD99" s="162">
        <f t="shared" si="9"/>
        <v>0</v>
      </c>
      <c r="AE99" s="160">
        <v>97</v>
      </c>
    </row>
    <row r="100" spans="2:31" ht="15.75" x14ac:dyDescent="0.25">
      <c r="B100" s="161">
        <f>IF('callPut（W）'!D99="--",0,'callPut（W）'!D99)</f>
        <v>0</v>
      </c>
      <c r="C100" s="161">
        <f>IF('callPut（W）'!E99="--",0,'callPut（W）'!E99)</f>
        <v>0</v>
      </c>
      <c r="D100" s="165">
        <v>20350</v>
      </c>
      <c r="E100" s="161">
        <f>IF('callPut（W）'!L99="--",0,'callPut（W）'!L99)</f>
        <v>0</v>
      </c>
      <c r="F100" s="161">
        <f>IF('callPut（W）'!M99="--",0,'callPut（W）'!M99)</f>
        <v>0</v>
      </c>
      <c r="H100" s="161">
        <f>IF('callPut（F）'!D99="--",0,'callPut（F）'!D99)</f>
        <v>0</v>
      </c>
      <c r="I100" s="161">
        <f>IF('callPut（F）'!E99="--",0,'callPut（F）'!E99)</f>
        <v>0</v>
      </c>
      <c r="J100" s="165">
        <v>20350</v>
      </c>
      <c r="K100" s="161">
        <f>IF('callPut（F）'!L99="--",0,'callPut（F）'!L99)</f>
        <v>0</v>
      </c>
      <c r="L100" s="161">
        <f>IF('callPut（F）'!M99="--",0,'callPut（F）'!M99)</f>
        <v>0</v>
      </c>
      <c r="O100" s="160">
        <f t="shared" si="5"/>
        <v>0</v>
      </c>
      <c r="P100" s="160">
        <f t="shared" si="6"/>
        <v>0</v>
      </c>
      <c r="Q100" s="166">
        <v>20350</v>
      </c>
      <c r="R100" s="160">
        <f t="shared" si="7"/>
        <v>0</v>
      </c>
      <c r="S100" s="160">
        <f t="shared" si="8"/>
        <v>0</v>
      </c>
      <c r="T100" s="161"/>
      <c r="U100" s="160">
        <v>0</v>
      </c>
      <c r="V100" s="160">
        <v>0</v>
      </c>
      <c r="X100" s="160">
        <v>0</v>
      </c>
      <c r="Y100" s="160">
        <v>0</v>
      </c>
      <c r="AA100" s="160"/>
      <c r="AB100" s="162"/>
      <c r="AC100" s="162"/>
      <c r="AD100" s="162">
        <f t="shared" si="9"/>
        <v>0</v>
      </c>
      <c r="AE100" s="160">
        <v>98</v>
      </c>
    </row>
    <row r="101" spans="2:31" ht="15.75" x14ac:dyDescent="0.25">
      <c r="B101" s="161">
        <f>IF('callPut（W）'!D100="--",0,'callPut（W）'!D100)</f>
        <v>0</v>
      </c>
      <c r="C101" s="161">
        <f>IF('callPut（W）'!E100="--",0,'callPut（W）'!E100)</f>
        <v>0</v>
      </c>
      <c r="D101" s="165">
        <v>20400</v>
      </c>
      <c r="E101" s="161">
        <f>IF('callPut（W）'!L100="--",0,'callPut（W）'!L100)</f>
        <v>1.1000000000000001</v>
      </c>
      <c r="F101" s="161">
        <f>IF('callPut（W）'!M100="--",0,'callPut（W）'!M100)</f>
        <v>5</v>
      </c>
      <c r="H101" s="161">
        <f>IF('callPut（F）'!D100="--",0,'callPut（F）'!D100)</f>
        <v>0</v>
      </c>
      <c r="I101" s="161">
        <f>IF('callPut（F）'!E100="--",0,'callPut（F）'!E100)</f>
        <v>0</v>
      </c>
      <c r="J101" s="165">
        <v>20400</v>
      </c>
      <c r="K101" s="161">
        <f>IF('callPut（F）'!L100="--",0,'callPut（F）'!L100)</f>
        <v>0</v>
      </c>
      <c r="L101" s="161">
        <f>IF('callPut（F）'!M100="--",0,'callPut（F）'!M100)</f>
        <v>0</v>
      </c>
      <c r="O101" s="160">
        <f t="shared" si="5"/>
        <v>0</v>
      </c>
      <c r="P101" s="160">
        <f t="shared" si="6"/>
        <v>0</v>
      </c>
      <c r="Q101" s="166">
        <v>20400</v>
      </c>
      <c r="R101" s="160">
        <f t="shared" si="7"/>
        <v>1.1000000000000001</v>
      </c>
      <c r="S101" s="160">
        <f t="shared" si="8"/>
        <v>5</v>
      </c>
      <c r="T101" s="161"/>
      <c r="U101" s="160">
        <v>0</v>
      </c>
      <c r="V101" s="160">
        <v>0</v>
      </c>
      <c r="X101" s="160">
        <v>0</v>
      </c>
      <c r="Y101" s="160">
        <v>0</v>
      </c>
      <c r="AA101" s="160"/>
      <c r="AB101" s="162"/>
      <c r="AC101" s="162"/>
      <c r="AD101" s="162">
        <f t="shared" si="9"/>
        <v>0</v>
      </c>
      <c r="AE101" s="160">
        <v>99</v>
      </c>
    </row>
    <row r="102" spans="2:31" ht="15.75" x14ac:dyDescent="0.25">
      <c r="B102" s="161">
        <f>IF('callPut（W）'!D101="--",0,'callPut（W）'!D101)</f>
        <v>0</v>
      </c>
      <c r="C102" s="161">
        <f>IF('callPut（W）'!E101="--",0,'callPut（W）'!E101)</f>
        <v>0</v>
      </c>
      <c r="D102" s="165">
        <v>20450</v>
      </c>
      <c r="E102" s="161">
        <f>IF('callPut（W）'!L101="--",0,'callPut（W）'!L101)</f>
        <v>0</v>
      </c>
      <c r="F102" s="161">
        <f>IF('callPut（W）'!M101="--",0,'callPut（W）'!M101)</f>
        <v>0</v>
      </c>
      <c r="H102" s="161">
        <f>IF('callPut（F）'!D101="--",0,'callPut（F）'!D101)</f>
        <v>0</v>
      </c>
      <c r="I102" s="161">
        <f>IF('callPut（F）'!E101="--",0,'callPut（F）'!E101)</f>
        <v>0</v>
      </c>
      <c r="J102" s="165">
        <v>20450</v>
      </c>
      <c r="K102" s="161">
        <f>IF('callPut（F）'!L101="--",0,'callPut（F）'!L101)</f>
        <v>0</v>
      </c>
      <c r="L102" s="161">
        <f>IF('callPut（F）'!M101="--",0,'callPut（F）'!M101)</f>
        <v>0</v>
      </c>
      <c r="O102" s="160">
        <f t="shared" si="5"/>
        <v>0</v>
      </c>
      <c r="P102" s="160">
        <f t="shared" si="6"/>
        <v>0</v>
      </c>
      <c r="Q102" s="166">
        <v>20450</v>
      </c>
      <c r="R102" s="160">
        <f t="shared" si="7"/>
        <v>0</v>
      </c>
      <c r="S102" s="160">
        <f t="shared" si="8"/>
        <v>0</v>
      </c>
      <c r="T102" s="161"/>
      <c r="U102" s="160">
        <v>0</v>
      </c>
      <c r="V102" s="160">
        <v>0</v>
      </c>
      <c r="X102" s="160">
        <v>0</v>
      </c>
      <c r="Y102" s="160">
        <v>0</v>
      </c>
      <c r="AA102" s="160"/>
      <c r="AB102" s="162"/>
      <c r="AC102" s="162"/>
      <c r="AD102" s="162">
        <f t="shared" si="9"/>
        <v>0</v>
      </c>
      <c r="AE102" s="160">
        <v>100</v>
      </c>
    </row>
    <row r="103" spans="2:31" ht="15.75" x14ac:dyDescent="0.25">
      <c r="B103" s="161">
        <f>IF('callPut（W）'!D102="--",0,'callPut（W）'!D102)</f>
        <v>0</v>
      </c>
      <c r="C103" s="161">
        <f>IF('callPut（W）'!E102="--",0,'callPut（W）'!E102)</f>
        <v>0</v>
      </c>
      <c r="D103" s="165">
        <v>20500</v>
      </c>
      <c r="E103" s="161">
        <f>IF('callPut（W）'!L102="--",0,'callPut（W）'!L102)</f>
        <v>1.3</v>
      </c>
      <c r="F103" s="161">
        <f>IF('callPut（W）'!M102="--",0,'callPut（W）'!M102)</f>
        <v>5</v>
      </c>
      <c r="H103" s="161">
        <f>IF('callPut（F）'!D102="--",0,'callPut（F）'!D102)</f>
        <v>0</v>
      </c>
      <c r="I103" s="161">
        <f>IF('callPut（F）'!E102="--",0,'callPut（F）'!E102)</f>
        <v>0</v>
      </c>
      <c r="J103" s="165">
        <v>20500</v>
      </c>
      <c r="K103" s="161">
        <f>IF('callPut（F）'!L102="--",0,'callPut（F）'!L102)</f>
        <v>0</v>
      </c>
      <c r="L103" s="161">
        <f>IF('callPut（F）'!M102="--",0,'callPut（F）'!M102)</f>
        <v>0</v>
      </c>
      <c r="O103" s="160">
        <f t="shared" si="5"/>
        <v>0</v>
      </c>
      <c r="P103" s="160">
        <f t="shared" si="6"/>
        <v>0</v>
      </c>
      <c r="Q103" s="166">
        <v>20500</v>
      </c>
      <c r="R103" s="160">
        <f t="shared" si="7"/>
        <v>1.3</v>
      </c>
      <c r="S103" s="160">
        <f t="shared" si="8"/>
        <v>5</v>
      </c>
      <c r="T103" s="161"/>
      <c r="U103" s="160">
        <v>0</v>
      </c>
      <c r="V103" s="160">
        <v>0</v>
      </c>
      <c r="X103" s="160">
        <v>0</v>
      </c>
      <c r="Y103" s="160">
        <v>0</v>
      </c>
      <c r="AA103" s="160"/>
      <c r="AB103" s="162"/>
      <c r="AC103" s="162"/>
      <c r="AD103" s="162">
        <f t="shared" si="9"/>
        <v>0</v>
      </c>
      <c r="AE103" s="160">
        <v>101</v>
      </c>
    </row>
    <row r="104" spans="2:31" ht="15.75" x14ac:dyDescent="0.25">
      <c r="B104" s="161">
        <f>IF('callPut（W）'!D103="--",0,'callPut（W）'!D103)</f>
        <v>0</v>
      </c>
      <c r="C104" s="161">
        <f>IF('callPut（W）'!E103="--",0,'callPut（W）'!E103)</f>
        <v>0</v>
      </c>
      <c r="D104" s="165">
        <v>20550</v>
      </c>
      <c r="E104" s="161">
        <f>IF('callPut（W）'!L103="--",0,'callPut（W）'!L103)</f>
        <v>0</v>
      </c>
      <c r="F104" s="161">
        <f>IF('callPut（W）'!M103="--",0,'callPut（W）'!M103)</f>
        <v>0</v>
      </c>
      <c r="H104" s="161">
        <f>IF('callPut（F）'!D103="--",0,'callPut（F）'!D103)</f>
        <v>0</v>
      </c>
      <c r="I104" s="161">
        <f>IF('callPut（F）'!E103="--",0,'callPut（F）'!E103)</f>
        <v>0</v>
      </c>
      <c r="J104" s="165">
        <v>20550</v>
      </c>
      <c r="K104" s="161">
        <f>IF('callPut（F）'!L103="--",0,'callPut（F）'!L103)</f>
        <v>0</v>
      </c>
      <c r="L104" s="161">
        <f>IF('callPut（F）'!M103="--",0,'callPut（F）'!M103)</f>
        <v>0</v>
      </c>
      <c r="O104" s="160">
        <f t="shared" si="5"/>
        <v>0</v>
      </c>
      <c r="P104" s="160">
        <f t="shared" si="6"/>
        <v>0</v>
      </c>
      <c r="Q104" s="166">
        <v>20550</v>
      </c>
      <c r="R104" s="160">
        <f t="shared" si="7"/>
        <v>0</v>
      </c>
      <c r="S104" s="160">
        <f t="shared" si="8"/>
        <v>0</v>
      </c>
      <c r="T104" s="161"/>
      <c r="U104" s="160">
        <v>0</v>
      </c>
      <c r="V104" s="160">
        <v>0</v>
      </c>
      <c r="X104" s="160">
        <v>0</v>
      </c>
      <c r="Y104" s="160">
        <v>0</v>
      </c>
      <c r="AA104" s="160"/>
      <c r="AB104" s="162"/>
      <c r="AC104" s="162"/>
      <c r="AD104" s="162">
        <f t="shared" si="9"/>
        <v>0</v>
      </c>
      <c r="AE104" s="160">
        <v>102</v>
      </c>
    </row>
    <row r="105" spans="2:31" ht="15.75" x14ac:dyDescent="0.25">
      <c r="B105" s="161">
        <f>IF('callPut（W）'!D104="--",0,'callPut（W）'!D104)</f>
        <v>0</v>
      </c>
      <c r="C105" s="161">
        <f>IF('callPut（W）'!E104="--",0,'callPut（W）'!E104)</f>
        <v>0</v>
      </c>
      <c r="D105" s="165">
        <v>20600</v>
      </c>
      <c r="E105" s="161">
        <f>IF('callPut（W）'!L104="--",0,'callPut（W）'!L104)</f>
        <v>1.1000000000000001</v>
      </c>
      <c r="F105" s="161">
        <f>IF('callPut（W）'!M104="--",0,'callPut（W）'!M104)</f>
        <v>3</v>
      </c>
      <c r="H105" s="161">
        <f>IF('callPut（F）'!D104="--",0,'callPut（F）'!D104)</f>
        <v>0</v>
      </c>
      <c r="I105" s="161">
        <f>IF('callPut（F）'!E104="--",0,'callPut（F）'!E104)</f>
        <v>0</v>
      </c>
      <c r="J105" s="165">
        <v>20600</v>
      </c>
      <c r="K105" s="161">
        <f>IF('callPut（F）'!L104="--",0,'callPut（F）'!L104)</f>
        <v>0</v>
      </c>
      <c r="L105" s="161">
        <f>IF('callPut（F）'!M104="--",0,'callPut（F）'!M104)</f>
        <v>0</v>
      </c>
      <c r="O105" s="160">
        <f t="shared" si="5"/>
        <v>0</v>
      </c>
      <c r="P105" s="160">
        <f t="shared" si="6"/>
        <v>0</v>
      </c>
      <c r="Q105" s="166">
        <v>20600</v>
      </c>
      <c r="R105" s="160">
        <f t="shared" si="7"/>
        <v>1.1000000000000001</v>
      </c>
      <c r="S105" s="160">
        <f t="shared" si="8"/>
        <v>3</v>
      </c>
      <c r="T105" s="161"/>
      <c r="U105" s="160">
        <v>0</v>
      </c>
      <c r="V105" s="160">
        <v>0</v>
      </c>
      <c r="X105" s="160">
        <v>0</v>
      </c>
      <c r="Y105" s="160">
        <v>0</v>
      </c>
      <c r="AA105" s="160"/>
      <c r="AB105" s="162"/>
      <c r="AC105" s="162"/>
      <c r="AD105" s="162">
        <f t="shared" si="9"/>
        <v>0</v>
      </c>
      <c r="AE105" s="160">
        <v>103</v>
      </c>
    </row>
    <row r="106" spans="2:31" ht="15.75" x14ac:dyDescent="0.25">
      <c r="B106" s="161">
        <f>IF('callPut（W）'!D105="--",0,'callPut（W）'!D105)</f>
        <v>0</v>
      </c>
      <c r="C106" s="161">
        <f>IF('callPut（W）'!E105="--",0,'callPut（W）'!E105)</f>
        <v>0</v>
      </c>
      <c r="D106" s="165">
        <v>20650</v>
      </c>
      <c r="E106" s="161">
        <f>IF('callPut（W）'!L105="--",0,'callPut（W）'!L105)</f>
        <v>0</v>
      </c>
      <c r="F106" s="161">
        <f>IF('callPut（W）'!M105="--",0,'callPut（W）'!M105)</f>
        <v>0</v>
      </c>
      <c r="H106" s="161">
        <f>IF('callPut（F）'!D105="--",0,'callPut（F）'!D105)</f>
        <v>0</v>
      </c>
      <c r="I106" s="161">
        <f>IF('callPut（F）'!E105="--",0,'callPut（F）'!E105)</f>
        <v>0</v>
      </c>
      <c r="J106" s="165">
        <v>20650</v>
      </c>
      <c r="K106" s="161">
        <f>IF('callPut（F）'!L105="--",0,'callPut（F）'!L105)</f>
        <v>0</v>
      </c>
      <c r="L106" s="161">
        <f>IF('callPut（F）'!M105="--",0,'callPut（F）'!M105)</f>
        <v>0</v>
      </c>
      <c r="O106" s="160">
        <f t="shared" si="5"/>
        <v>0</v>
      </c>
      <c r="P106" s="160">
        <f t="shared" si="6"/>
        <v>0</v>
      </c>
      <c r="Q106" s="166">
        <v>20650</v>
      </c>
      <c r="R106" s="160">
        <f t="shared" si="7"/>
        <v>0</v>
      </c>
      <c r="S106" s="160">
        <f t="shared" si="8"/>
        <v>0</v>
      </c>
      <c r="T106" s="161"/>
      <c r="U106" s="160">
        <v>0</v>
      </c>
      <c r="V106" s="160">
        <v>0</v>
      </c>
      <c r="X106" s="160">
        <v>0</v>
      </c>
      <c r="Y106" s="160">
        <v>0</v>
      </c>
      <c r="AA106" s="160"/>
      <c r="AB106" s="162"/>
      <c r="AC106" s="162"/>
      <c r="AD106" s="162">
        <f t="shared" si="9"/>
        <v>0</v>
      </c>
      <c r="AE106" s="160">
        <v>104</v>
      </c>
    </row>
    <row r="107" spans="2:31" ht="15.75" x14ac:dyDescent="0.25">
      <c r="B107" s="161">
        <f>IF('callPut（W）'!D106="--",0,'callPut（W）'!D106)</f>
        <v>0</v>
      </c>
      <c r="C107" s="161">
        <f>IF('callPut（W）'!E106="--",0,'callPut（W）'!E106)</f>
        <v>0</v>
      </c>
      <c r="D107" s="165">
        <v>20700</v>
      </c>
      <c r="E107" s="161">
        <f>IF('callPut（W）'!L106="--",0,'callPut（W）'!L106)</f>
        <v>1.4</v>
      </c>
      <c r="F107" s="161">
        <f>IF('callPut（W）'!M106="--",0,'callPut（W）'!M106)</f>
        <v>2</v>
      </c>
      <c r="H107" s="161">
        <f>IF('callPut（F）'!D106="--",0,'callPut（F）'!D106)</f>
        <v>0</v>
      </c>
      <c r="I107" s="161">
        <f>IF('callPut（F）'!E106="--",0,'callPut（F）'!E106)</f>
        <v>0</v>
      </c>
      <c r="J107" s="165">
        <v>20700</v>
      </c>
      <c r="K107" s="161">
        <f>IF('callPut（F）'!L106="--",0,'callPut（F）'!L106)</f>
        <v>0</v>
      </c>
      <c r="L107" s="161">
        <f>IF('callPut（F）'!M106="--",0,'callPut（F）'!M106)</f>
        <v>0</v>
      </c>
      <c r="O107" s="160">
        <f t="shared" si="5"/>
        <v>0</v>
      </c>
      <c r="P107" s="160">
        <f t="shared" si="6"/>
        <v>0</v>
      </c>
      <c r="Q107" s="166">
        <v>20700</v>
      </c>
      <c r="R107" s="160">
        <f t="shared" si="7"/>
        <v>1.4</v>
      </c>
      <c r="S107" s="160">
        <f t="shared" si="8"/>
        <v>2</v>
      </c>
      <c r="T107" s="161"/>
      <c r="U107" s="160">
        <v>0</v>
      </c>
      <c r="V107" s="160">
        <v>0</v>
      </c>
      <c r="X107" s="160">
        <v>0</v>
      </c>
      <c r="Y107" s="160">
        <v>0</v>
      </c>
      <c r="AA107" s="160"/>
      <c r="AB107" s="162"/>
      <c r="AC107" s="162"/>
      <c r="AD107" s="162">
        <f t="shared" si="9"/>
        <v>0</v>
      </c>
      <c r="AE107" s="160">
        <v>105</v>
      </c>
    </row>
    <row r="108" spans="2:31" ht="15.75" x14ac:dyDescent="0.25">
      <c r="B108" s="161">
        <f>IF('callPut（W）'!D107="--",0,'callPut（W）'!D107)</f>
        <v>0</v>
      </c>
      <c r="C108" s="161">
        <f>IF('callPut（W）'!E107="--",0,'callPut（W）'!E107)</f>
        <v>0</v>
      </c>
      <c r="D108" s="165">
        <v>20750</v>
      </c>
      <c r="E108" s="161">
        <f>IF('callPut（W）'!L107="--",0,'callPut（W）'!L107)</f>
        <v>0</v>
      </c>
      <c r="F108" s="161">
        <f>IF('callPut（W）'!M107="--",0,'callPut（W）'!M107)</f>
        <v>0</v>
      </c>
      <c r="H108" s="161">
        <f>IF('callPut（F）'!D107="--",0,'callPut（F）'!D107)</f>
        <v>0</v>
      </c>
      <c r="I108" s="161">
        <f>IF('callPut（F）'!E107="--",0,'callPut（F）'!E107)</f>
        <v>0</v>
      </c>
      <c r="J108" s="165">
        <v>20750</v>
      </c>
      <c r="K108" s="161">
        <f>IF('callPut（F）'!L107="--",0,'callPut（F）'!L107)</f>
        <v>0</v>
      </c>
      <c r="L108" s="161">
        <f>IF('callPut（F）'!M107="--",0,'callPut（F）'!M107)</f>
        <v>0</v>
      </c>
      <c r="O108" s="160">
        <f t="shared" si="5"/>
        <v>0</v>
      </c>
      <c r="P108" s="160">
        <f t="shared" si="6"/>
        <v>0</v>
      </c>
      <c r="Q108" s="166">
        <v>20750</v>
      </c>
      <c r="R108" s="160">
        <f t="shared" si="7"/>
        <v>0</v>
      </c>
      <c r="S108" s="160">
        <f t="shared" si="8"/>
        <v>0</v>
      </c>
      <c r="T108" s="161"/>
      <c r="U108" s="160">
        <v>0</v>
      </c>
      <c r="V108" s="160">
        <v>0</v>
      </c>
      <c r="X108" s="160">
        <v>0</v>
      </c>
      <c r="Y108" s="160">
        <v>0</v>
      </c>
      <c r="AA108" s="160"/>
      <c r="AB108" s="162"/>
      <c r="AC108" s="162"/>
      <c r="AD108" s="162">
        <f t="shared" si="9"/>
        <v>0</v>
      </c>
      <c r="AE108" s="160">
        <v>106</v>
      </c>
    </row>
    <row r="109" spans="2:31" ht="15.75" x14ac:dyDescent="0.25">
      <c r="B109" s="161">
        <f>IF('callPut（W）'!D108="--",0,'callPut（W）'!D108)</f>
        <v>0</v>
      </c>
      <c r="C109" s="161">
        <f>IF('callPut（W）'!E108="--",0,'callPut（W）'!E108)</f>
        <v>0</v>
      </c>
      <c r="D109" s="165">
        <v>20800</v>
      </c>
      <c r="E109" s="161">
        <f>IF('callPut（W）'!L108="--",0,'callPut（W）'!L108)</f>
        <v>0</v>
      </c>
      <c r="F109" s="161">
        <f>IF('callPut（W）'!M108="--",0,'callPut（W）'!M108)</f>
        <v>0</v>
      </c>
      <c r="H109" s="161">
        <f>IF('callPut（F）'!D108="--",0,'callPut（F）'!D108)</f>
        <v>0</v>
      </c>
      <c r="I109" s="161">
        <f>IF('callPut（F）'!E108="--",0,'callPut（F）'!E108)</f>
        <v>0</v>
      </c>
      <c r="J109" s="165">
        <v>20800</v>
      </c>
      <c r="K109" s="161">
        <f>IF('callPut（F）'!L108="--",0,'callPut（F）'!L108)</f>
        <v>0</v>
      </c>
      <c r="L109" s="161">
        <f>IF('callPut（F）'!M108="--",0,'callPut（F）'!M108)</f>
        <v>0</v>
      </c>
      <c r="O109" s="160">
        <f t="shared" si="5"/>
        <v>0</v>
      </c>
      <c r="P109" s="160">
        <f t="shared" si="6"/>
        <v>0</v>
      </c>
      <c r="Q109" s="166">
        <v>20800</v>
      </c>
      <c r="R109" s="160">
        <f t="shared" si="7"/>
        <v>0</v>
      </c>
      <c r="S109" s="160">
        <f t="shared" si="8"/>
        <v>0</v>
      </c>
      <c r="T109" s="161"/>
      <c r="U109" s="160">
        <v>0</v>
      </c>
      <c r="V109" s="160">
        <v>0</v>
      </c>
      <c r="X109" s="160">
        <v>0</v>
      </c>
      <c r="Y109" s="160">
        <v>0</v>
      </c>
      <c r="AA109" s="160"/>
      <c r="AB109" s="162"/>
      <c r="AC109" s="162"/>
      <c r="AD109" s="162">
        <f t="shared" si="9"/>
        <v>0</v>
      </c>
      <c r="AE109" s="160">
        <v>107</v>
      </c>
    </row>
    <row r="110" spans="2:31" ht="15.75" x14ac:dyDescent="0.25">
      <c r="B110" s="161">
        <f>IF('callPut（W）'!D109="--",0,'callPut（W）'!D109)</f>
        <v>0</v>
      </c>
      <c r="C110" s="161">
        <f>IF('callPut（W）'!E109="--",0,'callPut（W）'!E109)</f>
        <v>0</v>
      </c>
      <c r="D110" s="165">
        <v>20850</v>
      </c>
      <c r="E110" s="161">
        <f>IF('callPut（W）'!L109="--",0,'callPut（W）'!L109)</f>
        <v>0</v>
      </c>
      <c r="F110" s="161">
        <f>IF('callPut（W）'!M109="--",0,'callPut（W）'!M109)</f>
        <v>0</v>
      </c>
      <c r="H110" s="161">
        <f>IF('callPut（F）'!D109="--",0,'callPut（F）'!D109)</f>
        <v>0</v>
      </c>
      <c r="I110" s="161">
        <f>IF('callPut（F）'!E109="--",0,'callPut（F）'!E109)</f>
        <v>0</v>
      </c>
      <c r="J110" s="165">
        <v>20850</v>
      </c>
      <c r="K110" s="161">
        <f>IF('callPut（F）'!L109="--",0,'callPut（F）'!L109)</f>
        <v>0</v>
      </c>
      <c r="L110" s="161">
        <f>IF('callPut（F）'!M109="--",0,'callPut（F）'!M109)</f>
        <v>0</v>
      </c>
      <c r="O110" s="160">
        <f t="shared" si="5"/>
        <v>0</v>
      </c>
      <c r="P110" s="160">
        <f t="shared" si="6"/>
        <v>0</v>
      </c>
      <c r="Q110" s="166">
        <v>20850</v>
      </c>
      <c r="R110" s="160">
        <f t="shared" si="7"/>
        <v>0</v>
      </c>
      <c r="S110" s="160">
        <f t="shared" si="8"/>
        <v>0</v>
      </c>
      <c r="T110" s="161"/>
      <c r="U110" s="160">
        <v>0</v>
      </c>
      <c r="V110" s="160">
        <v>0</v>
      </c>
      <c r="X110" s="160">
        <v>0</v>
      </c>
      <c r="Y110" s="160">
        <v>0</v>
      </c>
      <c r="AA110" s="160"/>
      <c r="AB110" s="162"/>
      <c r="AC110" s="162"/>
      <c r="AD110" s="162">
        <f t="shared" si="9"/>
        <v>0</v>
      </c>
      <c r="AE110" s="160">
        <v>108</v>
      </c>
    </row>
    <row r="111" spans="2:31" ht="15.75" x14ac:dyDescent="0.25">
      <c r="B111" s="161">
        <f>IF('callPut（W）'!D110="--",0,'callPut（W）'!D110)</f>
        <v>0</v>
      </c>
      <c r="C111" s="161">
        <f>IF('callPut（W）'!E110="--",0,'callPut（W）'!E110)</f>
        <v>0</v>
      </c>
      <c r="D111" s="165">
        <v>20900</v>
      </c>
      <c r="E111" s="161">
        <f>IF('callPut（W）'!L110="--",0,'callPut（W）'!L110)</f>
        <v>1.4</v>
      </c>
      <c r="F111" s="161">
        <f>IF('callPut（W）'!M110="--",0,'callPut（W）'!M110)</f>
        <v>21</v>
      </c>
      <c r="H111" s="161">
        <f>IF('callPut（F）'!D110="--",0,'callPut（F）'!D110)</f>
        <v>0</v>
      </c>
      <c r="I111" s="161">
        <f>IF('callPut（F）'!E110="--",0,'callPut（F）'!E110)</f>
        <v>0</v>
      </c>
      <c r="J111" s="165">
        <v>20900</v>
      </c>
      <c r="K111" s="161">
        <f>IF('callPut（F）'!L110="--",0,'callPut（F）'!L110)</f>
        <v>0</v>
      </c>
      <c r="L111" s="161">
        <f>IF('callPut（F）'!M110="--",0,'callPut（F）'!M110)</f>
        <v>0</v>
      </c>
      <c r="O111" s="160">
        <f t="shared" si="5"/>
        <v>0</v>
      </c>
      <c r="P111" s="160">
        <f t="shared" si="6"/>
        <v>0</v>
      </c>
      <c r="Q111" s="166">
        <v>20900</v>
      </c>
      <c r="R111" s="160">
        <f t="shared" si="7"/>
        <v>1.4</v>
      </c>
      <c r="S111" s="160">
        <f t="shared" si="8"/>
        <v>21</v>
      </c>
      <c r="T111" s="161"/>
      <c r="U111" s="160">
        <v>0</v>
      </c>
      <c r="V111" s="160">
        <v>0</v>
      </c>
      <c r="X111" s="160">
        <v>0</v>
      </c>
      <c r="Y111" s="160">
        <v>0</v>
      </c>
      <c r="AA111" s="160"/>
      <c r="AB111" s="162"/>
      <c r="AC111" s="162"/>
      <c r="AD111" s="162">
        <f t="shared" si="9"/>
        <v>0</v>
      </c>
      <c r="AE111" s="160">
        <v>109</v>
      </c>
    </row>
    <row r="112" spans="2:31" ht="15.75" x14ac:dyDescent="0.25">
      <c r="B112" s="161">
        <f>IF('callPut（W）'!D111="--",0,'callPut（W）'!D111)</f>
        <v>0</v>
      </c>
      <c r="C112" s="161">
        <f>IF('callPut（W）'!E111="--",0,'callPut（W）'!E111)</f>
        <v>0</v>
      </c>
      <c r="D112" s="165">
        <v>20950</v>
      </c>
      <c r="E112" s="161">
        <f>IF('callPut（W）'!L111="--",0,'callPut（W）'!L111)</f>
        <v>0</v>
      </c>
      <c r="F112" s="161">
        <f>IF('callPut（W）'!M111="--",0,'callPut（W）'!M111)</f>
        <v>0</v>
      </c>
      <c r="H112" s="161">
        <f>IF('callPut（F）'!D111="--",0,'callPut（F）'!D111)</f>
        <v>0</v>
      </c>
      <c r="I112" s="161">
        <f>IF('callPut（F）'!E111="--",0,'callPut（F）'!E111)</f>
        <v>0</v>
      </c>
      <c r="J112" s="165">
        <v>20950</v>
      </c>
      <c r="K112" s="161">
        <f>IF('callPut（F）'!L111="--",0,'callPut（F）'!L111)</f>
        <v>0</v>
      </c>
      <c r="L112" s="161">
        <f>IF('callPut（F）'!M111="--",0,'callPut（F）'!M111)</f>
        <v>0</v>
      </c>
      <c r="O112" s="160">
        <f t="shared" si="5"/>
        <v>0</v>
      </c>
      <c r="P112" s="160">
        <f t="shared" si="6"/>
        <v>0</v>
      </c>
      <c r="Q112" s="166">
        <v>20950</v>
      </c>
      <c r="R112" s="160">
        <f t="shared" si="7"/>
        <v>0</v>
      </c>
      <c r="S112" s="160">
        <f t="shared" si="8"/>
        <v>0</v>
      </c>
      <c r="T112" s="161"/>
      <c r="U112" s="160">
        <v>0</v>
      </c>
      <c r="V112" s="160">
        <v>0</v>
      </c>
      <c r="X112" s="160">
        <v>0</v>
      </c>
      <c r="Y112" s="160">
        <v>0</v>
      </c>
      <c r="AA112" s="160"/>
      <c r="AB112" s="162"/>
      <c r="AC112" s="162"/>
      <c r="AD112" s="162">
        <f t="shared" si="9"/>
        <v>0</v>
      </c>
      <c r="AE112" s="160">
        <v>110</v>
      </c>
    </row>
    <row r="113" spans="2:31" ht="15.75" x14ac:dyDescent="0.25">
      <c r="B113" s="161">
        <f>IF('callPut（W）'!D112="--",0,'callPut（W）'!D112)</f>
        <v>2360</v>
      </c>
      <c r="C113" s="161">
        <f>IF('callPut（W）'!E112="--",0,'callPut（W）'!E112)</f>
        <v>1</v>
      </c>
      <c r="D113" s="165">
        <v>21000</v>
      </c>
      <c r="E113" s="161">
        <f>IF('callPut（W）'!L112="--",0,'callPut（W）'!L112)</f>
        <v>1.3</v>
      </c>
      <c r="F113" s="161">
        <f>IF('callPut（W）'!M112="--",0,'callPut（W）'!M112)</f>
        <v>101</v>
      </c>
      <c r="H113" s="161">
        <f>IF('callPut（F）'!D112="--",0,'callPut（F）'!D112)</f>
        <v>0</v>
      </c>
      <c r="I113" s="161">
        <f>IF('callPut（F）'!E112="--",0,'callPut（F）'!E112)</f>
        <v>0</v>
      </c>
      <c r="J113" s="165">
        <v>21000</v>
      </c>
      <c r="K113" s="161">
        <f>IF('callPut（F）'!L112="--",0,'callPut（F）'!L112)</f>
        <v>0</v>
      </c>
      <c r="L113" s="161">
        <f>IF('callPut（F）'!M112="--",0,'callPut（F）'!M112)</f>
        <v>0</v>
      </c>
      <c r="O113" s="160">
        <f t="shared" si="5"/>
        <v>2360</v>
      </c>
      <c r="P113" s="160">
        <f t="shared" si="6"/>
        <v>1</v>
      </c>
      <c r="Q113" s="166">
        <v>21000</v>
      </c>
      <c r="R113" s="160">
        <f t="shared" si="7"/>
        <v>1.3</v>
      </c>
      <c r="S113" s="160">
        <f t="shared" si="8"/>
        <v>101</v>
      </c>
      <c r="T113" s="161"/>
      <c r="U113" s="160">
        <v>0</v>
      </c>
      <c r="V113" s="160">
        <v>0</v>
      </c>
      <c r="X113" s="160">
        <v>0</v>
      </c>
      <c r="Y113" s="160">
        <v>0</v>
      </c>
      <c r="AA113" s="160"/>
      <c r="AB113" s="162"/>
      <c r="AC113" s="162"/>
      <c r="AD113" s="162">
        <f t="shared" si="9"/>
        <v>0</v>
      </c>
      <c r="AE113" s="160">
        <v>111</v>
      </c>
    </row>
    <row r="114" spans="2:31" ht="15.75" x14ac:dyDescent="0.25">
      <c r="B114" s="161">
        <f>IF('callPut（W）'!D113="--",0,'callPut（W）'!D113)</f>
        <v>0</v>
      </c>
      <c r="C114" s="161">
        <f>IF('callPut（W）'!E113="--",0,'callPut（W）'!E113)</f>
        <v>0</v>
      </c>
      <c r="D114" s="165">
        <v>21050</v>
      </c>
      <c r="E114" s="161">
        <f>IF('callPut（W）'!L113="--",0,'callPut（W）'!L113)</f>
        <v>0</v>
      </c>
      <c r="F114" s="161">
        <f>IF('callPut（W）'!M113="--",0,'callPut（W）'!M113)</f>
        <v>0</v>
      </c>
      <c r="H114" s="161">
        <f>IF('callPut（F）'!D113="--",0,'callPut（F）'!D113)</f>
        <v>0</v>
      </c>
      <c r="I114" s="161">
        <f>IF('callPut（F）'!E113="--",0,'callPut（F）'!E113)</f>
        <v>0</v>
      </c>
      <c r="J114" s="165">
        <v>21050</v>
      </c>
      <c r="K114" s="161">
        <f>IF('callPut（F）'!L113="--",0,'callPut（F）'!L113)</f>
        <v>0</v>
      </c>
      <c r="L114" s="161">
        <f>IF('callPut（F）'!M113="--",0,'callPut（F）'!M113)</f>
        <v>0</v>
      </c>
      <c r="O114" s="160">
        <f t="shared" si="5"/>
        <v>0</v>
      </c>
      <c r="P114" s="160">
        <f t="shared" si="6"/>
        <v>0</v>
      </c>
      <c r="Q114" s="166">
        <v>21050</v>
      </c>
      <c r="R114" s="160">
        <f t="shared" si="7"/>
        <v>0</v>
      </c>
      <c r="S114" s="160">
        <f t="shared" si="8"/>
        <v>0</v>
      </c>
      <c r="T114" s="161"/>
      <c r="U114" s="160">
        <v>0</v>
      </c>
      <c r="V114" s="160">
        <v>0</v>
      </c>
      <c r="X114" s="160">
        <v>0</v>
      </c>
      <c r="Y114" s="160">
        <v>0</v>
      </c>
      <c r="AA114" s="160"/>
      <c r="AB114" s="162"/>
      <c r="AC114" s="162"/>
      <c r="AD114" s="162">
        <f t="shared" si="9"/>
        <v>0</v>
      </c>
      <c r="AE114" s="160">
        <v>112</v>
      </c>
    </row>
    <row r="115" spans="2:31" ht="15.75" x14ac:dyDescent="0.25">
      <c r="B115" s="161">
        <f>IF('callPut（W）'!D114="--",0,'callPut（W）'!D114)</f>
        <v>0</v>
      </c>
      <c r="C115" s="161">
        <f>IF('callPut（W）'!E114="--",0,'callPut（W）'!E114)</f>
        <v>0</v>
      </c>
      <c r="D115" s="165">
        <v>21100</v>
      </c>
      <c r="E115" s="161">
        <f>IF('callPut（W）'!L114="--",0,'callPut（W）'!L114)</f>
        <v>1.2</v>
      </c>
      <c r="F115" s="161">
        <f>IF('callPut（W）'!M114="--",0,'callPut（W）'!M114)</f>
        <v>1</v>
      </c>
      <c r="H115" s="161">
        <f>IF('callPut（F）'!D114="--",0,'callPut（F）'!D114)</f>
        <v>0</v>
      </c>
      <c r="I115" s="161">
        <f>IF('callPut（F）'!E114="--",0,'callPut（F）'!E114)</f>
        <v>0</v>
      </c>
      <c r="J115" s="165">
        <v>21100</v>
      </c>
      <c r="K115" s="161">
        <f>IF('callPut（F）'!L114="--",0,'callPut（F）'!L114)</f>
        <v>7.6</v>
      </c>
      <c r="L115" s="161">
        <f>IF('callPut（F）'!M114="--",0,'callPut（F）'!M114)</f>
        <v>1</v>
      </c>
      <c r="O115" s="160">
        <f t="shared" si="5"/>
        <v>0</v>
      </c>
      <c r="P115" s="160">
        <f t="shared" si="6"/>
        <v>0</v>
      </c>
      <c r="Q115" s="166">
        <v>21100</v>
      </c>
      <c r="R115" s="160">
        <f t="shared" si="7"/>
        <v>8.7999999999999989</v>
      </c>
      <c r="S115" s="160">
        <f t="shared" si="8"/>
        <v>2</v>
      </c>
      <c r="T115" s="161"/>
      <c r="U115" s="160">
        <v>0</v>
      </c>
      <c r="V115" s="160">
        <v>0</v>
      </c>
      <c r="X115" s="160">
        <v>0</v>
      </c>
      <c r="Y115" s="160">
        <v>0</v>
      </c>
      <c r="AA115" s="160"/>
      <c r="AB115" s="162"/>
      <c r="AC115" s="162"/>
      <c r="AD115" s="162">
        <f t="shared" si="9"/>
        <v>0</v>
      </c>
      <c r="AE115" s="160">
        <v>113</v>
      </c>
    </row>
    <row r="116" spans="2:31" ht="15.75" x14ac:dyDescent="0.25">
      <c r="B116" s="161">
        <f>IF('callPut（W）'!D115="--",0,'callPut（W）'!D115)</f>
        <v>0</v>
      </c>
      <c r="C116" s="161">
        <f>IF('callPut（W）'!E115="--",0,'callPut（W）'!E115)</f>
        <v>0</v>
      </c>
      <c r="D116" s="165">
        <v>21150</v>
      </c>
      <c r="E116" s="161">
        <f>IF('callPut（W）'!L115="--",0,'callPut（W）'!L115)</f>
        <v>0</v>
      </c>
      <c r="F116" s="161">
        <f>IF('callPut（W）'!M115="--",0,'callPut（W）'!M115)</f>
        <v>0</v>
      </c>
      <c r="H116" s="161">
        <f>IF('callPut（F）'!D115="--",0,'callPut（F）'!D115)</f>
        <v>0</v>
      </c>
      <c r="I116" s="161">
        <f>IF('callPut（F）'!E115="--",0,'callPut（F）'!E115)</f>
        <v>0</v>
      </c>
      <c r="J116" s="165">
        <v>21150</v>
      </c>
      <c r="K116" s="161">
        <f>IF('callPut（F）'!L115="--",0,'callPut（F）'!L115)</f>
        <v>0</v>
      </c>
      <c r="L116" s="161">
        <f>IF('callPut（F）'!M115="--",0,'callPut（F）'!M115)</f>
        <v>0</v>
      </c>
      <c r="O116" s="160">
        <f t="shared" si="5"/>
        <v>0</v>
      </c>
      <c r="P116" s="160">
        <f t="shared" si="6"/>
        <v>0</v>
      </c>
      <c r="Q116" s="166">
        <v>21150</v>
      </c>
      <c r="R116" s="160">
        <f t="shared" si="7"/>
        <v>0</v>
      </c>
      <c r="S116" s="160">
        <f t="shared" si="8"/>
        <v>0</v>
      </c>
      <c r="T116" s="161"/>
      <c r="U116" s="160">
        <v>0</v>
      </c>
      <c r="V116" s="160">
        <v>0</v>
      </c>
      <c r="X116" s="160">
        <v>0</v>
      </c>
      <c r="Y116" s="160">
        <v>0</v>
      </c>
      <c r="AA116" s="160"/>
      <c r="AB116" s="162"/>
      <c r="AC116" s="162"/>
      <c r="AD116" s="162">
        <f t="shared" si="9"/>
        <v>0</v>
      </c>
      <c r="AE116" s="160">
        <v>114</v>
      </c>
    </row>
    <row r="117" spans="2:31" ht="15.75" x14ac:dyDescent="0.25">
      <c r="B117" s="161">
        <f>IF('callPut（W）'!D116="--",0,'callPut（W）'!D116)</f>
        <v>0</v>
      </c>
      <c r="C117" s="161">
        <f>IF('callPut（W）'!E116="--",0,'callPut（W）'!E116)</f>
        <v>0</v>
      </c>
      <c r="D117" s="165">
        <v>21200</v>
      </c>
      <c r="E117" s="161">
        <f>IF('callPut（W）'!L116="--",0,'callPut（W）'!L116)</f>
        <v>2</v>
      </c>
      <c r="F117" s="161">
        <f>IF('callPut（W）'!M116="--",0,'callPut（W）'!M116)</f>
        <v>4</v>
      </c>
      <c r="H117" s="161">
        <f>IF('callPut（F）'!D116="--",0,'callPut（F）'!D116)</f>
        <v>0</v>
      </c>
      <c r="I117" s="161">
        <f>IF('callPut（F）'!E116="--",0,'callPut（F）'!E116)</f>
        <v>0</v>
      </c>
      <c r="J117" s="165">
        <v>21200</v>
      </c>
      <c r="K117" s="161">
        <f>IF('callPut（F）'!L116="--",0,'callPut（F）'!L116)</f>
        <v>6.2</v>
      </c>
      <c r="L117" s="161">
        <f>IF('callPut（F）'!M116="--",0,'callPut（F）'!M116)</f>
        <v>3</v>
      </c>
      <c r="O117" s="160">
        <f t="shared" si="5"/>
        <v>0</v>
      </c>
      <c r="P117" s="160">
        <f t="shared" si="6"/>
        <v>0</v>
      </c>
      <c r="Q117" s="166">
        <v>21200</v>
      </c>
      <c r="R117" s="160">
        <f t="shared" si="7"/>
        <v>8.1999999999999993</v>
      </c>
      <c r="S117" s="160">
        <f t="shared" si="8"/>
        <v>7</v>
      </c>
      <c r="T117" s="161"/>
      <c r="U117" s="160">
        <v>0</v>
      </c>
      <c r="V117" s="160">
        <v>0</v>
      </c>
      <c r="X117" s="160">
        <v>0</v>
      </c>
      <c r="Y117" s="160">
        <v>0</v>
      </c>
      <c r="AA117" s="160"/>
      <c r="AB117" s="162"/>
      <c r="AC117" s="162"/>
      <c r="AD117" s="162">
        <f t="shared" si="9"/>
        <v>0</v>
      </c>
      <c r="AE117" s="160">
        <v>115</v>
      </c>
    </row>
    <row r="118" spans="2:31" ht="15.75" x14ac:dyDescent="0.25">
      <c r="B118" s="161">
        <f>IF('callPut（W）'!D117="--",0,'callPut（W）'!D117)</f>
        <v>0</v>
      </c>
      <c r="C118" s="161">
        <f>IF('callPut（W）'!E117="--",0,'callPut（W）'!E117)</f>
        <v>0</v>
      </c>
      <c r="D118" s="165">
        <v>21250</v>
      </c>
      <c r="E118" s="161">
        <f>IF('callPut（W）'!L117="--",0,'callPut（W）'!L117)</f>
        <v>0</v>
      </c>
      <c r="F118" s="161">
        <f>IF('callPut（W）'!M117="--",0,'callPut（W）'!M117)</f>
        <v>0</v>
      </c>
      <c r="H118" s="161">
        <f>IF('callPut（F）'!D117="--",0,'callPut（F）'!D117)</f>
        <v>0</v>
      </c>
      <c r="I118" s="161">
        <f>IF('callPut（F）'!E117="--",0,'callPut（F）'!E117)</f>
        <v>0</v>
      </c>
      <c r="J118" s="165">
        <v>21250</v>
      </c>
      <c r="K118" s="161">
        <f>IF('callPut（F）'!L117="--",0,'callPut（F）'!L117)</f>
        <v>0</v>
      </c>
      <c r="L118" s="161">
        <f>IF('callPut（F）'!M117="--",0,'callPut（F）'!M117)</f>
        <v>0</v>
      </c>
      <c r="O118" s="160">
        <f t="shared" si="5"/>
        <v>0</v>
      </c>
      <c r="P118" s="160">
        <f t="shared" si="6"/>
        <v>0</v>
      </c>
      <c r="Q118" s="166">
        <v>21250</v>
      </c>
      <c r="R118" s="160">
        <f t="shared" si="7"/>
        <v>0</v>
      </c>
      <c r="S118" s="160">
        <f t="shared" si="8"/>
        <v>0</v>
      </c>
      <c r="T118" s="161"/>
      <c r="U118" s="160">
        <v>0</v>
      </c>
      <c r="V118" s="160">
        <v>0</v>
      </c>
      <c r="X118" s="160">
        <v>0</v>
      </c>
      <c r="Y118" s="160">
        <v>0</v>
      </c>
      <c r="AA118" s="160"/>
      <c r="AB118" s="162"/>
      <c r="AC118" s="162"/>
      <c r="AD118" s="162">
        <f t="shared" si="9"/>
        <v>0</v>
      </c>
      <c r="AE118" s="160">
        <v>116</v>
      </c>
    </row>
    <row r="119" spans="2:31" ht="15.75" x14ac:dyDescent="0.25">
      <c r="B119" s="161">
        <f>IF('callPut（W）'!D118="--",0,'callPut（W）'!D118)</f>
        <v>0</v>
      </c>
      <c r="C119" s="161">
        <f>IF('callPut（W）'!E118="--",0,'callPut（W）'!E118)</f>
        <v>0</v>
      </c>
      <c r="D119" s="165">
        <v>21300</v>
      </c>
      <c r="E119" s="161">
        <f>IF('callPut（W）'!L118="--",0,'callPut（W）'!L118)</f>
        <v>1.7</v>
      </c>
      <c r="F119" s="161">
        <f>IF('callPut（W）'!M118="--",0,'callPut（W）'!M118)</f>
        <v>92</v>
      </c>
      <c r="H119" s="161">
        <f>IF('callPut（F）'!D118="--",0,'callPut（F）'!D118)</f>
        <v>0</v>
      </c>
      <c r="I119" s="161">
        <f>IF('callPut（F）'!E118="--",0,'callPut（F）'!E118)</f>
        <v>0</v>
      </c>
      <c r="J119" s="165">
        <v>21300</v>
      </c>
      <c r="K119" s="161">
        <f>IF('callPut（F）'!L118="--",0,'callPut（F）'!L118)</f>
        <v>7</v>
      </c>
      <c r="L119" s="161">
        <f>IF('callPut（F）'!M118="--",0,'callPut（F）'!M118)</f>
        <v>1</v>
      </c>
      <c r="O119" s="160">
        <f t="shared" si="5"/>
        <v>0</v>
      </c>
      <c r="P119" s="160">
        <f t="shared" si="6"/>
        <v>0</v>
      </c>
      <c r="Q119" s="166">
        <v>21300</v>
      </c>
      <c r="R119" s="160">
        <f t="shared" si="7"/>
        <v>8.6999999999999993</v>
      </c>
      <c r="S119" s="160">
        <f t="shared" si="8"/>
        <v>93</v>
      </c>
      <c r="T119" s="161"/>
      <c r="U119" s="160">
        <v>0</v>
      </c>
      <c r="V119" s="160">
        <v>0</v>
      </c>
      <c r="X119" s="160">
        <v>0</v>
      </c>
      <c r="Y119" s="160">
        <v>0</v>
      </c>
      <c r="AA119" s="160"/>
      <c r="AB119" s="162"/>
      <c r="AC119" s="162"/>
      <c r="AD119" s="162">
        <f t="shared" si="9"/>
        <v>0</v>
      </c>
      <c r="AE119" s="160">
        <v>117</v>
      </c>
    </row>
    <row r="120" spans="2:31" ht="15.75" x14ac:dyDescent="0.25">
      <c r="B120" s="161">
        <f>IF('callPut（W）'!D119="--",0,'callPut（W）'!D119)</f>
        <v>0</v>
      </c>
      <c r="C120" s="161">
        <f>IF('callPut（W）'!E119="--",0,'callPut（W）'!E119)</f>
        <v>0</v>
      </c>
      <c r="D120" s="165">
        <v>21350</v>
      </c>
      <c r="E120" s="161">
        <f>IF('callPut（W）'!L119="--",0,'callPut（W）'!L119)</f>
        <v>0</v>
      </c>
      <c r="F120" s="161">
        <f>IF('callPut（W）'!M119="--",0,'callPut（W）'!M119)</f>
        <v>0</v>
      </c>
      <c r="H120" s="161">
        <f>IF('callPut（F）'!D119="--",0,'callPut（F）'!D119)</f>
        <v>0</v>
      </c>
      <c r="I120" s="161">
        <f>IF('callPut（F）'!E119="--",0,'callPut（F）'!E119)</f>
        <v>0</v>
      </c>
      <c r="J120" s="165">
        <v>21350</v>
      </c>
      <c r="K120" s="161">
        <f>IF('callPut（F）'!L119="--",0,'callPut（F）'!L119)</f>
        <v>0</v>
      </c>
      <c r="L120" s="161">
        <f>IF('callPut（F）'!M119="--",0,'callPut（F）'!M119)</f>
        <v>0</v>
      </c>
      <c r="O120" s="160">
        <f t="shared" si="5"/>
        <v>0</v>
      </c>
      <c r="P120" s="160">
        <f t="shared" si="6"/>
        <v>0</v>
      </c>
      <c r="Q120" s="166">
        <v>21350</v>
      </c>
      <c r="R120" s="160">
        <f t="shared" si="7"/>
        <v>0</v>
      </c>
      <c r="S120" s="160">
        <f t="shared" si="8"/>
        <v>0</v>
      </c>
      <c r="T120" s="161"/>
      <c r="U120" s="160">
        <v>0</v>
      </c>
      <c r="V120" s="160">
        <v>0</v>
      </c>
      <c r="X120" s="160">
        <v>0</v>
      </c>
      <c r="Y120" s="160">
        <v>0</v>
      </c>
      <c r="AA120" s="160"/>
      <c r="AB120" s="162"/>
      <c r="AC120" s="162"/>
      <c r="AD120" s="162">
        <f t="shared" si="9"/>
        <v>0</v>
      </c>
      <c r="AE120" s="160">
        <v>118</v>
      </c>
    </row>
    <row r="121" spans="2:31" ht="15.75" x14ac:dyDescent="0.25">
      <c r="B121" s="161">
        <f>IF('callPut（W）'!D120="--",0,'callPut（W）'!D120)</f>
        <v>0</v>
      </c>
      <c r="C121" s="161">
        <f>IF('callPut（W）'!E120="--",0,'callPut（W）'!E120)</f>
        <v>0</v>
      </c>
      <c r="D121" s="165">
        <v>21400</v>
      </c>
      <c r="E121" s="161">
        <f>IF('callPut（W）'!L120="--",0,'callPut（W）'!L120)</f>
        <v>2</v>
      </c>
      <c r="F121" s="161">
        <f>IF('callPut（W）'!M120="--",0,'callPut（W）'!M120)</f>
        <v>63</v>
      </c>
      <c r="H121" s="161">
        <f>IF('callPut（F）'!D120="--",0,'callPut（F）'!D120)</f>
        <v>0</v>
      </c>
      <c r="I121" s="161">
        <f>IF('callPut（F）'!E120="--",0,'callPut（F）'!E120)</f>
        <v>0</v>
      </c>
      <c r="J121" s="165">
        <v>21400</v>
      </c>
      <c r="K121" s="161">
        <f>IF('callPut（F）'!L120="--",0,'callPut（F）'!L120)</f>
        <v>0</v>
      </c>
      <c r="L121" s="161">
        <f>IF('callPut（F）'!M120="--",0,'callPut（F）'!M120)</f>
        <v>0</v>
      </c>
      <c r="O121" s="160">
        <f t="shared" si="5"/>
        <v>0</v>
      </c>
      <c r="P121" s="160">
        <f t="shared" si="6"/>
        <v>0</v>
      </c>
      <c r="Q121" s="166">
        <v>21400</v>
      </c>
      <c r="R121" s="160">
        <f t="shared" si="7"/>
        <v>2</v>
      </c>
      <c r="S121" s="160">
        <f t="shared" si="8"/>
        <v>63</v>
      </c>
      <c r="T121" s="161"/>
      <c r="U121" s="160">
        <v>0</v>
      </c>
      <c r="V121" s="160">
        <v>0</v>
      </c>
      <c r="X121" s="160">
        <v>0</v>
      </c>
      <c r="Y121" s="160">
        <v>0</v>
      </c>
      <c r="AA121" s="160"/>
      <c r="AB121" s="162"/>
      <c r="AC121" s="162"/>
      <c r="AD121" s="162">
        <f t="shared" si="9"/>
        <v>0</v>
      </c>
      <c r="AE121" s="160">
        <v>119</v>
      </c>
    </row>
    <row r="122" spans="2:31" ht="15.75" x14ac:dyDescent="0.25">
      <c r="B122" s="161">
        <f>IF('callPut（W）'!D121="--",0,'callPut（W）'!D121)</f>
        <v>0</v>
      </c>
      <c r="C122" s="161">
        <f>IF('callPut（W）'!E121="--",0,'callPut（W）'!E121)</f>
        <v>0</v>
      </c>
      <c r="D122" s="165">
        <v>21450</v>
      </c>
      <c r="E122" s="161">
        <f>IF('callPut（W）'!L121="--",0,'callPut（W）'!L121)</f>
        <v>0</v>
      </c>
      <c r="F122" s="161">
        <f>IF('callPut（W）'!M121="--",0,'callPut（W）'!M121)</f>
        <v>0</v>
      </c>
      <c r="H122" s="161">
        <f>IF('callPut（F）'!D121="--",0,'callPut（F）'!D121)</f>
        <v>0</v>
      </c>
      <c r="I122" s="161">
        <f>IF('callPut（F）'!E121="--",0,'callPut（F）'!E121)</f>
        <v>0</v>
      </c>
      <c r="J122" s="165">
        <v>21450</v>
      </c>
      <c r="K122" s="161">
        <f>IF('callPut（F）'!L121="--",0,'callPut（F）'!L121)</f>
        <v>0</v>
      </c>
      <c r="L122" s="161">
        <f>IF('callPut（F）'!M121="--",0,'callPut（F）'!M121)</f>
        <v>0</v>
      </c>
      <c r="O122" s="160">
        <f t="shared" si="5"/>
        <v>0</v>
      </c>
      <c r="P122" s="160">
        <f t="shared" si="6"/>
        <v>0</v>
      </c>
      <c r="Q122" s="166">
        <v>21450</v>
      </c>
      <c r="R122" s="160">
        <f t="shared" si="7"/>
        <v>0</v>
      </c>
      <c r="S122" s="160">
        <f t="shared" si="8"/>
        <v>0</v>
      </c>
      <c r="T122" s="161"/>
      <c r="U122" s="160">
        <v>0</v>
      </c>
      <c r="V122" s="160">
        <v>0</v>
      </c>
      <c r="X122" s="160">
        <v>0</v>
      </c>
      <c r="Y122" s="160">
        <v>0</v>
      </c>
      <c r="AA122" s="160"/>
      <c r="AB122" s="162"/>
      <c r="AC122" s="162"/>
      <c r="AD122" s="162">
        <f t="shared" si="9"/>
        <v>0</v>
      </c>
      <c r="AE122" s="160">
        <v>120</v>
      </c>
    </row>
    <row r="123" spans="2:31" ht="15.75" x14ac:dyDescent="0.25">
      <c r="B123" s="161">
        <f>IF('callPut（W）'!D122="--",0,'callPut（W）'!D122)</f>
        <v>0</v>
      </c>
      <c r="C123" s="161">
        <f>IF('callPut（W）'!E122="--",0,'callPut（W）'!E122)</f>
        <v>0</v>
      </c>
      <c r="D123" s="165">
        <v>21500</v>
      </c>
      <c r="E123" s="161">
        <f>IF('callPut（W）'!L122="--",0,'callPut（W）'!L122)</f>
        <v>2.5</v>
      </c>
      <c r="F123" s="161">
        <f>IF('callPut（W）'!M122="--",0,'callPut（W）'!M122)</f>
        <v>74</v>
      </c>
      <c r="H123" s="161">
        <f>IF('callPut（F）'!D122="--",0,'callPut（F）'!D122)</f>
        <v>0</v>
      </c>
      <c r="I123" s="161">
        <f>IF('callPut（F）'!E122="--",0,'callPut（F）'!E122)</f>
        <v>0</v>
      </c>
      <c r="J123" s="165">
        <v>21500</v>
      </c>
      <c r="K123" s="161">
        <f>IF('callPut（F）'!L122="--",0,'callPut（F）'!L122)</f>
        <v>9.1</v>
      </c>
      <c r="L123" s="161">
        <f>IF('callPut（F）'!M122="--",0,'callPut（F）'!M122)</f>
        <v>3</v>
      </c>
      <c r="O123" s="160">
        <f t="shared" si="5"/>
        <v>0</v>
      </c>
      <c r="P123" s="160">
        <f t="shared" si="6"/>
        <v>0</v>
      </c>
      <c r="Q123" s="166">
        <v>21500</v>
      </c>
      <c r="R123" s="160">
        <f t="shared" si="7"/>
        <v>11.6</v>
      </c>
      <c r="S123" s="160">
        <f t="shared" si="8"/>
        <v>77</v>
      </c>
      <c r="T123" s="161"/>
      <c r="U123" s="160">
        <v>0</v>
      </c>
      <c r="V123" s="160">
        <v>0</v>
      </c>
      <c r="X123" s="160">
        <v>0</v>
      </c>
      <c r="Y123" s="160">
        <v>0</v>
      </c>
      <c r="AA123" s="160"/>
      <c r="AB123" s="162"/>
      <c r="AC123" s="162"/>
      <c r="AD123" s="162">
        <f t="shared" si="9"/>
        <v>0</v>
      </c>
      <c r="AE123" s="160">
        <v>121</v>
      </c>
    </row>
    <row r="124" spans="2:31" ht="15.75" x14ac:dyDescent="0.25">
      <c r="B124" s="161">
        <f>IF('callPut（W）'!D123="--",0,'callPut（W）'!D123)</f>
        <v>0</v>
      </c>
      <c r="C124" s="161">
        <f>IF('callPut（W）'!E123="--",0,'callPut（W）'!E123)</f>
        <v>0</v>
      </c>
      <c r="D124" s="165">
        <v>21550</v>
      </c>
      <c r="E124" s="161">
        <f>IF('callPut（W）'!L123="--",0,'callPut（W）'!L123)</f>
        <v>0</v>
      </c>
      <c r="F124" s="161">
        <f>IF('callPut（W）'!M123="--",0,'callPut（W）'!M123)</f>
        <v>0</v>
      </c>
      <c r="H124" s="161">
        <f>IF('callPut（F）'!D123="--",0,'callPut（F）'!D123)</f>
        <v>0</v>
      </c>
      <c r="I124" s="161">
        <f>IF('callPut（F）'!E123="--",0,'callPut（F）'!E123)</f>
        <v>0</v>
      </c>
      <c r="J124" s="165">
        <v>21550</v>
      </c>
      <c r="K124" s="161">
        <f>IF('callPut（F）'!L123="--",0,'callPut（F）'!L123)</f>
        <v>0</v>
      </c>
      <c r="L124" s="161">
        <f>IF('callPut（F）'!M123="--",0,'callPut（F）'!M123)</f>
        <v>0</v>
      </c>
      <c r="O124" s="160">
        <f t="shared" si="5"/>
        <v>0</v>
      </c>
      <c r="P124" s="160">
        <f t="shared" si="6"/>
        <v>0</v>
      </c>
      <c r="Q124" s="166">
        <v>21550</v>
      </c>
      <c r="R124" s="160">
        <f t="shared" si="7"/>
        <v>0</v>
      </c>
      <c r="S124" s="160">
        <f t="shared" si="8"/>
        <v>0</v>
      </c>
      <c r="T124" s="161"/>
      <c r="U124" s="160">
        <v>0</v>
      </c>
      <c r="V124" s="160">
        <v>0</v>
      </c>
      <c r="X124" s="160">
        <v>0</v>
      </c>
      <c r="Y124" s="160">
        <v>0</v>
      </c>
      <c r="AA124" s="160"/>
      <c r="AB124" s="162"/>
      <c r="AC124" s="162"/>
      <c r="AD124" s="162">
        <f t="shared" si="9"/>
        <v>0</v>
      </c>
      <c r="AE124" s="160">
        <v>122</v>
      </c>
    </row>
    <row r="125" spans="2:31" ht="15.75" x14ac:dyDescent="0.25">
      <c r="B125" s="161">
        <f>IF('callPut（W）'!D124="--",0,'callPut（W）'!D124)</f>
        <v>0</v>
      </c>
      <c r="C125" s="161">
        <f>IF('callPut（W）'!E124="--",0,'callPut（W）'!E124)</f>
        <v>0</v>
      </c>
      <c r="D125" s="165">
        <v>21600</v>
      </c>
      <c r="E125" s="161">
        <f>IF('callPut（W）'!L124="--",0,'callPut（W）'!L124)</f>
        <v>2.6</v>
      </c>
      <c r="F125" s="161">
        <f>IF('callPut（W）'!M124="--",0,'callPut（W）'!M124)</f>
        <v>54</v>
      </c>
      <c r="H125" s="161">
        <f>IF('callPut（F）'!D124="--",0,'callPut（F）'!D124)</f>
        <v>0</v>
      </c>
      <c r="I125" s="161">
        <f>IF('callPut（F）'!E124="--",0,'callPut（F）'!E124)</f>
        <v>0</v>
      </c>
      <c r="J125" s="165">
        <v>21600</v>
      </c>
      <c r="K125" s="161">
        <f>IF('callPut（F）'!L124="--",0,'callPut（F）'!L124)</f>
        <v>7.5</v>
      </c>
      <c r="L125" s="161">
        <f>IF('callPut（F）'!M124="--",0,'callPut（F）'!M124)</f>
        <v>59</v>
      </c>
      <c r="O125" s="160">
        <f t="shared" si="5"/>
        <v>0</v>
      </c>
      <c r="P125" s="160">
        <f t="shared" si="6"/>
        <v>0</v>
      </c>
      <c r="Q125" s="166">
        <v>21600</v>
      </c>
      <c r="R125" s="160">
        <f t="shared" si="7"/>
        <v>10.1</v>
      </c>
      <c r="S125" s="160">
        <f t="shared" si="8"/>
        <v>113</v>
      </c>
      <c r="T125" s="161"/>
      <c r="U125" s="160">
        <v>0</v>
      </c>
      <c r="V125" s="160">
        <v>0</v>
      </c>
      <c r="X125" s="160">
        <v>0</v>
      </c>
      <c r="Y125" s="160">
        <v>0</v>
      </c>
      <c r="AA125" s="160"/>
      <c r="AB125" s="162"/>
      <c r="AC125" s="162"/>
      <c r="AD125" s="162">
        <f t="shared" si="9"/>
        <v>0</v>
      </c>
      <c r="AE125" s="160">
        <v>123</v>
      </c>
    </row>
    <row r="126" spans="2:31" ht="15.75" x14ac:dyDescent="0.25">
      <c r="B126" s="161">
        <f>IF('callPut（W）'!D125="--",0,'callPut（W）'!D125)</f>
        <v>0</v>
      </c>
      <c r="C126" s="161">
        <f>IF('callPut（W）'!E125="--",0,'callPut（W）'!E125)</f>
        <v>0</v>
      </c>
      <c r="D126" s="165">
        <v>21650</v>
      </c>
      <c r="E126" s="161">
        <f>IF('callPut（W）'!L125="--",0,'callPut（W）'!L125)</f>
        <v>0</v>
      </c>
      <c r="F126" s="161">
        <f>IF('callPut（W）'!M125="--",0,'callPut（W）'!M125)</f>
        <v>0</v>
      </c>
      <c r="H126" s="161">
        <f>IF('callPut（F）'!D125="--",0,'callPut（F）'!D125)</f>
        <v>0</v>
      </c>
      <c r="I126" s="161">
        <f>IF('callPut（F）'!E125="--",0,'callPut（F）'!E125)</f>
        <v>0</v>
      </c>
      <c r="J126" s="165">
        <v>21650</v>
      </c>
      <c r="K126" s="161">
        <f>IF('callPut（F）'!L125="--",0,'callPut（F）'!L125)</f>
        <v>0</v>
      </c>
      <c r="L126" s="161">
        <f>IF('callPut（F）'!M125="--",0,'callPut（F）'!M125)</f>
        <v>0</v>
      </c>
      <c r="O126" s="160">
        <f t="shared" si="5"/>
        <v>0</v>
      </c>
      <c r="P126" s="160">
        <f t="shared" si="6"/>
        <v>0</v>
      </c>
      <c r="Q126" s="166">
        <v>21650</v>
      </c>
      <c r="R126" s="160">
        <f t="shared" si="7"/>
        <v>0</v>
      </c>
      <c r="S126" s="160">
        <f t="shared" si="8"/>
        <v>0</v>
      </c>
      <c r="T126" s="161"/>
      <c r="U126" s="160">
        <v>0</v>
      </c>
      <c r="V126" s="160">
        <v>0</v>
      </c>
      <c r="X126" s="160">
        <v>0</v>
      </c>
      <c r="Y126" s="160">
        <v>0</v>
      </c>
      <c r="AA126" s="160"/>
      <c r="AB126" s="162"/>
      <c r="AC126" s="162"/>
      <c r="AD126" s="162">
        <f t="shared" si="9"/>
        <v>0</v>
      </c>
      <c r="AE126" s="160">
        <v>124</v>
      </c>
    </row>
    <row r="127" spans="2:31" ht="15.75" x14ac:dyDescent="0.25">
      <c r="B127" s="161">
        <f>IF('callPut（W）'!D126="--",0,'callPut（W）'!D126)</f>
        <v>0</v>
      </c>
      <c r="C127" s="161">
        <f>IF('callPut（W）'!E126="--",0,'callPut（W）'!E126)</f>
        <v>0</v>
      </c>
      <c r="D127" s="165">
        <v>21700</v>
      </c>
      <c r="E127" s="161">
        <f>IF('callPut（W）'!L126="--",0,'callPut（W）'!L126)</f>
        <v>3</v>
      </c>
      <c r="F127" s="161">
        <f>IF('callPut（W）'!M126="--",0,'callPut（W）'!M126)</f>
        <v>7</v>
      </c>
      <c r="H127" s="161">
        <f>IF('callPut（F）'!D126="--",0,'callPut（F）'!D126)</f>
        <v>0</v>
      </c>
      <c r="I127" s="161">
        <f>IF('callPut（F）'!E126="--",0,'callPut（F）'!E126)</f>
        <v>0</v>
      </c>
      <c r="J127" s="165">
        <v>21700</v>
      </c>
      <c r="K127" s="161">
        <f>IF('callPut（F）'!L126="--",0,'callPut（F）'!L126)</f>
        <v>10</v>
      </c>
      <c r="L127" s="161">
        <f>IF('callPut（F）'!M126="--",0,'callPut（F）'!M126)</f>
        <v>8</v>
      </c>
      <c r="O127" s="160">
        <f t="shared" si="5"/>
        <v>0</v>
      </c>
      <c r="P127" s="160">
        <f t="shared" si="6"/>
        <v>0</v>
      </c>
      <c r="Q127" s="166">
        <v>21700</v>
      </c>
      <c r="R127" s="160">
        <f t="shared" si="7"/>
        <v>13</v>
      </c>
      <c r="S127" s="160">
        <f t="shared" si="8"/>
        <v>15</v>
      </c>
      <c r="T127" s="161"/>
      <c r="U127" s="160">
        <v>0</v>
      </c>
      <c r="V127" s="160">
        <v>0</v>
      </c>
      <c r="X127" s="160">
        <v>0</v>
      </c>
      <c r="Y127" s="160">
        <v>0</v>
      </c>
      <c r="AA127" s="160"/>
      <c r="AB127" s="162"/>
      <c r="AC127" s="162"/>
      <c r="AD127" s="162">
        <f t="shared" si="9"/>
        <v>0</v>
      </c>
      <c r="AE127" s="160">
        <v>125</v>
      </c>
    </row>
    <row r="128" spans="2:31" ht="15.75" x14ac:dyDescent="0.25">
      <c r="B128" s="161">
        <f>IF('callPut（W）'!D127="--",0,'callPut（W）'!D127)</f>
        <v>0</v>
      </c>
      <c r="C128" s="161">
        <f>IF('callPut（W）'!E127="--",0,'callPut（W）'!E127)</f>
        <v>0</v>
      </c>
      <c r="D128" s="165">
        <v>21750</v>
      </c>
      <c r="E128" s="161">
        <f>IF('callPut（W）'!L127="--",0,'callPut（W）'!L127)</f>
        <v>1.9</v>
      </c>
      <c r="F128" s="161">
        <f>IF('callPut（W）'!M127="--",0,'callPut（W）'!M127)</f>
        <v>12</v>
      </c>
      <c r="H128" s="161">
        <f>IF('callPut（F）'!D127="--",0,'callPut（F）'!D127)</f>
        <v>0</v>
      </c>
      <c r="I128" s="161">
        <f>IF('callPut（F）'!E127="--",0,'callPut（F）'!E127)</f>
        <v>0</v>
      </c>
      <c r="J128" s="165">
        <v>21750</v>
      </c>
      <c r="K128" s="161">
        <f>IF('callPut（F）'!L127="--",0,'callPut（F）'!L127)</f>
        <v>0</v>
      </c>
      <c r="L128" s="161">
        <f>IF('callPut（F）'!M127="--",0,'callPut（F）'!M127)</f>
        <v>0</v>
      </c>
      <c r="O128" s="160">
        <f t="shared" si="5"/>
        <v>0</v>
      </c>
      <c r="P128" s="160">
        <f t="shared" si="6"/>
        <v>0</v>
      </c>
      <c r="Q128" s="166">
        <v>21750</v>
      </c>
      <c r="R128" s="160">
        <f t="shared" si="7"/>
        <v>1.9</v>
      </c>
      <c r="S128" s="160">
        <f t="shared" si="8"/>
        <v>12</v>
      </c>
      <c r="T128" s="161"/>
      <c r="U128" s="160">
        <v>0</v>
      </c>
      <c r="V128" s="160">
        <v>0</v>
      </c>
      <c r="X128" s="160">
        <v>0</v>
      </c>
      <c r="Y128" s="160">
        <v>0</v>
      </c>
      <c r="AA128" s="160"/>
      <c r="AB128" s="162"/>
      <c r="AC128" s="162"/>
      <c r="AD128" s="162">
        <f t="shared" si="9"/>
        <v>0</v>
      </c>
      <c r="AE128" s="160">
        <v>126</v>
      </c>
    </row>
    <row r="129" spans="2:31" ht="15.75" x14ac:dyDescent="0.25">
      <c r="B129" s="161">
        <f>IF('callPut（W）'!D128="--",0,'callPut（W）'!D128)</f>
        <v>0</v>
      </c>
      <c r="C129" s="161">
        <f>IF('callPut（W）'!E128="--",0,'callPut（W）'!E128)</f>
        <v>0</v>
      </c>
      <c r="D129" s="165">
        <v>21800</v>
      </c>
      <c r="E129" s="161">
        <f>IF('callPut（W）'!L128="--",0,'callPut（W）'!L128)</f>
        <v>3.7</v>
      </c>
      <c r="F129" s="161">
        <f>IF('callPut（W）'!M128="--",0,'callPut（W）'!M128)</f>
        <v>25</v>
      </c>
      <c r="H129" s="161">
        <f>IF('callPut（F）'!D128="--",0,'callPut（F）'!D128)</f>
        <v>0</v>
      </c>
      <c r="I129" s="161">
        <f>IF('callPut（F）'!E128="--",0,'callPut（F）'!E128)</f>
        <v>0</v>
      </c>
      <c r="J129" s="165">
        <v>21800</v>
      </c>
      <c r="K129" s="161">
        <f>IF('callPut（F）'!L128="--",0,'callPut（F）'!L128)</f>
        <v>13</v>
      </c>
      <c r="L129" s="161">
        <f>IF('callPut（F）'!M128="--",0,'callPut（F）'!M128)</f>
        <v>133</v>
      </c>
      <c r="O129" s="160">
        <f t="shared" si="5"/>
        <v>0</v>
      </c>
      <c r="P129" s="160">
        <f t="shared" si="6"/>
        <v>0</v>
      </c>
      <c r="Q129" s="166">
        <v>21800</v>
      </c>
      <c r="R129" s="160">
        <f t="shared" si="7"/>
        <v>16.7</v>
      </c>
      <c r="S129" s="160">
        <f t="shared" si="8"/>
        <v>158</v>
      </c>
      <c r="T129" s="161"/>
      <c r="U129" s="160">
        <v>0</v>
      </c>
      <c r="V129" s="160">
        <v>0</v>
      </c>
      <c r="X129" s="160">
        <v>0</v>
      </c>
      <c r="Y129" s="160">
        <v>0</v>
      </c>
      <c r="AA129" s="160"/>
      <c r="AB129" s="162"/>
      <c r="AC129" s="162"/>
      <c r="AD129" s="162">
        <f t="shared" si="9"/>
        <v>0</v>
      </c>
      <c r="AE129" s="160">
        <v>127</v>
      </c>
    </row>
    <row r="130" spans="2:31" ht="15.75" x14ac:dyDescent="0.25">
      <c r="B130" s="161">
        <f>IF('callPut（W）'!D129="--",0,'callPut（W）'!D129)</f>
        <v>0</v>
      </c>
      <c r="C130" s="161">
        <f>IF('callPut（W）'!E129="--",0,'callPut（W）'!E129)</f>
        <v>0</v>
      </c>
      <c r="D130" s="165">
        <v>21850</v>
      </c>
      <c r="E130" s="161">
        <f>IF('callPut（W）'!L129="--",0,'callPut（W）'!L129)</f>
        <v>3.3</v>
      </c>
      <c r="F130" s="161">
        <f>IF('callPut（W）'!M129="--",0,'callPut（W）'!M129)</f>
        <v>31</v>
      </c>
      <c r="H130" s="161">
        <f>IF('callPut（F）'!D129="--",0,'callPut（F）'!D129)</f>
        <v>0</v>
      </c>
      <c r="I130" s="161">
        <f>IF('callPut（F）'!E129="--",0,'callPut（F）'!E129)</f>
        <v>0</v>
      </c>
      <c r="J130" s="165">
        <v>21850</v>
      </c>
      <c r="K130" s="161">
        <f>IF('callPut（F）'!L129="--",0,'callPut（F）'!L129)</f>
        <v>0</v>
      </c>
      <c r="L130" s="161">
        <f>IF('callPut（F）'!M129="--",0,'callPut（F）'!M129)</f>
        <v>0</v>
      </c>
      <c r="O130" s="160">
        <f t="shared" si="5"/>
        <v>0</v>
      </c>
      <c r="P130" s="160">
        <f t="shared" si="6"/>
        <v>0</v>
      </c>
      <c r="Q130" s="166">
        <v>21850</v>
      </c>
      <c r="R130" s="160">
        <f t="shared" si="7"/>
        <v>3.3</v>
      </c>
      <c r="S130" s="160">
        <f t="shared" si="8"/>
        <v>31</v>
      </c>
      <c r="T130" s="161"/>
      <c r="U130" s="160">
        <v>0</v>
      </c>
      <c r="V130" s="160">
        <v>0</v>
      </c>
      <c r="X130" s="160">
        <v>0</v>
      </c>
      <c r="Y130" s="160">
        <v>0</v>
      </c>
      <c r="AA130" s="160"/>
      <c r="AB130" s="162"/>
      <c r="AC130" s="162"/>
      <c r="AD130" s="162">
        <f t="shared" si="9"/>
        <v>0</v>
      </c>
      <c r="AE130" s="160">
        <v>128</v>
      </c>
    </row>
    <row r="131" spans="2:31" ht="15.75" x14ac:dyDescent="0.25">
      <c r="B131" s="161">
        <f>IF('callPut（W）'!D130="--",0,'callPut（W）'!D130)</f>
        <v>0</v>
      </c>
      <c r="C131" s="161">
        <f>IF('callPut（W）'!E130="--",0,'callPut（W）'!E130)</f>
        <v>0</v>
      </c>
      <c r="D131" s="165">
        <v>21900</v>
      </c>
      <c r="E131" s="161">
        <f>IF('callPut（W）'!L130="--",0,'callPut（W）'!L130)</f>
        <v>2.7</v>
      </c>
      <c r="F131" s="161">
        <f>IF('callPut（W）'!M130="--",0,'callPut（W）'!M130)</f>
        <v>186</v>
      </c>
      <c r="H131" s="161">
        <f>IF('callPut（F）'!D130="--",0,'callPut（F）'!D130)</f>
        <v>0</v>
      </c>
      <c r="I131" s="161">
        <f>IF('callPut（F）'!E130="--",0,'callPut（F）'!E130)</f>
        <v>0</v>
      </c>
      <c r="J131" s="165">
        <v>21900</v>
      </c>
      <c r="K131" s="161">
        <f>IF('callPut（F）'!L130="--",0,'callPut（F）'!L130)</f>
        <v>16</v>
      </c>
      <c r="L131" s="161">
        <f>IF('callPut（F）'!M130="--",0,'callPut（F）'!M130)</f>
        <v>57</v>
      </c>
      <c r="O131" s="160">
        <f t="shared" si="5"/>
        <v>0</v>
      </c>
      <c r="P131" s="160">
        <f t="shared" si="6"/>
        <v>0</v>
      </c>
      <c r="Q131" s="166">
        <v>21900</v>
      </c>
      <c r="R131" s="160">
        <f t="shared" si="7"/>
        <v>18.7</v>
      </c>
      <c r="S131" s="160">
        <f t="shared" si="8"/>
        <v>243</v>
      </c>
      <c r="T131" s="161"/>
      <c r="U131" s="160">
        <v>0</v>
      </c>
      <c r="V131" s="160">
        <v>0</v>
      </c>
      <c r="X131" s="160">
        <v>0</v>
      </c>
      <c r="Y131" s="160">
        <v>0</v>
      </c>
      <c r="AA131" s="160"/>
      <c r="AB131" s="162"/>
      <c r="AC131" s="162"/>
      <c r="AD131" s="162">
        <f t="shared" si="9"/>
        <v>0</v>
      </c>
      <c r="AE131" s="160">
        <v>129</v>
      </c>
    </row>
    <row r="132" spans="2:31" ht="15.75" x14ac:dyDescent="0.25">
      <c r="B132" s="161">
        <f>IF('callPut（W）'!D131="--",0,'callPut（W）'!D131)</f>
        <v>0</v>
      </c>
      <c r="C132" s="161">
        <f>IF('callPut（W）'!E131="--",0,'callPut（W）'!E131)</f>
        <v>0</v>
      </c>
      <c r="D132" s="165">
        <v>21950</v>
      </c>
      <c r="E132" s="161">
        <f>IF('callPut（W）'!L131="--",0,'callPut（W）'!L131)</f>
        <v>3.5</v>
      </c>
      <c r="F132" s="161">
        <f>IF('callPut（W）'!M131="--",0,'callPut（W）'!M131)</f>
        <v>45</v>
      </c>
      <c r="H132" s="161">
        <f>IF('callPut（F）'!D131="--",0,'callPut（F）'!D131)</f>
        <v>0</v>
      </c>
      <c r="I132" s="161">
        <f>IF('callPut（F）'!E131="--",0,'callPut（F）'!E131)</f>
        <v>0</v>
      </c>
      <c r="J132" s="165">
        <v>21950</v>
      </c>
      <c r="K132" s="161">
        <f>IF('callPut（F）'!L131="--",0,'callPut（F）'!L131)</f>
        <v>16.5</v>
      </c>
      <c r="L132" s="161">
        <f>IF('callPut（F）'!M131="--",0,'callPut（F）'!M131)</f>
        <v>2</v>
      </c>
      <c r="O132" s="160">
        <f t="shared" ref="O132:O195" si="10">B132+H132</f>
        <v>0</v>
      </c>
      <c r="P132" s="160">
        <f t="shared" ref="P132:P195" si="11">C132+I132</f>
        <v>0</v>
      </c>
      <c r="Q132" s="166">
        <v>21950</v>
      </c>
      <c r="R132" s="160">
        <f t="shared" ref="R132:R195" si="12">E132+K132</f>
        <v>20</v>
      </c>
      <c r="S132" s="160">
        <f t="shared" ref="S132:S195" si="13">F132+L132</f>
        <v>47</v>
      </c>
      <c r="T132" s="161"/>
      <c r="U132" s="160">
        <v>0</v>
      </c>
      <c r="V132" s="160">
        <v>0</v>
      </c>
      <c r="X132" s="160">
        <v>0</v>
      </c>
      <c r="Y132" s="160">
        <v>0</v>
      </c>
      <c r="AA132" s="160"/>
      <c r="AB132" s="162"/>
      <c r="AC132" s="162"/>
      <c r="AD132" s="162">
        <f t="shared" ref="AD132:AD195" si="14">AB132+AC132</f>
        <v>0</v>
      </c>
      <c r="AE132" s="160">
        <v>130</v>
      </c>
    </row>
    <row r="133" spans="2:31" ht="15.75" x14ac:dyDescent="0.25">
      <c r="B133" s="161">
        <f>IF('callPut（W）'!D132="--",0,'callPut（W）'!D132)</f>
        <v>0</v>
      </c>
      <c r="C133" s="161">
        <f>IF('callPut（W）'!E132="--",0,'callPut（W）'!E132)</f>
        <v>0</v>
      </c>
      <c r="D133" s="165">
        <v>22000</v>
      </c>
      <c r="E133" s="161">
        <f>IF('callPut（W）'!L132="--",0,'callPut（W）'!L132)</f>
        <v>3.6</v>
      </c>
      <c r="F133" s="161">
        <f>IF('callPut（W）'!M132="--",0,'callPut（W）'!M132)</f>
        <v>393</v>
      </c>
      <c r="H133" s="161">
        <f>IF('callPut（F）'!D132="--",0,'callPut（F）'!D132)</f>
        <v>0</v>
      </c>
      <c r="I133" s="161">
        <f>IF('callPut（F）'!E132="--",0,'callPut（F）'!E132)</f>
        <v>0</v>
      </c>
      <c r="J133" s="165">
        <v>22000</v>
      </c>
      <c r="K133" s="161">
        <f>IF('callPut（F）'!L132="--",0,'callPut（F）'!L132)</f>
        <v>18</v>
      </c>
      <c r="L133" s="161">
        <f>IF('callPut（F）'!M132="--",0,'callPut（F）'!M132)</f>
        <v>143</v>
      </c>
      <c r="O133" s="160">
        <f t="shared" si="10"/>
        <v>0</v>
      </c>
      <c r="P133" s="160">
        <f t="shared" si="11"/>
        <v>0</v>
      </c>
      <c r="Q133" s="166">
        <v>22000</v>
      </c>
      <c r="R133" s="160">
        <f t="shared" si="12"/>
        <v>21.6</v>
      </c>
      <c r="S133" s="160">
        <f t="shared" si="13"/>
        <v>536</v>
      </c>
      <c r="T133" s="161"/>
      <c r="U133" s="160">
        <v>0</v>
      </c>
      <c r="V133" s="160">
        <v>0</v>
      </c>
      <c r="X133" s="160">
        <v>0</v>
      </c>
      <c r="Y133" s="160">
        <v>0</v>
      </c>
      <c r="AA133" s="160"/>
      <c r="AB133" s="162"/>
      <c r="AC133" s="162"/>
      <c r="AD133" s="162">
        <f t="shared" si="14"/>
        <v>0</v>
      </c>
      <c r="AE133" s="160">
        <v>131</v>
      </c>
    </row>
    <row r="134" spans="2:31" ht="15.75" x14ac:dyDescent="0.25">
      <c r="B134" s="161">
        <f>IF('callPut（W）'!D133="--",0,'callPut（W）'!D133)</f>
        <v>0</v>
      </c>
      <c r="C134" s="161">
        <f>IF('callPut（W）'!E133="--",0,'callPut（W）'!E133)</f>
        <v>0</v>
      </c>
      <c r="D134" s="165">
        <v>22050</v>
      </c>
      <c r="E134" s="161">
        <f>IF('callPut（W）'!L133="--",0,'callPut（W）'!L133)</f>
        <v>2.5</v>
      </c>
      <c r="F134" s="161">
        <f>IF('callPut（W）'!M133="--",0,'callPut（W）'!M133)</f>
        <v>19</v>
      </c>
      <c r="H134" s="161">
        <f>IF('callPut（F）'!D133="--",0,'callPut（F）'!D133)</f>
        <v>0</v>
      </c>
      <c r="I134" s="161">
        <f>IF('callPut（F）'!E133="--",0,'callPut（F）'!E133)</f>
        <v>0</v>
      </c>
      <c r="J134" s="165">
        <v>22050</v>
      </c>
      <c r="K134" s="161">
        <f>IF('callPut（F）'!L133="--",0,'callPut（F）'!L133)</f>
        <v>0</v>
      </c>
      <c r="L134" s="161">
        <f>IF('callPut（F）'!M133="--",0,'callPut（F）'!M133)</f>
        <v>0</v>
      </c>
      <c r="O134" s="160">
        <f t="shared" si="10"/>
        <v>0</v>
      </c>
      <c r="P134" s="160">
        <f t="shared" si="11"/>
        <v>0</v>
      </c>
      <c r="Q134" s="166">
        <v>22050</v>
      </c>
      <c r="R134" s="160">
        <f t="shared" si="12"/>
        <v>2.5</v>
      </c>
      <c r="S134" s="160">
        <f t="shared" si="13"/>
        <v>19</v>
      </c>
      <c r="T134" s="161"/>
      <c r="U134" s="160">
        <v>0</v>
      </c>
      <c r="V134" s="160">
        <v>0</v>
      </c>
      <c r="X134" s="160">
        <v>0</v>
      </c>
      <c r="Y134" s="160">
        <v>0</v>
      </c>
      <c r="AA134" s="160"/>
      <c r="AB134" s="162"/>
      <c r="AC134" s="162"/>
      <c r="AD134" s="162">
        <f t="shared" si="14"/>
        <v>0</v>
      </c>
      <c r="AE134" s="160">
        <v>132</v>
      </c>
    </row>
    <row r="135" spans="2:31" ht="15.75" x14ac:dyDescent="0.25">
      <c r="B135" s="161">
        <f>IF('callPut（W）'!D134="--",0,'callPut（W）'!D134)</f>
        <v>0</v>
      </c>
      <c r="C135" s="161">
        <f>IF('callPut（W）'!E134="--",0,'callPut（W）'!E134)</f>
        <v>0</v>
      </c>
      <c r="D135" s="165">
        <v>22100</v>
      </c>
      <c r="E135" s="161">
        <f>IF('callPut（W）'!L134="--",0,'callPut（W）'!L134)</f>
        <v>4.5999999999999996</v>
      </c>
      <c r="F135" s="161">
        <f>IF('callPut（W）'!M134="--",0,'callPut（W）'!M134)</f>
        <v>89</v>
      </c>
      <c r="H135" s="161">
        <f>IF('callPut（F）'!D134="--",0,'callPut（F）'!D134)</f>
        <v>0</v>
      </c>
      <c r="I135" s="161">
        <f>IF('callPut（F）'!E134="--",0,'callPut（F）'!E134)</f>
        <v>0</v>
      </c>
      <c r="J135" s="165">
        <v>22100</v>
      </c>
      <c r="K135" s="161">
        <f>IF('callPut（F）'!L134="--",0,'callPut（F）'!L134)</f>
        <v>19.5</v>
      </c>
      <c r="L135" s="161">
        <f>IF('callPut（F）'!M134="--",0,'callPut（F）'!M134)</f>
        <v>85</v>
      </c>
      <c r="O135" s="160">
        <f t="shared" si="10"/>
        <v>0</v>
      </c>
      <c r="P135" s="160">
        <f t="shared" si="11"/>
        <v>0</v>
      </c>
      <c r="Q135" s="166">
        <v>22100</v>
      </c>
      <c r="R135" s="160">
        <f t="shared" si="12"/>
        <v>24.1</v>
      </c>
      <c r="S135" s="160">
        <f t="shared" si="13"/>
        <v>174</v>
      </c>
      <c r="T135" s="161"/>
      <c r="U135" s="160">
        <v>0</v>
      </c>
      <c r="V135" s="160">
        <v>0</v>
      </c>
      <c r="X135" s="160">
        <v>0</v>
      </c>
      <c r="Y135" s="160">
        <v>0</v>
      </c>
      <c r="AA135" s="160"/>
      <c r="AB135" s="162"/>
      <c r="AC135" s="162"/>
      <c r="AD135" s="162">
        <f t="shared" si="14"/>
        <v>0</v>
      </c>
      <c r="AE135" s="160">
        <v>133</v>
      </c>
    </row>
    <row r="136" spans="2:31" ht="15.75" x14ac:dyDescent="0.25">
      <c r="B136" s="161">
        <f>IF('callPut（W）'!D135="--",0,'callPut（W）'!D135)</f>
        <v>0</v>
      </c>
      <c r="C136" s="161">
        <f>IF('callPut（W）'!E135="--",0,'callPut（W）'!E135)</f>
        <v>0</v>
      </c>
      <c r="D136" s="165">
        <v>22150</v>
      </c>
      <c r="E136" s="161">
        <f>IF('callPut（W）'!L135="--",0,'callPut（W）'!L135)</f>
        <v>4</v>
      </c>
      <c r="F136" s="161">
        <f>IF('callPut（W）'!M135="--",0,'callPut（W）'!M135)</f>
        <v>54</v>
      </c>
      <c r="H136" s="161">
        <f>IF('callPut（F）'!D135="--",0,'callPut（F）'!D135)</f>
        <v>0</v>
      </c>
      <c r="I136" s="161">
        <f>IF('callPut（F）'!E135="--",0,'callPut（F）'!E135)</f>
        <v>0</v>
      </c>
      <c r="J136" s="165">
        <v>22150</v>
      </c>
      <c r="K136" s="161">
        <f>IF('callPut（F）'!L135="--",0,'callPut（F）'!L135)</f>
        <v>21.5</v>
      </c>
      <c r="L136" s="161">
        <f>IF('callPut（F）'!M135="--",0,'callPut（F）'!M135)</f>
        <v>65</v>
      </c>
      <c r="O136" s="160">
        <f t="shared" si="10"/>
        <v>0</v>
      </c>
      <c r="P136" s="160">
        <f t="shared" si="11"/>
        <v>0</v>
      </c>
      <c r="Q136" s="166">
        <v>22150</v>
      </c>
      <c r="R136" s="160">
        <f t="shared" si="12"/>
        <v>25.5</v>
      </c>
      <c r="S136" s="160">
        <f t="shared" si="13"/>
        <v>119</v>
      </c>
      <c r="T136" s="161"/>
      <c r="U136" s="160">
        <v>0</v>
      </c>
      <c r="V136" s="160">
        <v>0</v>
      </c>
      <c r="X136" s="160">
        <v>0</v>
      </c>
      <c r="Y136" s="160">
        <v>0</v>
      </c>
      <c r="AA136" s="160"/>
      <c r="AB136" s="162"/>
      <c r="AC136" s="162"/>
      <c r="AD136" s="162">
        <f t="shared" si="14"/>
        <v>0</v>
      </c>
      <c r="AE136" s="160">
        <v>134</v>
      </c>
    </row>
    <row r="137" spans="2:31" ht="15.75" x14ac:dyDescent="0.25">
      <c r="B137" s="161">
        <f>IF('callPut（W）'!D136="--",0,'callPut（W）'!D136)</f>
        <v>0</v>
      </c>
      <c r="C137" s="161">
        <f>IF('callPut（W）'!E136="--",0,'callPut（W）'!E136)</f>
        <v>0</v>
      </c>
      <c r="D137" s="165">
        <v>22200</v>
      </c>
      <c r="E137" s="161">
        <f>IF('callPut（W）'!L136="--",0,'callPut（W）'!L136)</f>
        <v>6</v>
      </c>
      <c r="F137" s="161">
        <f>IF('callPut（W）'!M136="--",0,'callPut（W）'!M136)</f>
        <v>247</v>
      </c>
      <c r="H137" s="161">
        <f>IF('callPut（F）'!D136="--",0,'callPut（F）'!D136)</f>
        <v>0</v>
      </c>
      <c r="I137" s="161">
        <f>IF('callPut（F）'!E136="--",0,'callPut（F）'!E136)</f>
        <v>0</v>
      </c>
      <c r="J137" s="165">
        <v>22200</v>
      </c>
      <c r="K137" s="161">
        <f>IF('callPut（F）'!L136="--",0,'callPut（F）'!L136)</f>
        <v>21</v>
      </c>
      <c r="L137" s="161">
        <f>IF('callPut（F）'!M136="--",0,'callPut（F）'!M136)</f>
        <v>74</v>
      </c>
      <c r="O137" s="160">
        <f t="shared" si="10"/>
        <v>0</v>
      </c>
      <c r="P137" s="160">
        <f t="shared" si="11"/>
        <v>0</v>
      </c>
      <c r="Q137" s="166">
        <v>22200</v>
      </c>
      <c r="R137" s="160">
        <f t="shared" si="12"/>
        <v>27</v>
      </c>
      <c r="S137" s="160">
        <f t="shared" si="13"/>
        <v>321</v>
      </c>
      <c r="T137" s="161"/>
      <c r="U137" s="160">
        <v>0</v>
      </c>
      <c r="V137" s="160">
        <v>0</v>
      </c>
      <c r="X137" s="160">
        <v>0</v>
      </c>
      <c r="Y137" s="160">
        <v>0</v>
      </c>
      <c r="AA137" s="160"/>
      <c r="AB137" s="162"/>
      <c r="AC137" s="162"/>
      <c r="AD137" s="162">
        <f t="shared" si="14"/>
        <v>0</v>
      </c>
      <c r="AE137" s="160">
        <v>135</v>
      </c>
    </row>
    <row r="138" spans="2:31" ht="15.75" x14ac:dyDescent="0.25">
      <c r="B138" s="161">
        <f>IF('callPut（W）'!D137="--",0,'callPut（W）'!D137)</f>
        <v>0</v>
      </c>
      <c r="C138" s="161">
        <f>IF('callPut（W）'!E137="--",0,'callPut（W）'!E137)</f>
        <v>0</v>
      </c>
      <c r="D138" s="165">
        <v>22250</v>
      </c>
      <c r="E138" s="161">
        <f>IF('callPut（W）'!L137="--",0,'callPut（W）'!L137)</f>
        <v>12</v>
      </c>
      <c r="F138" s="161">
        <f>IF('callPut（W）'!M137="--",0,'callPut（W）'!M137)</f>
        <v>104</v>
      </c>
      <c r="H138" s="161">
        <f>IF('callPut（F）'!D137="--",0,'callPut（F）'!D137)</f>
        <v>0</v>
      </c>
      <c r="I138" s="161">
        <f>IF('callPut（F）'!E137="--",0,'callPut（F）'!E137)</f>
        <v>0</v>
      </c>
      <c r="J138" s="165">
        <v>22250</v>
      </c>
      <c r="K138" s="161">
        <f>IF('callPut（F）'!L137="--",0,'callPut（F）'!L137)</f>
        <v>26</v>
      </c>
      <c r="L138" s="161">
        <f>IF('callPut（F）'!M137="--",0,'callPut（F）'!M137)</f>
        <v>17</v>
      </c>
      <c r="O138" s="160">
        <f t="shared" si="10"/>
        <v>0</v>
      </c>
      <c r="P138" s="160">
        <f t="shared" si="11"/>
        <v>0</v>
      </c>
      <c r="Q138" s="166">
        <v>22250</v>
      </c>
      <c r="R138" s="160">
        <f t="shared" si="12"/>
        <v>38</v>
      </c>
      <c r="S138" s="160">
        <f t="shared" si="13"/>
        <v>121</v>
      </c>
      <c r="T138" s="161"/>
      <c r="U138" s="160">
        <v>0</v>
      </c>
      <c r="V138" s="160">
        <v>0</v>
      </c>
      <c r="X138" s="160">
        <v>0</v>
      </c>
      <c r="Y138" s="160">
        <v>0</v>
      </c>
      <c r="AA138" s="160"/>
      <c r="AB138" s="162"/>
      <c r="AC138" s="162"/>
      <c r="AD138" s="162">
        <f t="shared" si="14"/>
        <v>0</v>
      </c>
      <c r="AE138" s="160">
        <v>136</v>
      </c>
    </row>
    <row r="139" spans="2:31" ht="15.75" x14ac:dyDescent="0.25">
      <c r="B139" s="161">
        <f>IF('callPut（W）'!D138="--",0,'callPut（W）'!D138)</f>
        <v>1050</v>
      </c>
      <c r="C139" s="161">
        <f>IF('callPut（W）'!E138="--",0,'callPut（W）'!E138)</f>
        <v>2</v>
      </c>
      <c r="D139" s="165">
        <v>22300</v>
      </c>
      <c r="E139" s="161">
        <f>IF('callPut（W）'!L138="--",0,'callPut（W）'!L138)</f>
        <v>6</v>
      </c>
      <c r="F139" s="161">
        <f>IF('callPut（W）'!M138="--",0,'callPut（W）'!M138)</f>
        <v>337</v>
      </c>
      <c r="H139" s="161">
        <f>IF('callPut（F）'!D138="--",0,'callPut（F）'!D138)</f>
        <v>0</v>
      </c>
      <c r="I139" s="161">
        <f>IF('callPut（F）'!E138="--",0,'callPut（F）'!E138)</f>
        <v>0</v>
      </c>
      <c r="J139" s="165">
        <v>22300</v>
      </c>
      <c r="K139" s="161">
        <f>IF('callPut（F）'!L138="--",0,'callPut（F）'!L138)</f>
        <v>26.5</v>
      </c>
      <c r="L139" s="161">
        <f>IF('callPut（F）'!M138="--",0,'callPut（F）'!M138)</f>
        <v>58</v>
      </c>
      <c r="O139" s="160">
        <f t="shared" si="10"/>
        <v>1050</v>
      </c>
      <c r="P139" s="160">
        <f t="shared" si="11"/>
        <v>2</v>
      </c>
      <c r="Q139" s="166">
        <v>22300</v>
      </c>
      <c r="R139" s="160">
        <f t="shared" si="12"/>
        <v>32.5</v>
      </c>
      <c r="S139" s="160">
        <f t="shared" si="13"/>
        <v>395</v>
      </c>
      <c r="T139" s="161"/>
      <c r="U139" s="160">
        <v>0</v>
      </c>
      <c r="V139" s="160">
        <v>0</v>
      </c>
      <c r="X139" s="160">
        <v>0</v>
      </c>
      <c r="Y139" s="160">
        <v>0</v>
      </c>
      <c r="AA139" s="160"/>
      <c r="AB139" s="162"/>
      <c r="AC139" s="162"/>
      <c r="AD139" s="162">
        <f t="shared" si="14"/>
        <v>0</v>
      </c>
      <c r="AE139" s="160">
        <v>137</v>
      </c>
    </row>
    <row r="140" spans="2:31" ht="15.75" x14ac:dyDescent="0.25">
      <c r="B140" s="161">
        <f>IF('callPut（W）'!D139="--",0,'callPut（W）'!D139)</f>
        <v>0</v>
      </c>
      <c r="C140" s="161">
        <f>IF('callPut（W）'!E139="--",0,'callPut（W）'!E139)</f>
        <v>0</v>
      </c>
      <c r="D140" s="165">
        <v>22350</v>
      </c>
      <c r="E140" s="161">
        <f>IF('callPut（W）'!L139="--",0,'callPut（W）'!L139)</f>
        <v>7</v>
      </c>
      <c r="F140" s="161">
        <f>IF('callPut（W）'!M139="--",0,'callPut（W）'!M139)</f>
        <v>110</v>
      </c>
      <c r="H140" s="161">
        <f>IF('callPut（F）'!D139="--",0,'callPut（F）'!D139)</f>
        <v>0</v>
      </c>
      <c r="I140" s="161">
        <f>IF('callPut（F）'!E139="--",0,'callPut（F）'!E139)</f>
        <v>0</v>
      </c>
      <c r="J140" s="165">
        <v>22350</v>
      </c>
      <c r="K140" s="161">
        <f>IF('callPut（F）'!L139="--",0,'callPut（F）'!L139)</f>
        <v>25</v>
      </c>
      <c r="L140" s="161">
        <f>IF('callPut（F）'!M139="--",0,'callPut（F）'!M139)</f>
        <v>71</v>
      </c>
      <c r="O140" s="160">
        <f t="shared" si="10"/>
        <v>0</v>
      </c>
      <c r="P140" s="160">
        <f t="shared" si="11"/>
        <v>0</v>
      </c>
      <c r="Q140" s="166">
        <v>22350</v>
      </c>
      <c r="R140" s="160">
        <f t="shared" si="12"/>
        <v>32</v>
      </c>
      <c r="S140" s="160">
        <f t="shared" si="13"/>
        <v>181</v>
      </c>
      <c r="T140" s="161"/>
      <c r="U140" s="160">
        <v>0</v>
      </c>
      <c r="V140" s="160">
        <v>0</v>
      </c>
      <c r="X140" s="160">
        <v>0</v>
      </c>
      <c r="Y140" s="160">
        <v>0</v>
      </c>
      <c r="AA140" s="160"/>
      <c r="AB140" s="162"/>
      <c r="AC140" s="162"/>
      <c r="AD140" s="162">
        <f t="shared" si="14"/>
        <v>0</v>
      </c>
      <c r="AE140" s="160">
        <v>138</v>
      </c>
    </row>
    <row r="141" spans="2:31" ht="15.75" x14ac:dyDescent="0.25">
      <c r="B141" s="161">
        <f>IF('callPut（W）'!D140="--",0,'callPut（W）'!D140)</f>
        <v>0</v>
      </c>
      <c r="C141" s="161">
        <f>IF('callPut（W）'!E140="--",0,'callPut（W）'!E140)</f>
        <v>0</v>
      </c>
      <c r="D141" s="165">
        <v>22400</v>
      </c>
      <c r="E141" s="161">
        <f>IF('callPut（W）'!L140="--",0,'callPut（W）'!L140)</f>
        <v>7.1</v>
      </c>
      <c r="F141" s="161">
        <f>IF('callPut（W）'!M140="--",0,'callPut（W）'!M140)</f>
        <v>302</v>
      </c>
      <c r="H141" s="161">
        <f>IF('callPut（F）'!D140="--",0,'callPut（F）'!D140)</f>
        <v>975</v>
      </c>
      <c r="I141" s="161">
        <f>IF('callPut（F）'!E140="--",0,'callPut（F）'!E140)</f>
        <v>1</v>
      </c>
      <c r="J141" s="165">
        <v>22400</v>
      </c>
      <c r="K141" s="161">
        <f>IF('callPut（F）'!L140="--",0,'callPut（F）'!L140)</f>
        <v>27</v>
      </c>
      <c r="L141" s="161">
        <f>IF('callPut（F）'!M140="--",0,'callPut（F）'!M140)</f>
        <v>55</v>
      </c>
      <c r="O141" s="160">
        <f t="shared" si="10"/>
        <v>975</v>
      </c>
      <c r="P141" s="160">
        <f t="shared" si="11"/>
        <v>1</v>
      </c>
      <c r="Q141" s="166">
        <v>22400</v>
      </c>
      <c r="R141" s="160">
        <f t="shared" si="12"/>
        <v>34.1</v>
      </c>
      <c r="S141" s="160">
        <f t="shared" si="13"/>
        <v>357</v>
      </c>
      <c r="T141" s="161"/>
      <c r="U141" s="160">
        <v>0</v>
      </c>
      <c r="V141" s="160">
        <v>0</v>
      </c>
      <c r="X141" s="160">
        <v>0</v>
      </c>
      <c r="Y141" s="160">
        <v>0</v>
      </c>
      <c r="AA141" s="160"/>
      <c r="AB141" s="162"/>
      <c r="AC141" s="162"/>
      <c r="AD141" s="162">
        <f t="shared" si="14"/>
        <v>0</v>
      </c>
      <c r="AE141" s="160">
        <v>139</v>
      </c>
    </row>
    <row r="142" spans="2:31" ht="15.75" x14ac:dyDescent="0.25">
      <c r="B142" s="161">
        <f>IF('callPut（W）'!D141="--",0,'callPut（W）'!D141)</f>
        <v>0</v>
      </c>
      <c r="C142" s="161">
        <f>IF('callPut（W）'!E141="--",0,'callPut（W）'!E141)</f>
        <v>0</v>
      </c>
      <c r="D142" s="165">
        <v>22450</v>
      </c>
      <c r="E142" s="161">
        <f>IF('callPut（W）'!L141="--",0,'callPut（W）'!L141)</f>
        <v>7.8</v>
      </c>
      <c r="F142" s="161">
        <f>IF('callPut（W）'!M141="--",0,'callPut（W）'!M141)</f>
        <v>329</v>
      </c>
      <c r="H142" s="161">
        <f>IF('callPut（F）'!D141="--",0,'callPut（F）'!D141)</f>
        <v>0</v>
      </c>
      <c r="I142" s="161">
        <f>IF('callPut（F）'!E141="--",0,'callPut（F）'!E141)</f>
        <v>0</v>
      </c>
      <c r="J142" s="165">
        <v>22450</v>
      </c>
      <c r="K142" s="161">
        <f>IF('callPut（F）'!L141="--",0,'callPut（F）'!L141)</f>
        <v>34.5</v>
      </c>
      <c r="L142" s="161">
        <f>IF('callPut（F）'!M141="--",0,'callPut（F）'!M141)</f>
        <v>12</v>
      </c>
      <c r="O142" s="160">
        <f t="shared" si="10"/>
        <v>0</v>
      </c>
      <c r="P142" s="160">
        <f t="shared" si="11"/>
        <v>0</v>
      </c>
      <c r="Q142" s="166">
        <v>22450</v>
      </c>
      <c r="R142" s="160">
        <f t="shared" si="12"/>
        <v>42.3</v>
      </c>
      <c r="S142" s="160">
        <f t="shared" si="13"/>
        <v>341</v>
      </c>
      <c r="T142" s="161"/>
      <c r="U142" s="160">
        <v>0</v>
      </c>
      <c r="V142" s="160">
        <v>0</v>
      </c>
      <c r="X142" s="160">
        <v>0</v>
      </c>
      <c r="Y142" s="160">
        <v>0</v>
      </c>
      <c r="AA142" s="160"/>
      <c r="AB142" s="162"/>
      <c r="AC142" s="162"/>
      <c r="AD142" s="162">
        <f t="shared" si="14"/>
        <v>0</v>
      </c>
      <c r="AE142" s="160">
        <v>140</v>
      </c>
    </row>
    <row r="143" spans="2:31" ht="15.75" x14ac:dyDescent="0.25">
      <c r="B143" s="161">
        <f>IF('callPut（W）'!D142="--",0,'callPut（W）'!D142)</f>
        <v>780</v>
      </c>
      <c r="C143" s="161">
        <f>IF('callPut（W）'!E142="--",0,'callPut（W）'!E142)</f>
        <v>9</v>
      </c>
      <c r="D143" s="165">
        <v>22500</v>
      </c>
      <c r="E143" s="161">
        <f>IF('callPut（W）'!L142="--",0,'callPut（W）'!L142)</f>
        <v>10</v>
      </c>
      <c r="F143" s="161">
        <f>IF('callPut（W）'!M142="--",0,'callPut（W）'!M142)</f>
        <v>1414</v>
      </c>
      <c r="H143" s="161">
        <f>IF('callPut（F）'!D142="--",0,'callPut（F）'!D142)</f>
        <v>0</v>
      </c>
      <c r="I143" s="161">
        <f>IF('callPut（F）'!E142="--",0,'callPut（F）'!E142)</f>
        <v>0</v>
      </c>
      <c r="J143" s="165">
        <v>22500</v>
      </c>
      <c r="K143" s="161">
        <f>IF('callPut（F）'!L142="--",0,'callPut（F）'!L142)</f>
        <v>38</v>
      </c>
      <c r="L143" s="161">
        <f>IF('callPut（F）'!M142="--",0,'callPut（F）'!M142)</f>
        <v>51</v>
      </c>
      <c r="O143" s="160">
        <f t="shared" si="10"/>
        <v>780</v>
      </c>
      <c r="P143" s="160">
        <f t="shared" si="11"/>
        <v>9</v>
      </c>
      <c r="Q143" s="166">
        <v>22500</v>
      </c>
      <c r="R143" s="160">
        <f t="shared" si="12"/>
        <v>48</v>
      </c>
      <c r="S143" s="160">
        <f t="shared" si="13"/>
        <v>1465</v>
      </c>
      <c r="T143" s="161"/>
      <c r="U143" s="160">
        <v>0</v>
      </c>
      <c r="V143" s="160">
        <v>0</v>
      </c>
      <c r="X143" s="160">
        <v>0</v>
      </c>
      <c r="Y143" s="160">
        <v>0</v>
      </c>
      <c r="AA143" s="160"/>
      <c r="AB143" s="162"/>
      <c r="AC143" s="162"/>
      <c r="AD143" s="162">
        <f t="shared" si="14"/>
        <v>0</v>
      </c>
      <c r="AE143" s="160">
        <v>141</v>
      </c>
    </row>
    <row r="144" spans="2:31" ht="15.75" x14ac:dyDescent="0.25">
      <c r="B144" s="161">
        <f>IF('callPut（W）'!D143="--",0,'callPut（W）'!D143)</f>
        <v>720</v>
      </c>
      <c r="C144" s="161">
        <f>IF('callPut（W）'!E143="--",0,'callPut（W）'!E143)</f>
        <v>1</v>
      </c>
      <c r="D144" s="165">
        <v>22550</v>
      </c>
      <c r="E144" s="161">
        <f>IF('callPut（W）'!L143="--",0,'callPut（W）'!L143)</f>
        <v>10</v>
      </c>
      <c r="F144" s="161">
        <f>IF('callPut（W）'!M143="--",0,'callPut（W）'!M143)</f>
        <v>490</v>
      </c>
      <c r="H144" s="161">
        <f>IF('callPut（F）'!D143="--",0,'callPut（F）'!D143)</f>
        <v>0</v>
      </c>
      <c r="I144" s="161">
        <f>IF('callPut（F）'!E143="--",0,'callPut（F）'!E143)</f>
        <v>0</v>
      </c>
      <c r="J144" s="165">
        <v>22550</v>
      </c>
      <c r="K144" s="161">
        <f>IF('callPut（F）'!L143="--",0,'callPut（F）'!L143)</f>
        <v>40</v>
      </c>
      <c r="L144" s="161">
        <f>IF('callPut（F）'!M143="--",0,'callPut（F）'!M143)</f>
        <v>36</v>
      </c>
      <c r="O144" s="160">
        <f t="shared" si="10"/>
        <v>720</v>
      </c>
      <c r="P144" s="160">
        <f t="shared" si="11"/>
        <v>1</v>
      </c>
      <c r="Q144" s="166">
        <v>22550</v>
      </c>
      <c r="R144" s="160">
        <f t="shared" si="12"/>
        <v>50</v>
      </c>
      <c r="S144" s="160">
        <f t="shared" si="13"/>
        <v>526</v>
      </c>
      <c r="T144" s="161"/>
      <c r="U144" s="160">
        <v>0</v>
      </c>
      <c r="V144" s="160">
        <v>0</v>
      </c>
      <c r="X144" s="160">
        <v>0</v>
      </c>
      <c r="Y144" s="160">
        <v>0</v>
      </c>
      <c r="AA144" s="160"/>
      <c r="AB144" s="162"/>
      <c r="AC144" s="162"/>
      <c r="AD144" s="162">
        <f t="shared" si="14"/>
        <v>0</v>
      </c>
      <c r="AE144" s="160">
        <v>142</v>
      </c>
    </row>
    <row r="145" spans="2:31" ht="15.75" x14ac:dyDescent="0.25">
      <c r="B145" s="161">
        <f>IF('callPut（W）'!D144="--",0,'callPut（W）'!D144)</f>
        <v>700</v>
      </c>
      <c r="C145" s="161">
        <f>IF('callPut（W）'!E144="--",0,'callPut（W）'!E144)</f>
        <v>10</v>
      </c>
      <c r="D145" s="165">
        <v>22600</v>
      </c>
      <c r="E145" s="161">
        <f>IF('callPut（W）'!L144="--",0,'callPut（W）'!L144)</f>
        <v>12.5</v>
      </c>
      <c r="F145" s="161">
        <f>IF('callPut（W）'!M144="--",0,'callPut（W）'!M144)</f>
        <v>781</v>
      </c>
      <c r="H145" s="161">
        <f>IF('callPut（F）'!D144="--",0,'callPut（F）'!D144)</f>
        <v>0</v>
      </c>
      <c r="I145" s="161">
        <f>IF('callPut（F）'!E144="--",0,'callPut（F）'!E144)</f>
        <v>0</v>
      </c>
      <c r="J145" s="165">
        <v>22600</v>
      </c>
      <c r="K145" s="161">
        <f>IF('callPut（F）'!L144="--",0,'callPut（F）'!L144)</f>
        <v>41.5</v>
      </c>
      <c r="L145" s="161">
        <f>IF('callPut（F）'!M144="--",0,'callPut（F）'!M144)</f>
        <v>55</v>
      </c>
      <c r="O145" s="160">
        <f t="shared" si="10"/>
        <v>700</v>
      </c>
      <c r="P145" s="160">
        <f t="shared" si="11"/>
        <v>10</v>
      </c>
      <c r="Q145" s="166">
        <v>22600</v>
      </c>
      <c r="R145" s="160">
        <f t="shared" si="12"/>
        <v>54</v>
      </c>
      <c r="S145" s="160">
        <f t="shared" si="13"/>
        <v>836</v>
      </c>
      <c r="T145" s="161"/>
      <c r="U145" s="160">
        <v>0</v>
      </c>
      <c r="V145" s="160">
        <v>0</v>
      </c>
      <c r="X145" s="160">
        <v>0</v>
      </c>
      <c r="Y145" s="160">
        <v>0</v>
      </c>
      <c r="AA145" s="160"/>
      <c r="AB145" s="162"/>
      <c r="AC145" s="162"/>
      <c r="AD145" s="162">
        <f t="shared" si="14"/>
        <v>0</v>
      </c>
      <c r="AE145" s="160">
        <v>143</v>
      </c>
    </row>
    <row r="146" spans="2:31" ht="15.75" x14ac:dyDescent="0.25">
      <c r="B146" s="161">
        <f>IF('callPut（W）'!D145="--",0,'callPut（W）'!D145)</f>
        <v>645</v>
      </c>
      <c r="C146" s="161">
        <f>IF('callPut（W）'!E145="--",0,'callPut（W）'!E145)</f>
        <v>2</v>
      </c>
      <c r="D146" s="165">
        <v>22650</v>
      </c>
      <c r="E146" s="161">
        <f>IF('callPut（W）'!L145="--",0,'callPut（W）'!L145)</f>
        <v>13</v>
      </c>
      <c r="F146" s="161">
        <f>IF('callPut（W）'!M145="--",0,'callPut（W）'!M145)</f>
        <v>738</v>
      </c>
      <c r="H146" s="161">
        <f>IF('callPut（F）'!D145="--",0,'callPut（F）'!D145)</f>
        <v>0</v>
      </c>
      <c r="I146" s="161">
        <f>IF('callPut（F）'!E145="--",0,'callPut（F）'!E145)</f>
        <v>0</v>
      </c>
      <c r="J146" s="165">
        <v>22650</v>
      </c>
      <c r="K146" s="161">
        <f>IF('callPut（F）'!L145="--",0,'callPut（F）'!L145)</f>
        <v>46</v>
      </c>
      <c r="L146" s="161">
        <f>IF('callPut（F）'!M145="--",0,'callPut（F）'!M145)</f>
        <v>17</v>
      </c>
      <c r="O146" s="160">
        <f t="shared" si="10"/>
        <v>645</v>
      </c>
      <c r="P146" s="160">
        <f t="shared" si="11"/>
        <v>2</v>
      </c>
      <c r="Q146" s="166">
        <v>22650</v>
      </c>
      <c r="R146" s="160">
        <f t="shared" si="12"/>
        <v>59</v>
      </c>
      <c r="S146" s="160">
        <f t="shared" si="13"/>
        <v>755</v>
      </c>
      <c r="T146" s="161"/>
      <c r="U146" s="160">
        <v>0</v>
      </c>
      <c r="V146" s="160">
        <v>0</v>
      </c>
      <c r="X146" s="160">
        <v>0</v>
      </c>
      <c r="Y146" s="160">
        <v>0</v>
      </c>
      <c r="AA146" s="160"/>
      <c r="AB146" s="162"/>
      <c r="AC146" s="162"/>
      <c r="AD146" s="162">
        <f t="shared" si="14"/>
        <v>0</v>
      </c>
      <c r="AE146" s="160">
        <v>144</v>
      </c>
    </row>
    <row r="147" spans="2:31" ht="15.75" x14ac:dyDescent="0.25">
      <c r="B147" s="161">
        <f>IF('callPut（W）'!D146="--",0,'callPut（W）'!D146)</f>
        <v>580</v>
      </c>
      <c r="C147" s="161">
        <f>IF('callPut（W）'!E146="--",0,'callPut（W）'!E146)</f>
        <v>9</v>
      </c>
      <c r="D147" s="165">
        <v>22700</v>
      </c>
      <c r="E147" s="161">
        <f>IF('callPut（W）'!L146="--",0,'callPut（W）'!L146)</f>
        <v>18</v>
      </c>
      <c r="F147" s="161">
        <f>IF('callPut（W）'!M146="--",0,'callPut（W）'!M146)</f>
        <v>988</v>
      </c>
      <c r="H147" s="161">
        <f>IF('callPut（F）'!D146="--",0,'callPut（F）'!D146)</f>
        <v>655</v>
      </c>
      <c r="I147" s="161">
        <f>IF('callPut（F）'!E146="--",0,'callPut（F）'!E146)</f>
        <v>3</v>
      </c>
      <c r="J147" s="165">
        <v>22700</v>
      </c>
      <c r="K147" s="161">
        <f>IF('callPut（F）'!L146="--",0,'callPut（F）'!L146)</f>
        <v>47.5</v>
      </c>
      <c r="L147" s="161">
        <f>IF('callPut（F）'!M146="--",0,'callPut（F）'!M146)</f>
        <v>194</v>
      </c>
      <c r="O147" s="160">
        <f t="shared" si="10"/>
        <v>1235</v>
      </c>
      <c r="P147" s="160">
        <f t="shared" si="11"/>
        <v>12</v>
      </c>
      <c r="Q147" s="166">
        <v>22700</v>
      </c>
      <c r="R147" s="160">
        <f t="shared" si="12"/>
        <v>65.5</v>
      </c>
      <c r="S147" s="160">
        <f t="shared" si="13"/>
        <v>1182</v>
      </c>
      <c r="T147" s="161"/>
      <c r="U147" s="160">
        <v>0</v>
      </c>
      <c r="V147" s="160">
        <v>0</v>
      </c>
      <c r="X147" s="160">
        <v>0</v>
      </c>
      <c r="Y147" s="160">
        <v>0</v>
      </c>
      <c r="AA147" s="160"/>
      <c r="AB147" s="162"/>
      <c r="AC147" s="162"/>
      <c r="AD147" s="162">
        <f t="shared" si="14"/>
        <v>0</v>
      </c>
      <c r="AE147" s="160">
        <v>145</v>
      </c>
    </row>
    <row r="148" spans="2:31" ht="15.75" x14ac:dyDescent="0.25">
      <c r="B148" s="161">
        <f>IF('callPut（W）'!D147="--",0,'callPut（W）'!D147)</f>
        <v>540</v>
      </c>
      <c r="C148" s="161">
        <f>IF('callPut（W）'!E147="--",0,'callPut（W）'!E147)</f>
        <v>1</v>
      </c>
      <c r="D148" s="165">
        <v>22750</v>
      </c>
      <c r="E148" s="161">
        <f>IF('callPut（W）'!L147="--",0,'callPut（W）'!L147)</f>
        <v>22</v>
      </c>
      <c r="F148" s="161">
        <f>IF('callPut（W）'!M147="--",0,'callPut（W）'!M147)</f>
        <v>882</v>
      </c>
      <c r="H148" s="161">
        <f>IF('callPut（F）'!D147="--",0,'callPut（F）'!D147)</f>
        <v>0</v>
      </c>
      <c r="I148" s="161">
        <f>IF('callPut（F）'!E147="--",0,'callPut（F）'!E147)</f>
        <v>0</v>
      </c>
      <c r="J148" s="165">
        <v>22750</v>
      </c>
      <c r="K148" s="161">
        <f>IF('callPut（F）'!L147="--",0,'callPut（F）'!L147)</f>
        <v>55</v>
      </c>
      <c r="L148" s="161">
        <f>IF('callPut（F）'!M147="--",0,'callPut（F）'!M147)</f>
        <v>15</v>
      </c>
      <c r="O148" s="160">
        <f t="shared" si="10"/>
        <v>540</v>
      </c>
      <c r="P148" s="160">
        <f t="shared" si="11"/>
        <v>1</v>
      </c>
      <c r="Q148" s="166">
        <v>22750</v>
      </c>
      <c r="R148" s="160">
        <f t="shared" si="12"/>
        <v>77</v>
      </c>
      <c r="S148" s="160">
        <f t="shared" si="13"/>
        <v>897</v>
      </c>
      <c r="T148" s="161"/>
      <c r="U148" s="160">
        <v>0</v>
      </c>
      <c r="V148" s="160">
        <v>0</v>
      </c>
      <c r="X148" s="160">
        <v>0</v>
      </c>
      <c r="Y148" s="160">
        <v>0</v>
      </c>
      <c r="AA148" s="160"/>
      <c r="AB148" s="162"/>
      <c r="AC148" s="162"/>
      <c r="AD148" s="162">
        <f t="shared" si="14"/>
        <v>0</v>
      </c>
      <c r="AE148" s="160">
        <v>146</v>
      </c>
    </row>
    <row r="149" spans="2:31" ht="15.75" x14ac:dyDescent="0.25">
      <c r="B149" s="161">
        <f>IF('callPut（W）'!D148="--",0,'callPut（W）'!D148)</f>
        <v>525</v>
      </c>
      <c r="C149" s="161">
        <f>IF('callPut（W）'!E148="--",0,'callPut（W）'!E148)</f>
        <v>9</v>
      </c>
      <c r="D149" s="165">
        <v>22800</v>
      </c>
      <c r="E149" s="161">
        <f>IF('callPut（W）'!L148="--",0,'callPut（W）'!L148)</f>
        <v>24.5</v>
      </c>
      <c r="F149" s="161">
        <f>IF('callPut（W）'!M148="--",0,'callPut（W）'!M148)</f>
        <v>2270</v>
      </c>
      <c r="H149" s="161">
        <f>IF('callPut（F）'!D148="--",0,'callPut（F）'!D148)</f>
        <v>0</v>
      </c>
      <c r="I149" s="161">
        <f>IF('callPut（F）'!E148="--",0,'callPut（F）'!E148)</f>
        <v>0</v>
      </c>
      <c r="J149" s="165">
        <v>22800</v>
      </c>
      <c r="K149" s="161">
        <f>IF('callPut（F）'!L148="--",0,'callPut（F）'!L148)</f>
        <v>69</v>
      </c>
      <c r="L149" s="161">
        <f>IF('callPut（F）'!M148="--",0,'callPut（F）'!M148)</f>
        <v>28</v>
      </c>
      <c r="O149" s="160">
        <f t="shared" si="10"/>
        <v>525</v>
      </c>
      <c r="P149" s="160">
        <f t="shared" si="11"/>
        <v>9</v>
      </c>
      <c r="Q149" s="166">
        <v>22800</v>
      </c>
      <c r="R149" s="160">
        <f t="shared" si="12"/>
        <v>93.5</v>
      </c>
      <c r="S149" s="160">
        <f t="shared" si="13"/>
        <v>2298</v>
      </c>
      <c r="T149" s="161"/>
      <c r="U149" s="160">
        <v>0</v>
      </c>
      <c r="V149" s="160">
        <v>0</v>
      </c>
      <c r="X149" s="160">
        <v>0</v>
      </c>
      <c r="Y149" s="160">
        <v>0</v>
      </c>
      <c r="AA149" s="160"/>
      <c r="AB149" s="162"/>
      <c r="AC149" s="162"/>
      <c r="AD149" s="162">
        <f t="shared" si="14"/>
        <v>0</v>
      </c>
      <c r="AE149" s="160">
        <v>147</v>
      </c>
    </row>
    <row r="150" spans="2:31" ht="15.75" x14ac:dyDescent="0.25">
      <c r="B150" s="161">
        <f>IF('callPut（W）'!D149="--",0,'callPut（W）'!D149)</f>
        <v>462</v>
      </c>
      <c r="C150" s="161">
        <f>IF('callPut（W）'!E149="--",0,'callPut（W）'!E149)</f>
        <v>4</v>
      </c>
      <c r="D150" s="165">
        <v>22850</v>
      </c>
      <c r="E150" s="161">
        <f>IF('callPut（W）'!L149="--",0,'callPut（W）'!L149)</f>
        <v>35</v>
      </c>
      <c r="F150" s="161">
        <f>IF('callPut（W）'!M149="--",0,'callPut（W）'!M149)</f>
        <v>1342</v>
      </c>
      <c r="H150" s="161">
        <f>IF('callPut（F）'!D149="--",0,'callPut（F）'!D149)</f>
        <v>0</v>
      </c>
      <c r="I150" s="161">
        <f>IF('callPut（F）'!E149="--",0,'callPut（F）'!E149)</f>
        <v>0</v>
      </c>
      <c r="J150" s="165">
        <v>22850</v>
      </c>
      <c r="K150" s="161">
        <f>IF('callPut（F）'!L149="--",0,'callPut（F）'!L149)</f>
        <v>81</v>
      </c>
      <c r="L150" s="161">
        <f>IF('callPut（F）'!M149="--",0,'callPut（F）'!M149)</f>
        <v>16</v>
      </c>
      <c r="O150" s="160">
        <f t="shared" si="10"/>
        <v>462</v>
      </c>
      <c r="P150" s="160">
        <f t="shared" si="11"/>
        <v>4</v>
      </c>
      <c r="Q150" s="166">
        <v>22850</v>
      </c>
      <c r="R150" s="160">
        <f t="shared" si="12"/>
        <v>116</v>
      </c>
      <c r="S150" s="160">
        <f t="shared" si="13"/>
        <v>1358</v>
      </c>
      <c r="T150" s="161"/>
      <c r="U150" s="160">
        <v>0</v>
      </c>
      <c r="V150" s="160">
        <v>0</v>
      </c>
      <c r="X150" s="160">
        <v>0</v>
      </c>
      <c r="Y150" s="160">
        <v>0</v>
      </c>
      <c r="AA150" s="160"/>
      <c r="AB150" s="162"/>
      <c r="AC150" s="162"/>
      <c r="AD150" s="162">
        <f t="shared" si="14"/>
        <v>0</v>
      </c>
      <c r="AE150" s="160">
        <v>148</v>
      </c>
    </row>
    <row r="151" spans="2:31" ht="15.75" x14ac:dyDescent="0.25">
      <c r="B151" s="161">
        <f>IF('callPut（W）'!D150="--",0,'callPut（W）'!D150)</f>
        <v>407</v>
      </c>
      <c r="C151" s="161">
        <f>IF('callPut（W）'!E150="--",0,'callPut（W）'!E150)</f>
        <v>68</v>
      </c>
      <c r="D151" s="165">
        <v>22900</v>
      </c>
      <c r="E151" s="161">
        <f>IF('callPut（W）'!L150="--",0,'callPut（W）'!L150)</f>
        <v>36.5</v>
      </c>
      <c r="F151" s="161">
        <f>IF('callPut（W）'!M150="--",0,'callPut（W）'!M150)</f>
        <v>2511</v>
      </c>
      <c r="H151" s="161">
        <f>IF('callPut（F）'!D150="--",0,'callPut（F）'!D150)</f>
        <v>515</v>
      </c>
      <c r="I151" s="161">
        <f>IF('callPut（F）'!E150="--",0,'callPut（F）'!E150)</f>
        <v>5</v>
      </c>
      <c r="J151" s="165">
        <v>22900</v>
      </c>
      <c r="K151" s="161">
        <f>IF('callPut（F）'!L150="--",0,'callPut（F）'!L150)</f>
        <v>82</v>
      </c>
      <c r="L151" s="161">
        <f>IF('callPut（F）'!M150="--",0,'callPut（F）'!M150)</f>
        <v>34</v>
      </c>
      <c r="O151" s="160">
        <f t="shared" si="10"/>
        <v>922</v>
      </c>
      <c r="P151" s="160">
        <f t="shared" si="11"/>
        <v>73</v>
      </c>
      <c r="Q151" s="166">
        <v>22900</v>
      </c>
      <c r="R151" s="160">
        <f t="shared" si="12"/>
        <v>118.5</v>
      </c>
      <c r="S151" s="160">
        <f t="shared" si="13"/>
        <v>2545</v>
      </c>
      <c r="T151" s="161"/>
      <c r="U151" s="160">
        <v>0</v>
      </c>
      <c r="V151" s="160">
        <v>0</v>
      </c>
      <c r="X151" s="160">
        <v>0</v>
      </c>
      <c r="Y151" s="160">
        <v>0</v>
      </c>
      <c r="AA151" s="160"/>
      <c r="AB151" s="162"/>
      <c r="AC151" s="162"/>
      <c r="AD151" s="162">
        <f t="shared" si="14"/>
        <v>0</v>
      </c>
      <c r="AE151" s="160">
        <v>149</v>
      </c>
    </row>
    <row r="152" spans="2:31" ht="15.75" x14ac:dyDescent="0.25">
      <c r="B152" s="161">
        <f>IF('callPut（W）'!D151="--",0,'callPut（W）'!D151)</f>
        <v>370</v>
      </c>
      <c r="C152" s="161">
        <f>IF('callPut（W）'!E151="--",0,'callPut（W）'!E151)</f>
        <v>19</v>
      </c>
      <c r="D152" s="165">
        <v>22950</v>
      </c>
      <c r="E152" s="161">
        <f>IF('callPut（W）'!L151="--",0,'callPut（W）'!L151)</f>
        <v>44.5</v>
      </c>
      <c r="F152" s="161">
        <f>IF('callPut（W）'!M151="--",0,'callPut（W）'!M151)</f>
        <v>1756</v>
      </c>
      <c r="H152" s="161">
        <f>IF('callPut（F）'!D151="--",0,'callPut（F）'!D151)</f>
        <v>0</v>
      </c>
      <c r="I152" s="161">
        <f>IF('callPut（F）'!E151="--",0,'callPut（F）'!E151)</f>
        <v>0</v>
      </c>
      <c r="J152" s="165">
        <v>22950</v>
      </c>
      <c r="K152" s="161">
        <f>IF('callPut（F）'!L151="--",0,'callPut（F）'!L151)</f>
        <v>103</v>
      </c>
      <c r="L152" s="161">
        <f>IF('callPut（F）'!M151="--",0,'callPut（F）'!M151)</f>
        <v>11</v>
      </c>
      <c r="O152" s="160">
        <f t="shared" si="10"/>
        <v>370</v>
      </c>
      <c r="P152" s="160">
        <f t="shared" si="11"/>
        <v>19</v>
      </c>
      <c r="Q152" s="166">
        <v>22950</v>
      </c>
      <c r="R152" s="160">
        <f t="shared" si="12"/>
        <v>147.5</v>
      </c>
      <c r="S152" s="160">
        <f t="shared" si="13"/>
        <v>1767</v>
      </c>
      <c r="T152" s="161"/>
      <c r="U152" s="160">
        <v>0</v>
      </c>
      <c r="V152" s="160">
        <v>0</v>
      </c>
      <c r="X152" s="160">
        <v>0</v>
      </c>
      <c r="Y152" s="160">
        <v>0</v>
      </c>
      <c r="AA152" s="160"/>
      <c r="AB152" s="162"/>
      <c r="AC152" s="162"/>
      <c r="AD152" s="162">
        <f t="shared" si="14"/>
        <v>0</v>
      </c>
      <c r="AE152" s="160">
        <v>150</v>
      </c>
    </row>
    <row r="153" spans="2:31" ht="15.75" x14ac:dyDescent="0.25">
      <c r="B153" s="161">
        <f>IF('callPut（W）'!D152="--",0,'callPut（W）'!D152)</f>
        <v>321</v>
      </c>
      <c r="C153" s="161">
        <f>IF('callPut（W）'!E152="--",0,'callPut（W）'!E152)</f>
        <v>293</v>
      </c>
      <c r="D153" s="165">
        <v>23000</v>
      </c>
      <c r="E153" s="161">
        <f>IF('callPut（W）'!L152="--",0,'callPut（W）'!L152)</f>
        <v>53</v>
      </c>
      <c r="F153" s="161">
        <f>IF('callPut（W）'!M152="--",0,'callPut（W）'!M152)</f>
        <v>4940</v>
      </c>
      <c r="H153" s="161">
        <f>IF('callPut（F）'!D152="--",0,'callPut（F）'!D152)</f>
        <v>393</v>
      </c>
      <c r="I153" s="161">
        <f>IF('callPut（F）'!E152="--",0,'callPut（F）'!E152)</f>
        <v>4</v>
      </c>
      <c r="J153" s="165">
        <v>23000</v>
      </c>
      <c r="K153" s="161">
        <f>IF('callPut（F）'!L152="--",0,'callPut（F）'!L152)</f>
        <v>109</v>
      </c>
      <c r="L153" s="161">
        <f>IF('callPut（F）'!M152="--",0,'callPut（F）'!M152)</f>
        <v>48</v>
      </c>
      <c r="O153" s="160">
        <f t="shared" si="10"/>
        <v>714</v>
      </c>
      <c r="P153" s="160">
        <f t="shared" si="11"/>
        <v>297</v>
      </c>
      <c r="Q153" s="166">
        <v>23000</v>
      </c>
      <c r="R153" s="160">
        <f t="shared" si="12"/>
        <v>162</v>
      </c>
      <c r="S153" s="160">
        <f t="shared" si="13"/>
        <v>4988</v>
      </c>
      <c r="T153" s="161"/>
      <c r="U153" s="160">
        <v>0</v>
      </c>
      <c r="V153" s="160">
        <v>0</v>
      </c>
      <c r="X153" s="160">
        <v>0</v>
      </c>
      <c r="Y153" s="160">
        <v>0</v>
      </c>
      <c r="AA153" s="160"/>
      <c r="AB153" s="162"/>
      <c r="AC153" s="162"/>
      <c r="AD153" s="162">
        <f t="shared" si="14"/>
        <v>0</v>
      </c>
      <c r="AE153" s="160">
        <v>151</v>
      </c>
    </row>
    <row r="154" spans="2:31" ht="15.75" x14ac:dyDescent="0.25">
      <c r="B154" s="161">
        <f>IF('callPut（W）'!D153="--",0,'callPut（W）'!D153)</f>
        <v>276</v>
      </c>
      <c r="C154" s="161">
        <f>IF('callPut（W）'!E153="--",0,'callPut（W）'!E153)</f>
        <v>215</v>
      </c>
      <c r="D154" s="165">
        <v>23050</v>
      </c>
      <c r="E154" s="161">
        <f>IF('callPut（W）'!L153="--",0,'callPut（W）'!L153)</f>
        <v>65</v>
      </c>
      <c r="F154" s="161">
        <f>IF('callPut（W）'!M153="--",0,'callPut（W）'!M153)</f>
        <v>3144</v>
      </c>
      <c r="H154" s="161">
        <f>IF('callPut（F）'!D153="--",0,'callPut（F）'!D153)</f>
        <v>0</v>
      </c>
      <c r="I154" s="161">
        <f>IF('callPut（F）'!E153="--",0,'callPut（F）'!E153)</f>
        <v>0</v>
      </c>
      <c r="J154" s="165">
        <v>23050</v>
      </c>
      <c r="K154" s="161">
        <f>IF('callPut（F）'!L153="--",0,'callPut（F）'!L153)</f>
        <v>128</v>
      </c>
      <c r="L154" s="161">
        <f>IF('callPut（F）'!M153="--",0,'callPut（F）'!M153)</f>
        <v>12</v>
      </c>
      <c r="O154" s="160">
        <f t="shared" si="10"/>
        <v>276</v>
      </c>
      <c r="P154" s="160">
        <f t="shared" si="11"/>
        <v>215</v>
      </c>
      <c r="Q154" s="166">
        <v>23050</v>
      </c>
      <c r="R154" s="160">
        <f t="shared" si="12"/>
        <v>193</v>
      </c>
      <c r="S154" s="160">
        <f t="shared" si="13"/>
        <v>3156</v>
      </c>
      <c r="T154" s="161"/>
      <c r="U154" s="160">
        <v>0</v>
      </c>
      <c r="V154" s="160">
        <v>0</v>
      </c>
      <c r="X154" s="160">
        <v>0</v>
      </c>
      <c r="Y154" s="160">
        <v>0</v>
      </c>
      <c r="AA154" s="160"/>
      <c r="AB154" s="162"/>
      <c r="AC154" s="162"/>
      <c r="AD154" s="162">
        <f t="shared" si="14"/>
        <v>0</v>
      </c>
      <c r="AE154" s="160">
        <v>152</v>
      </c>
    </row>
    <row r="155" spans="2:31" ht="15.75" x14ac:dyDescent="0.25">
      <c r="B155" s="161">
        <f>IF('callPut（W）'!D154="--",0,'callPut（W）'!D154)</f>
        <v>240</v>
      </c>
      <c r="C155" s="161">
        <f>IF('callPut（W）'!E154="--",0,'callPut（W）'!E154)</f>
        <v>553</v>
      </c>
      <c r="D155" s="165">
        <v>23100</v>
      </c>
      <c r="E155" s="161">
        <f>IF('callPut（W）'!L154="--",0,'callPut（W）'!L154)</f>
        <v>75</v>
      </c>
      <c r="F155" s="161">
        <f>IF('callPut（W）'!M154="--",0,'callPut（W）'!M154)</f>
        <v>3980</v>
      </c>
      <c r="H155" s="161">
        <f>IF('callPut（F）'!D154="--",0,'callPut（F）'!D154)</f>
        <v>307</v>
      </c>
      <c r="I155" s="161">
        <f>IF('callPut（F）'!E154="--",0,'callPut（F）'!E154)</f>
        <v>4</v>
      </c>
      <c r="J155" s="165">
        <v>23100</v>
      </c>
      <c r="K155" s="161">
        <f>IF('callPut（F）'!L154="--",0,'callPut（F）'!L154)</f>
        <v>127</v>
      </c>
      <c r="L155" s="161">
        <f>IF('callPut（F）'!M154="--",0,'callPut（F）'!M154)</f>
        <v>94</v>
      </c>
      <c r="O155" s="160">
        <f t="shared" si="10"/>
        <v>547</v>
      </c>
      <c r="P155" s="160">
        <f t="shared" si="11"/>
        <v>557</v>
      </c>
      <c r="Q155" s="166">
        <v>23100</v>
      </c>
      <c r="R155" s="160">
        <f t="shared" si="12"/>
        <v>202</v>
      </c>
      <c r="S155" s="160">
        <f t="shared" si="13"/>
        <v>4074</v>
      </c>
      <c r="T155" s="161"/>
      <c r="U155" s="160">
        <v>0</v>
      </c>
      <c r="V155" s="160">
        <v>0</v>
      </c>
      <c r="X155" s="160">
        <v>0</v>
      </c>
      <c r="Y155" s="160">
        <v>0</v>
      </c>
      <c r="AA155" s="160"/>
      <c r="AB155" s="162"/>
      <c r="AC155" s="162"/>
      <c r="AD155" s="162">
        <f t="shared" si="14"/>
        <v>0</v>
      </c>
      <c r="AE155" s="160">
        <v>153</v>
      </c>
    </row>
    <row r="156" spans="2:31" ht="15.75" x14ac:dyDescent="0.25">
      <c r="B156" s="161">
        <f>IF('callPut（W）'!D155="--",0,'callPut（W）'!D155)</f>
        <v>213</v>
      </c>
      <c r="C156" s="161">
        <f>IF('callPut（W）'!E155="--",0,'callPut（W）'!E155)</f>
        <v>398</v>
      </c>
      <c r="D156" s="165">
        <v>23150</v>
      </c>
      <c r="E156" s="161">
        <f>IF('callPut（W）'!L155="--",0,'callPut（W）'!L155)</f>
        <v>92</v>
      </c>
      <c r="F156" s="161">
        <f>IF('callPut（W）'!M155="--",0,'callPut（W）'!M155)</f>
        <v>2576</v>
      </c>
      <c r="H156" s="161">
        <f>IF('callPut（F）'!D155="--",0,'callPut（F）'!D155)</f>
        <v>280</v>
      </c>
      <c r="I156" s="161">
        <f>IF('callPut（F）'!E155="--",0,'callPut（F）'!E155)</f>
        <v>3</v>
      </c>
      <c r="J156" s="165">
        <v>23150</v>
      </c>
      <c r="K156" s="161">
        <f>IF('callPut（F）'!L155="--",0,'callPut（F）'!L155)</f>
        <v>150</v>
      </c>
      <c r="L156" s="161">
        <f>IF('callPut（F）'!M155="--",0,'callPut（F）'!M155)</f>
        <v>6</v>
      </c>
      <c r="O156" s="160">
        <f t="shared" si="10"/>
        <v>493</v>
      </c>
      <c r="P156" s="160">
        <f t="shared" si="11"/>
        <v>401</v>
      </c>
      <c r="Q156" s="166">
        <v>23150</v>
      </c>
      <c r="R156" s="160">
        <f t="shared" si="12"/>
        <v>242</v>
      </c>
      <c r="S156" s="160">
        <f t="shared" si="13"/>
        <v>2582</v>
      </c>
      <c r="T156" s="161"/>
      <c r="U156" s="160">
        <v>0</v>
      </c>
      <c r="V156" s="160">
        <v>0</v>
      </c>
      <c r="X156" s="160">
        <v>0</v>
      </c>
      <c r="Y156" s="160">
        <v>0</v>
      </c>
      <c r="AA156" s="160"/>
      <c r="AB156" s="162"/>
      <c r="AC156" s="162"/>
      <c r="AD156" s="162">
        <f t="shared" si="14"/>
        <v>0</v>
      </c>
      <c r="AE156" s="160">
        <v>154</v>
      </c>
    </row>
    <row r="157" spans="2:31" ht="15.75" x14ac:dyDescent="0.25">
      <c r="B157" s="161">
        <f>IF('callPut（W）'!D156="--",0,'callPut（W）'!D156)</f>
        <v>172</v>
      </c>
      <c r="C157" s="161">
        <f>IF('callPut（W）'!E156="--",0,'callPut（W）'!E156)</f>
        <v>1821</v>
      </c>
      <c r="D157" s="165">
        <v>23200</v>
      </c>
      <c r="E157" s="161">
        <f>IF('callPut（W）'!L156="--",0,'callPut（W）'!L156)</f>
        <v>109</v>
      </c>
      <c r="F157" s="161">
        <f>IF('callPut（W）'!M156="--",0,'callPut（W）'!M156)</f>
        <v>5271</v>
      </c>
      <c r="H157" s="161">
        <f>IF('callPut（F）'!D156="--",0,'callPut（F）'!D156)</f>
        <v>250</v>
      </c>
      <c r="I157" s="161">
        <f>IF('callPut（F）'!E156="--",0,'callPut（F）'!E156)</f>
        <v>6</v>
      </c>
      <c r="J157" s="165">
        <v>23200</v>
      </c>
      <c r="K157" s="161">
        <f>IF('callPut（F）'!L156="--",0,'callPut（F）'!L156)</f>
        <v>178</v>
      </c>
      <c r="L157" s="161">
        <f>IF('callPut（F）'!M156="--",0,'callPut（F）'!M156)</f>
        <v>111</v>
      </c>
      <c r="O157" s="160">
        <f t="shared" si="10"/>
        <v>422</v>
      </c>
      <c r="P157" s="160">
        <f t="shared" si="11"/>
        <v>1827</v>
      </c>
      <c r="Q157" s="166">
        <v>23200</v>
      </c>
      <c r="R157" s="160">
        <f t="shared" si="12"/>
        <v>287</v>
      </c>
      <c r="S157" s="160">
        <f t="shared" si="13"/>
        <v>5382</v>
      </c>
      <c r="T157" s="161"/>
      <c r="U157" s="160">
        <v>0</v>
      </c>
      <c r="V157" s="160">
        <v>0</v>
      </c>
      <c r="X157" s="160">
        <v>0</v>
      </c>
      <c r="Y157" s="160">
        <v>0</v>
      </c>
      <c r="AA157" s="160"/>
      <c r="AB157" s="162"/>
      <c r="AC157" s="162"/>
      <c r="AD157" s="162">
        <f t="shared" si="14"/>
        <v>0</v>
      </c>
      <c r="AE157" s="160">
        <v>155</v>
      </c>
    </row>
    <row r="158" spans="2:31" ht="15.75" x14ac:dyDescent="0.25">
      <c r="B158" s="161">
        <f>IF('callPut（W）'!D157="--",0,'callPut（W）'!D157)</f>
        <v>140</v>
      </c>
      <c r="C158" s="161">
        <f>IF('callPut（W）'!E157="--",0,'callPut（W）'!E157)</f>
        <v>1918</v>
      </c>
      <c r="D158" s="165">
        <v>23250</v>
      </c>
      <c r="E158" s="161">
        <f>IF('callPut（W）'!L157="--",0,'callPut（W）'!L157)</f>
        <v>123</v>
      </c>
      <c r="F158" s="161">
        <f>IF('callPut（W）'!M157="--",0,'callPut（W）'!M157)</f>
        <v>3101</v>
      </c>
      <c r="H158" s="161">
        <f>IF('callPut（F）'!D157="--",0,'callPut（F）'!D157)</f>
        <v>222</v>
      </c>
      <c r="I158" s="161">
        <f>IF('callPut（F）'!E157="--",0,'callPut（F）'!E157)</f>
        <v>31</v>
      </c>
      <c r="J158" s="165">
        <v>23250</v>
      </c>
      <c r="K158" s="161">
        <f>IF('callPut（F）'!L157="--",0,'callPut（F）'!L157)</f>
        <v>186</v>
      </c>
      <c r="L158" s="161">
        <f>IF('callPut（F）'!M157="--",0,'callPut（F）'!M157)</f>
        <v>172</v>
      </c>
      <c r="O158" s="160">
        <f t="shared" si="10"/>
        <v>362</v>
      </c>
      <c r="P158" s="160">
        <f t="shared" si="11"/>
        <v>1949</v>
      </c>
      <c r="Q158" s="166">
        <v>23250</v>
      </c>
      <c r="R158" s="160">
        <f t="shared" si="12"/>
        <v>309</v>
      </c>
      <c r="S158" s="160">
        <f t="shared" si="13"/>
        <v>3273</v>
      </c>
      <c r="T158" s="161"/>
      <c r="U158" s="160">
        <v>0</v>
      </c>
      <c r="V158" s="160">
        <v>0</v>
      </c>
      <c r="X158" s="160">
        <v>0</v>
      </c>
      <c r="Y158" s="160">
        <v>0</v>
      </c>
      <c r="AA158" s="160"/>
      <c r="AB158" s="162"/>
      <c r="AC158" s="162"/>
      <c r="AD158" s="162">
        <f t="shared" si="14"/>
        <v>0</v>
      </c>
      <c r="AE158" s="160">
        <v>156</v>
      </c>
    </row>
    <row r="159" spans="2:31" ht="15.75" x14ac:dyDescent="0.25">
      <c r="B159" s="161">
        <f>IF('callPut（W）'!D158="--",0,'callPut（W）'!D158)</f>
        <v>116</v>
      </c>
      <c r="C159" s="161">
        <f>IF('callPut（W）'!E158="--",0,'callPut（W）'!E158)</f>
        <v>4594</v>
      </c>
      <c r="D159" s="165">
        <v>23300</v>
      </c>
      <c r="E159" s="161">
        <f>IF('callPut（W）'!L158="--",0,'callPut（W）'!L158)</f>
        <v>150</v>
      </c>
      <c r="F159" s="161">
        <f>IF('callPut（W）'!M158="--",0,'callPut（W）'!M158)</f>
        <v>4248</v>
      </c>
      <c r="H159" s="161">
        <f>IF('callPut（F）'!D158="--",0,'callPut（F）'!D158)</f>
        <v>192</v>
      </c>
      <c r="I159" s="161">
        <f>IF('callPut（F）'!E158="--",0,'callPut（F）'!E158)</f>
        <v>50</v>
      </c>
      <c r="J159" s="165">
        <v>23300</v>
      </c>
      <c r="K159" s="161">
        <f>IF('callPut（F）'!L158="--",0,'callPut（F）'!L158)</f>
        <v>208</v>
      </c>
      <c r="L159" s="161">
        <f>IF('callPut（F）'!M158="--",0,'callPut（F）'!M158)</f>
        <v>61</v>
      </c>
      <c r="O159" s="160">
        <f t="shared" si="10"/>
        <v>308</v>
      </c>
      <c r="P159" s="160">
        <f t="shared" si="11"/>
        <v>4644</v>
      </c>
      <c r="Q159" s="166">
        <v>23300</v>
      </c>
      <c r="R159" s="160">
        <f t="shared" si="12"/>
        <v>358</v>
      </c>
      <c r="S159" s="160">
        <f t="shared" si="13"/>
        <v>4309</v>
      </c>
      <c r="T159" s="161"/>
      <c r="U159" s="160">
        <v>0</v>
      </c>
      <c r="V159" s="160">
        <v>0</v>
      </c>
      <c r="X159" s="160">
        <v>0</v>
      </c>
      <c r="Y159" s="160">
        <v>0</v>
      </c>
      <c r="AA159" s="160"/>
      <c r="AB159" s="162"/>
      <c r="AC159" s="162"/>
      <c r="AD159" s="162">
        <f t="shared" si="14"/>
        <v>0</v>
      </c>
      <c r="AE159" s="160">
        <v>157</v>
      </c>
    </row>
    <row r="160" spans="2:31" ht="15.75" x14ac:dyDescent="0.25">
      <c r="B160" s="161">
        <f>IF('callPut（W）'!D159="--",0,'callPut（W）'!D159)</f>
        <v>91</v>
      </c>
      <c r="C160" s="161">
        <f>IF('callPut（W）'!E159="--",0,'callPut（W）'!E159)</f>
        <v>2874</v>
      </c>
      <c r="D160" s="165">
        <v>23350</v>
      </c>
      <c r="E160" s="161">
        <f>IF('callPut（W）'!L159="--",0,'callPut（W）'!L159)</f>
        <v>181</v>
      </c>
      <c r="F160" s="161">
        <f>IF('callPut（W）'!M159="--",0,'callPut（W）'!M159)</f>
        <v>2223</v>
      </c>
      <c r="H160" s="161">
        <f>IF('callPut（F）'!D159="--",0,'callPut（F）'!D159)</f>
        <v>173</v>
      </c>
      <c r="I160" s="161">
        <f>IF('callPut（F）'!E159="--",0,'callPut（F）'!E159)</f>
        <v>48</v>
      </c>
      <c r="J160" s="165">
        <v>23350</v>
      </c>
      <c r="K160" s="161">
        <f>IF('callPut（F）'!L159="--",0,'callPut（F）'!L159)</f>
        <v>248</v>
      </c>
      <c r="L160" s="161">
        <f>IF('callPut（F）'!M159="--",0,'callPut（F）'!M159)</f>
        <v>87</v>
      </c>
      <c r="O160" s="160">
        <f t="shared" si="10"/>
        <v>264</v>
      </c>
      <c r="P160" s="160">
        <f t="shared" si="11"/>
        <v>2922</v>
      </c>
      <c r="Q160" s="166">
        <v>23350</v>
      </c>
      <c r="R160" s="160">
        <f t="shared" si="12"/>
        <v>429</v>
      </c>
      <c r="S160" s="160">
        <f t="shared" si="13"/>
        <v>2310</v>
      </c>
      <c r="T160" s="161"/>
      <c r="U160" s="160">
        <v>0</v>
      </c>
      <c r="V160" s="160">
        <v>0</v>
      </c>
      <c r="X160" s="160">
        <v>0</v>
      </c>
      <c r="Y160" s="160">
        <v>0</v>
      </c>
      <c r="AA160" s="160"/>
      <c r="AB160" s="162"/>
      <c r="AC160" s="162"/>
      <c r="AD160" s="162">
        <f t="shared" si="14"/>
        <v>0</v>
      </c>
      <c r="AE160" s="160">
        <v>158</v>
      </c>
    </row>
    <row r="161" spans="2:31" ht="15.75" x14ac:dyDescent="0.25">
      <c r="B161" s="161">
        <f>IF('callPut（W）'!D160="--",0,'callPut（W）'!D160)</f>
        <v>72</v>
      </c>
      <c r="C161" s="161">
        <f>IF('callPut（W）'!E160="--",0,'callPut（W）'!E160)</f>
        <v>5673</v>
      </c>
      <c r="D161" s="165">
        <v>23400</v>
      </c>
      <c r="E161" s="161">
        <f>IF('callPut（W）'!L160="--",0,'callPut（W）'!L160)</f>
        <v>211</v>
      </c>
      <c r="F161" s="161">
        <f>IF('callPut（W）'!M160="--",0,'callPut（W）'!M160)</f>
        <v>3198</v>
      </c>
      <c r="H161" s="161">
        <f>IF('callPut（F）'!D160="--",0,'callPut（F）'!D160)</f>
        <v>134</v>
      </c>
      <c r="I161" s="161">
        <f>IF('callPut（F）'!E160="--",0,'callPut（F）'!E160)</f>
        <v>78</v>
      </c>
      <c r="J161" s="165">
        <v>23400</v>
      </c>
      <c r="K161" s="161">
        <f>IF('callPut（F）'!L160="--",0,'callPut（F）'!L160)</f>
        <v>264</v>
      </c>
      <c r="L161" s="161">
        <f>IF('callPut（F）'!M160="--",0,'callPut（F）'!M160)</f>
        <v>30</v>
      </c>
      <c r="O161" s="160">
        <f t="shared" si="10"/>
        <v>206</v>
      </c>
      <c r="P161" s="160">
        <f t="shared" si="11"/>
        <v>5751</v>
      </c>
      <c r="Q161" s="166">
        <v>23400</v>
      </c>
      <c r="R161" s="160">
        <f t="shared" si="12"/>
        <v>475</v>
      </c>
      <c r="S161" s="160">
        <f t="shared" si="13"/>
        <v>3228</v>
      </c>
      <c r="T161" s="161"/>
      <c r="U161" s="160">
        <v>0</v>
      </c>
      <c r="V161" s="160">
        <v>0</v>
      </c>
      <c r="X161" s="160">
        <v>0</v>
      </c>
      <c r="Y161" s="160">
        <v>0</v>
      </c>
      <c r="AA161" s="160"/>
      <c r="AB161" s="162"/>
      <c r="AC161" s="162"/>
      <c r="AD161" s="162">
        <f t="shared" si="14"/>
        <v>0</v>
      </c>
      <c r="AE161" s="160">
        <v>159</v>
      </c>
    </row>
    <row r="162" spans="2:31" ht="15.75" x14ac:dyDescent="0.25">
      <c r="B162" s="161">
        <f>IF('callPut（W）'!D161="--",0,'callPut（W）'!D161)</f>
        <v>53</v>
      </c>
      <c r="C162" s="161">
        <f>IF('callPut（W）'!E161="--",0,'callPut（W）'!E161)</f>
        <v>4467</v>
      </c>
      <c r="D162" s="165">
        <v>23450</v>
      </c>
      <c r="E162" s="161">
        <f>IF('callPut（W）'!L161="--",0,'callPut（W）'!L161)</f>
        <v>252</v>
      </c>
      <c r="F162" s="161">
        <f>IF('callPut（W）'!M161="--",0,'callPut（W）'!M161)</f>
        <v>709</v>
      </c>
      <c r="H162" s="161">
        <f>IF('callPut（F）'!D161="--",0,'callPut（F）'!D161)</f>
        <v>122</v>
      </c>
      <c r="I162" s="161">
        <f>IF('callPut（F）'!E161="--",0,'callPut（F）'!E161)</f>
        <v>65</v>
      </c>
      <c r="J162" s="165">
        <v>23450</v>
      </c>
      <c r="K162" s="161">
        <f>IF('callPut（F）'!L161="--",0,'callPut（F）'!L161)</f>
        <v>276</v>
      </c>
      <c r="L162" s="161">
        <f>IF('callPut（F）'!M161="--",0,'callPut（F）'!M161)</f>
        <v>30</v>
      </c>
      <c r="O162" s="160">
        <f t="shared" si="10"/>
        <v>175</v>
      </c>
      <c r="P162" s="160">
        <f t="shared" si="11"/>
        <v>4532</v>
      </c>
      <c r="Q162" s="166">
        <v>23450</v>
      </c>
      <c r="R162" s="160">
        <f t="shared" si="12"/>
        <v>528</v>
      </c>
      <c r="S162" s="160">
        <f t="shared" si="13"/>
        <v>739</v>
      </c>
      <c r="T162" s="161"/>
      <c r="U162" s="160">
        <v>0</v>
      </c>
      <c r="V162" s="160">
        <v>0</v>
      </c>
      <c r="X162" s="160">
        <v>0</v>
      </c>
      <c r="Y162" s="160">
        <v>0</v>
      </c>
      <c r="AA162" s="160"/>
      <c r="AB162" s="162"/>
      <c r="AC162" s="162"/>
      <c r="AD162" s="162">
        <f t="shared" si="14"/>
        <v>0</v>
      </c>
      <c r="AE162" s="160">
        <v>160</v>
      </c>
    </row>
    <row r="163" spans="2:31" ht="15.75" x14ac:dyDescent="0.25">
      <c r="B163" s="161">
        <f>IF('callPut（W）'!D162="--",0,'callPut（W）'!D162)</f>
        <v>43</v>
      </c>
      <c r="C163" s="161">
        <f>IF('callPut（W）'!E162="--",0,'callPut（W）'!E162)</f>
        <v>7324</v>
      </c>
      <c r="D163" s="165">
        <v>23500</v>
      </c>
      <c r="E163" s="161">
        <f>IF('callPut（W）'!L162="--",0,'callPut（W）'!L162)</f>
        <v>273</v>
      </c>
      <c r="F163" s="161">
        <f>IF('callPut（W）'!M162="--",0,'callPut（W）'!M162)</f>
        <v>1088</v>
      </c>
      <c r="H163" s="161">
        <f>IF('callPut（F）'!D162="--",0,'callPut（F）'!D162)</f>
        <v>96</v>
      </c>
      <c r="I163" s="161">
        <f>IF('callPut（F）'!E162="--",0,'callPut（F）'!E162)</f>
        <v>139</v>
      </c>
      <c r="J163" s="165">
        <v>23500</v>
      </c>
      <c r="K163" s="161">
        <f>IF('callPut（F）'!L162="--",0,'callPut（F）'!L162)</f>
        <v>0</v>
      </c>
      <c r="L163" s="161">
        <f>IF('callPut（F）'!M162="--",0,'callPut（F）'!M162)</f>
        <v>0</v>
      </c>
      <c r="O163" s="160">
        <f t="shared" si="10"/>
        <v>139</v>
      </c>
      <c r="P163" s="160">
        <f t="shared" si="11"/>
        <v>7463</v>
      </c>
      <c r="Q163" s="166">
        <v>23500</v>
      </c>
      <c r="R163" s="160">
        <f t="shared" si="12"/>
        <v>273</v>
      </c>
      <c r="S163" s="160">
        <f t="shared" si="13"/>
        <v>1088</v>
      </c>
      <c r="T163" s="161"/>
      <c r="U163" s="160">
        <v>0</v>
      </c>
      <c r="V163" s="160">
        <v>0</v>
      </c>
      <c r="X163" s="160">
        <v>0</v>
      </c>
      <c r="Y163" s="160">
        <v>0</v>
      </c>
      <c r="AA163" s="160"/>
      <c r="AB163" s="162"/>
      <c r="AC163" s="162"/>
      <c r="AD163" s="162">
        <f t="shared" si="14"/>
        <v>0</v>
      </c>
      <c r="AE163" s="160">
        <v>161</v>
      </c>
    </row>
    <row r="164" spans="2:31" ht="15.75" x14ac:dyDescent="0.25">
      <c r="B164" s="161">
        <f>IF('callPut（W）'!D163="--",0,'callPut（W）'!D163)</f>
        <v>29.5</v>
      </c>
      <c r="C164" s="161">
        <f>IF('callPut（W）'!E163="--",0,'callPut（W）'!E163)</f>
        <v>3741</v>
      </c>
      <c r="D164" s="165">
        <v>23550</v>
      </c>
      <c r="E164" s="161">
        <f>IF('callPut（W）'!L163="--",0,'callPut（W）'!L163)</f>
        <v>311</v>
      </c>
      <c r="F164" s="161">
        <f>IF('callPut（W）'!M163="--",0,'callPut（W）'!M163)</f>
        <v>272</v>
      </c>
      <c r="H164" s="161">
        <f>IF('callPut（F）'!D163="--",0,'callPut（F）'!D163)</f>
        <v>79</v>
      </c>
      <c r="I164" s="161">
        <f>IF('callPut（F）'!E163="--",0,'callPut（F）'!E163)</f>
        <v>123</v>
      </c>
      <c r="J164" s="165">
        <v>23550</v>
      </c>
      <c r="K164" s="161">
        <f>IF('callPut（F）'!L163="--",0,'callPut（F）'!L163)</f>
        <v>0</v>
      </c>
      <c r="L164" s="161">
        <f>IF('callPut（F）'!M163="--",0,'callPut（F）'!M163)</f>
        <v>0</v>
      </c>
      <c r="O164" s="160">
        <f t="shared" si="10"/>
        <v>108.5</v>
      </c>
      <c r="P164" s="160">
        <f t="shared" si="11"/>
        <v>3864</v>
      </c>
      <c r="Q164" s="166">
        <v>23550</v>
      </c>
      <c r="R164" s="160">
        <f t="shared" si="12"/>
        <v>311</v>
      </c>
      <c r="S164" s="160">
        <f t="shared" si="13"/>
        <v>272</v>
      </c>
      <c r="T164" s="161"/>
      <c r="U164" s="160">
        <v>0</v>
      </c>
      <c r="V164" s="160">
        <v>0</v>
      </c>
      <c r="X164" s="160">
        <v>0</v>
      </c>
      <c r="Y164" s="160">
        <v>0</v>
      </c>
      <c r="AA164" s="160"/>
      <c r="AB164" s="162"/>
      <c r="AC164" s="162"/>
      <c r="AD164" s="162">
        <f t="shared" si="14"/>
        <v>0</v>
      </c>
      <c r="AE164" s="160">
        <v>162</v>
      </c>
    </row>
    <row r="165" spans="2:31" ht="15.75" x14ac:dyDescent="0.25">
      <c r="B165" s="161">
        <f>IF('callPut（W）'!D164="--",0,'callPut（W）'!D164)</f>
        <v>22.5</v>
      </c>
      <c r="C165" s="161">
        <f>IF('callPut（W）'!E164="--",0,'callPut（W）'!E164)</f>
        <v>5937</v>
      </c>
      <c r="D165" s="165">
        <v>23600</v>
      </c>
      <c r="E165" s="161">
        <f>IF('callPut（W）'!L164="--",0,'callPut（W）'!L164)</f>
        <v>358</v>
      </c>
      <c r="F165" s="161">
        <f>IF('callPut（W）'!M164="--",0,'callPut（W）'!M164)</f>
        <v>184</v>
      </c>
      <c r="H165" s="161">
        <f>IF('callPut（F）'!D164="--",0,'callPut（F）'!D164)</f>
        <v>63</v>
      </c>
      <c r="I165" s="161">
        <f>IF('callPut（F）'!E164="--",0,'callPut（F）'!E164)</f>
        <v>101</v>
      </c>
      <c r="J165" s="165">
        <v>23600</v>
      </c>
      <c r="K165" s="161">
        <f>IF('callPut（F）'!L164="--",0,'callPut（F）'!L164)</f>
        <v>355</v>
      </c>
      <c r="L165" s="161">
        <f>IF('callPut（F）'!M164="--",0,'callPut（F）'!M164)</f>
        <v>1</v>
      </c>
      <c r="O165" s="160">
        <f t="shared" si="10"/>
        <v>85.5</v>
      </c>
      <c r="P165" s="160">
        <f t="shared" si="11"/>
        <v>6038</v>
      </c>
      <c r="Q165" s="166">
        <v>23600</v>
      </c>
      <c r="R165" s="160">
        <f t="shared" si="12"/>
        <v>713</v>
      </c>
      <c r="S165" s="160">
        <f t="shared" si="13"/>
        <v>185</v>
      </c>
      <c r="T165" s="161"/>
      <c r="U165" s="160">
        <v>0</v>
      </c>
      <c r="V165" s="160">
        <v>0</v>
      </c>
      <c r="X165" s="160">
        <v>0</v>
      </c>
      <c r="Y165" s="160">
        <v>0</v>
      </c>
      <c r="AA165" s="160"/>
      <c r="AB165" s="162"/>
      <c r="AC165" s="162"/>
      <c r="AD165" s="162">
        <f t="shared" si="14"/>
        <v>0</v>
      </c>
      <c r="AE165" s="160">
        <v>163</v>
      </c>
    </row>
    <row r="166" spans="2:31" ht="15.75" x14ac:dyDescent="0.25">
      <c r="B166" s="161">
        <f>IF('callPut（W）'!D165="--",0,'callPut（W）'!D165)</f>
        <v>18</v>
      </c>
      <c r="C166" s="161">
        <f>IF('callPut（W）'!E165="--",0,'callPut（W）'!E165)</f>
        <v>2689</v>
      </c>
      <c r="D166" s="165">
        <v>23650</v>
      </c>
      <c r="E166" s="161">
        <f>IF('callPut（W）'!L165="--",0,'callPut（W）'!L165)</f>
        <v>392</v>
      </c>
      <c r="F166" s="161">
        <f>IF('callPut（W）'!M165="--",0,'callPut（W）'!M165)</f>
        <v>85</v>
      </c>
      <c r="H166" s="161">
        <f>IF('callPut（F）'!D165="--",0,'callPut（F）'!D165)</f>
        <v>48.5</v>
      </c>
      <c r="I166" s="161">
        <f>IF('callPut（F）'!E165="--",0,'callPut（F）'!E165)</f>
        <v>115</v>
      </c>
      <c r="J166" s="165">
        <v>23650</v>
      </c>
      <c r="K166" s="161">
        <f>IF('callPut（F）'!L165="--",0,'callPut（F）'!L165)</f>
        <v>0</v>
      </c>
      <c r="L166" s="161">
        <f>IF('callPut（F）'!M165="--",0,'callPut（F）'!M165)</f>
        <v>0</v>
      </c>
      <c r="O166" s="160">
        <f t="shared" si="10"/>
        <v>66.5</v>
      </c>
      <c r="P166" s="160">
        <f t="shared" si="11"/>
        <v>2804</v>
      </c>
      <c r="Q166" s="166">
        <v>23650</v>
      </c>
      <c r="R166" s="160">
        <f t="shared" si="12"/>
        <v>392</v>
      </c>
      <c r="S166" s="160">
        <f t="shared" si="13"/>
        <v>85</v>
      </c>
      <c r="T166" s="161"/>
      <c r="U166" s="160">
        <v>0</v>
      </c>
      <c r="V166" s="160">
        <v>0</v>
      </c>
      <c r="X166" s="160">
        <v>0</v>
      </c>
      <c r="Y166" s="160">
        <v>0</v>
      </c>
      <c r="AA166" s="160"/>
      <c r="AB166" s="162"/>
      <c r="AC166" s="162"/>
      <c r="AD166" s="162">
        <f t="shared" si="14"/>
        <v>0</v>
      </c>
      <c r="AE166" s="160">
        <v>164</v>
      </c>
    </row>
    <row r="167" spans="2:31" ht="15.75" x14ac:dyDescent="0.25">
      <c r="B167" s="161">
        <f>IF('callPut（W）'!D166="--",0,'callPut（W）'!D166)</f>
        <v>11.5</v>
      </c>
      <c r="C167" s="161">
        <f>IF('callPut（W）'!E166="--",0,'callPut（W）'!E166)</f>
        <v>5258</v>
      </c>
      <c r="D167" s="165">
        <v>23700</v>
      </c>
      <c r="E167" s="161">
        <f>IF('callPut（W）'!L166="--",0,'callPut（W）'!L166)</f>
        <v>425</v>
      </c>
      <c r="F167" s="161">
        <f>IF('callPut（W）'!M166="--",0,'callPut（W）'!M166)</f>
        <v>28</v>
      </c>
      <c r="H167" s="161">
        <f>IF('callPut（F）'!D166="--",0,'callPut（F）'!D166)</f>
        <v>45</v>
      </c>
      <c r="I167" s="161">
        <f>IF('callPut（F）'!E166="--",0,'callPut（F）'!E166)</f>
        <v>90</v>
      </c>
      <c r="J167" s="165">
        <v>23700</v>
      </c>
      <c r="K167" s="161">
        <f>IF('callPut（F）'!L166="--",0,'callPut（F）'!L166)</f>
        <v>430</v>
      </c>
      <c r="L167" s="161">
        <f>IF('callPut（F）'!M166="--",0,'callPut（F）'!M166)</f>
        <v>2</v>
      </c>
      <c r="O167" s="160">
        <f t="shared" si="10"/>
        <v>56.5</v>
      </c>
      <c r="P167" s="160">
        <f t="shared" si="11"/>
        <v>5348</v>
      </c>
      <c r="Q167" s="166">
        <v>23700</v>
      </c>
      <c r="R167" s="160">
        <f t="shared" si="12"/>
        <v>855</v>
      </c>
      <c r="S167" s="160">
        <f t="shared" si="13"/>
        <v>30</v>
      </c>
      <c r="T167" s="161"/>
      <c r="U167" s="160">
        <v>0</v>
      </c>
      <c r="V167" s="160">
        <v>0</v>
      </c>
      <c r="X167" s="160">
        <v>0</v>
      </c>
      <c r="Y167" s="160">
        <v>0</v>
      </c>
      <c r="AA167" s="160"/>
      <c r="AB167" s="162"/>
      <c r="AC167" s="162"/>
      <c r="AD167" s="162">
        <f t="shared" si="14"/>
        <v>0</v>
      </c>
      <c r="AE167" s="160">
        <v>165</v>
      </c>
    </row>
    <row r="168" spans="2:31" ht="15.75" x14ac:dyDescent="0.25">
      <c r="B168" s="161">
        <f>IF('callPut（W）'!D167="--",0,'callPut（W）'!D167)</f>
        <v>9.5</v>
      </c>
      <c r="C168" s="161">
        <f>IF('callPut（W）'!E167="--",0,'callPut（W）'!E167)</f>
        <v>3692</v>
      </c>
      <c r="D168" s="165">
        <v>23750</v>
      </c>
      <c r="E168" s="161">
        <f>IF('callPut（W）'!L167="--",0,'callPut（W）'!L167)</f>
        <v>438</v>
      </c>
      <c r="F168" s="161">
        <f>IF('callPut（W）'!M167="--",0,'callPut（W）'!M167)</f>
        <v>20</v>
      </c>
      <c r="H168" s="161">
        <f>IF('callPut（F）'!D167="--",0,'callPut（F）'!D167)</f>
        <v>34.5</v>
      </c>
      <c r="I168" s="161">
        <f>IF('callPut（F）'!E167="--",0,'callPut（F）'!E167)</f>
        <v>166</v>
      </c>
      <c r="J168" s="165">
        <v>23750</v>
      </c>
      <c r="K168" s="161">
        <f>IF('callPut（F）'!L167="--",0,'callPut（F）'!L167)</f>
        <v>0</v>
      </c>
      <c r="L168" s="161">
        <f>IF('callPut（F）'!M167="--",0,'callPut（F）'!M167)</f>
        <v>0</v>
      </c>
      <c r="O168" s="160">
        <f t="shared" si="10"/>
        <v>44</v>
      </c>
      <c r="P168" s="160">
        <f t="shared" si="11"/>
        <v>3858</v>
      </c>
      <c r="Q168" s="166">
        <v>23750</v>
      </c>
      <c r="R168" s="160">
        <f t="shared" si="12"/>
        <v>438</v>
      </c>
      <c r="S168" s="160">
        <f t="shared" si="13"/>
        <v>20</v>
      </c>
      <c r="T168" s="161"/>
      <c r="U168" s="160">
        <v>0</v>
      </c>
      <c r="V168" s="160">
        <v>0</v>
      </c>
      <c r="X168" s="160">
        <v>0</v>
      </c>
      <c r="Y168" s="160">
        <v>0</v>
      </c>
      <c r="AA168" s="160"/>
      <c r="AB168" s="162"/>
      <c r="AC168" s="162"/>
      <c r="AD168" s="162">
        <f t="shared" si="14"/>
        <v>0</v>
      </c>
      <c r="AE168" s="160">
        <v>166</v>
      </c>
    </row>
    <row r="169" spans="2:31" ht="15.75" x14ac:dyDescent="0.25">
      <c r="B169" s="161">
        <f>IF('callPut（W）'!D168="--",0,'callPut（W）'!D168)</f>
        <v>5.7</v>
      </c>
      <c r="C169" s="161">
        <f>IF('callPut（W）'!E168="--",0,'callPut（W）'!E168)</f>
        <v>3860</v>
      </c>
      <c r="D169" s="165">
        <v>23800</v>
      </c>
      <c r="E169" s="161">
        <f>IF('callPut（W）'!L168="--",0,'callPut（W）'!L168)</f>
        <v>520</v>
      </c>
      <c r="F169" s="161">
        <f>IF('callPut（W）'!M168="--",0,'callPut（W）'!M168)</f>
        <v>11</v>
      </c>
      <c r="H169" s="161">
        <f>IF('callPut（F）'!D168="--",0,'callPut（F）'!D168)</f>
        <v>28</v>
      </c>
      <c r="I169" s="161">
        <f>IF('callPut（F）'!E168="--",0,'callPut（F）'!E168)</f>
        <v>502</v>
      </c>
      <c r="J169" s="165">
        <v>23800</v>
      </c>
      <c r="K169" s="161">
        <f>IF('callPut（F）'!L168="--",0,'callPut（F）'!L168)</f>
        <v>0</v>
      </c>
      <c r="L169" s="161">
        <f>IF('callPut（F）'!M168="--",0,'callPut（F）'!M168)</f>
        <v>0</v>
      </c>
      <c r="O169" s="160">
        <f t="shared" si="10"/>
        <v>33.700000000000003</v>
      </c>
      <c r="P169" s="160">
        <f t="shared" si="11"/>
        <v>4362</v>
      </c>
      <c r="Q169" s="166">
        <v>23800</v>
      </c>
      <c r="R169" s="160">
        <f t="shared" si="12"/>
        <v>520</v>
      </c>
      <c r="S169" s="160">
        <f t="shared" si="13"/>
        <v>11</v>
      </c>
      <c r="T169" s="161"/>
      <c r="U169" s="160">
        <v>0</v>
      </c>
      <c r="V169" s="160">
        <v>0</v>
      </c>
      <c r="X169" s="160">
        <v>0</v>
      </c>
      <c r="Y169" s="160">
        <v>0</v>
      </c>
      <c r="AA169" s="160"/>
      <c r="AB169" s="162"/>
      <c r="AC169" s="162"/>
      <c r="AD169" s="162">
        <f t="shared" si="14"/>
        <v>0</v>
      </c>
      <c r="AE169" s="160">
        <v>167</v>
      </c>
    </row>
    <row r="170" spans="2:31" ht="15.75" x14ac:dyDescent="0.25">
      <c r="B170" s="161">
        <f>IF('callPut（W）'!D169="--",0,'callPut（W）'!D169)</f>
        <v>0</v>
      </c>
      <c r="C170" s="161">
        <f>IF('callPut（W）'!E169="--",0,'callPut（W）'!E169)</f>
        <v>0</v>
      </c>
      <c r="D170" s="165">
        <v>23850</v>
      </c>
      <c r="E170" s="161">
        <f>IF('callPut（W）'!L169="--",0,'callPut（W）'!L169)</f>
        <v>0</v>
      </c>
      <c r="F170" s="161">
        <f>IF('callPut（W）'!M169="--",0,'callPut（W）'!M169)</f>
        <v>0</v>
      </c>
      <c r="H170" s="161">
        <f>IF('callPut（F）'!D169="--",0,'callPut（F）'!D169)</f>
        <v>0</v>
      </c>
      <c r="I170" s="161">
        <f>IF('callPut（F）'!E169="--",0,'callPut（F）'!E169)</f>
        <v>0</v>
      </c>
      <c r="J170" s="165">
        <v>23850</v>
      </c>
      <c r="K170" s="161">
        <f>IF('callPut（F）'!L169="--",0,'callPut（F）'!L169)</f>
        <v>0</v>
      </c>
      <c r="L170" s="161">
        <f>IF('callPut（F）'!M169="--",0,'callPut（F）'!M169)</f>
        <v>0</v>
      </c>
      <c r="O170" s="160">
        <f t="shared" si="10"/>
        <v>0</v>
      </c>
      <c r="P170" s="160">
        <f t="shared" si="11"/>
        <v>0</v>
      </c>
      <c r="Q170" s="166">
        <v>23850</v>
      </c>
      <c r="R170" s="160">
        <f t="shared" si="12"/>
        <v>0</v>
      </c>
      <c r="S170" s="160">
        <f t="shared" si="13"/>
        <v>0</v>
      </c>
      <c r="T170" s="161"/>
      <c r="U170" s="160">
        <v>0</v>
      </c>
      <c r="V170" s="160">
        <v>0</v>
      </c>
      <c r="X170" s="160">
        <v>0</v>
      </c>
      <c r="Y170" s="160">
        <v>0</v>
      </c>
      <c r="AA170" s="160"/>
      <c r="AB170" s="162"/>
      <c r="AC170" s="162"/>
      <c r="AD170" s="162">
        <f t="shared" si="14"/>
        <v>0</v>
      </c>
      <c r="AE170" s="160">
        <v>168</v>
      </c>
    </row>
    <row r="171" spans="2:31" ht="15.75" x14ac:dyDescent="0.25">
      <c r="B171" s="161">
        <f>IF('callPut（W）'!D170="--",0,'callPut（W）'!D170)</f>
        <v>3.5</v>
      </c>
      <c r="C171" s="161">
        <f>IF('callPut（W）'!E170="--",0,'callPut（W）'!E170)</f>
        <v>1942</v>
      </c>
      <c r="D171" s="165">
        <v>23900</v>
      </c>
      <c r="E171" s="161">
        <f>IF('callPut（W）'!L170="--",0,'callPut（W）'!L170)</f>
        <v>620</v>
      </c>
      <c r="F171" s="161">
        <f>IF('callPut（W）'!M170="--",0,'callPut（W）'!M170)</f>
        <v>3</v>
      </c>
      <c r="H171" s="161">
        <f>IF('callPut（F）'!D170="--",0,'callPut（F）'!D170)</f>
        <v>18.5</v>
      </c>
      <c r="I171" s="161">
        <f>IF('callPut（F）'!E170="--",0,'callPut（F）'!E170)</f>
        <v>438</v>
      </c>
      <c r="J171" s="165">
        <v>23900</v>
      </c>
      <c r="K171" s="161">
        <f>IF('callPut（F）'!L170="--",0,'callPut（F）'!L170)</f>
        <v>0</v>
      </c>
      <c r="L171" s="161">
        <f>IF('callPut（F）'!M170="--",0,'callPut（F）'!M170)</f>
        <v>0</v>
      </c>
      <c r="O171" s="160">
        <f t="shared" si="10"/>
        <v>22</v>
      </c>
      <c r="P171" s="160">
        <f t="shared" si="11"/>
        <v>2380</v>
      </c>
      <c r="Q171" s="166">
        <v>23900</v>
      </c>
      <c r="R171" s="160">
        <f t="shared" si="12"/>
        <v>620</v>
      </c>
      <c r="S171" s="160">
        <f t="shared" si="13"/>
        <v>3</v>
      </c>
      <c r="T171" s="161"/>
      <c r="U171" s="160">
        <v>0</v>
      </c>
      <c r="V171" s="160">
        <v>0</v>
      </c>
      <c r="X171" s="160">
        <v>0</v>
      </c>
      <c r="Y171" s="160">
        <v>0</v>
      </c>
      <c r="AA171" s="160"/>
      <c r="AB171" s="162"/>
      <c r="AC171" s="162"/>
      <c r="AD171" s="162">
        <f t="shared" si="14"/>
        <v>0</v>
      </c>
      <c r="AE171" s="160">
        <v>169</v>
      </c>
    </row>
    <row r="172" spans="2:31" ht="15.75" x14ac:dyDescent="0.25">
      <c r="B172" s="161">
        <f>IF('callPut（W）'!D171="--",0,'callPut（W）'!D171)</f>
        <v>0</v>
      </c>
      <c r="C172" s="161">
        <f>IF('callPut（W）'!E171="--",0,'callPut（W）'!E171)</f>
        <v>0</v>
      </c>
      <c r="D172" s="165">
        <v>23950</v>
      </c>
      <c r="E172" s="161">
        <f>IF('callPut（W）'!L171="--",0,'callPut（W）'!L171)</f>
        <v>0</v>
      </c>
      <c r="F172" s="161">
        <f>IF('callPut（W）'!M171="--",0,'callPut（W）'!M171)</f>
        <v>0</v>
      </c>
      <c r="H172" s="161">
        <f>IF('callPut（F）'!D171="--",0,'callPut（F）'!D171)</f>
        <v>0</v>
      </c>
      <c r="I172" s="161">
        <f>IF('callPut（F）'!E171="--",0,'callPut（F）'!E171)</f>
        <v>0</v>
      </c>
      <c r="J172" s="165">
        <v>23950</v>
      </c>
      <c r="K172" s="161">
        <f>IF('callPut（F）'!L171="--",0,'callPut（F）'!L171)</f>
        <v>0</v>
      </c>
      <c r="L172" s="161">
        <f>IF('callPut（F）'!M171="--",0,'callPut（F）'!M171)</f>
        <v>0</v>
      </c>
      <c r="O172" s="160">
        <f t="shared" si="10"/>
        <v>0</v>
      </c>
      <c r="P172" s="160">
        <f t="shared" si="11"/>
        <v>0</v>
      </c>
      <c r="Q172" s="166">
        <v>23950</v>
      </c>
      <c r="R172" s="160">
        <f t="shared" si="12"/>
        <v>0</v>
      </c>
      <c r="S172" s="160">
        <f t="shared" si="13"/>
        <v>0</v>
      </c>
      <c r="T172" s="161"/>
      <c r="U172" s="160">
        <v>0</v>
      </c>
      <c r="V172" s="160">
        <v>0</v>
      </c>
      <c r="X172" s="160">
        <v>0</v>
      </c>
      <c r="Y172" s="160">
        <v>0</v>
      </c>
      <c r="AA172" s="160"/>
      <c r="AB172" s="162"/>
      <c r="AC172" s="162"/>
      <c r="AD172" s="162">
        <f t="shared" si="14"/>
        <v>0</v>
      </c>
      <c r="AE172" s="160">
        <v>170</v>
      </c>
    </row>
    <row r="173" spans="2:31" ht="15.75" x14ac:dyDescent="0.25">
      <c r="B173" s="161">
        <f>IF('callPut（W）'!D172="--",0,'callPut（W）'!D172)</f>
        <v>2.1</v>
      </c>
      <c r="C173" s="161">
        <f>IF('callPut（W）'!E172="--",0,'callPut（W）'!E172)</f>
        <v>2296</v>
      </c>
      <c r="D173" s="165">
        <v>24000</v>
      </c>
      <c r="E173" s="161">
        <f>IF('callPut（W）'!L172="--",0,'callPut（W）'!L172)</f>
        <v>650</v>
      </c>
      <c r="F173" s="161">
        <f>IF('callPut（W）'!M172="--",0,'callPut（W）'!M172)</f>
        <v>2</v>
      </c>
      <c r="H173" s="161">
        <f>IF('callPut（F）'!D172="--",0,'callPut（F）'!D172)</f>
        <v>15</v>
      </c>
      <c r="I173" s="161">
        <f>IF('callPut（F）'!E172="--",0,'callPut（F）'!E172)</f>
        <v>234</v>
      </c>
      <c r="J173" s="165">
        <v>24000</v>
      </c>
      <c r="K173" s="161">
        <f>IF('callPut（F）'!L172="--",0,'callPut（F）'!L172)</f>
        <v>0</v>
      </c>
      <c r="L173" s="161">
        <f>IF('callPut（F）'!M172="--",0,'callPut（F）'!M172)</f>
        <v>0</v>
      </c>
      <c r="O173" s="160">
        <f t="shared" si="10"/>
        <v>17.100000000000001</v>
      </c>
      <c r="P173" s="160">
        <f t="shared" si="11"/>
        <v>2530</v>
      </c>
      <c r="Q173" s="166">
        <v>24000</v>
      </c>
      <c r="R173" s="160">
        <f t="shared" si="12"/>
        <v>650</v>
      </c>
      <c r="S173" s="160">
        <f t="shared" si="13"/>
        <v>2</v>
      </c>
      <c r="T173" s="161"/>
      <c r="U173" s="160">
        <v>0</v>
      </c>
      <c r="V173" s="160">
        <v>0</v>
      </c>
      <c r="X173" s="160">
        <v>0</v>
      </c>
      <c r="Y173" s="160">
        <v>0</v>
      </c>
      <c r="AA173" s="160"/>
      <c r="AB173" s="162"/>
      <c r="AC173" s="162"/>
      <c r="AD173" s="162">
        <f t="shared" si="14"/>
        <v>0</v>
      </c>
      <c r="AE173" s="160">
        <v>171</v>
      </c>
    </row>
    <row r="174" spans="2:31" ht="15.75" x14ac:dyDescent="0.25">
      <c r="B174" s="161">
        <f>IF('callPut（W）'!D173="--",0,'callPut（W）'!D173)</f>
        <v>0</v>
      </c>
      <c r="C174" s="161">
        <f>IF('callPut（W）'!E173="--",0,'callPut（W）'!E173)</f>
        <v>0</v>
      </c>
      <c r="D174" s="165">
        <v>24050</v>
      </c>
      <c r="E174" s="161">
        <f>IF('callPut（W）'!L173="--",0,'callPut（W）'!L173)</f>
        <v>0</v>
      </c>
      <c r="F174" s="161">
        <f>IF('callPut（W）'!M173="--",0,'callPut（W）'!M173)</f>
        <v>0</v>
      </c>
      <c r="H174" s="161">
        <f>IF('callPut（F）'!D173="--",0,'callPut（F）'!D173)</f>
        <v>0</v>
      </c>
      <c r="I174" s="161">
        <f>IF('callPut（F）'!E173="--",0,'callPut（F）'!E173)</f>
        <v>0</v>
      </c>
      <c r="J174" s="165">
        <v>24050</v>
      </c>
      <c r="K174" s="161">
        <f>IF('callPut（F）'!L173="--",0,'callPut（F）'!L173)</f>
        <v>0</v>
      </c>
      <c r="L174" s="161">
        <f>IF('callPut（F）'!M173="--",0,'callPut（F）'!M173)</f>
        <v>0</v>
      </c>
      <c r="O174" s="160">
        <f t="shared" si="10"/>
        <v>0</v>
      </c>
      <c r="P174" s="160">
        <f t="shared" si="11"/>
        <v>0</v>
      </c>
      <c r="Q174" s="166">
        <v>24050</v>
      </c>
      <c r="R174" s="160">
        <f t="shared" si="12"/>
        <v>0</v>
      </c>
      <c r="S174" s="160">
        <f t="shared" si="13"/>
        <v>0</v>
      </c>
      <c r="T174" s="161"/>
      <c r="U174" s="160">
        <v>0</v>
      </c>
      <c r="V174" s="160">
        <v>0</v>
      </c>
      <c r="X174" s="160">
        <v>0</v>
      </c>
      <c r="Y174" s="160">
        <v>0</v>
      </c>
      <c r="AA174" s="160"/>
      <c r="AB174" s="162"/>
      <c r="AC174" s="162"/>
      <c r="AD174" s="162">
        <f t="shared" si="14"/>
        <v>0</v>
      </c>
      <c r="AE174" s="160">
        <v>172</v>
      </c>
    </row>
    <row r="175" spans="2:31" ht="15.75" x14ac:dyDescent="0.25">
      <c r="B175" s="161">
        <f>IF('callPut（W）'!D174="--",0,'callPut（W）'!D174)</f>
        <v>1</v>
      </c>
      <c r="C175" s="161">
        <f>IF('callPut（W）'!E174="--",0,'callPut（W）'!E174)</f>
        <v>690</v>
      </c>
      <c r="D175" s="165">
        <v>24100</v>
      </c>
      <c r="E175" s="161">
        <f>IF('callPut（W）'!L174="--",0,'callPut（W）'!L174)</f>
        <v>0</v>
      </c>
      <c r="F175" s="161">
        <f>IF('callPut（W）'!M174="--",0,'callPut（W）'!M174)</f>
        <v>0</v>
      </c>
      <c r="H175" s="161">
        <f>IF('callPut（F）'!D174="--",0,'callPut（F）'!D174)</f>
        <v>8</v>
      </c>
      <c r="I175" s="161">
        <f>IF('callPut（F）'!E174="--",0,'callPut（F）'!E174)</f>
        <v>87</v>
      </c>
      <c r="J175" s="165">
        <v>24100</v>
      </c>
      <c r="K175" s="161">
        <f>IF('callPut（F）'!L174="--",0,'callPut（F）'!L174)</f>
        <v>0</v>
      </c>
      <c r="L175" s="161">
        <f>IF('callPut（F）'!M174="--",0,'callPut（F）'!M174)</f>
        <v>0</v>
      </c>
      <c r="O175" s="160">
        <f t="shared" si="10"/>
        <v>9</v>
      </c>
      <c r="P175" s="160">
        <f t="shared" si="11"/>
        <v>777</v>
      </c>
      <c r="Q175" s="166">
        <v>24100</v>
      </c>
      <c r="R175" s="160">
        <f t="shared" si="12"/>
        <v>0</v>
      </c>
      <c r="S175" s="160">
        <f t="shared" si="13"/>
        <v>0</v>
      </c>
      <c r="T175" s="161"/>
      <c r="U175" s="160">
        <v>0</v>
      </c>
      <c r="V175" s="160">
        <v>0</v>
      </c>
      <c r="X175" s="160">
        <v>0</v>
      </c>
      <c r="Y175" s="160">
        <v>0</v>
      </c>
      <c r="AA175" s="160"/>
      <c r="AB175" s="162"/>
      <c r="AC175" s="162"/>
      <c r="AD175" s="162">
        <f t="shared" si="14"/>
        <v>0</v>
      </c>
      <c r="AE175" s="160">
        <v>173</v>
      </c>
    </row>
    <row r="176" spans="2:31" ht="15.75" x14ac:dyDescent="0.25">
      <c r="B176" s="161">
        <f>IF('callPut（W）'!D175="--",0,'callPut（W）'!D175)</f>
        <v>0</v>
      </c>
      <c r="C176" s="161">
        <f>IF('callPut（W）'!E175="--",0,'callPut（W）'!E175)</f>
        <v>0</v>
      </c>
      <c r="D176" s="165">
        <v>24150</v>
      </c>
      <c r="E176" s="161">
        <f>IF('callPut（W）'!L175="--",0,'callPut（W）'!L175)</f>
        <v>0</v>
      </c>
      <c r="F176" s="161">
        <f>IF('callPut（W）'!M175="--",0,'callPut（W）'!M175)</f>
        <v>0</v>
      </c>
      <c r="H176" s="161">
        <f>IF('callPut（F）'!D175="--",0,'callPut（F）'!D175)</f>
        <v>0</v>
      </c>
      <c r="I176" s="161">
        <f>IF('callPut（F）'!E175="--",0,'callPut（F）'!E175)</f>
        <v>0</v>
      </c>
      <c r="J176" s="165">
        <v>24150</v>
      </c>
      <c r="K176" s="161">
        <f>IF('callPut（F）'!L175="--",0,'callPut（F）'!L175)</f>
        <v>0</v>
      </c>
      <c r="L176" s="161">
        <f>IF('callPut（F）'!M175="--",0,'callPut（F）'!M175)</f>
        <v>0</v>
      </c>
      <c r="O176" s="160">
        <f t="shared" si="10"/>
        <v>0</v>
      </c>
      <c r="P176" s="160">
        <f t="shared" si="11"/>
        <v>0</v>
      </c>
      <c r="Q176" s="166">
        <v>24150</v>
      </c>
      <c r="R176" s="160">
        <f t="shared" si="12"/>
        <v>0</v>
      </c>
      <c r="S176" s="160">
        <f t="shared" si="13"/>
        <v>0</v>
      </c>
      <c r="T176" s="161"/>
      <c r="U176" s="160">
        <v>0</v>
      </c>
      <c r="V176" s="160">
        <v>0</v>
      </c>
      <c r="X176" s="160">
        <v>0</v>
      </c>
      <c r="Y176" s="160">
        <v>0</v>
      </c>
      <c r="AA176" s="160"/>
      <c r="AB176" s="162"/>
      <c r="AC176" s="162"/>
      <c r="AD176" s="162">
        <f t="shared" si="14"/>
        <v>0</v>
      </c>
      <c r="AE176" s="160">
        <v>174</v>
      </c>
    </row>
    <row r="177" spans="2:31" ht="15.75" x14ac:dyDescent="0.25">
      <c r="B177" s="161">
        <f>IF('callPut（W）'!D176="--",0,'callPut（W）'!D176)</f>
        <v>0.6</v>
      </c>
      <c r="C177" s="161">
        <f>IF('callPut（W）'!E176="--",0,'callPut（W）'!E176)</f>
        <v>689</v>
      </c>
      <c r="D177" s="165">
        <v>24200</v>
      </c>
      <c r="E177" s="161">
        <f>IF('callPut（W）'!L176="--",0,'callPut（W）'!L176)</f>
        <v>910</v>
      </c>
      <c r="F177" s="161">
        <f>IF('callPut（W）'!M176="--",0,'callPut（W）'!M176)</f>
        <v>25</v>
      </c>
      <c r="H177" s="161">
        <f>IF('callPut（F）'!D176="--",0,'callPut（F）'!D176)</f>
        <v>4.5</v>
      </c>
      <c r="I177" s="161">
        <f>IF('callPut（F）'!E176="--",0,'callPut（F）'!E176)</f>
        <v>117</v>
      </c>
      <c r="J177" s="165">
        <v>24200</v>
      </c>
      <c r="K177" s="161">
        <f>IF('callPut（F）'!L176="--",0,'callPut（F）'!L176)</f>
        <v>0</v>
      </c>
      <c r="L177" s="161">
        <f>IF('callPut（F）'!M176="--",0,'callPut（F）'!M176)</f>
        <v>0</v>
      </c>
      <c r="O177" s="160">
        <f t="shared" si="10"/>
        <v>5.0999999999999996</v>
      </c>
      <c r="P177" s="160">
        <f t="shared" si="11"/>
        <v>806</v>
      </c>
      <c r="Q177" s="166">
        <v>24200</v>
      </c>
      <c r="R177" s="160">
        <f t="shared" si="12"/>
        <v>910</v>
      </c>
      <c r="S177" s="160">
        <f t="shared" si="13"/>
        <v>25</v>
      </c>
      <c r="T177" s="161"/>
      <c r="U177" s="160">
        <v>0</v>
      </c>
      <c r="V177" s="160">
        <v>0</v>
      </c>
      <c r="X177" s="160">
        <v>0</v>
      </c>
      <c r="Y177" s="160">
        <v>0</v>
      </c>
      <c r="AA177" s="160"/>
      <c r="AB177" s="162"/>
      <c r="AC177" s="162"/>
      <c r="AD177" s="162">
        <f t="shared" si="14"/>
        <v>0</v>
      </c>
      <c r="AE177" s="160">
        <v>175</v>
      </c>
    </row>
    <row r="178" spans="2:31" ht="15.75" x14ac:dyDescent="0.25">
      <c r="B178" s="161">
        <f>IF('callPut（W）'!D177="--",0,'callPut（W）'!D177)</f>
        <v>0</v>
      </c>
      <c r="C178" s="161">
        <f>IF('callPut（W）'!E177="--",0,'callPut（W）'!E177)</f>
        <v>0</v>
      </c>
      <c r="D178" s="165">
        <v>24250</v>
      </c>
      <c r="E178" s="161">
        <f>IF('callPut（W）'!L177="--",0,'callPut（W）'!L177)</f>
        <v>0</v>
      </c>
      <c r="F178" s="161">
        <f>IF('callPut（W）'!M177="--",0,'callPut（W）'!M177)</f>
        <v>0</v>
      </c>
      <c r="H178" s="161">
        <f>IF('callPut（F）'!D177="--",0,'callPut（F）'!D177)</f>
        <v>0</v>
      </c>
      <c r="I178" s="161">
        <f>IF('callPut（F）'!E177="--",0,'callPut（F）'!E177)</f>
        <v>0</v>
      </c>
      <c r="J178" s="165">
        <v>24250</v>
      </c>
      <c r="K178" s="161">
        <f>IF('callPut（F）'!L177="--",0,'callPut（F）'!L177)</f>
        <v>0</v>
      </c>
      <c r="L178" s="161">
        <f>IF('callPut（F）'!M177="--",0,'callPut（F）'!M177)</f>
        <v>0</v>
      </c>
      <c r="O178" s="160">
        <f t="shared" si="10"/>
        <v>0</v>
      </c>
      <c r="P178" s="160">
        <f t="shared" si="11"/>
        <v>0</v>
      </c>
      <c r="Q178" s="166">
        <v>24250</v>
      </c>
      <c r="R178" s="160">
        <f t="shared" si="12"/>
        <v>0</v>
      </c>
      <c r="S178" s="160">
        <f t="shared" si="13"/>
        <v>0</v>
      </c>
      <c r="T178" s="161"/>
      <c r="U178" s="160">
        <v>0</v>
      </c>
      <c r="V178" s="160">
        <v>0</v>
      </c>
      <c r="X178" s="160">
        <v>0</v>
      </c>
      <c r="Y178" s="160">
        <v>0</v>
      </c>
      <c r="AA178" s="160"/>
      <c r="AB178" s="162"/>
      <c r="AC178" s="162"/>
      <c r="AD178" s="162">
        <f t="shared" si="14"/>
        <v>0</v>
      </c>
      <c r="AE178" s="160">
        <v>176</v>
      </c>
    </row>
    <row r="179" spans="2:31" ht="15.75" x14ac:dyDescent="0.25">
      <c r="B179" s="161">
        <f>IF('callPut（W）'!D178="--",0,'callPut（W）'!D178)</f>
        <v>0.5</v>
      </c>
      <c r="C179" s="161">
        <f>IF('callPut（W）'!E178="--",0,'callPut（W）'!E178)</f>
        <v>397</v>
      </c>
      <c r="D179" s="165">
        <v>24300</v>
      </c>
      <c r="E179" s="161">
        <f>IF('callPut（W）'!L178="--",0,'callPut（W）'!L178)</f>
        <v>0</v>
      </c>
      <c r="F179" s="161">
        <f>IF('callPut（W）'!M178="--",0,'callPut（W）'!M178)</f>
        <v>0</v>
      </c>
      <c r="H179" s="161">
        <f>IF('callPut（F）'!D178="--",0,'callPut（F）'!D178)</f>
        <v>4.5</v>
      </c>
      <c r="I179" s="161">
        <f>IF('callPut（F）'!E178="--",0,'callPut（F）'!E178)</f>
        <v>22</v>
      </c>
      <c r="J179" s="165">
        <v>24300</v>
      </c>
      <c r="K179" s="161">
        <f>IF('callPut（F）'!L178="--",0,'callPut（F）'!L178)</f>
        <v>0</v>
      </c>
      <c r="L179" s="161">
        <f>IF('callPut（F）'!M178="--",0,'callPut（F）'!M178)</f>
        <v>0</v>
      </c>
      <c r="O179" s="160">
        <f t="shared" si="10"/>
        <v>5</v>
      </c>
      <c r="P179" s="160">
        <f t="shared" si="11"/>
        <v>419</v>
      </c>
      <c r="Q179" s="166">
        <v>24300</v>
      </c>
      <c r="R179" s="160">
        <f t="shared" si="12"/>
        <v>0</v>
      </c>
      <c r="S179" s="160">
        <f t="shared" si="13"/>
        <v>0</v>
      </c>
      <c r="T179" s="161"/>
      <c r="U179" s="160">
        <v>0</v>
      </c>
      <c r="V179" s="160">
        <v>0</v>
      </c>
      <c r="X179" s="160">
        <v>0</v>
      </c>
      <c r="Y179" s="160">
        <v>0</v>
      </c>
      <c r="AA179" s="160"/>
      <c r="AB179" s="162"/>
      <c r="AC179" s="162"/>
      <c r="AD179" s="162">
        <f t="shared" si="14"/>
        <v>0</v>
      </c>
      <c r="AE179" s="160">
        <v>177</v>
      </c>
    </row>
    <row r="180" spans="2:31" ht="15.75" x14ac:dyDescent="0.25">
      <c r="B180" s="161">
        <f>IF('callPut（W）'!D179="--",0,'callPut（W）'!D179)</f>
        <v>0</v>
      </c>
      <c r="C180" s="161">
        <f>IF('callPut（W）'!E179="--",0,'callPut（W）'!E179)</f>
        <v>0</v>
      </c>
      <c r="D180" s="165">
        <v>24350</v>
      </c>
      <c r="E180" s="161">
        <f>IF('callPut（W）'!L179="--",0,'callPut（W）'!L179)</f>
        <v>0</v>
      </c>
      <c r="F180" s="161">
        <f>IF('callPut（W）'!M179="--",0,'callPut（W）'!M179)</f>
        <v>0</v>
      </c>
      <c r="H180" s="161">
        <f>IF('callPut（F）'!D179="--",0,'callPut（F）'!D179)</f>
        <v>0</v>
      </c>
      <c r="I180" s="161">
        <f>IF('callPut（F）'!E179="--",0,'callPut（F）'!E179)</f>
        <v>0</v>
      </c>
      <c r="J180" s="165">
        <v>24350</v>
      </c>
      <c r="K180" s="161">
        <f>IF('callPut（F）'!L179="--",0,'callPut（F）'!L179)</f>
        <v>0</v>
      </c>
      <c r="L180" s="161">
        <f>IF('callPut（F）'!M179="--",0,'callPut（F）'!M179)</f>
        <v>0</v>
      </c>
      <c r="O180" s="160">
        <f t="shared" si="10"/>
        <v>0</v>
      </c>
      <c r="P180" s="160">
        <f t="shared" si="11"/>
        <v>0</v>
      </c>
      <c r="Q180" s="166">
        <v>24350</v>
      </c>
      <c r="R180" s="160">
        <f t="shared" si="12"/>
        <v>0</v>
      </c>
      <c r="S180" s="160">
        <f t="shared" si="13"/>
        <v>0</v>
      </c>
      <c r="T180" s="161"/>
      <c r="U180" s="160">
        <v>0</v>
      </c>
      <c r="V180" s="160">
        <v>0</v>
      </c>
      <c r="X180" s="160">
        <v>0</v>
      </c>
      <c r="Y180" s="160">
        <v>0</v>
      </c>
      <c r="AA180" s="160"/>
      <c r="AB180" s="162"/>
      <c r="AC180" s="162"/>
      <c r="AD180" s="162">
        <f t="shared" si="14"/>
        <v>0</v>
      </c>
      <c r="AE180" s="160">
        <v>178</v>
      </c>
    </row>
    <row r="181" spans="2:31" ht="15.75" x14ac:dyDescent="0.25">
      <c r="B181" s="161">
        <f>IF('callPut（W）'!D180="--",0,'callPut（W）'!D180)</f>
        <v>0.5</v>
      </c>
      <c r="C181" s="161">
        <f>IF('callPut（W）'!E180="--",0,'callPut（W）'!E180)</f>
        <v>180</v>
      </c>
      <c r="D181" s="165">
        <v>24400</v>
      </c>
      <c r="E181" s="161">
        <f>IF('callPut（W）'!L180="--",0,'callPut（W）'!L180)</f>
        <v>1080</v>
      </c>
      <c r="F181" s="161">
        <f>IF('callPut（W）'!M180="--",0,'callPut（W）'!M180)</f>
        <v>1</v>
      </c>
      <c r="H181" s="161">
        <f>IF('callPut（F）'!D180="--",0,'callPut（F）'!D180)</f>
        <v>3</v>
      </c>
      <c r="I181" s="161">
        <f>IF('callPut（F）'!E180="--",0,'callPut（F）'!E180)</f>
        <v>8</v>
      </c>
      <c r="J181" s="165">
        <v>24400</v>
      </c>
      <c r="K181" s="161">
        <f>IF('callPut（F）'!L180="--",0,'callPut（F）'!L180)</f>
        <v>0</v>
      </c>
      <c r="L181" s="161">
        <f>IF('callPut（F）'!M180="--",0,'callPut（F）'!M180)</f>
        <v>0</v>
      </c>
      <c r="O181" s="160">
        <f t="shared" si="10"/>
        <v>3.5</v>
      </c>
      <c r="P181" s="160">
        <f t="shared" si="11"/>
        <v>188</v>
      </c>
      <c r="Q181" s="166">
        <v>24400</v>
      </c>
      <c r="R181" s="160">
        <f t="shared" si="12"/>
        <v>1080</v>
      </c>
      <c r="S181" s="160">
        <f t="shared" si="13"/>
        <v>1</v>
      </c>
      <c r="T181" s="161"/>
      <c r="U181" s="160">
        <v>0</v>
      </c>
      <c r="V181" s="160">
        <v>0</v>
      </c>
      <c r="X181" s="160">
        <v>0</v>
      </c>
      <c r="Y181" s="160">
        <v>0</v>
      </c>
      <c r="AA181" s="160"/>
      <c r="AB181" s="162"/>
      <c r="AC181" s="162"/>
      <c r="AD181" s="162">
        <f t="shared" si="14"/>
        <v>0</v>
      </c>
      <c r="AE181" s="160">
        <v>179</v>
      </c>
    </row>
    <row r="182" spans="2:31" ht="15.75" x14ac:dyDescent="0.25">
      <c r="B182" s="161">
        <f>IF('callPut（W）'!D181="--",0,'callPut（W）'!D181)</f>
        <v>0</v>
      </c>
      <c r="C182" s="161">
        <f>IF('callPut（W）'!E181="--",0,'callPut（W）'!E181)</f>
        <v>0</v>
      </c>
      <c r="D182" s="165">
        <v>24450</v>
      </c>
      <c r="E182" s="161">
        <f>IF('callPut（W）'!L181="--",0,'callPut（W）'!L181)</f>
        <v>0</v>
      </c>
      <c r="F182" s="161">
        <f>IF('callPut（W）'!M181="--",0,'callPut（W）'!M181)</f>
        <v>0</v>
      </c>
      <c r="H182" s="161">
        <f>IF('callPut（F）'!D181="--",0,'callPut（F）'!D181)</f>
        <v>0</v>
      </c>
      <c r="I182" s="161">
        <f>IF('callPut（F）'!E181="--",0,'callPut（F）'!E181)</f>
        <v>0</v>
      </c>
      <c r="J182" s="165">
        <v>24450</v>
      </c>
      <c r="K182" s="161">
        <f>IF('callPut（F）'!L181="--",0,'callPut（F）'!L181)</f>
        <v>0</v>
      </c>
      <c r="L182" s="161">
        <f>IF('callPut（F）'!M181="--",0,'callPut（F）'!M181)</f>
        <v>0</v>
      </c>
      <c r="O182" s="160">
        <f t="shared" si="10"/>
        <v>0</v>
      </c>
      <c r="P182" s="160">
        <f t="shared" si="11"/>
        <v>0</v>
      </c>
      <c r="Q182" s="166">
        <v>24450</v>
      </c>
      <c r="R182" s="160">
        <f t="shared" si="12"/>
        <v>0</v>
      </c>
      <c r="S182" s="160">
        <f t="shared" si="13"/>
        <v>0</v>
      </c>
      <c r="T182" s="161"/>
      <c r="U182" s="160">
        <v>0</v>
      </c>
      <c r="V182" s="160">
        <v>0</v>
      </c>
      <c r="X182" s="160">
        <v>0</v>
      </c>
      <c r="Y182" s="160">
        <v>0</v>
      </c>
      <c r="AA182" s="160"/>
      <c r="AB182" s="162"/>
      <c r="AC182" s="162"/>
      <c r="AD182" s="162">
        <f t="shared" si="14"/>
        <v>0</v>
      </c>
      <c r="AE182" s="160">
        <v>180</v>
      </c>
    </row>
    <row r="183" spans="2:31" ht="15.75" x14ac:dyDescent="0.25">
      <c r="B183" s="161">
        <f>IF('callPut（W）'!D182="--",0,'callPut（W）'!D182)</f>
        <v>0.2</v>
      </c>
      <c r="C183" s="161">
        <f>IF('callPut（W）'!E182="--",0,'callPut（W）'!E182)</f>
        <v>294</v>
      </c>
      <c r="D183" s="165">
        <v>24500</v>
      </c>
      <c r="E183" s="161">
        <f>IF('callPut（W）'!L182="--",0,'callPut（W）'!L182)</f>
        <v>0</v>
      </c>
      <c r="F183" s="161">
        <f>IF('callPut（W）'!M182="--",0,'callPut（W）'!M182)</f>
        <v>0</v>
      </c>
      <c r="H183" s="161">
        <f>IF('callPut（F）'!D182="--",0,'callPut（F）'!D182)</f>
        <v>5.8</v>
      </c>
      <c r="I183" s="161">
        <f>IF('callPut（F）'!E182="--",0,'callPut（F）'!E182)</f>
        <v>1</v>
      </c>
      <c r="J183" s="165">
        <v>24500</v>
      </c>
      <c r="K183" s="161">
        <f>IF('callPut（F）'!L182="--",0,'callPut（F）'!L182)</f>
        <v>0</v>
      </c>
      <c r="L183" s="161">
        <f>IF('callPut（F）'!M182="--",0,'callPut（F）'!M182)</f>
        <v>0</v>
      </c>
      <c r="O183" s="160">
        <f t="shared" si="10"/>
        <v>6</v>
      </c>
      <c r="P183" s="160">
        <f t="shared" si="11"/>
        <v>295</v>
      </c>
      <c r="Q183" s="166">
        <v>24500</v>
      </c>
      <c r="R183" s="160">
        <f t="shared" si="12"/>
        <v>0</v>
      </c>
      <c r="S183" s="160">
        <f t="shared" si="13"/>
        <v>0</v>
      </c>
      <c r="T183" s="161"/>
      <c r="U183" s="160">
        <v>0</v>
      </c>
      <c r="V183" s="160">
        <v>0</v>
      </c>
      <c r="X183" s="160">
        <v>0</v>
      </c>
      <c r="Y183" s="160">
        <v>0</v>
      </c>
      <c r="AA183" s="160"/>
      <c r="AB183" s="162"/>
      <c r="AC183" s="162"/>
      <c r="AD183" s="162">
        <f t="shared" si="14"/>
        <v>0</v>
      </c>
      <c r="AE183" s="160">
        <v>181</v>
      </c>
    </row>
    <row r="184" spans="2:31" ht="15.75" x14ac:dyDescent="0.25">
      <c r="B184" s="161">
        <f>IF('callPut（W）'!D183="--",0,'callPut（W）'!D183)</f>
        <v>0</v>
      </c>
      <c r="C184" s="161">
        <f>IF('callPut（W）'!E183="--",0,'callPut（W）'!E183)</f>
        <v>0</v>
      </c>
      <c r="D184" s="165">
        <v>24550</v>
      </c>
      <c r="E184" s="161">
        <f>IF('callPut（W）'!L183="--",0,'callPut（W）'!L183)</f>
        <v>0</v>
      </c>
      <c r="F184" s="161">
        <f>IF('callPut（W）'!M183="--",0,'callPut（W）'!M183)</f>
        <v>0</v>
      </c>
      <c r="H184" s="161">
        <f>IF('callPut（F）'!D183="--",0,'callPut（F）'!D183)</f>
        <v>0</v>
      </c>
      <c r="I184" s="161">
        <f>IF('callPut（F）'!E183="--",0,'callPut（F）'!E183)</f>
        <v>0</v>
      </c>
      <c r="J184" s="165">
        <v>24550</v>
      </c>
      <c r="K184" s="161">
        <f>IF('callPut（F）'!L183="--",0,'callPut（F）'!L183)</f>
        <v>0</v>
      </c>
      <c r="L184" s="161">
        <f>IF('callPut（F）'!M183="--",0,'callPut（F）'!M183)</f>
        <v>0</v>
      </c>
      <c r="O184" s="160">
        <f t="shared" si="10"/>
        <v>0</v>
      </c>
      <c r="P184" s="160">
        <f t="shared" si="11"/>
        <v>0</v>
      </c>
      <c r="Q184" s="166">
        <v>24550</v>
      </c>
      <c r="R184" s="160">
        <f t="shared" si="12"/>
        <v>0</v>
      </c>
      <c r="S184" s="160">
        <f t="shared" si="13"/>
        <v>0</v>
      </c>
      <c r="T184" s="161"/>
      <c r="U184" s="160">
        <v>0</v>
      </c>
      <c r="V184" s="160">
        <v>0</v>
      </c>
      <c r="X184" s="160">
        <v>0</v>
      </c>
      <c r="Y184" s="160">
        <v>0</v>
      </c>
      <c r="AA184" s="160"/>
      <c r="AB184" s="162"/>
      <c r="AC184" s="162"/>
      <c r="AD184" s="162">
        <f t="shared" si="14"/>
        <v>0</v>
      </c>
      <c r="AE184" s="160">
        <v>182</v>
      </c>
    </row>
    <row r="185" spans="2:31" ht="15.75" x14ac:dyDescent="0.25">
      <c r="B185" s="161">
        <f>IF('callPut（W）'!D184="--",0,'callPut（W）'!D184)</f>
        <v>0.3</v>
      </c>
      <c r="C185" s="161">
        <f>IF('callPut（W）'!E184="--",0,'callPut（W）'!E184)</f>
        <v>303</v>
      </c>
      <c r="D185" s="165">
        <v>24600</v>
      </c>
      <c r="E185" s="161">
        <f>IF('callPut（W）'!L184="--",0,'callPut（W）'!L184)</f>
        <v>0</v>
      </c>
      <c r="F185" s="161">
        <f>IF('callPut（W）'!M184="--",0,'callPut（W）'!M184)</f>
        <v>0</v>
      </c>
      <c r="H185" s="161">
        <f>IF('callPut（F）'!D184="--",0,'callPut（F）'!D184)</f>
        <v>3</v>
      </c>
      <c r="I185" s="161">
        <f>IF('callPut（F）'!E184="--",0,'callPut（F）'!E184)</f>
        <v>27</v>
      </c>
      <c r="J185" s="165">
        <v>24600</v>
      </c>
      <c r="K185" s="161">
        <f>IF('callPut（F）'!L184="--",0,'callPut（F）'!L184)</f>
        <v>0</v>
      </c>
      <c r="L185" s="161">
        <f>IF('callPut（F）'!M184="--",0,'callPut（F）'!M184)</f>
        <v>0</v>
      </c>
      <c r="O185" s="160">
        <f t="shared" si="10"/>
        <v>3.3</v>
      </c>
      <c r="P185" s="160">
        <f t="shared" si="11"/>
        <v>330</v>
      </c>
      <c r="Q185" s="166">
        <v>24600</v>
      </c>
      <c r="R185" s="160">
        <f t="shared" si="12"/>
        <v>0</v>
      </c>
      <c r="S185" s="160">
        <f t="shared" si="13"/>
        <v>0</v>
      </c>
      <c r="T185" s="161"/>
      <c r="U185" s="160">
        <v>0</v>
      </c>
      <c r="V185" s="160">
        <v>0</v>
      </c>
      <c r="X185" s="160">
        <v>0</v>
      </c>
      <c r="Y185" s="160">
        <v>0</v>
      </c>
      <c r="AA185" s="160"/>
      <c r="AB185" s="162"/>
      <c r="AC185" s="162"/>
      <c r="AD185" s="162">
        <f t="shared" si="14"/>
        <v>0</v>
      </c>
      <c r="AE185" s="160">
        <v>183</v>
      </c>
    </row>
    <row r="186" spans="2:31" ht="15.75" x14ac:dyDescent="0.25">
      <c r="B186" s="161">
        <f>IF('callPut（W）'!D185="--",0,'callPut（W）'!D185)</f>
        <v>0</v>
      </c>
      <c r="C186" s="161">
        <f>IF('callPut（W）'!E185="--",0,'callPut（W）'!E185)</f>
        <v>0</v>
      </c>
      <c r="D186" s="165">
        <v>24650</v>
      </c>
      <c r="E186" s="161">
        <f>IF('callPut（W）'!L185="--",0,'callPut（W）'!L185)</f>
        <v>0</v>
      </c>
      <c r="F186" s="161">
        <f>IF('callPut（W）'!M185="--",0,'callPut（W）'!M185)</f>
        <v>0</v>
      </c>
      <c r="H186" s="161">
        <f>IF('callPut（F）'!D185="--",0,'callPut（F）'!D185)</f>
        <v>0</v>
      </c>
      <c r="I186" s="161">
        <f>IF('callPut（F）'!E185="--",0,'callPut（F）'!E185)</f>
        <v>0</v>
      </c>
      <c r="J186" s="165">
        <v>24650</v>
      </c>
      <c r="K186" s="161">
        <f>IF('callPut（F）'!L185="--",0,'callPut（F）'!L185)</f>
        <v>0</v>
      </c>
      <c r="L186" s="161">
        <f>IF('callPut（F）'!M185="--",0,'callPut（F）'!M185)</f>
        <v>0</v>
      </c>
      <c r="O186" s="160">
        <f t="shared" si="10"/>
        <v>0</v>
      </c>
      <c r="P186" s="160">
        <f t="shared" si="11"/>
        <v>0</v>
      </c>
      <c r="Q186" s="166">
        <v>24650</v>
      </c>
      <c r="R186" s="160">
        <f t="shared" si="12"/>
        <v>0</v>
      </c>
      <c r="S186" s="160">
        <f t="shared" si="13"/>
        <v>0</v>
      </c>
      <c r="T186" s="161"/>
      <c r="U186" s="160">
        <v>0</v>
      </c>
      <c r="V186" s="160">
        <v>0</v>
      </c>
      <c r="X186" s="160">
        <v>0</v>
      </c>
      <c r="Y186" s="160">
        <v>0</v>
      </c>
      <c r="AA186" s="160"/>
      <c r="AB186" s="162"/>
      <c r="AC186" s="162"/>
      <c r="AD186" s="162">
        <f t="shared" si="14"/>
        <v>0</v>
      </c>
      <c r="AE186" s="160">
        <v>184</v>
      </c>
    </row>
    <row r="187" spans="2:31" ht="15.75" x14ac:dyDescent="0.25">
      <c r="B187" s="161">
        <f>IF('callPut（W）'!D186="--",0,'callPut（W）'!D186)</f>
        <v>0.3</v>
      </c>
      <c r="C187" s="161">
        <f>IF('callPut（W）'!E186="--",0,'callPut（W）'!E186)</f>
        <v>380</v>
      </c>
      <c r="D187" s="165">
        <v>24700</v>
      </c>
      <c r="E187" s="161">
        <f>IF('callPut（W）'!L186="--",0,'callPut（W）'!L186)</f>
        <v>0</v>
      </c>
      <c r="F187" s="161">
        <f>IF('callPut（W）'!M186="--",0,'callPut（W）'!M186)</f>
        <v>0</v>
      </c>
      <c r="H187" s="161">
        <f>IF('callPut（F）'!D186="--",0,'callPut（F）'!D186)</f>
        <v>1.3</v>
      </c>
      <c r="I187" s="161">
        <f>IF('callPut（F）'!E186="--",0,'callPut（F）'!E186)</f>
        <v>24</v>
      </c>
      <c r="J187" s="165">
        <v>24700</v>
      </c>
      <c r="K187" s="161">
        <f>IF('callPut（F）'!L186="--",0,'callPut（F）'!L186)</f>
        <v>0</v>
      </c>
      <c r="L187" s="161">
        <f>IF('callPut（F）'!M186="--",0,'callPut（F）'!M186)</f>
        <v>0</v>
      </c>
      <c r="O187" s="160">
        <f t="shared" si="10"/>
        <v>1.6</v>
      </c>
      <c r="P187" s="160">
        <f t="shared" si="11"/>
        <v>404</v>
      </c>
      <c r="Q187" s="166">
        <v>24700</v>
      </c>
      <c r="R187" s="160">
        <f t="shared" si="12"/>
        <v>0</v>
      </c>
      <c r="S187" s="160">
        <f t="shared" si="13"/>
        <v>0</v>
      </c>
      <c r="T187" s="161"/>
      <c r="U187" s="160">
        <v>0</v>
      </c>
      <c r="V187" s="160">
        <v>0</v>
      </c>
      <c r="X187" s="160">
        <v>0</v>
      </c>
      <c r="Y187" s="160">
        <v>0</v>
      </c>
      <c r="AA187" s="160"/>
      <c r="AB187" s="162"/>
      <c r="AC187" s="162"/>
      <c r="AD187" s="162">
        <f t="shared" si="14"/>
        <v>0</v>
      </c>
      <c r="AE187" s="160">
        <v>185</v>
      </c>
    </row>
    <row r="188" spans="2:31" ht="15.75" x14ac:dyDescent="0.25">
      <c r="B188" s="161">
        <f>IF('callPut（W）'!D187="--",0,'callPut（W）'!D187)</f>
        <v>0</v>
      </c>
      <c r="C188" s="161">
        <f>IF('callPut（W）'!E187="--",0,'callPut（W）'!E187)</f>
        <v>0</v>
      </c>
      <c r="D188" s="165">
        <v>24750</v>
      </c>
      <c r="E188" s="161">
        <f>IF('callPut（W）'!L187="--",0,'callPut（W）'!L187)</f>
        <v>0</v>
      </c>
      <c r="F188" s="161">
        <f>IF('callPut（W）'!M187="--",0,'callPut（W）'!M187)</f>
        <v>0</v>
      </c>
      <c r="H188" s="161">
        <f>IF('callPut（F）'!D187="--",0,'callPut（F）'!D187)</f>
        <v>0</v>
      </c>
      <c r="I188" s="161">
        <f>IF('callPut（F）'!E187="--",0,'callPut（F）'!E187)</f>
        <v>0</v>
      </c>
      <c r="J188" s="165">
        <v>24750</v>
      </c>
      <c r="K188" s="161">
        <f>IF('callPut（F）'!L187="--",0,'callPut（F）'!L187)</f>
        <v>0</v>
      </c>
      <c r="L188" s="161">
        <f>IF('callPut（F）'!M187="--",0,'callPut（F）'!M187)</f>
        <v>0</v>
      </c>
      <c r="O188" s="160">
        <f t="shared" si="10"/>
        <v>0</v>
      </c>
      <c r="P188" s="160">
        <f t="shared" si="11"/>
        <v>0</v>
      </c>
      <c r="Q188" s="166">
        <v>24750</v>
      </c>
      <c r="R188" s="160">
        <f t="shared" si="12"/>
        <v>0</v>
      </c>
      <c r="S188" s="160">
        <f t="shared" si="13"/>
        <v>0</v>
      </c>
      <c r="T188" s="161"/>
      <c r="U188" s="160">
        <v>0</v>
      </c>
      <c r="V188" s="160">
        <v>0</v>
      </c>
      <c r="X188" s="160">
        <v>0</v>
      </c>
      <c r="Y188" s="160">
        <v>0</v>
      </c>
      <c r="AA188" s="160"/>
      <c r="AB188" s="162"/>
      <c r="AC188" s="162"/>
      <c r="AD188" s="162">
        <f t="shared" si="14"/>
        <v>0</v>
      </c>
      <c r="AE188" s="160">
        <v>186</v>
      </c>
    </row>
    <row r="189" spans="2:31" ht="15.75" x14ac:dyDescent="0.25">
      <c r="B189" s="161">
        <f>IF('callPut（W）'!D188="--",0,'callPut（W）'!D188)</f>
        <v>0.2</v>
      </c>
      <c r="C189" s="161">
        <f>IF('callPut（W）'!E188="--",0,'callPut（W）'!E188)</f>
        <v>259</v>
      </c>
      <c r="D189" s="165">
        <v>24800</v>
      </c>
      <c r="E189" s="161">
        <f>IF('callPut（W）'!L188="--",0,'callPut（W）'!L188)</f>
        <v>0</v>
      </c>
      <c r="F189" s="161">
        <f>IF('callPut（W）'!M188="--",0,'callPut（W）'!M188)</f>
        <v>0</v>
      </c>
      <c r="H189" s="161">
        <f>IF('callPut（F）'!D188="--",0,'callPut（F）'!D188)</f>
        <v>1.1000000000000001</v>
      </c>
      <c r="I189" s="161">
        <f>IF('callPut（F）'!E188="--",0,'callPut（F）'!E188)</f>
        <v>3</v>
      </c>
      <c r="J189" s="165">
        <v>24800</v>
      </c>
      <c r="K189" s="161">
        <f>IF('callPut（F）'!L188="--",0,'callPut（F）'!L188)</f>
        <v>0</v>
      </c>
      <c r="L189" s="161">
        <f>IF('callPut（F）'!M188="--",0,'callPut（F）'!M188)</f>
        <v>0</v>
      </c>
      <c r="O189" s="160">
        <f t="shared" si="10"/>
        <v>1.3</v>
      </c>
      <c r="P189" s="160">
        <f t="shared" si="11"/>
        <v>262</v>
      </c>
      <c r="Q189" s="166">
        <v>24800</v>
      </c>
      <c r="R189" s="160">
        <f t="shared" si="12"/>
        <v>0</v>
      </c>
      <c r="S189" s="160">
        <f t="shared" si="13"/>
        <v>0</v>
      </c>
      <c r="T189" s="161"/>
      <c r="U189" s="160">
        <v>0</v>
      </c>
      <c r="V189" s="160">
        <v>0</v>
      </c>
      <c r="X189" s="160">
        <v>0</v>
      </c>
      <c r="Y189" s="160">
        <v>0</v>
      </c>
      <c r="AA189" s="160"/>
      <c r="AB189" s="162"/>
      <c r="AC189" s="162"/>
      <c r="AD189" s="162">
        <f t="shared" si="14"/>
        <v>0</v>
      </c>
      <c r="AE189" s="160">
        <v>187</v>
      </c>
    </row>
    <row r="190" spans="2:31" ht="15.75" x14ac:dyDescent="0.25">
      <c r="B190" s="161">
        <f>IF('callPut（W）'!D189="--",0,'callPut（W）'!D189)</f>
        <v>0</v>
      </c>
      <c r="C190" s="161">
        <f>IF('callPut（W）'!E189="--",0,'callPut（W）'!E189)</f>
        <v>0</v>
      </c>
      <c r="D190" s="165">
        <v>24850</v>
      </c>
      <c r="E190" s="161">
        <f>IF('callPut（W）'!L189="--",0,'callPut（W）'!L189)</f>
        <v>0</v>
      </c>
      <c r="F190" s="161">
        <f>IF('callPut（W）'!M189="--",0,'callPut（W）'!M189)</f>
        <v>0</v>
      </c>
      <c r="H190" s="161">
        <f>IF('callPut（F）'!D189="--",0,'callPut（F）'!D189)</f>
        <v>0</v>
      </c>
      <c r="I190" s="161">
        <f>IF('callPut（F）'!E189="--",0,'callPut（F）'!E189)</f>
        <v>0</v>
      </c>
      <c r="J190" s="165">
        <v>24850</v>
      </c>
      <c r="K190" s="161">
        <f>IF('callPut（F）'!L189="--",0,'callPut（F）'!L189)</f>
        <v>0</v>
      </c>
      <c r="L190" s="161">
        <f>IF('callPut（F）'!M189="--",0,'callPut（F）'!M189)</f>
        <v>0</v>
      </c>
      <c r="O190" s="160">
        <f t="shared" si="10"/>
        <v>0</v>
      </c>
      <c r="P190" s="160">
        <f t="shared" si="11"/>
        <v>0</v>
      </c>
      <c r="Q190" s="166">
        <v>24850</v>
      </c>
      <c r="R190" s="160">
        <f t="shared" si="12"/>
        <v>0</v>
      </c>
      <c r="S190" s="160">
        <f t="shared" si="13"/>
        <v>0</v>
      </c>
      <c r="T190" s="161"/>
      <c r="U190" s="160">
        <v>0</v>
      </c>
      <c r="V190" s="160">
        <v>0</v>
      </c>
      <c r="X190" s="160">
        <v>0</v>
      </c>
      <c r="Y190" s="160">
        <v>0</v>
      </c>
      <c r="AA190" s="160"/>
      <c r="AB190" s="162"/>
      <c r="AC190" s="162"/>
      <c r="AD190" s="162">
        <f t="shared" si="14"/>
        <v>0</v>
      </c>
      <c r="AE190" s="160">
        <v>188</v>
      </c>
    </row>
    <row r="191" spans="2:31" ht="15.75" x14ac:dyDescent="0.25">
      <c r="B191" s="161">
        <f>IF('callPut（W）'!D190="--",0,'callPut（W）'!D190)</f>
        <v>0</v>
      </c>
      <c r="C191" s="161">
        <f>IF('callPut（W）'!E190="--",0,'callPut（W）'!E190)</f>
        <v>0</v>
      </c>
      <c r="D191" s="165">
        <v>24900</v>
      </c>
      <c r="E191" s="161">
        <f>IF('callPut（W）'!L190="--",0,'callPut（W）'!L190)</f>
        <v>0</v>
      </c>
      <c r="F191" s="161">
        <f>IF('callPut（W）'!M190="--",0,'callPut（W）'!M190)</f>
        <v>0</v>
      </c>
      <c r="H191" s="161">
        <f>IF('callPut（F）'!D190="--",0,'callPut（F）'!D190)</f>
        <v>1</v>
      </c>
      <c r="I191" s="161">
        <f>IF('callPut（F）'!E190="--",0,'callPut（F）'!E190)</f>
        <v>5</v>
      </c>
      <c r="J191" s="165">
        <v>24900</v>
      </c>
      <c r="K191" s="161">
        <f>IF('callPut（F）'!L190="--",0,'callPut（F）'!L190)</f>
        <v>0</v>
      </c>
      <c r="L191" s="161">
        <f>IF('callPut（F）'!M190="--",0,'callPut（F）'!M190)</f>
        <v>0</v>
      </c>
      <c r="O191" s="160">
        <f t="shared" si="10"/>
        <v>1</v>
      </c>
      <c r="P191" s="160">
        <f t="shared" si="11"/>
        <v>5</v>
      </c>
      <c r="Q191" s="166">
        <v>24900</v>
      </c>
      <c r="R191" s="160">
        <f t="shared" si="12"/>
        <v>0</v>
      </c>
      <c r="S191" s="160">
        <f t="shared" si="13"/>
        <v>0</v>
      </c>
      <c r="T191" s="161"/>
      <c r="U191" s="160">
        <v>0</v>
      </c>
      <c r="V191" s="160">
        <v>0</v>
      </c>
      <c r="X191" s="160">
        <v>0</v>
      </c>
      <c r="Y191" s="160">
        <v>0</v>
      </c>
      <c r="AA191" s="160"/>
      <c r="AB191" s="162"/>
      <c r="AC191" s="162"/>
      <c r="AD191" s="162">
        <f t="shared" si="14"/>
        <v>0</v>
      </c>
      <c r="AE191" s="160">
        <v>189</v>
      </c>
    </row>
    <row r="192" spans="2:31" ht="15.75" x14ac:dyDescent="0.25">
      <c r="B192" s="161">
        <f>IF('callPut（W）'!D191="--",0,'callPut（W）'!D191)</f>
        <v>0</v>
      </c>
      <c r="C192" s="161">
        <f>IF('callPut（W）'!E191="--",0,'callPut（W）'!E191)</f>
        <v>0</v>
      </c>
      <c r="D192" s="165">
        <v>24950</v>
      </c>
      <c r="E192" s="161">
        <f>IF('callPut（W）'!L191="--",0,'callPut（W）'!L191)</f>
        <v>0</v>
      </c>
      <c r="F192" s="161">
        <f>IF('callPut（W）'!M191="--",0,'callPut（W）'!M191)</f>
        <v>0</v>
      </c>
      <c r="H192" s="161">
        <f>IF('callPut（F）'!D191="--",0,'callPut（F）'!D191)</f>
        <v>0</v>
      </c>
      <c r="I192" s="161">
        <f>IF('callPut（F）'!E191="--",0,'callPut（F）'!E191)</f>
        <v>0</v>
      </c>
      <c r="J192" s="165">
        <v>24950</v>
      </c>
      <c r="K192" s="161">
        <f>IF('callPut（F）'!L191="--",0,'callPut（F）'!L191)</f>
        <v>0</v>
      </c>
      <c r="L192" s="161">
        <f>IF('callPut（F）'!M191="--",0,'callPut（F）'!M191)</f>
        <v>0</v>
      </c>
      <c r="O192" s="160">
        <f t="shared" si="10"/>
        <v>0</v>
      </c>
      <c r="P192" s="160">
        <f t="shared" si="11"/>
        <v>0</v>
      </c>
      <c r="Q192" s="166">
        <v>24950</v>
      </c>
      <c r="R192" s="160">
        <f t="shared" si="12"/>
        <v>0</v>
      </c>
      <c r="S192" s="160">
        <f t="shared" si="13"/>
        <v>0</v>
      </c>
      <c r="T192" s="161"/>
      <c r="U192" s="160">
        <v>0</v>
      </c>
      <c r="V192" s="160">
        <v>0</v>
      </c>
      <c r="X192" s="160">
        <v>0</v>
      </c>
      <c r="Y192" s="160">
        <v>0</v>
      </c>
      <c r="AA192" s="160"/>
      <c r="AB192" s="162"/>
      <c r="AC192" s="162"/>
      <c r="AD192" s="162">
        <f t="shared" si="14"/>
        <v>0</v>
      </c>
      <c r="AE192" s="160">
        <v>190</v>
      </c>
    </row>
    <row r="193" spans="2:31" ht="15.75" x14ac:dyDescent="0.25">
      <c r="B193" s="161">
        <f>IF('callPut（W）'!D192="--",0,'callPut（W）'!D192)</f>
        <v>0</v>
      </c>
      <c r="C193" s="161">
        <f>IF('callPut（W）'!E192="--",0,'callPut（W）'!E192)</f>
        <v>0</v>
      </c>
      <c r="D193" s="165">
        <v>25000</v>
      </c>
      <c r="E193" s="161">
        <f>IF('callPut（W）'!L192="--",0,'callPut（W）'!L192)</f>
        <v>0</v>
      </c>
      <c r="F193" s="161">
        <f>IF('callPut（W）'!M192="--",0,'callPut（W）'!M192)</f>
        <v>0</v>
      </c>
      <c r="H193" s="161">
        <f>IF('callPut（F）'!D192="--",0,'callPut（F）'!D192)</f>
        <v>0</v>
      </c>
      <c r="I193" s="161">
        <f>IF('callPut（F）'!E192="--",0,'callPut（F）'!E192)</f>
        <v>0</v>
      </c>
      <c r="J193" s="165">
        <v>25000</v>
      </c>
      <c r="K193" s="161">
        <f>IF('callPut（F）'!L192="--",0,'callPut（F）'!L192)</f>
        <v>0</v>
      </c>
      <c r="L193" s="161">
        <f>IF('callPut（F）'!M192="--",0,'callPut（F）'!M192)</f>
        <v>0</v>
      </c>
      <c r="O193" s="160">
        <f t="shared" si="10"/>
        <v>0</v>
      </c>
      <c r="P193" s="160">
        <f t="shared" si="11"/>
        <v>0</v>
      </c>
      <c r="Q193" s="166">
        <v>25000</v>
      </c>
      <c r="R193" s="160">
        <f t="shared" si="12"/>
        <v>0</v>
      </c>
      <c r="S193" s="160">
        <f t="shared" si="13"/>
        <v>0</v>
      </c>
      <c r="T193" s="161"/>
      <c r="U193" s="160">
        <v>0</v>
      </c>
      <c r="V193" s="160">
        <v>0</v>
      </c>
      <c r="X193" s="160">
        <v>0</v>
      </c>
      <c r="Y193" s="160">
        <v>0</v>
      </c>
      <c r="AA193" s="160"/>
      <c r="AB193" s="162"/>
      <c r="AC193" s="162"/>
      <c r="AD193" s="162">
        <f t="shared" si="14"/>
        <v>0</v>
      </c>
      <c r="AE193" s="160">
        <v>191</v>
      </c>
    </row>
    <row r="194" spans="2:31" ht="15.75" x14ac:dyDescent="0.25">
      <c r="B194" s="161">
        <f>IF('callPut（W）'!D193="--",0,'callPut（W）'!D193)</f>
        <v>0</v>
      </c>
      <c r="C194" s="161">
        <f>IF('callPut（W）'!E193="--",0,'callPut（W）'!E193)</f>
        <v>0</v>
      </c>
      <c r="D194" s="165">
        <v>25050</v>
      </c>
      <c r="E194" s="161">
        <f>IF('callPut（W）'!L193="--",0,'callPut（W）'!L193)</f>
        <v>0</v>
      </c>
      <c r="F194" s="161">
        <f>IF('callPut（W）'!M193="--",0,'callPut（W）'!M193)</f>
        <v>0</v>
      </c>
      <c r="H194" s="161">
        <f>IF('callPut（F）'!D193="--",0,'callPut（F）'!D193)</f>
        <v>0</v>
      </c>
      <c r="I194" s="161">
        <f>IF('callPut（F）'!E193="--",0,'callPut（F）'!E193)</f>
        <v>0</v>
      </c>
      <c r="J194" s="165">
        <v>25050</v>
      </c>
      <c r="K194" s="161">
        <f>IF('callPut（F）'!L193="--",0,'callPut（F）'!L193)</f>
        <v>0</v>
      </c>
      <c r="L194" s="161">
        <f>IF('callPut（F）'!M193="--",0,'callPut（F）'!M193)</f>
        <v>0</v>
      </c>
      <c r="O194" s="160">
        <f t="shared" si="10"/>
        <v>0</v>
      </c>
      <c r="P194" s="160">
        <f t="shared" si="11"/>
        <v>0</v>
      </c>
      <c r="Q194" s="166">
        <v>25050</v>
      </c>
      <c r="R194" s="160">
        <f t="shared" si="12"/>
        <v>0</v>
      </c>
      <c r="S194" s="160">
        <f t="shared" si="13"/>
        <v>0</v>
      </c>
      <c r="T194" s="161"/>
      <c r="U194" s="160">
        <v>0</v>
      </c>
      <c r="V194" s="160">
        <v>0</v>
      </c>
      <c r="X194" s="160">
        <v>0</v>
      </c>
      <c r="Y194" s="160">
        <v>0</v>
      </c>
      <c r="AA194" s="160"/>
      <c r="AB194" s="162"/>
      <c r="AC194" s="162"/>
      <c r="AD194" s="162">
        <f t="shared" si="14"/>
        <v>0</v>
      </c>
      <c r="AE194" s="160">
        <v>192</v>
      </c>
    </row>
    <row r="195" spans="2:31" ht="15.75" x14ac:dyDescent="0.25">
      <c r="B195" s="161">
        <f>IF('callPut（W）'!D194="--",0,'callPut（W）'!D194)</f>
        <v>0</v>
      </c>
      <c r="C195" s="161">
        <f>IF('callPut（W）'!E194="--",0,'callPut（W）'!E194)</f>
        <v>0</v>
      </c>
      <c r="D195" s="165">
        <v>25100</v>
      </c>
      <c r="E195" s="161">
        <f>IF('callPut（W）'!L194="--",0,'callPut（W）'!L194)</f>
        <v>0</v>
      </c>
      <c r="F195" s="161">
        <f>IF('callPut（W）'!M194="--",0,'callPut（W）'!M194)</f>
        <v>0</v>
      </c>
      <c r="H195" s="161">
        <f>IF('callPut（F）'!D194="--",0,'callPut（F）'!D194)</f>
        <v>0</v>
      </c>
      <c r="I195" s="161">
        <f>IF('callPut（F）'!E194="--",0,'callPut（F）'!E194)</f>
        <v>0</v>
      </c>
      <c r="J195" s="165">
        <v>25100</v>
      </c>
      <c r="K195" s="161">
        <f>IF('callPut（F）'!L194="--",0,'callPut（F）'!L194)</f>
        <v>0</v>
      </c>
      <c r="L195" s="161">
        <f>IF('callPut（F）'!M194="--",0,'callPut（F）'!M194)</f>
        <v>0</v>
      </c>
      <c r="O195" s="160">
        <f t="shared" si="10"/>
        <v>0</v>
      </c>
      <c r="P195" s="160">
        <f t="shared" si="11"/>
        <v>0</v>
      </c>
      <c r="Q195" s="166">
        <v>25100</v>
      </c>
      <c r="R195" s="160">
        <f t="shared" si="12"/>
        <v>0</v>
      </c>
      <c r="S195" s="160">
        <f t="shared" si="13"/>
        <v>0</v>
      </c>
      <c r="T195" s="161"/>
      <c r="U195" s="160">
        <v>0</v>
      </c>
      <c r="V195" s="160">
        <v>0</v>
      </c>
      <c r="X195" s="160">
        <v>0</v>
      </c>
      <c r="Y195" s="160">
        <v>0</v>
      </c>
      <c r="AA195" s="160"/>
      <c r="AB195" s="162"/>
      <c r="AC195" s="162"/>
      <c r="AD195" s="162">
        <f t="shared" si="14"/>
        <v>0</v>
      </c>
      <c r="AE195" s="160">
        <v>193</v>
      </c>
    </row>
    <row r="196" spans="2:31" ht="15.75" x14ac:dyDescent="0.25">
      <c r="B196" s="161">
        <f>IF('callPut（W）'!D195="--",0,'callPut（W）'!D195)</f>
        <v>0</v>
      </c>
      <c r="C196" s="161">
        <f>IF('callPut（W）'!E195="--",0,'callPut（W）'!E195)</f>
        <v>0</v>
      </c>
      <c r="D196" s="165">
        <v>25150</v>
      </c>
      <c r="E196" s="161">
        <f>IF('callPut（W）'!L195="--",0,'callPut（W）'!L195)</f>
        <v>0</v>
      </c>
      <c r="F196" s="161">
        <f>IF('callPut（W）'!M195="--",0,'callPut（W）'!M195)</f>
        <v>0</v>
      </c>
      <c r="H196" s="161">
        <f>IF('callPut（F）'!D195="--",0,'callPut（F）'!D195)</f>
        <v>0</v>
      </c>
      <c r="I196" s="161">
        <f>IF('callPut（F）'!E195="--",0,'callPut（F）'!E195)</f>
        <v>0</v>
      </c>
      <c r="J196" s="165">
        <v>25150</v>
      </c>
      <c r="K196" s="161">
        <f>IF('callPut（F）'!L195="--",0,'callPut（F）'!L195)</f>
        <v>0</v>
      </c>
      <c r="L196" s="161">
        <f>IF('callPut（F）'!M195="--",0,'callPut（F）'!M195)</f>
        <v>0</v>
      </c>
      <c r="O196" s="160">
        <f t="shared" ref="O196:O259" si="15">B196+H196</f>
        <v>0</v>
      </c>
      <c r="P196" s="160">
        <f t="shared" ref="P196:P259" si="16">C196+I196</f>
        <v>0</v>
      </c>
      <c r="Q196" s="166">
        <v>25150</v>
      </c>
      <c r="R196" s="160">
        <f t="shared" ref="R196:R259" si="17">E196+K196</f>
        <v>0</v>
      </c>
      <c r="S196" s="160">
        <f t="shared" ref="S196:S259" si="18">F196+L196</f>
        <v>0</v>
      </c>
      <c r="T196" s="161"/>
      <c r="U196" s="160">
        <v>0</v>
      </c>
      <c r="V196" s="160">
        <v>0</v>
      </c>
      <c r="X196" s="160">
        <v>0</v>
      </c>
      <c r="Y196" s="160">
        <v>0</v>
      </c>
      <c r="AA196" s="160"/>
      <c r="AB196" s="162"/>
      <c r="AC196" s="162"/>
      <c r="AD196" s="162">
        <f t="shared" ref="AD196:AD259" si="19">AB196+AC196</f>
        <v>0</v>
      </c>
      <c r="AE196" s="160">
        <v>194</v>
      </c>
    </row>
    <row r="197" spans="2:31" ht="15.75" x14ac:dyDescent="0.25">
      <c r="B197" s="161">
        <f>IF('callPut（W）'!D196="--",0,'callPut（W）'!D196)</f>
        <v>0.2</v>
      </c>
      <c r="C197" s="161">
        <f>IF('callPut（W）'!E196="--",0,'callPut（W）'!E196)</f>
        <v>1</v>
      </c>
      <c r="D197" s="165">
        <v>25200</v>
      </c>
      <c r="E197" s="161">
        <f>IF('callPut（W）'!L196="--",0,'callPut（W）'!L196)</f>
        <v>0</v>
      </c>
      <c r="F197" s="161">
        <f>IF('callPut（W）'!M196="--",0,'callPut（W）'!M196)</f>
        <v>0</v>
      </c>
      <c r="H197" s="161">
        <f>IF('callPut（F）'!D196="--",0,'callPut（F）'!D196)</f>
        <v>0</v>
      </c>
      <c r="I197" s="161">
        <f>IF('callPut（F）'!E196="--",0,'callPut（F）'!E196)</f>
        <v>0</v>
      </c>
      <c r="J197" s="165">
        <v>25200</v>
      </c>
      <c r="K197" s="161">
        <f>IF('callPut（F）'!L196="--",0,'callPut（F）'!L196)</f>
        <v>0</v>
      </c>
      <c r="L197" s="161">
        <f>IF('callPut（F）'!M196="--",0,'callPut（F）'!M196)</f>
        <v>0</v>
      </c>
      <c r="O197" s="160">
        <f t="shared" si="15"/>
        <v>0.2</v>
      </c>
      <c r="P197" s="160">
        <f t="shared" si="16"/>
        <v>1</v>
      </c>
      <c r="Q197" s="166">
        <v>25200</v>
      </c>
      <c r="R197" s="160">
        <f t="shared" si="17"/>
        <v>0</v>
      </c>
      <c r="S197" s="160">
        <f t="shared" si="18"/>
        <v>0</v>
      </c>
      <c r="T197" s="161"/>
      <c r="U197" s="160">
        <v>0</v>
      </c>
      <c r="V197" s="160">
        <v>0</v>
      </c>
      <c r="X197" s="160">
        <v>0</v>
      </c>
      <c r="Y197" s="160">
        <v>0</v>
      </c>
      <c r="AA197" s="160"/>
      <c r="AB197" s="162"/>
      <c r="AC197" s="162"/>
      <c r="AD197" s="162">
        <f t="shared" si="19"/>
        <v>0</v>
      </c>
      <c r="AE197" s="160">
        <v>195</v>
      </c>
    </row>
    <row r="198" spans="2:31" ht="15.75" x14ac:dyDescent="0.25">
      <c r="B198" s="161">
        <f>IF('callPut（W）'!D197="--",0,'callPut（W）'!D197)</f>
        <v>0</v>
      </c>
      <c r="C198" s="161">
        <f>IF('callPut（W）'!E197="--",0,'callPut（W）'!E197)</f>
        <v>0</v>
      </c>
      <c r="D198" s="165">
        <v>25250</v>
      </c>
      <c r="E198" s="161">
        <f>IF('callPut（W）'!L197="--",0,'callPut（W）'!L197)</f>
        <v>0</v>
      </c>
      <c r="F198" s="161">
        <f>IF('callPut（W）'!M197="--",0,'callPut（W）'!M197)</f>
        <v>0</v>
      </c>
      <c r="H198" s="161">
        <f>IF('callPut（F）'!D197="--",0,'callPut（F）'!D197)</f>
        <v>0</v>
      </c>
      <c r="I198" s="161">
        <f>IF('callPut（F）'!E197="--",0,'callPut（F）'!E197)</f>
        <v>0</v>
      </c>
      <c r="J198" s="165">
        <v>25250</v>
      </c>
      <c r="K198" s="161">
        <f>IF('callPut（F）'!L197="--",0,'callPut（F）'!L197)</f>
        <v>0</v>
      </c>
      <c r="L198" s="161">
        <f>IF('callPut（F）'!M197="--",0,'callPut（F）'!M197)</f>
        <v>0</v>
      </c>
      <c r="O198" s="160">
        <f t="shared" si="15"/>
        <v>0</v>
      </c>
      <c r="P198" s="160">
        <f t="shared" si="16"/>
        <v>0</v>
      </c>
      <c r="Q198" s="166">
        <v>25250</v>
      </c>
      <c r="R198" s="160">
        <f t="shared" si="17"/>
        <v>0</v>
      </c>
      <c r="S198" s="160">
        <f t="shared" si="18"/>
        <v>0</v>
      </c>
      <c r="T198" s="161"/>
      <c r="U198" s="160">
        <v>0</v>
      </c>
      <c r="V198" s="160">
        <v>0</v>
      </c>
      <c r="X198" s="160">
        <v>0</v>
      </c>
      <c r="Y198" s="160">
        <v>0</v>
      </c>
      <c r="AA198" s="160"/>
      <c r="AB198" s="162"/>
      <c r="AC198" s="162"/>
      <c r="AD198" s="162">
        <f t="shared" si="19"/>
        <v>0</v>
      </c>
      <c r="AE198" s="160">
        <v>196</v>
      </c>
    </row>
    <row r="199" spans="2:31" ht="15.75" x14ac:dyDescent="0.25">
      <c r="B199" s="161">
        <f>IF('callPut（W）'!D198="--",0,'callPut（W）'!D198)</f>
        <v>0.2</v>
      </c>
      <c r="C199" s="161">
        <f>IF('callPut（W）'!E198="--",0,'callPut（W）'!E198)</f>
        <v>1</v>
      </c>
      <c r="D199" s="165">
        <v>25300</v>
      </c>
      <c r="E199" s="161">
        <f>IF('callPut（W）'!L198="--",0,'callPut（W）'!L198)</f>
        <v>0</v>
      </c>
      <c r="F199" s="161">
        <f>IF('callPut（W）'!M198="--",0,'callPut（W）'!M198)</f>
        <v>0</v>
      </c>
      <c r="H199" s="161">
        <f>IF('callPut（F）'!D198="--",0,'callPut（F）'!D198)</f>
        <v>0</v>
      </c>
      <c r="I199" s="161">
        <f>IF('callPut（F）'!E198="--",0,'callPut（F）'!E198)</f>
        <v>0</v>
      </c>
      <c r="J199" s="165">
        <v>25300</v>
      </c>
      <c r="K199" s="161">
        <f>IF('callPut（F）'!L198="--",0,'callPut（F）'!L198)</f>
        <v>0</v>
      </c>
      <c r="L199" s="161">
        <f>IF('callPut（F）'!M198="--",0,'callPut（F）'!M198)</f>
        <v>0</v>
      </c>
      <c r="O199" s="160">
        <f t="shared" si="15"/>
        <v>0.2</v>
      </c>
      <c r="P199" s="160">
        <f t="shared" si="16"/>
        <v>1</v>
      </c>
      <c r="Q199" s="166">
        <v>25300</v>
      </c>
      <c r="R199" s="160">
        <f t="shared" si="17"/>
        <v>0</v>
      </c>
      <c r="S199" s="160">
        <f t="shared" si="18"/>
        <v>0</v>
      </c>
      <c r="T199" s="161"/>
      <c r="U199" s="160">
        <v>0</v>
      </c>
      <c r="V199" s="160">
        <v>0</v>
      </c>
      <c r="X199" s="160">
        <v>0</v>
      </c>
      <c r="Y199" s="160">
        <v>0</v>
      </c>
      <c r="AA199" s="160"/>
      <c r="AB199" s="162"/>
      <c r="AC199" s="162"/>
      <c r="AD199" s="162">
        <f t="shared" si="19"/>
        <v>0</v>
      </c>
      <c r="AE199" s="160">
        <v>197</v>
      </c>
    </row>
    <row r="200" spans="2:31" ht="15.75" x14ac:dyDescent="0.25">
      <c r="B200" s="161">
        <f>IF('callPut（W）'!D199="--",0,'callPut（W）'!D199)</f>
        <v>0</v>
      </c>
      <c r="C200" s="161">
        <f>IF('callPut（W）'!E199="--",0,'callPut（W）'!E199)</f>
        <v>0</v>
      </c>
      <c r="D200" s="165">
        <v>25350</v>
      </c>
      <c r="E200" s="161">
        <f>IF('callPut（W）'!L199="--",0,'callPut（W）'!L199)</f>
        <v>0</v>
      </c>
      <c r="F200" s="161">
        <f>IF('callPut（W）'!M199="--",0,'callPut（W）'!M199)</f>
        <v>0</v>
      </c>
      <c r="H200" s="161">
        <f>IF('callPut（F）'!D199="--",0,'callPut（F）'!D199)</f>
        <v>0</v>
      </c>
      <c r="I200" s="161">
        <f>IF('callPut（F）'!E199="--",0,'callPut（F）'!E199)</f>
        <v>0</v>
      </c>
      <c r="J200" s="165">
        <v>25350</v>
      </c>
      <c r="K200" s="161">
        <f>IF('callPut（F）'!L199="--",0,'callPut（F）'!L199)</f>
        <v>0</v>
      </c>
      <c r="L200" s="161">
        <f>IF('callPut（F）'!M199="--",0,'callPut（F）'!M199)</f>
        <v>0</v>
      </c>
      <c r="O200" s="160">
        <f t="shared" si="15"/>
        <v>0</v>
      </c>
      <c r="P200" s="160">
        <f t="shared" si="16"/>
        <v>0</v>
      </c>
      <c r="Q200" s="166">
        <v>25350</v>
      </c>
      <c r="R200" s="160">
        <f t="shared" si="17"/>
        <v>0</v>
      </c>
      <c r="S200" s="160">
        <f t="shared" si="18"/>
        <v>0</v>
      </c>
      <c r="T200" s="161"/>
      <c r="U200" s="160">
        <v>0</v>
      </c>
      <c r="V200" s="160">
        <v>0</v>
      </c>
      <c r="X200" s="160">
        <v>0</v>
      </c>
      <c r="Y200" s="160">
        <v>0</v>
      </c>
      <c r="AA200" s="160"/>
      <c r="AB200" s="162"/>
      <c r="AC200" s="162"/>
      <c r="AD200" s="162">
        <f t="shared" si="19"/>
        <v>0</v>
      </c>
      <c r="AE200" s="160">
        <v>198</v>
      </c>
    </row>
    <row r="201" spans="2:31" ht="15.75" x14ac:dyDescent="0.25">
      <c r="B201" s="161">
        <f>IF('callPut（W）'!D200="--",0,'callPut（W）'!D200)</f>
        <v>0.3</v>
      </c>
      <c r="C201" s="161">
        <f>IF('callPut（W）'!E200="--",0,'callPut（W）'!E200)</f>
        <v>4</v>
      </c>
      <c r="D201" s="165">
        <v>25400</v>
      </c>
      <c r="E201" s="161">
        <f>IF('callPut（W）'!L200="--",0,'callPut（W）'!L200)</f>
        <v>0</v>
      </c>
      <c r="F201" s="161">
        <f>IF('callPut（W）'!M200="--",0,'callPut（W）'!M200)</f>
        <v>0</v>
      </c>
      <c r="H201" s="161">
        <f>IF('callPut（F）'!D200="--",0,'callPut（F）'!D200)</f>
        <v>0.1</v>
      </c>
      <c r="I201" s="161">
        <f>IF('callPut（F）'!E200="--",0,'callPut（F）'!E200)</f>
        <v>2</v>
      </c>
      <c r="J201" s="165">
        <v>25400</v>
      </c>
      <c r="K201" s="161">
        <f>IF('callPut（F）'!L200="--",0,'callPut（F）'!L200)</f>
        <v>0</v>
      </c>
      <c r="L201" s="161">
        <f>IF('callPut（F）'!M200="--",0,'callPut（F）'!M200)</f>
        <v>0</v>
      </c>
      <c r="O201" s="160">
        <f t="shared" si="15"/>
        <v>0.4</v>
      </c>
      <c r="P201" s="160">
        <f t="shared" si="16"/>
        <v>6</v>
      </c>
      <c r="Q201" s="166">
        <v>25400</v>
      </c>
      <c r="R201" s="160">
        <f t="shared" si="17"/>
        <v>0</v>
      </c>
      <c r="S201" s="160">
        <f t="shared" si="18"/>
        <v>0</v>
      </c>
      <c r="T201" s="161"/>
      <c r="U201" s="160">
        <v>0</v>
      </c>
      <c r="V201" s="160">
        <v>0</v>
      </c>
      <c r="X201" s="160">
        <v>0</v>
      </c>
      <c r="Y201" s="160">
        <v>0</v>
      </c>
      <c r="AA201" s="160"/>
      <c r="AB201" s="162"/>
      <c r="AC201" s="162"/>
      <c r="AD201" s="162">
        <f t="shared" si="19"/>
        <v>0</v>
      </c>
      <c r="AE201" s="160">
        <v>199</v>
      </c>
    </row>
    <row r="202" spans="2:31" ht="15.75" x14ac:dyDescent="0.25">
      <c r="B202" s="161">
        <f>IF('callPut（W）'!D201="--",0,'callPut（W）'!D201)</f>
        <v>0</v>
      </c>
      <c r="C202" s="161">
        <f>IF('callPut（W）'!E201="--",0,'callPut（W）'!E201)</f>
        <v>0</v>
      </c>
      <c r="D202" s="165">
        <v>25450</v>
      </c>
      <c r="E202" s="161">
        <f>IF('callPut（W）'!L201="--",0,'callPut（W）'!L201)</f>
        <v>0</v>
      </c>
      <c r="F202" s="161">
        <f>IF('callPut（W）'!M201="--",0,'callPut（W）'!M201)</f>
        <v>0</v>
      </c>
      <c r="H202" s="161">
        <f>IF('callPut（F）'!D201="--",0,'callPut（F）'!D201)</f>
        <v>0</v>
      </c>
      <c r="I202" s="161">
        <f>IF('callPut（F）'!E201="--",0,'callPut（F）'!E201)</f>
        <v>0</v>
      </c>
      <c r="J202" s="165">
        <v>25450</v>
      </c>
      <c r="K202" s="161">
        <f>IF('callPut（F）'!L201="--",0,'callPut（F）'!L201)</f>
        <v>0</v>
      </c>
      <c r="L202" s="161">
        <f>IF('callPut（F）'!M201="--",0,'callPut（F）'!M201)</f>
        <v>0</v>
      </c>
      <c r="O202" s="160">
        <f t="shared" si="15"/>
        <v>0</v>
      </c>
      <c r="P202" s="160">
        <f t="shared" si="16"/>
        <v>0</v>
      </c>
      <c r="Q202" s="166">
        <v>25450</v>
      </c>
      <c r="R202" s="160">
        <f t="shared" si="17"/>
        <v>0</v>
      </c>
      <c r="S202" s="160">
        <f t="shared" si="18"/>
        <v>0</v>
      </c>
      <c r="T202" s="161"/>
      <c r="U202" s="160">
        <v>0</v>
      </c>
      <c r="V202" s="160">
        <v>0</v>
      </c>
      <c r="X202" s="160">
        <v>0</v>
      </c>
      <c r="Y202" s="160">
        <v>0</v>
      </c>
      <c r="AA202" s="160"/>
      <c r="AB202" s="162"/>
      <c r="AC202" s="162"/>
      <c r="AD202" s="162">
        <f t="shared" si="19"/>
        <v>0</v>
      </c>
      <c r="AE202" s="160">
        <v>200</v>
      </c>
    </row>
    <row r="203" spans="2:31" ht="15.75" x14ac:dyDescent="0.25">
      <c r="B203" s="161">
        <f>IF('callPut（W）'!D202="--",0,'callPut（W）'!D202)</f>
        <v>0.2</v>
      </c>
      <c r="C203" s="161">
        <f>IF('callPut（W）'!E202="--",0,'callPut（W）'!E202)</f>
        <v>3</v>
      </c>
      <c r="D203" s="165">
        <v>25500</v>
      </c>
      <c r="E203" s="161">
        <f>IF('callPut（W）'!L202="--",0,'callPut（W）'!L202)</f>
        <v>0</v>
      </c>
      <c r="F203" s="161">
        <f>IF('callPut（W）'!M202="--",0,'callPut（W）'!M202)</f>
        <v>0</v>
      </c>
      <c r="H203" s="161">
        <f>IF('callPut（F）'!D202="--",0,'callPut（F）'!D202)</f>
        <v>0.2</v>
      </c>
      <c r="I203" s="161">
        <f>IF('callPut（F）'!E202="--",0,'callPut（F）'!E202)</f>
        <v>6</v>
      </c>
      <c r="J203" s="165">
        <v>25500</v>
      </c>
      <c r="K203" s="161">
        <f>IF('callPut（F）'!L202="--",0,'callPut（F）'!L202)</f>
        <v>0</v>
      </c>
      <c r="L203" s="161">
        <f>IF('callPut（F）'!M202="--",0,'callPut（F）'!M202)</f>
        <v>0</v>
      </c>
      <c r="O203" s="160">
        <f t="shared" si="15"/>
        <v>0.4</v>
      </c>
      <c r="P203" s="160">
        <f t="shared" si="16"/>
        <v>9</v>
      </c>
      <c r="Q203" s="166">
        <v>25500</v>
      </c>
      <c r="R203" s="160">
        <f t="shared" si="17"/>
        <v>0</v>
      </c>
      <c r="S203" s="160">
        <f t="shared" si="18"/>
        <v>0</v>
      </c>
      <c r="T203" s="161"/>
      <c r="U203" s="160">
        <v>0</v>
      </c>
      <c r="V203" s="160">
        <v>0</v>
      </c>
      <c r="X203" s="160">
        <v>0</v>
      </c>
      <c r="Y203" s="160">
        <v>0</v>
      </c>
      <c r="AA203" s="160"/>
      <c r="AB203" s="162"/>
      <c r="AC203" s="162"/>
      <c r="AD203" s="162">
        <f t="shared" si="19"/>
        <v>0</v>
      </c>
      <c r="AE203" s="160">
        <v>201</v>
      </c>
    </row>
    <row r="204" spans="2:31" ht="15.75" x14ac:dyDescent="0.25">
      <c r="B204" s="161">
        <f>IF('callPut（W）'!D203="--",0,'callPut（W）'!D203)</f>
        <v>0</v>
      </c>
      <c r="C204" s="161">
        <f>IF('callPut（W）'!E203="--",0,'callPut（W）'!E203)</f>
        <v>0</v>
      </c>
      <c r="D204" s="165">
        <v>25550</v>
      </c>
      <c r="E204" s="161">
        <f>IF('callPut（W）'!L203="--",0,'callPut（W）'!L203)</f>
        <v>0</v>
      </c>
      <c r="F204" s="161">
        <f>IF('callPut（W）'!M203="--",0,'callPut（W）'!M203)</f>
        <v>0</v>
      </c>
      <c r="H204" s="161">
        <f>IF('callPut（F）'!D203="--",0,'callPut（F）'!D203)</f>
        <v>0</v>
      </c>
      <c r="I204" s="161">
        <f>IF('callPut（F）'!E203="--",0,'callPut（F）'!E203)</f>
        <v>0</v>
      </c>
      <c r="J204" s="165">
        <v>25550</v>
      </c>
      <c r="K204" s="161">
        <f>IF('callPut（F）'!L203="--",0,'callPut（F）'!L203)</f>
        <v>0</v>
      </c>
      <c r="L204" s="161">
        <f>IF('callPut（F）'!M203="--",0,'callPut（F）'!M203)</f>
        <v>0</v>
      </c>
      <c r="O204" s="160">
        <f t="shared" si="15"/>
        <v>0</v>
      </c>
      <c r="P204" s="160">
        <f t="shared" si="16"/>
        <v>0</v>
      </c>
      <c r="Q204" s="166">
        <v>25550</v>
      </c>
      <c r="R204" s="160">
        <f t="shared" si="17"/>
        <v>0</v>
      </c>
      <c r="S204" s="160">
        <f t="shared" si="18"/>
        <v>0</v>
      </c>
      <c r="T204" s="161"/>
      <c r="U204" s="160">
        <v>0</v>
      </c>
      <c r="V204" s="160">
        <v>0</v>
      </c>
      <c r="X204" s="160">
        <v>0</v>
      </c>
      <c r="Y204" s="160">
        <v>0</v>
      </c>
      <c r="AA204" s="160"/>
      <c r="AB204" s="162"/>
      <c r="AC204" s="162"/>
      <c r="AD204" s="162">
        <f t="shared" si="19"/>
        <v>0</v>
      </c>
      <c r="AE204" s="160">
        <v>202</v>
      </c>
    </row>
    <row r="205" spans="2:31" ht="15.75" x14ac:dyDescent="0.25">
      <c r="B205" s="161">
        <f>IF('callPut（W）'!D204="--",0,'callPut（W）'!D204)</f>
        <v>0</v>
      </c>
      <c r="C205" s="161">
        <f>IF('callPut（W）'!E204="--",0,'callPut（W）'!E204)</f>
        <v>0</v>
      </c>
      <c r="D205" s="165">
        <v>25600</v>
      </c>
      <c r="E205" s="161">
        <f>IF('callPut（W）'!L204="--",0,'callPut（W）'!L204)</f>
        <v>0</v>
      </c>
      <c r="F205" s="161">
        <f>IF('callPut（W）'!M204="--",0,'callPut（W）'!M204)</f>
        <v>0</v>
      </c>
      <c r="H205" s="161">
        <f>IF('callPut（F）'!D204="--",0,'callPut（F）'!D204)</f>
        <v>0</v>
      </c>
      <c r="I205" s="161">
        <f>IF('callPut（F）'!E204="--",0,'callPut（F）'!E204)</f>
        <v>0</v>
      </c>
      <c r="J205" s="165">
        <v>25600</v>
      </c>
      <c r="K205" s="161">
        <f>IF('callPut（F）'!L204="--",0,'callPut（F）'!L204)</f>
        <v>0</v>
      </c>
      <c r="L205" s="161">
        <f>IF('callPut（F）'!M204="--",0,'callPut（F）'!M204)</f>
        <v>0</v>
      </c>
      <c r="O205" s="160">
        <f t="shared" si="15"/>
        <v>0</v>
      </c>
      <c r="P205" s="160">
        <f t="shared" si="16"/>
        <v>0</v>
      </c>
      <c r="Q205" s="166">
        <v>25600</v>
      </c>
      <c r="R205" s="160">
        <f t="shared" si="17"/>
        <v>0</v>
      </c>
      <c r="S205" s="160">
        <f t="shared" si="18"/>
        <v>0</v>
      </c>
      <c r="T205" s="161"/>
      <c r="U205" s="160">
        <v>0</v>
      </c>
      <c r="V205" s="160">
        <v>0</v>
      </c>
      <c r="X205" s="160">
        <v>0</v>
      </c>
      <c r="Y205" s="160">
        <v>0</v>
      </c>
      <c r="AA205" s="160"/>
      <c r="AB205" s="162"/>
      <c r="AC205" s="162"/>
      <c r="AD205" s="162">
        <f t="shared" si="19"/>
        <v>0</v>
      </c>
      <c r="AE205" s="160">
        <v>203</v>
      </c>
    </row>
    <row r="206" spans="2:31" ht="15.75" x14ac:dyDescent="0.25">
      <c r="B206" s="161">
        <f>IF('callPut（W）'!D205="--",0,'callPut（W）'!D205)</f>
        <v>0</v>
      </c>
      <c r="C206" s="161">
        <f>IF('callPut（W）'!E205="--",0,'callPut（W）'!E205)</f>
        <v>0</v>
      </c>
      <c r="D206" s="165">
        <v>25650</v>
      </c>
      <c r="E206" s="161">
        <f>IF('callPut（W）'!L205="--",0,'callPut（W）'!L205)</f>
        <v>0</v>
      </c>
      <c r="F206" s="161">
        <f>IF('callPut（W）'!M205="--",0,'callPut（W）'!M205)</f>
        <v>0</v>
      </c>
      <c r="H206" s="161">
        <f>IF('callPut（F）'!D205="--",0,'callPut（F）'!D205)</f>
        <v>0</v>
      </c>
      <c r="I206" s="161">
        <f>IF('callPut（F）'!E205="--",0,'callPut（F）'!E205)</f>
        <v>0</v>
      </c>
      <c r="J206" s="165">
        <v>25650</v>
      </c>
      <c r="K206" s="161">
        <f>IF('callPut（F）'!L205="--",0,'callPut（F）'!L205)</f>
        <v>0</v>
      </c>
      <c r="L206" s="161">
        <f>IF('callPut（F）'!M205="--",0,'callPut（F）'!M205)</f>
        <v>0</v>
      </c>
      <c r="O206" s="160">
        <f t="shared" si="15"/>
        <v>0</v>
      </c>
      <c r="P206" s="160">
        <f t="shared" si="16"/>
        <v>0</v>
      </c>
      <c r="Q206" s="166">
        <v>25650</v>
      </c>
      <c r="R206" s="160">
        <f t="shared" si="17"/>
        <v>0</v>
      </c>
      <c r="S206" s="160">
        <f t="shared" si="18"/>
        <v>0</v>
      </c>
      <c r="T206" s="161"/>
      <c r="U206" s="160">
        <v>0</v>
      </c>
      <c r="V206" s="160">
        <v>0</v>
      </c>
      <c r="X206" s="160">
        <v>0</v>
      </c>
      <c r="Y206" s="160">
        <v>0</v>
      </c>
      <c r="AA206" s="160"/>
      <c r="AB206" s="162"/>
      <c r="AC206" s="162"/>
      <c r="AD206" s="162">
        <f t="shared" si="19"/>
        <v>0</v>
      </c>
      <c r="AE206" s="160">
        <v>204</v>
      </c>
    </row>
    <row r="207" spans="2:31" ht="15.75" x14ac:dyDescent="0.25">
      <c r="B207" s="161">
        <f>IF('callPut（W）'!D206="--",0,'callPut（W）'!D206)</f>
        <v>0</v>
      </c>
      <c r="C207" s="161">
        <f>IF('callPut（W）'!E206="--",0,'callPut（W）'!E206)</f>
        <v>0</v>
      </c>
      <c r="D207" s="165">
        <v>25700</v>
      </c>
      <c r="E207" s="161">
        <f>IF('callPut（W）'!L206="--",0,'callPut（W）'!L206)</f>
        <v>0</v>
      </c>
      <c r="F207" s="161">
        <f>IF('callPut（W）'!M206="--",0,'callPut（W）'!M206)</f>
        <v>0</v>
      </c>
      <c r="H207" s="161">
        <f>IF('callPut（F）'!D206="--",0,'callPut（F）'!D206)</f>
        <v>0</v>
      </c>
      <c r="I207" s="161">
        <f>IF('callPut（F）'!E206="--",0,'callPut（F）'!E206)</f>
        <v>0</v>
      </c>
      <c r="J207" s="165">
        <v>25700</v>
      </c>
      <c r="K207" s="161">
        <f>IF('callPut（F）'!L206="--",0,'callPut（F）'!L206)</f>
        <v>0</v>
      </c>
      <c r="L207" s="161">
        <f>IF('callPut（F）'!M206="--",0,'callPut（F）'!M206)</f>
        <v>0</v>
      </c>
      <c r="O207" s="160">
        <f t="shared" si="15"/>
        <v>0</v>
      </c>
      <c r="P207" s="160">
        <f t="shared" si="16"/>
        <v>0</v>
      </c>
      <c r="Q207" s="166">
        <v>25700</v>
      </c>
      <c r="R207" s="160">
        <f t="shared" si="17"/>
        <v>0</v>
      </c>
      <c r="S207" s="160">
        <f t="shared" si="18"/>
        <v>0</v>
      </c>
      <c r="T207" s="161"/>
      <c r="U207" s="160">
        <v>0</v>
      </c>
      <c r="V207" s="160">
        <v>0</v>
      </c>
      <c r="X207" s="160">
        <v>0</v>
      </c>
      <c r="Y207" s="160">
        <v>0</v>
      </c>
      <c r="AA207" s="160"/>
      <c r="AB207" s="162"/>
      <c r="AC207" s="162"/>
      <c r="AD207" s="162">
        <f t="shared" si="19"/>
        <v>0</v>
      </c>
      <c r="AE207" s="160">
        <v>205</v>
      </c>
    </row>
    <row r="208" spans="2:31" ht="15.75" x14ac:dyDescent="0.25">
      <c r="B208" s="161">
        <f>IF('callPut（W）'!D207="--",0,'callPut（W）'!D207)</f>
        <v>0</v>
      </c>
      <c r="C208" s="161">
        <f>IF('callPut（W）'!E207="--",0,'callPut（W）'!E207)</f>
        <v>0</v>
      </c>
      <c r="D208" s="165">
        <v>25750</v>
      </c>
      <c r="E208" s="161">
        <f>IF('callPut（W）'!L207="--",0,'callPut（W）'!L207)</f>
        <v>0</v>
      </c>
      <c r="F208" s="161">
        <f>IF('callPut（W）'!M207="--",0,'callPut（W）'!M207)</f>
        <v>0</v>
      </c>
      <c r="H208" s="161">
        <f>IF('callPut（F）'!D207="--",0,'callPut（F）'!D207)</f>
        <v>0</v>
      </c>
      <c r="I208" s="161">
        <f>IF('callPut（F）'!E207="--",0,'callPut（F）'!E207)</f>
        <v>0</v>
      </c>
      <c r="J208" s="165">
        <v>25750</v>
      </c>
      <c r="K208" s="161">
        <f>IF('callPut（F）'!L207="--",0,'callPut（F）'!L207)</f>
        <v>0</v>
      </c>
      <c r="L208" s="161">
        <f>IF('callPut（F）'!M207="--",0,'callPut（F）'!M207)</f>
        <v>0</v>
      </c>
      <c r="O208" s="160">
        <f t="shared" si="15"/>
        <v>0</v>
      </c>
      <c r="P208" s="160">
        <f t="shared" si="16"/>
        <v>0</v>
      </c>
      <c r="Q208" s="166">
        <v>25750</v>
      </c>
      <c r="R208" s="160">
        <f t="shared" si="17"/>
        <v>0</v>
      </c>
      <c r="S208" s="160">
        <f t="shared" si="18"/>
        <v>0</v>
      </c>
      <c r="T208" s="161"/>
      <c r="U208" s="160">
        <v>0</v>
      </c>
      <c r="V208" s="160">
        <v>0</v>
      </c>
      <c r="X208" s="160">
        <v>0</v>
      </c>
      <c r="Y208" s="160">
        <v>0</v>
      </c>
      <c r="AA208" s="160"/>
      <c r="AB208" s="162"/>
      <c r="AC208" s="162"/>
      <c r="AD208" s="162">
        <f t="shared" si="19"/>
        <v>0</v>
      </c>
      <c r="AE208" s="160">
        <v>206</v>
      </c>
    </row>
    <row r="209" spans="2:31" ht="15.75" x14ac:dyDescent="0.25">
      <c r="B209" s="161">
        <f>IF('callPut（W）'!D208="--",0,'callPut（W）'!D208)</f>
        <v>0</v>
      </c>
      <c r="C209" s="161">
        <f>IF('callPut（W）'!E208="--",0,'callPut（W）'!E208)</f>
        <v>0</v>
      </c>
      <c r="D209" s="165">
        <v>25800</v>
      </c>
      <c r="E209" s="161">
        <f>IF('callPut（W）'!L208="--",0,'callPut（W）'!L208)</f>
        <v>0</v>
      </c>
      <c r="F209" s="161">
        <f>IF('callPut（W）'!M208="--",0,'callPut（W）'!M208)</f>
        <v>0</v>
      </c>
      <c r="H209" s="161">
        <f>IF('callPut（F）'!D208="--",0,'callPut（F）'!D208)</f>
        <v>0</v>
      </c>
      <c r="I209" s="161">
        <f>IF('callPut（F）'!E208="--",0,'callPut（F）'!E208)</f>
        <v>0</v>
      </c>
      <c r="J209" s="165">
        <v>25800</v>
      </c>
      <c r="K209" s="161">
        <f>IF('callPut（F）'!L208="--",0,'callPut（F）'!L208)</f>
        <v>0</v>
      </c>
      <c r="L209" s="161">
        <f>IF('callPut（F）'!M208="--",0,'callPut（F）'!M208)</f>
        <v>0</v>
      </c>
      <c r="O209" s="160">
        <f t="shared" si="15"/>
        <v>0</v>
      </c>
      <c r="P209" s="160">
        <f t="shared" si="16"/>
        <v>0</v>
      </c>
      <c r="Q209" s="166">
        <v>25800</v>
      </c>
      <c r="R209" s="160">
        <f t="shared" si="17"/>
        <v>0</v>
      </c>
      <c r="S209" s="160">
        <f t="shared" si="18"/>
        <v>0</v>
      </c>
      <c r="T209" s="161"/>
      <c r="U209" s="160">
        <v>0</v>
      </c>
      <c r="V209" s="160">
        <v>0</v>
      </c>
      <c r="X209" s="160">
        <v>0</v>
      </c>
      <c r="Y209" s="160">
        <v>0</v>
      </c>
      <c r="AA209" s="160"/>
      <c r="AB209" s="162"/>
      <c r="AC209" s="162"/>
      <c r="AD209" s="162">
        <f t="shared" si="19"/>
        <v>0</v>
      </c>
      <c r="AE209" s="160">
        <v>207</v>
      </c>
    </row>
    <row r="210" spans="2:31" ht="15.75" x14ac:dyDescent="0.25">
      <c r="B210" s="161">
        <f>IF('callPut（W）'!D209="--",0,'callPut（W）'!D209)</f>
        <v>0</v>
      </c>
      <c r="C210" s="161">
        <f>IF('callPut（W）'!E209="--",0,'callPut（W）'!E209)</f>
        <v>0</v>
      </c>
      <c r="D210" s="165">
        <v>25850</v>
      </c>
      <c r="E210" s="161">
        <f>IF('callPut（W）'!L209="--",0,'callPut（W）'!L209)</f>
        <v>0</v>
      </c>
      <c r="F210" s="161">
        <f>IF('callPut（W）'!M209="--",0,'callPut（W）'!M209)</f>
        <v>0</v>
      </c>
      <c r="H210" s="161">
        <f>IF('callPut（F）'!D209="--",0,'callPut（F）'!D209)</f>
        <v>0</v>
      </c>
      <c r="I210" s="161">
        <f>IF('callPut（F）'!E209="--",0,'callPut（F）'!E209)</f>
        <v>0</v>
      </c>
      <c r="J210" s="165">
        <v>25850</v>
      </c>
      <c r="K210" s="161">
        <f>IF('callPut（F）'!L209="--",0,'callPut（F）'!L209)</f>
        <v>0</v>
      </c>
      <c r="L210" s="161">
        <f>IF('callPut（F）'!M209="--",0,'callPut（F）'!M209)</f>
        <v>0</v>
      </c>
      <c r="O210" s="160">
        <f t="shared" si="15"/>
        <v>0</v>
      </c>
      <c r="P210" s="160">
        <f t="shared" si="16"/>
        <v>0</v>
      </c>
      <c r="Q210" s="166">
        <v>25850</v>
      </c>
      <c r="R210" s="160">
        <f t="shared" si="17"/>
        <v>0</v>
      </c>
      <c r="S210" s="160">
        <f t="shared" si="18"/>
        <v>0</v>
      </c>
      <c r="T210" s="161"/>
      <c r="U210" s="160">
        <v>0</v>
      </c>
      <c r="V210" s="160">
        <v>0</v>
      </c>
      <c r="X210" s="160">
        <v>0</v>
      </c>
      <c r="Y210" s="160">
        <v>0</v>
      </c>
      <c r="AA210" s="160"/>
      <c r="AB210" s="162"/>
      <c r="AC210" s="162"/>
      <c r="AD210" s="162">
        <f t="shared" si="19"/>
        <v>0</v>
      </c>
      <c r="AE210" s="160">
        <v>208</v>
      </c>
    </row>
    <row r="211" spans="2:31" ht="15.75" x14ac:dyDescent="0.25">
      <c r="B211" s="161">
        <f>IF('callPut（W）'!D210="--",0,'callPut（W）'!D210)</f>
        <v>0</v>
      </c>
      <c r="C211" s="161">
        <f>IF('callPut（W）'!E210="--",0,'callPut（W）'!E210)</f>
        <v>0</v>
      </c>
      <c r="D211" s="165">
        <v>25900</v>
      </c>
      <c r="E211" s="161">
        <f>IF('callPut（W）'!L210="--",0,'callPut（W）'!L210)</f>
        <v>0</v>
      </c>
      <c r="F211" s="161">
        <f>IF('callPut（W）'!M210="--",0,'callPut（W）'!M210)</f>
        <v>0</v>
      </c>
      <c r="H211" s="161">
        <f>IF('callPut（F）'!D210="--",0,'callPut（F）'!D210)</f>
        <v>0</v>
      </c>
      <c r="I211" s="161">
        <f>IF('callPut（F）'!E210="--",0,'callPut（F）'!E210)</f>
        <v>0</v>
      </c>
      <c r="J211" s="165">
        <v>25900</v>
      </c>
      <c r="K211" s="161">
        <f>IF('callPut（F）'!L210="--",0,'callPut（F）'!L210)</f>
        <v>0</v>
      </c>
      <c r="L211" s="161">
        <f>IF('callPut（F）'!M210="--",0,'callPut（F）'!M210)</f>
        <v>0</v>
      </c>
      <c r="O211" s="160">
        <f t="shared" si="15"/>
        <v>0</v>
      </c>
      <c r="P211" s="160">
        <f t="shared" si="16"/>
        <v>0</v>
      </c>
      <c r="Q211" s="166">
        <v>25900</v>
      </c>
      <c r="R211" s="160">
        <f t="shared" si="17"/>
        <v>0</v>
      </c>
      <c r="S211" s="160">
        <f t="shared" si="18"/>
        <v>0</v>
      </c>
      <c r="T211" s="161"/>
      <c r="U211" s="160">
        <v>0</v>
      </c>
      <c r="V211" s="160">
        <v>0</v>
      </c>
      <c r="X211" s="160">
        <v>0</v>
      </c>
      <c r="Y211" s="160">
        <v>0</v>
      </c>
      <c r="AA211" s="160"/>
      <c r="AB211" s="162"/>
      <c r="AC211" s="162"/>
      <c r="AD211" s="162">
        <f t="shared" si="19"/>
        <v>0</v>
      </c>
      <c r="AE211" s="160">
        <v>209</v>
      </c>
    </row>
    <row r="212" spans="2:31" ht="15.75" x14ac:dyDescent="0.25">
      <c r="B212" s="161">
        <f>IF('callPut（W）'!D211="--",0,'callPut（W）'!D211)</f>
        <v>0</v>
      </c>
      <c r="C212" s="161">
        <f>IF('callPut（W）'!E211="--",0,'callPut（W）'!E211)</f>
        <v>0</v>
      </c>
      <c r="D212" s="165">
        <v>25950</v>
      </c>
      <c r="E212" s="161">
        <f>IF('callPut（W）'!L211="--",0,'callPut（W）'!L211)</f>
        <v>0</v>
      </c>
      <c r="F212" s="161">
        <f>IF('callPut（W）'!M211="--",0,'callPut（W）'!M211)</f>
        <v>0</v>
      </c>
      <c r="H212" s="161">
        <f>IF('callPut（F）'!D211="--",0,'callPut（F）'!D211)</f>
        <v>0</v>
      </c>
      <c r="I212" s="161">
        <f>IF('callPut（F）'!E211="--",0,'callPut（F）'!E211)</f>
        <v>0</v>
      </c>
      <c r="J212" s="165">
        <v>25950</v>
      </c>
      <c r="K212" s="161">
        <f>IF('callPut（F）'!L211="--",0,'callPut（F）'!L211)</f>
        <v>0</v>
      </c>
      <c r="L212" s="161">
        <f>IF('callPut（F）'!M211="--",0,'callPut（F）'!M211)</f>
        <v>0</v>
      </c>
      <c r="O212" s="160">
        <f t="shared" si="15"/>
        <v>0</v>
      </c>
      <c r="P212" s="160">
        <f t="shared" si="16"/>
        <v>0</v>
      </c>
      <c r="Q212" s="166">
        <v>25950</v>
      </c>
      <c r="R212" s="160">
        <f t="shared" si="17"/>
        <v>0</v>
      </c>
      <c r="S212" s="160">
        <f t="shared" si="18"/>
        <v>0</v>
      </c>
      <c r="T212" s="161"/>
      <c r="U212" s="160">
        <v>0</v>
      </c>
      <c r="V212" s="160">
        <v>0</v>
      </c>
      <c r="X212" s="160">
        <v>0</v>
      </c>
      <c r="Y212" s="160">
        <v>0</v>
      </c>
      <c r="AA212" s="160"/>
      <c r="AB212" s="162"/>
      <c r="AC212" s="162"/>
      <c r="AD212" s="162">
        <f t="shared" si="19"/>
        <v>0</v>
      </c>
      <c r="AE212" s="160">
        <v>210</v>
      </c>
    </row>
    <row r="213" spans="2:31" ht="15.75" x14ac:dyDescent="0.25">
      <c r="B213" s="161">
        <f>IF('callPut（W）'!D212="--",0,'callPut（W）'!D212)</f>
        <v>0</v>
      </c>
      <c r="C213" s="161">
        <f>IF('callPut（W）'!E212="--",0,'callPut（W）'!E212)</f>
        <v>0</v>
      </c>
      <c r="D213" s="165">
        <v>26000</v>
      </c>
      <c r="E213" s="161">
        <f>IF('callPut（W）'!L212="--",0,'callPut（W）'!L212)</f>
        <v>0</v>
      </c>
      <c r="F213" s="161">
        <f>IF('callPut（W）'!M212="--",0,'callPut（W）'!M212)</f>
        <v>0</v>
      </c>
      <c r="H213" s="161">
        <f>IF('callPut（F）'!D212="--",0,'callPut（F）'!D212)</f>
        <v>0</v>
      </c>
      <c r="I213" s="161">
        <f>IF('callPut（F）'!E212="--",0,'callPut（F）'!E212)</f>
        <v>0</v>
      </c>
      <c r="J213" s="165">
        <v>26000</v>
      </c>
      <c r="K213" s="161">
        <f>IF('callPut（F）'!L212="--",0,'callPut（F）'!L212)</f>
        <v>0</v>
      </c>
      <c r="L213" s="161">
        <f>IF('callPut（F）'!M212="--",0,'callPut（F）'!M212)</f>
        <v>0</v>
      </c>
      <c r="O213" s="160">
        <f t="shared" si="15"/>
        <v>0</v>
      </c>
      <c r="P213" s="160">
        <f t="shared" si="16"/>
        <v>0</v>
      </c>
      <c r="Q213" s="166">
        <v>26000</v>
      </c>
      <c r="R213" s="160">
        <f t="shared" si="17"/>
        <v>0</v>
      </c>
      <c r="S213" s="160">
        <f t="shared" si="18"/>
        <v>0</v>
      </c>
      <c r="T213" s="161"/>
      <c r="U213" s="160">
        <v>0</v>
      </c>
      <c r="V213" s="160">
        <v>0</v>
      </c>
      <c r="X213" s="160">
        <v>0</v>
      </c>
      <c r="Y213" s="160">
        <v>0</v>
      </c>
      <c r="AA213" s="160"/>
      <c r="AB213" s="162"/>
      <c r="AC213" s="162"/>
      <c r="AD213" s="162">
        <f t="shared" si="19"/>
        <v>0</v>
      </c>
      <c r="AE213" s="160">
        <v>211</v>
      </c>
    </row>
    <row r="214" spans="2:31" ht="15.75" x14ac:dyDescent="0.25">
      <c r="B214" s="161">
        <f>IF('callPut（W）'!D213="--",0,'callPut（W）'!D213)</f>
        <v>0</v>
      </c>
      <c r="C214" s="161">
        <f>IF('callPut（W）'!E213="--",0,'callPut（W）'!E213)</f>
        <v>0</v>
      </c>
      <c r="D214" s="165">
        <v>26050</v>
      </c>
      <c r="E214" s="161">
        <f>IF('callPut（W）'!L213="--",0,'callPut（W）'!L213)</f>
        <v>0</v>
      </c>
      <c r="F214" s="161">
        <f>IF('callPut（W）'!M213="--",0,'callPut（W）'!M213)</f>
        <v>0</v>
      </c>
      <c r="H214" s="161">
        <f>IF('callPut（F）'!D213="--",0,'callPut（F）'!D213)</f>
        <v>0</v>
      </c>
      <c r="I214" s="161">
        <f>IF('callPut（F）'!E213="--",0,'callPut（F）'!E213)</f>
        <v>0</v>
      </c>
      <c r="J214" s="165">
        <v>26050</v>
      </c>
      <c r="K214" s="161">
        <f>IF('callPut（F）'!L213="--",0,'callPut（F）'!L213)</f>
        <v>0</v>
      </c>
      <c r="L214" s="161">
        <f>IF('callPut（F）'!M213="--",0,'callPut（F）'!M213)</f>
        <v>0</v>
      </c>
      <c r="O214" s="160">
        <f t="shared" si="15"/>
        <v>0</v>
      </c>
      <c r="P214" s="160">
        <f t="shared" si="16"/>
        <v>0</v>
      </c>
      <c r="Q214" s="166">
        <v>26050</v>
      </c>
      <c r="R214" s="160">
        <f t="shared" si="17"/>
        <v>0</v>
      </c>
      <c r="S214" s="160">
        <f t="shared" si="18"/>
        <v>0</v>
      </c>
      <c r="T214" s="161"/>
      <c r="U214" s="160">
        <v>0</v>
      </c>
      <c r="V214" s="160">
        <v>0</v>
      </c>
      <c r="X214" s="160">
        <v>0</v>
      </c>
      <c r="Y214" s="160">
        <v>0</v>
      </c>
      <c r="AA214" s="160"/>
      <c r="AB214" s="162"/>
      <c r="AC214" s="162"/>
      <c r="AD214" s="162">
        <f t="shared" si="19"/>
        <v>0</v>
      </c>
      <c r="AE214" s="160">
        <v>212</v>
      </c>
    </row>
    <row r="215" spans="2:31" ht="15.75" x14ac:dyDescent="0.25">
      <c r="B215" s="161">
        <f>IF('callPut（W）'!D214="--",0,'callPut（W）'!D214)</f>
        <v>0</v>
      </c>
      <c r="C215" s="161">
        <f>IF('callPut（W）'!E214="--",0,'callPut（W）'!E214)</f>
        <v>0</v>
      </c>
      <c r="D215" s="165">
        <v>26100</v>
      </c>
      <c r="E215" s="161">
        <f>IF('callPut（W）'!L214="--",0,'callPut（W）'!L214)</f>
        <v>0</v>
      </c>
      <c r="F215" s="161">
        <f>IF('callPut（W）'!M214="--",0,'callPut（W）'!M214)</f>
        <v>0</v>
      </c>
      <c r="H215" s="161">
        <f>IF('callPut（F）'!D214="--",0,'callPut（F）'!D214)</f>
        <v>0</v>
      </c>
      <c r="I215" s="161">
        <f>IF('callPut（F）'!E214="--",0,'callPut（F）'!E214)</f>
        <v>0</v>
      </c>
      <c r="J215" s="165">
        <v>26100</v>
      </c>
      <c r="K215" s="161">
        <f>IF('callPut（F）'!L214="--",0,'callPut（F）'!L214)</f>
        <v>0</v>
      </c>
      <c r="L215" s="161">
        <f>IF('callPut（F）'!M214="--",0,'callPut（F）'!M214)</f>
        <v>0</v>
      </c>
      <c r="O215" s="160">
        <f t="shared" si="15"/>
        <v>0</v>
      </c>
      <c r="P215" s="160">
        <f t="shared" si="16"/>
        <v>0</v>
      </c>
      <c r="Q215" s="166">
        <v>26100</v>
      </c>
      <c r="R215" s="160">
        <f t="shared" si="17"/>
        <v>0</v>
      </c>
      <c r="S215" s="160">
        <f t="shared" si="18"/>
        <v>0</v>
      </c>
      <c r="T215" s="161"/>
      <c r="U215" s="160">
        <v>0</v>
      </c>
      <c r="V215" s="160">
        <v>0</v>
      </c>
      <c r="X215" s="160">
        <v>0</v>
      </c>
      <c r="Y215" s="160">
        <v>0</v>
      </c>
      <c r="AA215" s="160"/>
      <c r="AB215" s="162"/>
      <c r="AC215" s="162"/>
      <c r="AD215" s="162">
        <f t="shared" si="19"/>
        <v>0</v>
      </c>
      <c r="AE215" s="160">
        <v>213</v>
      </c>
    </row>
    <row r="216" spans="2:31" ht="15.75" x14ac:dyDescent="0.25">
      <c r="B216" s="161">
        <f>IF('callPut（W）'!D215="--",0,'callPut（W）'!D215)</f>
        <v>0</v>
      </c>
      <c r="C216" s="161">
        <f>IF('callPut（W）'!E215="--",0,'callPut（W）'!E215)</f>
        <v>0</v>
      </c>
      <c r="D216" s="165">
        <v>26150</v>
      </c>
      <c r="E216" s="161">
        <f>IF('callPut（W）'!L215="--",0,'callPut（W）'!L215)</f>
        <v>0</v>
      </c>
      <c r="F216" s="161">
        <f>IF('callPut（W）'!M215="--",0,'callPut（W）'!M215)</f>
        <v>0</v>
      </c>
      <c r="H216" s="161">
        <f>IF('callPut（F）'!D215="--",0,'callPut（F）'!D215)</f>
        <v>0</v>
      </c>
      <c r="I216" s="161">
        <f>IF('callPut（F）'!E215="--",0,'callPut（F）'!E215)</f>
        <v>0</v>
      </c>
      <c r="J216" s="165">
        <v>26150</v>
      </c>
      <c r="K216" s="161">
        <f>IF('callPut（F）'!L215="--",0,'callPut（F）'!L215)</f>
        <v>0</v>
      </c>
      <c r="L216" s="161">
        <f>IF('callPut（F）'!M215="--",0,'callPut（F）'!M215)</f>
        <v>0</v>
      </c>
      <c r="O216" s="160">
        <f t="shared" si="15"/>
        <v>0</v>
      </c>
      <c r="P216" s="160">
        <f t="shared" si="16"/>
        <v>0</v>
      </c>
      <c r="Q216" s="166">
        <v>26150</v>
      </c>
      <c r="R216" s="160">
        <f t="shared" si="17"/>
        <v>0</v>
      </c>
      <c r="S216" s="160">
        <f t="shared" si="18"/>
        <v>0</v>
      </c>
      <c r="T216" s="161"/>
      <c r="U216" s="160">
        <v>0</v>
      </c>
      <c r="V216" s="160">
        <v>0</v>
      </c>
      <c r="X216" s="160">
        <v>0</v>
      </c>
      <c r="Y216" s="160">
        <v>0</v>
      </c>
      <c r="AA216" s="160"/>
      <c r="AB216" s="162"/>
      <c r="AC216" s="162"/>
      <c r="AD216" s="162">
        <f t="shared" si="19"/>
        <v>0</v>
      </c>
      <c r="AE216" s="160">
        <v>214</v>
      </c>
    </row>
    <row r="217" spans="2:31" ht="15.75" x14ac:dyDescent="0.25">
      <c r="B217" s="161">
        <f>IF('callPut（W）'!D216="--",0,'callPut（W）'!D216)</f>
        <v>0</v>
      </c>
      <c r="C217" s="161">
        <f>IF('callPut（W）'!E216="--",0,'callPut（W）'!E216)</f>
        <v>0</v>
      </c>
      <c r="D217" s="165">
        <v>26200</v>
      </c>
      <c r="E217" s="161">
        <f>IF('callPut（W）'!L216="--",0,'callPut（W）'!L216)</f>
        <v>0</v>
      </c>
      <c r="F217" s="161">
        <f>IF('callPut（W）'!M216="--",0,'callPut（W）'!M216)</f>
        <v>0</v>
      </c>
      <c r="H217" s="161">
        <f>IF('callPut（F）'!D216="--",0,'callPut（F）'!D216)</f>
        <v>0</v>
      </c>
      <c r="I217" s="161">
        <f>IF('callPut（F）'!E216="--",0,'callPut（F）'!E216)</f>
        <v>0</v>
      </c>
      <c r="J217" s="165">
        <v>26200</v>
      </c>
      <c r="K217" s="161">
        <f>IF('callPut（F）'!L216="--",0,'callPut（F）'!L216)</f>
        <v>0</v>
      </c>
      <c r="L217" s="161">
        <f>IF('callPut（F）'!M216="--",0,'callPut（F）'!M216)</f>
        <v>0</v>
      </c>
      <c r="O217" s="160">
        <f t="shared" si="15"/>
        <v>0</v>
      </c>
      <c r="P217" s="160">
        <f t="shared" si="16"/>
        <v>0</v>
      </c>
      <c r="Q217" s="166">
        <v>26200</v>
      </c>
      <c r="R217" s="160">
        <f t="shared" si="17"/>
        <v>0</v>
      </c>
      <c r="S217" s="160">
        <f t="shared" si="18"/>
        <v>0</v>
      </c>
      <c r="T217" s="161"/>
      <c r="U217" s="160">
        <v>0</v>
      </c>
      <c r="V217" s="160">
        <v>0</v>
      </c>
      <c r="X217" s="160">
        <v>0</v>
      </c>
      <c r="Y217" s="160">
        <v>0</v>
      </c>
      <c r="AA217" s="160"/>
      <c r="AB217" s="162"/>
      <c r="AC217" s="162"/>
      <c r="AD217" s="162">
        <f t="shared" si="19"/>
        <v>0</v>
      </c>
      <c r="AE217" s="160">
        <v>215</v>
      </c>
    </row>
    <row r="218" spans="2:31" ht="15.75" x14ac:dyDescent="0.25">
      <c r="B218" s="161">
        <f>IF('callPut（W）'!D217="--",0,'callPut（W）'!D217)</f>
        <v>0</v>
      </c>
      <c r="C218" s="161">
        <f>IF('callPut（W）'!E217="--",0,'callPut（W）'!E217)</f>
        <v>0</v>
      </c>
      <c r="D218" s="165">
        <v>26250</v>
      </c>
      <c r="E218" s="161">
        <f>IF('callPut（W）'!L217="--",0,'callPut（W）'!L217)</f>
        <v>0</v>
      </c>
      <c r="F218" s="161">
        <f>IF('callPut（W）'!M217="--",0,'callPut（W）'!M217)</f>
        <v>0</v>
      </c>
      <c r="H218" s="161">
        <f>IF('callPut（F）'!D217="--",0,'callPut（F）'!D217)</f>
        <v>0</v>
      </c>
      <c r="I218" s="161">
        <f>IF('callPut（F）'!E217="--",0,'callPut（F）'!E217)</f>
        <v>0</v>
      </c>
      <c r="J218" s="165">
        <v>26250</v>
      </c>
      <c r="K218" s="161">
        <f>IF('callPut（F）'!L217="--",0,'callPut（F）'!L217)</f>
        <v>0</v>
      </c>
      <c r="L218" s="161">
        <f>IF('callPut（F）'!M217="--",0,'callPut（F）'!M217)</f>
        <v>0</v>
      </c>
      <c r="O218" s="160">
        <f t="shared" si="15"/>
        <v>0</v>
      </c>
      <c r="P218" s="160">
        <f t="shared" si="16"/>
        <v>0</v>
      </c>
      <c r="Q218" s="166">
        <v>26250</v>
      </c>
      <c r="R218" s="160">
        <f t="shared" si="17"/>
        <v>0</v>
      </c>
      <c r="S218" s="160">
        <f t="shared" si="18"/>
        <v>0</v>
      </c>
      <c r="T218" s="161"/>
      <c r="U218" s="160">
        <v>0</v>
      </c>
      <c r="V218" s="160">
        <v>0</v>
      </c>
      <c r="X218" s="160">
        <v>0</v>
      </c>
      <c r="Y218" s="160">
        <v>0</v>
      </c>
      <c r="AA218" s="160"/>
      <c r="AB218" s="162"/>
      <c r="AC218" s="162"/>
      <c r="AD218" s="162">
        <f t="shared" si="19"/>
        <v>0</v>
      </c>
      <c r="AE218" s="160">
        <v>216</v>
      </c>
    </row>
    <row r="219" spans="2:31" ht="15.75" x14ac:dyDescent="0.25">
      <c r="B219" s="161">
        <f>IF('callPut（W）'!D218="--",0,'callPut（W）'!D218)</f>
        <v>0</v>
      </c>
      <c r="C219" s="161">
        <f>IF('callPut（W）'!E218="--",0,'callPut（W）'!E218)</f>
        <v>0</v>
      </c>
      <c r="D219" s="165">
        <v>26300</v>
      </c>
      <c r="E219" s="161">
        <f>IF('callPut（W）'!L218="--",0,'callPut（W）'!L218)</f>
        <v>0</v>
      </c>
      <c r="F219" s="161">
        <f>IF('callPut（W）'!M218="--",0,'callPut（W）'!M218)</f>
        <v>0</v>
      </c>
      <c r="H219" s="161">
        <f>IF('callPut（F）'!D218="--",0,'callPut（F）'!D218)</f>
        <v>0</v>
      </c>
      <c r="I219" s="161">
        <f>IF('callPut（F）'!E218="--",0,'callPut（F）'!E218)</f>
        <v>0</v>
      </c>
      <c r="J219" s="165">
        <v>26300</v>
      </c>
      <c r="K219" s="161">
        <f>IF('callPut（F）'!L218="--",0,'callPut（F）'!L218)</f>
        <v>0</v>
      </c>
      <c r="L219" s="161">
        <f>IF('callPut（F）'!M218="--",0,'callPut（F）'!M218)</f>
        <v>0</v>
      </c>
      <c r="O219" s="160">
        <f t="shared" si="15"/>
        <v>0</v>
      </c>
      <c r="P219" s="160">
        <f t="shared" si="16"/>
        <v>0</v>
      </c>
      <c r="Q219" s="166">
        <v>26300</v>
      </c>
      <c r="R219" s="160">
        <f t="shared" si="17"/>
        <v>0</v>
      </c>
      <c r="S219" s="160">
        <f t="shared" si="18"/>
        <v>0</v>
      </c>
      <c r="T219" s="161"/>
      <c r="U219" s="160">
        <v>0</v>
      </c>
      <c r="V219" s="160">
        <v>0</v>
      </c>
      <c r="X219" s="160">
        <v>0</v>
      </c>
      <c r="Y219" s="160">
        <v>0</v>
      </c>
      <c r="AA219" s="160"/>
      <c r="AB219" s="162"/>
      <c r="AC219" s="162"/>
      <c r="AD219" s="162">
        <f t="shared" si="19"/>
        <v>0</v>
      </c>
      <c r="AE219" s="160">
        <v>217</v>
      </c>
    </row>
    <row r="220" spans="2:31" ht="15.75" x14ac:dyDescent="0.25">
      <c r="B220" s="161">
        <f>IF('callPut（W）'!D219="--",0,'callPut（W）'!D219)</f>
        <v>0</v>
      </c>
      <c r="C220" s="161">
        <f>IF('callPut（W）'!E219="--",0,'callPut（W）'!E219)</f>
        <v>0</v>
      </c>
      <c r="D220" s="165">
        <v>26350</v>
      </c>
      <c r="E220" s="161">
        <f>IF('callPut（W）'!L219="--",0,'callPut（W）'!L219)</f>
        <v>0</v>
      </c>
      <c r="F220" s="161">
        <f>IF('callPut（W）'!M219="--",0,'callPut（W）'!M219)</f>
        <v>0</v>
      </c>
      <c r="H220" s="161">
        <f>IF('callPut（F）'!D219="--",0,'callPut（F）'!D219)</f>
        <v>0</v>
      </c>
      <c r="I220" s="161">
        <f>IF('callPut（F）'!E219="--",0,'callPut（F）'!E219)</f>
        <v>0</v>
      </c>
      <c r="J220" s="165">
        <v>26350</v>
      </c>
      <c r="K220" s="161">
        <f>IF('callPut（F）'!L219="--",0,'callPut（F）'!L219)</f>
        <v>0</v>
      </c>
      <c r="L220" s="161">
        <f>IF('callPut（F）'!M219="--",0,'callPut（F）'!M219)</f>
        <v>0</v>
      </c>
      <c r="O220" s="160">
        <f t="shared" si="15"/>
        <v>0</v>
      </c>
      <c r="P220" s="160">
        <f t="shared" si="16"/>
        <v>0</v>
      </c>
      <c r="Q220" s="166">
        <v>26350</v>
      </c>
      <c r="R220" s="160">
        <f t="shared" si="17"/>
        <v>0</v>
      </c>
      <c r="S220" s="160">
        <f t="shared" si="18"/>
        <v>0</v>
      </c>
      <c r="T220" s="161"/>
      <c r="U220" s="160">
        <v>0</v>
      </c>
      <c r="V220" s="160">
        <v>0</v>
      </c>
      <c r="X220" s="160">
        <v>0</v>
      </c>
      <c r="Y220" s="160">
        <v>0</v>
      </c>
      <c r="AA220" s="160"/>
      <c r="AB220" s="162"/>
      <c r="AC220" s="162"/>
      <c r="AD220" s="162">
        <f t="shared" si="19"/>
        <v>0</v>
      </c>
      <c r="AE220" s="160">
        <v>218</v>
      </c>
    </row>
    <row r="221" spans="2:31" ht="15.75" x14ac:dyDescent="0.25">
      <c r="B221" s="161">
        <f>IF('callPut（W）'!D220="--",0,'callPut（W）'!D220)</f>
        <v>0</v>
      </c>
      <c r="C221" s="161">
        <f>IF('callPut（W）'!E220="--",0,'callPut（W）'!E220)</f>
        <v>0</v>
      </c>
      <c r="D221" s="165">
        <v>26400</v>
      </c>
      <c r="E221" s="161">
        <f>IF('callPut（W）'!L220="--",0,'callPut（W）'!L220)</f>
        <v>0</v>
      </c>
      <c r="F221" s="161">
        <f>IF('callPut（W）'!M220="--",0,'callPut（W）'!M220)</f>
        <v>0</v>
      </c>
      <c r="H221" s="161">
        <f>IF('callPut（F）'!D220="--",0,'callPut（F）'!D220)</f>
        <v>0</v>
      </c>
      <c r="I221" s="161">
        <f>IF('callPut（F）'!E220="--",0,'callPut（F）'!E220)</f>
        <v>0</v>
      </c>
      <c r="J221" s="165">
        <v>26400</v>
      </c>
      <c r="K221" s="161">
        <f>IF('callPut（F）'!L220="--",0,'callPut（F）'!L220)</f>
        <v>0</v>
      </c>
      <c r="L221" s="161">
        <f>IF('callPut（F）'!M220="--",0,'callPut（F）'!M220)</f>
        <v>0</v>
      </c>
      <c r="O221" s="160">
        <f t="shared" si="15"/>
        <v>0</v>
      </c>
      <c r="P221" s="160">
        <f t="shared" si="16"/>
        <v>0</v>
      </c>
      <c r="Q221" s="166">
        <v>26400</v>
      </c>
      <c r="R221" s="160">
        <f t="shared" si="17"/>
        <v>0</v>
      </c>
      <c r="S221" s="160">
        <f t="shared" si="18"/>
        <v>0</v>
      </c>
      <c r="T221" s="161"/>
      <c r="U221" s="160">
        <v>0</v>
      </c>
      <c r="V221" s="160">
        <v>0</v>
      </c>
      <c r="X221" s="160">
        <v>0</v>
      </c>
      <c r="Y221" s="160">
        <v>0</v>
      </c>
      <c r="AA221" s="160"/>
      <c r="AB221" s="162"/>
      <c r="AC221" s="162"/>
      <c r="AD221" s="162">
        <f t="shared" si="19"/>
        <v>0</v>
      </c>
      <c r="AE221" s="160">
        <v>219</v>
      </c>
    </row>
    <row r="222" spans="2:31" ht="15.75" x14ac:dyDescent="0.25">
      <c r="B222" s="161">
        <f>IF('callPut（W）'!D221="--",0,'callPut（W）'!D221)</f>
        <v>0</v>
      </c>
      <c r="C222" s="161">
        <f>IF('callPut（W）'!E221="--",0,'callPut（W）'!E221)</f>
        <v>0</v>
      </c>
      <c r="D222" s="165">
        <v>26450</v>
      </c>
      <c r="E222" s="161">
        <f>IF('callPut（W）'!L221="--",0,'callPut（W）'!L221)</f>
        <v>0</v>
      </c>
      <c r="F222" s="161">
        <f>IF('callPut（W）'!M221="--",0,'callPut（W）'!M221)</f>
        <v>0</v>
      </c>
      <c r="H222" s="161">
        <f>IF('callPut（F）'!D221="--",0,'callPut（F）'!D221)</f>
        <v>0</v>
      </c>
      <c r="I222" s="161">
        <f>IF('callPut（F）'!E221="--",0,'callPut（F）'!E221)</f>
        <v>0</v>
      </c>
      <c r="J222" s="165">
        <v>26450</v>
      </c>
      <c r="K222" s="161">
        <f>IF('callPut（F）'!L221="--",0,'callPut（F）'!L221)</f>
        <v>0</v>
      </c>
      <c r="L222" s="161">
        <f>IF('callPut（F）'!M221="--",0,'callPut（F）'!M221)</f>
        <v>0</v>
      </c>
      <c r="O222" s="160">
        <f t="shared" si="15"/>
        <v>0</v>
      </c>
      <c r="P222" s="160">
        <f t="shared" si="16"/>
        <v>0</v>
      </c>
      <c r="Q222" s="166">
        <v>26450</v>
      </c>
      <c r="R222" s="160">
        <f t="shared" si="17"/>
        <v>0</v>
      </c>
      <c r="S222" s="160">
        <f t="shared" si="18"/>
        <v>0</v>
      </c>
      <c r="T222" s="161"/>
      <c r="U222" s="160">
        <v>0</v>
      </c>
      <c r="V222" s="160">
        <v>0</v>
      </c>
      <c r="X222" s="160">
        <v>0</v>
      </c>
      <c r="Y222" s="160">
        <v>0</v>
      </c>
      <c r="AA222" s="160"/>
      <c r="AB222" s="162"/>
      <c r="AC222" s="162"/>
      <c r="AD222" s="162">
        <f t="shared" si="19"/>
        <v>0</v>
      </c>
      <c r="AE222" s="160">
        <v>220</v>
      </c>
    </row>
    <row r="223" spans="2:31" ht="15.75" x14ac:dyDescent="0.25">
      <c r="B223" s="161">
        <f>IF('callPut（W）'!D222="--",0,'callPut（W）'!D222)</f>
        <v>0</v>
      </c>
      <c r="C223" s="161">
        <f>IF('callPut（W）'!E222="--",0,'callPut（W）'!E222)</f>
        <v>0</v>
      </c>
      <c r="D223" s="165">
        <v>26500</v>
      </c>
      <c r="E223" s="161">
        <f>IF('callPut（W）'!L222="--",0,'callPut（W）'!L222)</f>
        <v>0</v>
      </c>
      <c r="F223" s="161">
        <f>IF('callPut（W）'!M222="--",0,'callPut（W）'!M222)</f>
        <v>0</v>
      </c>
      <c r="H223" s="161">
        <f>IF('callPut（F）'!D222="--",0,'callPut（F）'!D222)</f>
        <v>0</v>
      </c>
      <c r="I223" s="161">
        <f>IF('callPut（F）'!E222="--",0,'callPut（F）'!E222)</f>
        <v>0</v>
      </c>
      <c r="J223" s="165">
        <v>26500</v>
      </c>
      <c r="K223" s="161">
        <f>IF('callPut（F）'!L222="--",0,'callPut（F）'!L222)</f>
        <v>0</v>
      </c>
      <c r="L223" s="161">
        <f>IF('callPut（F）'!M222="--",0,'callPut（F）'!M222)</f>
        <v>0</v>
      </c>
      <c r="O223" s="160">
        <f t="shared" si="15"/>
        <v>0</v>
      </c>
      <c r="P223" s="160">
        <f t="shared" si="16"/>
        <v>0</v>
      </c>
      <c r="Q223" s="166">
        <v>26500</v>
      </c>
      <c r="R223" s="160">
        <f t="shared" si="17"/>
        <v>0</v>
      </c>
      <c r="S223" s="160">
        <f t="shared" si="18"/>
        <v>0</v>
      </c>
      <c r="T223" s="161"/>
      <c r="U223" s="160">
        <v>0</v>
      </c>
      <c r="V223" s="160">
        <v>0</v>
      </c>
      <c r="X223" s="160">
        <v>0</v>
      </c>
      <c r="Y223" s="160">
        <v>0</v>
      </c>
      <c r="AA223" s="160"/>
      <c r="AB223" s="162"/>
      <c r="AC223" s="162"/>
      <c r="AD223" s="162">
        <f t="shared" si="19"/>
        <v>0</v>
      </c>
      <c r="AE223" s="160">
        <v>221</v>
      </c>
    </row>
    <row r="224" spans="2:31" ht="15.75" x14ac:dyDescent="0.25">
      <c r="B224" s="161">
        <f>IF('callPut（W）'!D223="--",0,'callPut（W）'!D223)</f>
        <v>0</v>
      </c>
      <c r="C224" s="161">
        <f>IF('callPut（W）'!E223="--",0,'callPut（W）'!E223)</f>
        <v>0</v>
      </c>
      <c r="D224" s="165">
        <v>26550</v>
      </c>
      <c r="E224" s="161">
        <f>IF('callPut（W）'!L223="--",0,'callPut（W）'!L223)</f>
        <v>0</v>
      </c>
      <c r="F224" s="161">
        <f>IF('callPut（W）'!M223="--",0,'callPut（W）'!M223)</f>
        <v>0</v>
      </c>
      <c r="H224" s="161">
        <f>IF('callPut（F）'!D223="--",0,'callPut（F）'!D223)</f>
        <v>0</v>
      </c>
      <c r="I224" s="161">
        <f>IF('callPut（F）'!E223="--",0,'callPut（F）'!E223)</f>
        <v>0</v>
      </c>
      <c r="J224" s="165">
        <v>26550</v>
      </c>
      <c r="K224" s="161">
        <f>IF('callPut（F）'!L223="--",0,'callPut（F）'!L223)</f>
        <v>0</v>
      </c>
      <c r="L224" s="161">
        <f>IF('callPut（F）'!M223="--",0,'callPut（F）'!M223)</f>
        <v>0</v>
      </c>
      <c r="O224" s="160">
        <f t="shared" si="15"/>
        <v>0</v>
      </c>
      <c r="P224" s="160">
        <f t="shared" si="16"/>
        <v>0</v>
      </c>
      <c r="Q224" s="166">
        <v>26550</v>
      </c>
      <c r="R224" s="160">
        <f t="shared" si="17"/>
        <v>0</v>
      </c>
      <c r="S224" s="160">
        <f t="shared" si="18"/>
        <v>0</v>
      </c>
      <c r="T224" s="161"/>
      <c r="U224" s="160">
        <v>0</v>
      </c>
      <c r="V224" s="160">
        <v>0</v>
      </c>
      <c r="X224" s="160">
        <v>0</v>
      </c>
      <c r="Y224" s="160">
        <v>0</v>
      </c>
      <c r="AA224" s="160"/>
      <c r="AB224" s="162"/>
      <c r="AC224" s="162"/>
      <c r="AD224" s="162">
        <f t="shared" si="19"/>
        <v>0</v>
      </c>
      <c r="AE224" s="160">
        <v>222</v>
      </c>
    </row>
    <row r="225" spans="2:31" ht="15.75" x14ac:dyDescent="0.25">
      <c r="B225" s="161">
        <f>IF('callPut（W）'!D224="--",0,'callPut（W）'!D224)</f>
        <v>0</v>
      </c>
      <c r="C225" s="161">
        <f>IF('callPut（W）'!E224="--",0,'callPut（W）'!E224)</f>
        <v>0</v>
      </c>
      <c r="D225" s="165">
        <v>26600</v>
      </c>
      <c r="E225" s="161">
        <f>IF('callPut（W）'!L224="--",0,'callPut（W）'!L224)</f>
        <v>0</v>
      </c>
      <c r="F225" s="161">
        <f>IF('callPut（W）'!M224="--",0,'callPut（W）'!M224)</f>
        <v>0</v>
      </c>
      <c r="H225" s="161">
        <f>IF('callPut（F）'!D224="--",0,'callPut（F）'!D224)</f>
        <v>0</v>
      </c>
      <c r="I225" s="161">
        <f>IF('callPut（F）'!E224="--",0,'callPut（F）'!E224)</f>
        <v>0</v>
      </c>
      <c r="J225" s="165">
        <v>26600</v>
      </c>
      <c r="K225" s="161">
        <f>IF('callPut（F）'!L224="--",0,'callPut（F）'!L224)</f>
        <v>0</v>
      </c>
      <c r="L225" s="161">
        <f>IF('callPut（F）'!M224="--",0,'callPut（F）'!M224)</f>
        <v>0</v>
      </c>
      <c r="O225" s="160">
        <f t="shared" si="15"/>
        <v>0</v>
      </c>
      <c r="P225" s="160">
        <f t="shared" si="16"/>
        <v>0</v>
      </c>
      <c r="Q225" s="166">
        <v>26600</v>
      </c>
      <c r="R225" s="160">
        <f t="shared" si="17"/>
        <v>0</v>
      </c>
      <c r="S225" s="160">
        <f t="shared" si="18"/>
        <v>0</v>
      </c>
      <c r="T225" s="161"/>
      <c r="U225" s="160">
        <v>0</v>
      </c>
      <c r="V225" s="160">
        <v>0</v>
      </c>
      <c r="X225" s="160">
        <v>0</v>
      </c>
      <c r="Y225" s="160">
        <v>0</v>
      </c>
      <c r="AA225" s="160"/>
      <c r="AB225" s="162"/>
      <c r="AC225" s="162"/>
      <c r="AD225" s="162">
        <f t="shared" si="19"/>
        <v>0</v>
      </c>
      <c r="AE225" s="160">
        <v>223</v>
      </c>
    </row>
    <row r="226" spans="2:31" ht="15.75" x14ac:dyDescent="0.25">
      <c r="B226" s="161">
        <f>IF('callPut（W）'!D225="--",0,'callPut（W）'!D225)</f>
        <v>0</v>
      </c>
      <c r="C226" s="161">
        <f>IF('callPut（W）'!E225="--",0,'callPut（W）'!E225)</f>
        <v>0</v>
      </c>
      <c r="D226" s="165">
        <v>26650</v>
      </c>
      <c r="E226" s="161">
        <f>IF('callPut（W）'!L225="--",0,'callPut（W）'!L225)</f>
        <v>0</v>
      </c>
      <c r="F226" s="161">
        <f>IF('callPut（W）'!M225="--",0,'callPut（W）'!M225)</f>
        <v>0</v>
      </c>
      <c r="H226" s="161">
        <f>IF('callPut（F）'!D225="--",0,'callPut（F）'!D225)</f>
        <v>0</v>
      </c>
      <c r="I226" s="161">
        <f>IF('callPut（F）'!E225="--",0,'callPut（F）'!E225)</f>
        <v>0</v>
      </c>
      <c r="J226" s="165">
        <v>26650</v>
      </c>
      <c r="K226" s="161">
        <f>IF('callPut（F）'!L225="--",0,'callPut（F）'!L225)</f>
        <v>0</v>
      </c>
      <c r="L226" s="161">
        <f>IF('callPut（F）'!M225="--",0,'callPut（F）'!M225)</f>
        <v>0</v>
      </c>
      <c r="O226" s="160">
        <f t="shared" si="15"/>
        <v>0</v>
      </c>
      <c r="P226" s="160">
        <f t="shared" si="16"/>
        <v>0</v>
      </c>
      <c r="Q226" s="166">
        <v>26650</v>
      </c>
      <c r="R226" s="160">
        <f t="shared" si="17"/>
        <v>0</v>
      </c>
      <c r="S226" s="160">
        <f t="shared" si="18"/>
        <v>0</v>
      </c>
      <c r="T226" s="161"/>
      <c r="U226" s="160">
        <v>0</v>
      </c>
      <c r="V226" s="160">
        <v>0</v>
      </c>
      <c r="X226" s="160">
        <v>0</v>
      </c>
      <c r="Y226" s="160">
        <v>0</v>
      </c>
      <c r="AA226" s="160"/>
      <c r="AB226" s="162"/>
      <c r="AC226" s="162"/>
      <c r="AD226" s="162">
        <f t="shared" si="19"/>
        <v>0</v>
      </c>
      <c r="AE226" s="160">
        <v>224</v>
      </c>
    </row>
    <row r="227" spans="2:31" ht="15.75" x14ac:dyDescent="0.25">
      <c r="B227" s="161">
        <f>IF('callPut（W）'!D226="--",0,'callPut（W）'!D226)</f>
        <v>0</v>
      </c>
      <c r="C227" s="161">
        <f>IF('callPut（W）'!E226="--",0,'callPut（W）'!E226)</f>
        <v>0</v>
      </c>
      <c r="D227" s="165">
        <v>26700</v>
      </c>
      <c r="E227" s="161">
        <f>IF('callPut（W）'!L226="--",0,'callPut（W）'!L226)</f>
        <v>0</v>
      </c>
      <c r="F227" s="161">
        <f>IF('callPut（W）'!M226="--",0,'callPut（W）'!M226)</f>
        <v>0</v>
      </c>
      <c r="H227" s="161">
        <f>IF('callPut（F）'!D226="--",0,'callPut（F）'!D226)</f>
        <v>0</v>
      </c>
      <c r="I227" s="161">
        <f>IF('callPut（F）'!E226="--",0,'callPut（F）'!E226)</f>
        <v>0</v>
      </c>
      <c r="J227" s="165">
        <v>26700</v>
      </c>
      <c r="K227" s="161">
        <f>IF('callPut（F）'!L226="--",0,'callPut（F）'!L226)</f>
        <v>0</v>
      </c>
      <c r="L227" s="161">
        <f>IF('callPut（F）'!M226="--",0,'callPut（F）'!M226)</f>
        <v>0</v>
      </c>
      <c r="O227" s="160">
        <f t="shared" si="15"/>
        <v>0</v>
      </c>
      <c r="P227" s="160">
        <f t="shared" si="16"/>
        <v>0</v>
      </c>
      <c r="Q227" s="166">
        <v>26700</v>
      </c>
      <c r="R227" s="160">
        <f t="shared" si="17"/>
        <v>0</v>
      </c>
      <c r="S227" s="160">
        <f t="shared" si="18"/>
        <v>0</v>
      </c>
      <c r="T227" s="161"/>
      <c r="U227" s="160">
        <v>0</v>
      </c>
      <c r="V227" s="160">
        <v>0</v>
      </c>
      <c r="X227" s="160">
        <v>0</v>
      </c>
      <c r="Y227" s="160">
        <v>0</v>
      </c>
      <c r="AA227" s="160"/>
      <c r="AB227" s="162"/>
      <c r="AC227" s="162"/>
      <c r="AD227" s="162">
        <f t="shared" si="19"/>
        <v>0</v>
      </c>
      <c r="AE227" s="160">
        <v>225</v>
      </c>
    </row>
    <row r="228" spans="2:31" ht="15.75" x14ac:dyDescent="0.25">
      <c r="B228" s="161">
        <f>IF('callPut（W）'!D227="--",0,'callPut（W）'!D227)</f>
        <v>0</v>
      </c>
      <c r="C228" s="161">
        <f>IF('callPut（W）'!E227="--",0,'callPut（W）'!E227)</f>
        <v>0</v>
      </c>
      <c r="D228" s="165">
        <v>26750</v>
      </c>
      <c r="E228" s="161">
        <f>IF('callPut（W）'!L227="--",0,'callPut（W）'!L227)</f>
        <v>0</v>
      </c>
      <c r="F228" s="161">
        <f>IF('callPut（W）'!M227="--",0,'callPut（W）'!M227)</f>
        <v>0</v>
      </c>
      <c r="H228" s="161">
        <f>IF('callPut（F）'!D227="--",0,'callPut（F）'!D227)</f>
        <v>0</v>
      </c>
      <c r="I228" s="161">
        <f>IF('callPut（F）'!E227="--",0,'callPut（F）'!E227)</f>
        <v>0</v>
      </c>
      <c r="J228" s="165">
        <v>26750</v>
      </c>
      <c r="K228" s="161">
        <f>IF('callPut（F）'!L227="--",0,'callPut（F）'!L227)</f>
        <v>0</v>
      </c>
      <c r="L228" s="161">
        <f>IF('callPut（F）'!M227="--",0,'callPut（F）'!M227)</f>
        <v>0</v>
      </c>
      <c r="O228" s="160">
        <f t="shared" si="15"/>
        <v>0</v>
      </c>
      <c r="P228" s="160">
        <f t="shared" si="16"/>
        <v>0</v>
      </c>
      <c r="Q228" s="166">
        <v>26750</v>
      </c>
      <c r="R228" s="160">
        <f t="shared" si="17"/>
        <v>0</v>
      </c>
      <c r="S228" s="160">
        <f t="shared" si="18"/>
        <v>0</v>
      </c>
      <c r="T228" s="161"/>
      <c r="U228" s="160">
        <v>0</v>
      </c>
      <c r="V228" s="160">
        <v>0</v>
      </c>
      <c r="X228" s="160">
        <v>0</v>
      </c>
      <c r="Y228" s="160">
        <v>0</v>
      </c>
      <c r="AA228" s="160"/>
      <c r="AB228" s="162"/>
      <c r="AC228" s="162"/>
      <c r="AD228" s="162">
        <f t="shared" si="19"/>
        <v>0</v>
      </c>
      <c r="AE228" s="160">
        <v>226</v>
      </c>
    </row>
    <row r="229" spans="2:31" ht="15.75" x14ac:dyDescent="0.25">
      <c r="B229" s="161">
        <f>IF('callPut（W）'!D228="--",0,'callPut（W）'!D228)</f>
        <v>0</v>
      </c>
      <c r="C229" s="161">
        <f>IF('callPut（W）'!E228="--",0,'callPut（W）'!E228)</f>
        <v>0</v>
      </c>
      <c r="D229" s="165">
        <v>26800</v>
      </c>
      <c r="E229" s="161">
        <f>IF('callPut（W）'!L228="--",0,'callPut（W）'!L228)</f>
        <v>0</v>
      </c>
      <c r="F229" s="161">
        <f>IF('callPut（W）'!M228="--",0,'callPut（W）'!M228)</f>
        <v>0</v>
      </c>
      <c r="H229" s="161">
        <f>IF('callPut（F）'!D228="--",0,'callPut（F）'!D228)</f>
        <v>0</v>
      </c>
      <c r="I229" s="161">
        <f>IF('callPut（F）'!E228="--",0,'callPut（F）'!E228)</f>
        <v>0</v>
      </c>
      <c r="J229" s="165">
        <v>26800</v>
      </c>
      <c r="K229" s="161">
        <f>IF('callPut（F）'!L228="--",0,'callPut（F）'!L228)</f>
        <v>0</v>
      </c>
      <c r="L229" s="161">
        <f>IF('callPut（F）'!M228="--",0,'callPut（F）'!M228)</f>
        <v>0</v>
      </c>
      <c r="O229" s="160">
        <f t="shared" si="15"/>
        <v>0</v>
      </c>
      <c r="P229" s="160">
        <f t="shared" si="16"/>
        <v>0</v>
      </c>
      <c r="Q229" s="166">
        <v>26800</v>
      </c>
      <c r="R229" s="160">
        <f t="shared" si="17"/>
        <v>0</v>
      </c>
      <c r="S229" s="160">
        <f t="shared" si="18"/>
        <v>0</v>
      </c>
      <c r="T229" s="161"/>
      <c r="U229" s="160">
        <v>0</v>
      </c>
      <c r="V229" s="160">
        <v>0</v>
      </c>
      <c r="X229" s="160">
        <v>0</v>
      </c>
      <c r="Y229" s="160">
        <v>0</v>
      </c>
      <c r="AA229" s="160"/>
      <c r="AB229" s="162"/>
      <c r="AC229" s="162"/>
      <c r="AD229" s="162">
        <f t="shared" si="19"/>
        <v>0</v>
      </c>
      <c r="AE229" s="160">
        <v>227</v>
      </c>
    </row>
    <row r="230" spans="2:31" ht="15.75" x14ac:dyDescent="0.25">
      <c r="B230" s="161">
        <f>IF('callPut（W）'!D229="--",0,'callPut（W）'!D229)</f>
        <v>0</v>
      </c>
      <c r="C230" s="161">
        <f>IF('callPut（W）'!E229="--",0,'callPut（W）'!E229)</f>
        <v>0</v>
      </c>
      <c r="D230" s="165">
        <v>26850</v>
      </c>
      <c r="E230" s="161">
        <f>IF('callPut（W）'!L229="--",0,'callPut（W）'!L229)</f>
        <v>0</v>
      </c>
      <c r="F230" s="161">
        <f>IF('callPut（W）'!M229="--",0,'callPut（W）'!M229)</f>
        <v>0</v>
      </c>
      <c r="H230" s="161">
        <f>IF('callPut（F）'!D229="--",0,'callPut（F）'!D229)</f>
        <v>0</v>
      </c>
      <c r="I230" s="161">
        <f>IF('callPut（F）'!E229="--",0,'callPut（F）'!E229)</f>
        <v>0</v>
      </c>
      <c r="J230" s="165">
        <v>26850</v>
      </c>
      <c r="K230" s="161">
        <f>IF('callPut（F）'!L229="--",0,'callPut（F）'!L229)</f>
        <v>0</v>
      </c>
      <c r="L230" s="161">
        <f>IF('callPut（F）'!M229="--",0,'callPut（F）'!M229)</f>
        <v>0</v>
      </c>
      <c r="O230" s="160">
        <f t="shared" si="15"/>
        <v>0</v>
      </c>
      <c r="P230" s="160">
        <f t="shared" si="16"/>
        <v>0</v>
      </c>
      <c r="Q230" s="166">
        <v>26850</v>
      </c>
      <c r="R230" s="160">
        <f t="shared" si="17"/>
        <v>0</v>
      </c>
      <c r="S230" s="160">
        <f t="shared" si="18"/>
        <v>0</v>
      </c>
      <c r="T230" s="161"/>
      <c r="U230" s="160">
        <v>0</v>
      </c>
      <c r="V230" s="160">
        <v>0</v>
      </c>
      <c r="X230" s="160">
        <v>0</v>
      </c>
      <c r="Y230" s="160">
        <v>0</v>
      </c>
      <c r="AA230" s="160"/>
      <c r="AB230" s="162"/>
      <c r="AC230" s="162"/>
      <c r="AD230" s="162">
        <f t="shared" si="19"/>
        <v>0</v>
      </c>
      <c r="AE230" s="160">
        <v>228</v>
      </c>
    </row>
    <row r="231" spans="2:31" ht="15.75" x14ac:dyDescent="0.25">
      <c r="B231" s="161">
        <f>IF('callPut（W）'!D230="--",0,'callPut（W）'!D230)</f>
        <v>0</v>
      </c>
      <c r="C231" s="161">
        <f>IF('callPut（W）'!E230="--",0,'callPut（W）'!E230)</f>
        <v>0</v>
      </c>
      <c r="D231" s="165">
        <v>26900</v>
      </c>
      <c r="E231" s="161">
        <f>IF('callPut（W）'!L230="--",0,'callPut（W）'!L230)</f>
        <v>0</v>
      </c>
      <c r="F231" s="161">
        <f>IF('callPut（W）'!M230="--",0,'callPut（W）'!M230)</f>
        <v>0</v>
      </c>
      <c r="H231" s="161">
        <f>IF('callPut（F）'!D230="--",0,'callPut（F）'!D230)</f>
        <v>0</v>
      </c>
      <c r="I231" s="161">
        <f>IF('callPut（F）'!E230="--",0,'callPut（F）'!E230)</f>
        <v>0</v>
      </c>
      <c r="J231" s="165">
        <v>26900</v>
      </c>
      <c r="K231" s="161">
        <f>IF('callPut（F）'!L230="--",0,'callPut（F）'!L230)</f>
        <v>0</v>
      </c>
      <c r="L231" s="161">
        <f>IF('callPut（F）'!M230="--",0,'callPut（F）'!M230)</f>
        <v>0</v>
      </c>
      <c r="O231" s="160">
        <f t="shared" si="15"/>
        <v>0</v>
      </c>
      <c r="P231" s="160">
        <f t="shared" si="16"/>
        <v>0</v>
      </c>
      <c r="Q231" s="166">
        <v>26900</v>
      </c>
      <c r="R231" s="160">
        <f t="shared" si="17"/>
        <v>0</v>
      </c>
      <c r="S231" s="160">
        <f t="shared" si="18"/>
        <v>0</v>
      </c>
      <c r="T231" s="161"/>
      <c r="U231" s="160">
        <v>0</v>
      </c>
      <c r="V231" s="160">
        <v>0</v>
      </c>
      <c r="X231" s="160">
        <v>0</v>
      </c>
      <c r="Y231" s="160">
        <v>0</v>
      </c>
      <c r="AA231" s="160"/>
      <c r="AB231" s="162"/>
      <c r="AC231" s="162"/>
      <c r="AD231" s="162">
        <f t="shared" si="19"/>
        <v>0</v>
      </c>
      <c r="AE231" s="160">
        <v>229</v>
      </c>
    </row>
    <row r="232" spans="2:31" ht="15.75" x14ac:dyDescent="0.25">
      <c r="B232" s="161">
        <f>IF('callPut（W）'!D231="--",0,'callPut（W）'!D231)</f>
        <v>0</v>
      </c>
      <c r="C232" s="161">
        <f>IF('callPut（W）'!E231="--",0,'callPut（W）'!E231)</f>
        <v>0</v>
      </c>
      <c r="D232" s="165">
        <v>26950</v>
      </c>
      <c r="E232" s="161">
        <f>IF('callPut（W）'!L231="--",0,'callPut（W）'!L231)</f>
        <v>0</v>
      </c>
      <c r="F232" s="161">
        <f>IF('callPut（W）'!M231="--",0,'callPut（W）'!M231)</f>
        <v>0</v>
      </c>
      <c r="H232" s="161">
        <f>IF('callPut（F）'!D231="--",0,'callPut（F）'!D231)</f>
        <v>0</v>
      </c>
      <c r="I232" s="161">
        <f>IF('callPut（F）'!E231="--",0,'callPut（F）'!E231)</f>
        <v>0</v>
      </c>
      <c r="J232" s="165">
        <v>26950</v>
      </c>
      <c r="K232" s="161">
        <f>IF('callPut（F）'!L231="--",0,'callPut（F）'!L231)</f>
        <v>0</v>
      </c>
      <c r="L232" s="161">
        <f>IF('callPut（F）'!M231="--",0,'callPut（F）'!M231)</f>
        <v>0</v>
      </c>
      <c r="O232" s="160">
        <f t="shared" si="15"/>
        <v>0</v>
      </c>
      <c r="P232" s="160">
        <f t="shared" si="16"/>
        <v>0</v>
      </c>
      <c r="Q232" s="166">
        <v>26950</v>
      </c>
      <c r="R232" s="160">
        <f t="shared" si="17"/>
        <v>0</v>
      </c>
      <c r="S232" s="160">
        <f t="shared" si="18"/>
        <v>0</v>
      </c>
      <c r="T232" s="161"/>
      <c r="U232" s="160">
        <v>0</v>
      </c>
      <c r="V232" s="160">
        <v>0</v>
      </c>
      <c r="X232" s="160">
        <v>0</v>
      </c>
      <c r="Y232" s="160">
        <v>0</v>
      </c>
      <c r="AA232" s="160"/>
      <c r="AB232" s="162"/>
      <c r="AC232" s="162"/>
      <c r="AD232" s="162">
        <f t="shared" si="19"/>
        <v>0</v>
      </c>
      <c r="AE232" s="160">
        <v>230</v>
      </c>
    </row>
    <row r="233" spans="2:31" ht="15.75" x14ac:dyDescent="0.25">
      <c r="B233" s="161">
        <f>IF('callPut（W）'!D232="--",0,'callPut（W）'!D232)</f>
        <v>0</v>
      </c>
      <c r="C233" s="161">
        <f>IF('callPut（W）'!E232="--",0,'callPut（W）'!E232)</f>
        <v>0</v>
      </c>
      <c r="D233" s="165">
        <v>27000</v>
      </c>
      <c r="E233" s="161">
        <f>IF('callPut（W）'!L232="--",0,'callPut（W）'!L232)</f>
        <v>0</v>
      </c>
      <c r="F233" s="161">
        <f>IF('callPut（W）'!M232="--",0,'callPut（W）'!M232)</f>
        <v>0</v>
      </c>
      <c r="H233" s="161">
        <f>IF('callPut（F）'!D232="--",0,'callPut（F）'!D232)</f>
        <v>0</v>
      </c>
      <c r="I233" s="161">
        <f>IF('callPut（F）'!E232="--",0,'callPut（F）'!E232)</f>
        <v>0</v>
      </c>
      <c r="J233" s="165">
        <v>27000</v>
      </c>
      <c r="K233" s="161">
        <f>IF('callPut（F）'!L232="--",0,'callPut（F）'!L232)</f>
        <v>0</v>
      </c>
      <c r="L233" s="161">
        <f>IF('callPut（F）'!M232="--",0,'callPut（F）'!M232)</f>
        <v>0</v>
      </c>
      <c r="O233" s="160">
        <f t="shared" si="15"/>
        <v>0</v>
      </c>
      <c r="P233" s="160">
        <f t="shared" si="16"/>
        <v>0</v>
      </c>
      <c r="Q233" s="166">
        <v>27000</v>
      </c>
      <c r="R233" s="160">
        <f t="shared" si="17"/>
        <v>0</v>
      </c>
      <c r="S233" s="160">
        <f t="shared" si="18"/>
        <v>0</v>
      </c>
      <c r="T233" s="161"/>
      <c r="U233" s="160">
        <v>0</v>
      </c>
      <c r="V233" s="160">
        <v>0</v>
      </c>
      <c r="X233" s="160">
        <v>0</v>
      </c>
      <c r="Y233" s="160">
        <v>0</v>
      </c>
      <c r="AA233" s="160"/>
      <c r="AB233" s="162"/>
      <c r="AC233" s="162"/>
      <c r="AD233" s="162">
        <f t="shared" si="19"/>
        <v>0</v>
      </c>
      <c r="AE233" s="160">
        <v>231</v>
      </c>
    </row>
    <row r="234" spans="2:31" ht="15.75" x14ac:dyDescent="0.25">
      <c r="B234" s="161">
        <f>IF('callPut（W）'!D233="--",0,'callPut（W）'!D233)</f>
        <v>0</v>
      </c>
      <c r="C234" s="161">
        <f>IF('callPut（W）'!E233="--",0,'callPut（W）'!E233)</f>
        <v>0</v>
      </c>
      <c r="D234" s="165">
        <v>27050</v>
      </c>
      <c r="E234" s="161">
        <f>IF('callPut（W）'!L233="--",0,'callPut（W）'!L233)</f>
        <v>0</v>
      </c>
      <c r="F234" s="161">
        <f>IF('callPut（W）'!M233="--",0,'callPut（W）'!M233)</f>
        <v>0</v>
      </c>
      <c r="H234" s="161">
        <f>IF('callPut（F）'!D233="--",0,'callPut（F）'!D233)</f>
        <v>0</v>
      </c>
      <c r="I234" s="161">
        <f>IF('callPut（F）'!E233="--",0,'callPut（F）'!E233)</f>
        <v>0</v>
      </c>
      <c r="J234" s="165">
        <v>27050</v>
      </c>
      <c r="K234" s="161">
        <f>IF('callPut（F）'!L233="--",0,'callPut（F）'!L233)</f>
        <v>0</v>
      </c>
      <c r="L234" s="161">
        <f>IF('callPut（F）'!M233="--",0,'callPut（F）'!M233)</f>
        <v>0</v>
      </c>
      <c r="O234" s="160">
        <f t="shared" si="15"/>
        <v>0</v>
      </c>
      <c r="P234" s="160">
        <f t="shared" si="16"/>
        <v>0</v>
      </c>
      <c r="Q234" s="166">
        <v>27050</v>
      </c>
      <c r="R234" s="160">
        <f t="shared" si="17"/>
        <v>0</v>
      </c>
      <c r="S234" s="160">
        <f t="shared" si="18"/>
        <v>0</v>
      </c>
      <c r="T234" s="161"/>
      <c r="U234" s="160">
        <v>0</v>
      </c>
      <c r="V234" s="160">
        <v>0</v>
      </c>
      <c r="X234" s="160">
        <v>0</v>
      </c>
      <c r="Y234" s="160">
        <v>0</v>
      </c>
      <c r="AA234" s="160"/>
      <c r="AB234" s="162"/>
      <c r="AC234" s="162"/>
      <c r="AD234" s="162">
        <f t="shared" si="19"/>
        <v>0</v>
      </c>
      <c r="AE234" s="160">
        <v>232</v>
      </c>
    </row>
    <row r="235" spans="2:31" ht="15.75" x14ac:dyDescent="0.25">
      <c r="B235" s="161">
        <f>IF('callPut（W）'!D234="--",0,'callPut（W）'!D234)</f>
        <v>0</v>
      </c>
      <c r="C235" s="161">
        <f>IF('callPut（W）'!E234="--",0,'callPut（W）'!E234)</f>
        <v>0</v>
      </c>
      <c r="D235" s="165">
        <v>27100</v>
      </c>
      <c r="E235" s="161">
        <f>IF('callPut（W）'!L234="--",0,'callPut（W）'!L234)</f>
        <v>0</v>
      </c>
      <c r="F235" s="161">
        <f>IF('callPut（W）'!M234="--",0,'callPut（W）'!M234)</f>
        <v>0</v>
      </c>
      <c r="H235" s="161">
        <f>IF('callPut（F）'!D234="--",0,'callPut（F）'!D234)</f>
        <v>0</v>
      </c>
      <c r="I235" s="161">
        <f>IF('callPut（F）'!E234="--",0,'callPut（F）'!E234)</f>
        <v>0</v>
      </c>
      <c r="J235" s="165">
        <v>27100</v>
      </c>
      <c r="K235" s="161">
        <f>IF('callPut（F）'!L234="--",0,'callPut（F）'!L234)</f>
        <v>0</v>
      </c>
      <c r="L235" s="161">
        <f>IF('callPut（F）'!M234="--",0,'callPut（F）'!M234)</f>
        <v>0</v>
      </c>
      <c r="O235" s="160">
        <f t="shared" si="15"/>
        <v>0</v>
      </c>
      <c r="P235" s="160">
        <f t="shared" si="16"/>
        <v>0</v>
      </c>
      <c r="Q235" s="166">
        <v>27100</v>
      </c>
      <c r="R235" s="160">
        <f t="shared" si="17"/>
        <v>0</v>
      </c>
      <c r="S235" s="160">
        <f t="shared" si="18"/>
        <v>0</v>
      </c>
      <c r="T235" s="161"/>
      <c r="U235" s="160">
        <v>0</v>
      </c>
      <c r="V235" s="160">
        <v>0</v>
      </c>
      <c r="X235" s="160">
        <v>0</v>
      </c>
      <c r="Y235" s="160">
        <v>0</v>
      </c>
      <c r="AA235" s="160"/>
      <c r="AB235" s="162"/>
      <c r="AC235" s="162"/>
      <c r="AD235" s="162">
        <f t="shared" si="19"/>
        <v>0</v>
      </c>
      <c r="AE235" s="160">
        <v>233</v>
      </c>
    </row>
    <row r="236" spans="2:31" ht="15.75" x14ac:dyDescent="0.25">
      <c r="B236" s="161">
        <f>IF('callPut（W）'!D235="--",0,'callPut（W）'!D235)</f>
        <v>0</v>
      </c>
      <c r="C236" s="161">
        <f>IF('callPut（W）'!E235="--",0,'callPut（W）'!E235)</f>
        <v>0</v>
      </c>
      <c r="D236" s="165">
        <v>27150</v>
      </c>
      <c r="E236" s="161">
        <f>IF('callPut（W）'!L235="--",0,'callPut（W）'!L235)</f>
        <v>0</v>
      </c>
      <c r="F236" s="161">
        <f>IF('callPut（W）'!M235="--",0,'callPut（W）'!M235)</f>
        <v>0</v>
      </c>
      <c r="H236" s="161">
        <f>IF('callPut（F）'!D235="--",0,'callPut（F）'!D235)</f>
        <v>0</v>
      </c>
      <c r="I236" s="161">
        <f>IF('callPut（F）'!E235="--",0,'callPut（F）'!E235)</f>
        <v>0</v>
      </c>
      <c r="J236" s="165">
        <v>27150</v>
      </c>
      <c r="K236" s="161">
        <f>IF('callPut（F）'!L235="--",0,'callPut（F）'!L235)</f>
        <v>0</v>
      </c>
      <c r="L236" s="161">
        <f>IF('callPut（F）'!M235="--",0,'callPut（F）'!M235)</f>
        <v>0</v>
      </c>
      <c r="O236" s="160">
        <f t="shared" si="15"/>
        <v>0</v>
      </c>
      <c r="P236" s="160">
        <f t="shared" si="16"/>
        <v>0</v>
      </c>
      <c r="Q236" s="166">
        <v>27150</v>
      </c>
      <c r="R236" s="160">
        <f t="shared" si="17"/>
        <v>0</v>
      </c>
      <c r="S236" s="160">
        <f t="shared" si="18"/>
        <v>0</v>
      </c>
      <c r="T236" s="161"/>
      <c r="U236" s="160">
        <v>0</v>
      </c>
      <c r="V236" s="160">
        <v>0</v>
      </c>
      <c r="X236" s="160">
        <v>0</v>
      </c>
      <c r="Y236" s="160">
        <v>0</v>
      </c>
      <c r="AA236" s="160"/>
      <c r="AB236" s="162"/>
      <c r="AC236" s="162"/>
      <c r="AD236" s="162">
        <f t="shared" si="19"/>
        <v>0</v>
      </c>
      <c r="AE236" s="160">
        <v>234</v>
      </c>
    </row>
    <row r="237" spans="2:31" ht="15.75" x14ac:dyDescent="0.25">
      <c r="B237" s="161">
        <f>IF('callPut（W）'!D236="--",0,'callPut（W）'!D236)</f>
        <v>0</v>
      </c>
      <c r="C237" s="161">
        <f>IF('callPut（W）'!E236="--",0,'callPut（W）'!E236)</f>
        <v>0</v>
      </c>
      <c r="D237" s="165">
        <v>27200</v>
      </c>
      <c r="E237" s="161">
        <f>IF('callPut（W）'!L236="--",0,'callPut（W）'!L236)</f>
        <v>0</v>
      </c>
      <c r="F237" s="161">
        <f>IF('callPut（W）'!M236="--",0,'callPut（W）'!M236)</f>
        <v>0</v>
      </c>
      <c r="H237" s="161">
        <f>IF('callPut（F）'!D236="--",0,'callPut（F）'!D236)</f>
        <v>0</v>
      </c>
      <c r="I237" s="161">
        <f>IF('callPut（F）'!E236="--",0,'callPut（F）'!E236)</f>
        <v>0</v>
      </c>
      <c r="J237" s="165">
        <v>27200</v>
      </c>
      <c r="K237" s="161">
        <f>IF('callPut（F）'!L236="--",0,'callPut（F）'!L236)</f>
        <v>0</v>
      </c>
      <c r="L237" s="161">
        <f>IF('callPut（F）'!M236="--",0,'callPut（F）'!M236)</f>
        <v>0</v>
      </c>
      <c r="O237" s="160">
        <f t="shared" si="15"/>
        <v>0</v>
      </c>
      <c r="P237" s="160">
        <f t="shared" si="16"/>
        <v>0</v>
      </c>
      <c r="Q237" s="166">
        <v>27200</v>
      </c>
      <c r="R237" s="160">
        <f t="shared" si="17"/>
        <v>0</v>
      </c>
      <c r="S237" s="160">
        <f t="shared" si="18"/>
        <v>0</v>
      </c>
      <c r="T237" s="161"/>
      <c r="U237" s="160">
        <v>0</v>
      </c>
      <c r="V237" s="160">
        <v>0</v>
      </c>
      <c r="X237" s="160">
        <v>0</v>
      </c>
      <c r="Y237" s="160">
        <v>0</v>
      </c>
      <c r="AA237" s="160"/>
      <c r="AB237" s="162"/>
      <c r="AC237" s="162"/>
      <c r="AD237" s="162">
        <f t="shared" si="19"/>
        <v>0</v>
      </c>
      <c r="AE237" s="160">
        <v>235</v>
      </c>
    </row>
    <row r="238" spans="2:31" ht="15.75" x14ac:dyDescent="0.25">
      <c r="B238" s="161">
        <f>IF('callPut（W）'!D237="--",0,'callPut（W）'!D237)</f>
        <v>0</v>
      </c>
      <c r="C238" s="161">
        <f>IF('callPut（W）'!E237="--",0,'callPut（W）'!E237)</f>
        <v>0</v>
      </c>
      <c r="D238" s="165">
        <v>27250</v>
      </c>
      <c r="E238" s="161">
        <f>IF('callPut（W）'!L237="--",0,'callPut（W）'!L237)</f>
        <v>0</v>
      </c>
      <c r="F238" s="161">
        <f>IF('callPut（W）'!M237="--",0,'callPut（W）'!M237)</f>
        <v>0</v>
      </c>
      <c r="H238" s="161">
        <f>IF('callPut（F）'!D237="--",0,'callPut（F）'!D237)</f>
        <v>0</v>
      </c>
      <c r="I238" s="161">
        <f>IF('callPut（F）'!E237="--",0,'callPut（F）'!E237)</f>
        <v>0</v>
      </c>
      <c r="J238" s="165">
        <v>27250</v>
      </c>
      <c r="K238" s="161">
        <f>IF('callPut（F）'!L237="--",0,'callPut（F）'!L237)</f>
        <v>0</v>
      </c>
      <c r="L238" s="161">
        <f>IF('callPut（F）'!M237="--",0,'callPut（F）'!M237)</f>
        <v>0</v>
      </c>
      <c r="O238" s="160">
        <f t="shared" si="15"/>
        <v>0</v>
      </c>
      <c r="P238" s="160">
        <f t="shared" si="16"/>
        <v>0</v>
      </c>
      <c r="Q238" s="166">
        <v>27250</v>
      </c>
      <c r="R238" s="160">
        <f t="shared" si="17"/>
        <v>0</v>
      </c>
      <c r="S238" s="160">
        <f t="shared" si="18"/>
        <v>0</v>
      </c>
      <c r="T238" s="161"/>
      <c r="U238" s="160">
        <v>0</v>
      </c>
      <c r="V238" s="160">
        <v>0</v>
      </c>
      <c r="X238" s="160">
        <v>0</v>
      </c>
      <c r="Y238" s="160">
        <v>0</v>
      </c>
      <c r="AA238" s="160"/>
      <c r="AB238" s="162"/>
      <c r="AC238" s="162"/>
      <c r="AD238" s="162">
        <f t="shared" si="19"/>
        <v>0</v>
      </c>
      <c r="AE238" s="160">
        <v>236</v>
      </c>
    </row>
    <row r="239" spans="2:31" ht="15.75" x14ac:dyDescent="0.25">
      <c r="B239" s="161">
        <f>IF('callPut（W）'!D238="--",0,'callPut（W）'!D238)</f>
        <v>0</v>
      </c>
      <c r="C239" s="161">
        <f>IF('callPut（W）'!E238="--",0,'callPut（W）'!E238)</f>
        <v>0</v>
      </c>
      <c r="D239" s="165">
        <v>27300</v>
      </c>
      <c r="E239" s="161">
        <f>IF('callPut（W）'!L238="--",0,'callPut（W）'!L238)</f>
        <v>0</v>
      </c>
      <c r="F239" s="161">
        <f>IF('callPut（W）'!M238="--",0,'callPut（W）'!M238)</f>
        <v>0</v>
      </c>
      <c r="H239" s="161">
        <f>IF('callPut（F）'!D238="--",0,'callPut（F）'!D238)</f>
        <v>0</v>
      </c>
      <c r="I239" s="161">
        <f>IF('callPut（F）'!E238="--",0,'callPut（F）'!E238)</f>
        <v>0</v>
      </c>
      <c r="J239" s="165">
        <v>27300</v>
      </c>
      <c r="K239" s="161">
        <f>IF('callPut（F）'!L238="--",0,'callPut（F）'!L238)</f>
        <v>0</v>
      </c>
      <c r="L239" s="161">
        <f>IF('callPut（F）'!M238="--",0,'callPut（F）'!M238)</f>
        <v>0</v>
      </c>
      <c r="O239" s="160">
        <f t="shared" si="15"/>
        <v>0</v>
      </c>
      <c r="P239" s="160">
        <f t="shared" si="16"/>
        <v>0</v>
      </c>
      <c r="Q239" s="166">
        <v>27300</v>
      </c>
      <c r="R239" s="160">
        <f t="shared" si="17"/>
        <v>0</v>
      </c>
      <c r="S239" s="160">
        <f t="shared" si="18"/>
        <v>0</v>
      </c>
      <c r="T239" s="161"/>
      <c r="U239" s="160">
        <v>0</v>
      </c>
      <c r="V239" s="160">
        <v>0</v>
      </c>
      <c r="X239" s="160">
        <v>0</v>
      </c>
      <c r="Y239" s="160">
        <v>0</v>
      </c>
      <c r="AA239" s="160"/>
      <c r="AB239" s="162"/>
      <c r="AC239" s="162"/>
      <c r="AD239" s="162">
        <f t="shared" si="19"/>
        <v>0</v>
      </c>
      <c r="AE239" s="160">
        <v>237</v>
      </c>
    </row>
    <row r="240" spans="2:31" ht="15.75" x14ac:dyDescent="0.25">
      <c r="B240" s="161">
        <f>IF('callPut（W）'!D239="--",0,'callPut（W）'!D239)</f>
        <v>0</v>
      </c>
      <c r="C240" s="161">
        <f>IF('callPut（W）'!E239="--",0,'callPut（W）'!E239)</f>
        <v>0</v>
      </c>
      <c r="D240" s="165">
        <v>27350</v>
      </c>
      <c r="E240" s="161">
        <f>IF('callPut（W）'!L239="--",0,'callPut（W）'!L239)</f>
        <v>0</v>
      </c>
      <c r="F240" s="161">
        <f>IF('callPut（W）'!M239="--",0,'callPut（W）'!M239)</f>
        <v>0</v>
      </c>
      <c r="H240" s="161">
        <f>IF('callPut（F）'!D239="--",0,'callPut（F）'!D239)</f>
        <v>0</v>
      </c>
      <c r="I240" s="161">
        <f>IF('callPut（F）'!E239="--",0,'callPut（F）'!E239)</f>
        <v>0</v>
      </c>
      <c r="J240" s="165">
        <v>27350</v>
      </c>
      <c r="K240" s="161">
        <f>IF('callPut（F）'!L239="--",0,'callPut（F）'!L239)</f>
        <v>0</v>
      </c>
      <c r="L240" s="161">
        <f>IF('callPut（F）'!M239="--",0,'callPut（F）'!M239)</f>
        <v>0</v>
      </c>
      <c r="O240" s="160">
        <f t="shared" si="15"/>
        <v>0</v>
      </c>
      <c r="P240" s="160">
        <f t="shared" si="16"/>
        <v>0</v>
      </c>
      <c r="Q240" s="166">
        <v>27350</v>
      </c>
      <c r="R240" s="160">
        <f t="shared" si="17"/>
        <v>0</v>
      </c>
      <c r="S240" s="160">
        <f t="shared" si="18"/>
        <v>0</v>
      </c>
      <c r="T240" s="161"/>
      <c r="U240" s="160">
        <v>0</v>
      </c>
      <c r="V240" s="160">
        <v>0</v>
      </c>
      <c r="X240" s="160">
        <v>0</v>
      </c>
      <c r="Y240" s="160">
        <v>0</v>
      </c>
      <c r="AA240" s="160"/>
      <c r="AB240" s="162"/>
      <c r="AC240" s="162"/>
      <c r="AD240" s="162">
        <f t="shared" si="19"/>
        <v>0</v>
      </c>
      <c r="AE240" s="160">
        <v>238</v>
      </c>
    </row>
    <row r="241" spans="2:31" ht="15.75" x14ac:dyDescent="0.25">
      <c r="B241" s="161">
        <f>IF('callPut（W）'!D240="--",0,'callPut（W）'!D240)</f>
        <v>0</v>
      </c>
      <c r="C241" s="161">
        <f>IF('callPut（W）'!E240="--",0,'callPut（W）'!E240)</f>
        <v>0</v>
      </c>
      <c r="D241" s="165">
        <v>27400</v>
      </c>
      <c r="E241" s="161">
        <f>IF('callPut（W）'!L240="--",0,'callPut（W）'!L240)</f>
        <v>0</v>
      </c>
      <c r="F241" s="161">
        <f>IF('callPut（W）'!M240="--",0,'callPut（W）'!M240)</f>
        <v>0</v>
      </c>
      <c r="H241" s="161">
        <f>IF('callPut（F）'!D240="--",0,'callPut（F）'!D240)</f>
        <v>0</v>
      </c>
      <c r="I241" s="161">
        <f>IF('callPut（F）'!E240="--",0,'callPut（F）'!E240)</f>
        <v>0</v>
      </c>
      <c r="J241" s="165">
        <v>27400</v>
      </c>
      <c r="K241" s="161">
        <f>IF('callPut（F）'!L240="--",0,'callPut（F）'!L240)</f>
        <v>0</v>
      </c>
      <c r="L241" s="161">
        <f>IF('callPut（F）'!M240="--",0,'callPut（F）'!M240)</f>
        <v>0</v>
      </c>
      <c r="O241" s="160">
        <f t="shared" si="15"/>
        <v>0</v>
      </c>
      <c r="P241" s="160">
        <f t="shared" si="16"/>
        <v>0</v>
      </c>
      <c r="Q241" s="166">
        <v>27400</v>
      </c>
      <c r="R241" s="160">
        <f t="shared" si="17"/>
        <v>0</v>
      </c>
      <c r="S241" s="160">
        <f t="shared" si="18"/>
        <v>0</v>
      </c>
      <c r="T241" s="161"/>
      <c r="U241" s="160">
        <v>0</v>
      </c>
      <c r="V241" s="160">
        <v>0</v>
      </c>
      <c r="X241" s="160">
        <v>0</v>
      </c>
      <c r="Y241" s="160">
        <v>0</v>
      </c>
      <c r="AA241" s="160"/>
      <c r="AB241" s="162"/>
      <c r="AC241" s="162"/>
      <c r="AD241" s="162">
        <f t="shared" si="19"/>
        <v>0</v>
      </c>
      <c r="AE241" s="160">
        <v>239</v>
      </c>
    </row>
    <row r="242" spans="2:31" ht="15.75" x14ac:dyDescent="0.25">
      <c r="B242" s="161">
        <f>IF('callPut（W）'!D241="--",0,'callPut（W）'!D241)</f>
        <v>0</v>
      </c>
      <c r="C242" s="161">
        <f>IF('callPut（W）'!E241="--",0,'callPut（W）'!E241)</f>
        <v>0</v>
      </c>
      <c r="D242" s="165">
        <v>27450</v>
      </c>
      <c r="E242" s="161">
        <f>IF('callPut（W）'!L241="--",0,'callPut（W）'!L241)</f>
        <v>0</v>
      </c>
      <c r="F242" s="161">
        <f>IF('callPut（W）'!M241="--",0,'callPut（W）'!M241)</f>
        <v>0</v>
      </c>
      <c r="H242" s="161">
        <f>IF('callPut（F）'!D241="--",0,'callPut（F）'!D241)</f>
        <v>0</v>
      </c>
      <c r="I242" s="161">
        <f>IF('callPut（F）'!E241="--",0,'callPut（F）'!E241)</f>
        <v>0</v>
      </c>
      <c r="J242" s="165">
        <v>27450</v>
      </c>
      <c r="K242" s="161">
        <f>IF('callPut（F）'!L241="--",0,'callPut（F）'!L241)</f>
        <v>0</v>
      </c>
      <c r="L242" s="161">
        <f>IF('callPut（F）'!M241="--",0,'callPut（F）'!M241)</f>
        <v>0</v>
      </c>
      <c r="O242" s="160">
        <f t="shared" si="15"/>
        <v>0</v>
      </c>
      <c r="P242" s="160">
        <f t="shared" si="16"/>
        <v>0</v>
      </c>
      <c r="Q242" s="166">
        <v>27450</v>
      </c>
      <c r="R242" s="160">
        <f t="shared" si="17"/>
        <v>0</v>
      </c>
      <c r="S242" s="160">
        <f t="shared" si="18"/>
        <v>0</v>
      </c>
      <c r="T242" s="161"/>
      <c r="U242" s="160">
        <v>0</v>
      </c>
      <c r="V242" s="160">
        <v>0</v>
      </c>
      <c r="X242" s="160">
        <v>0</v>
      </c>
      <c r="Y242" s="160">
        <v>0</v>
      </c>
      <c r="AA242" s="160"/>
      <c r="AB242" s="162"/>
      <c r="AC242" s="162"/>
      <c r="AD242" s="162">
        <f t="shared" si="19"/>
        <v>0</v>
      </c>
      <c r="AE242" s="160">
        <v>240</v>
      </c>
    </row>
    <row r="243" spans="2:31" ht="15.75" x14ac:dyDescent="0.25">
      <c r="B243" s="161">
        <f>IF('callPut（W）'!D242="--",0,'callPut（W）'!D242)</f>
        <v>0</v>
      </c>
      <c r="C243" s="161">
        <f>IF('callPut（W）'!E242="--",0,'callPut（W）'!E242)</f>
        <v>0</v>
      </c>
      <c r="D243" s="165">
        <v>27500</v>
      </c>
      <c r="E243" s="161">
        <f>IF('callPut（W）'!L242="--",0,'callPut（W）'!L242)</f>
        <v>0</v>
      </c>
      <c r="F243" s="161">
        <f>IF('callPut（W）'!M242="--",0,'callPut（W）'!M242)</f>
        <v>0</v>
      </c>
      <c r="H243" s="161">
        <f>IF('callPut（F）'!D242="--",0,'callPut（F）'!D242)</f>
        <v>0</v>
      </c>
      <c r="I243" s="161">
        <f>IF('callPut（F）'!E242="--",0,'callPut（F）'!E242)</f>
        <v>0</v>
      </c>
      <c r="J243" s="165">
        <v>27500</v>
      </c>
      <c r="K243" s="161">
        <f>IF('callPut（F）'!L242="--",0,'callPut（F）'!L242)</f>
        <v>0</v>
      </c>
      <c r="L243" s="161">
        <f>IF('callPut（F）'!M242="--",0,'callPut（F）'!M242)</f>
        <v>0</v>
      </c>
      <c r="O243" s="160">
        <f t="shared" si="15"/>
        <v>0</v>
      </c>
      <c r="P243" s="160">
        <f t="shared" si="16"/>
        <v>0</v>
      </c>
      <c r="Q243" s="166">
        <v>27500</v>
      </c>
      <c r="R243" s="160">
        <f t="shared" si="17"/>
        <v>0</v>
      </c>
      <c r="S243" s="160">
        <f t="shared" si="18"/>
        <v>0</v>
      </c>
      <c r="T243" s="161"/>
      <c r="U243" s="160">
        <v>0</v>
      </c>
      <c r="V243" s="160">
        <v>0</v>
      </c>
      <c r="X243" s="160">
        <v>0</v>
      </c>
      <c r="Y243" s="160">
        <v>0</v>
      </c>
      <c r="AA243" s="160"/>
      <c r="AB243" s="162"/>
      <c r="AC243" s="162"/>
      <c r="AD243" s="162">
        <f t="shared" si="19"/>
        <v>0</v>
      </c>
      <c r="AE243" s="160">
        <v>241</v>
      </c>
    </row>
    <row r="244" spans="2:31" ht="15.75" x14ac:dyDescent="0.25">
      <c r="B244" s="161">
        <f>IF('callPut（W）'!D243="--",0,'callPut（W）'!D243)</f>
        <v>0</v>
      </c>
      <c r="C244" s="161">
        <f>IF('callPut（W）'!E243="--",0,'callPut（W）'!E243)</f>
        <v>0</v>
      </c>
      <c r="D244" s="165">
        <v>27550</v>
      </c>
      <c r="E244" s="161">
        <f>IF('callPut（W）'!L243="--",0,'callPut（W）'!L243)</f>
        <v>0</v>
      </c>
      <c r="F244" s="161">
        <f>IF('callPut（W）'!M243="--",0,'callPut（W）'!M243)</f>
        <v>0</v>
      </c>
      <c r="H244" s="161">
        <f>IF('callPut（F）'!D243="--",0,'callPut（F）'!D243)</f>
        <v>0</v>
      </c>
      <c r="I244" s="161">
        <f>IF('callPut（F）'!E243="--",0,'callPut（F）'!E243)</f>
        <v>0</v>
      </c>
      <c r="J244" s="165">
        <v>27550</v>
      </c>
      <c r="K244" s="161">
        <f>IF('callPut（F）'!L243="--",0,'callPut（F）'!L243)</f>
        <v>0</v>
      </c>
      <c r="L244" s="161">
        <f>IF('callPut（F）'!M243="--",0,'callPut（F）'!M243)</f>
        <v>0</v>
      </c>
      <c r="O244" s="160">
        <f t="shared" si="15"/>
        <v>0</v>
      </c>
      <c r="P244" s="160">
        <f t="shared" si="16"/>
        <v>0</v>
      </c>
      <c r="Q244" s="166">
        <v>27550</v>
      </c>
      <c r="R244" s="160">
        <f t="shared" si="17"/>
        <v>0</v>
      </c>
      <c r="S244" s="160">
        <f t="shared" si="18"/>
        <v>0</v>
      </c>
      <c r="T244" s="161"/>
      <c r="U244" s="160">
        <v>0</v>
      </c>
      <c r="V244" s="160">
        <v>0</v>
      </c>
      <c r="X244" s="160">
        <v>0</v>
      </c>
      <c r="Y244" s="160">
        <v>0</v>
      </c>
      <c r="AA244" s="160"/>
      <c r="AB244" s="162"/>
      <c r="AC244" s="162"/>
      <c r="AD244" s="162">
        <f t="shared" si="19"/>
        <v>0</v>
      </c>
      <c r="AE244" s="160">
        <v>242</v>
      </c>
    </row>
    <row r="245" spans="2:31" ht="15.75" x14ac:dyDescent="0.25">
      <c r="B245" s="161">
        <f>IF('callPut（W）'!D244="--",0,'callPut（W）'!D244)</f>
        <v>0</v>
      </c>
      <c r="C245" s="161">
        <f>IF('callPut（W）'!E244="--",0,'callPut（W）'!E244)</f>
        <v>0</v>
      </c>
      <c r="D245" s="165">
        <v>27600</v>
      </c>
      <c r="E245" s="161">
        <f>IF('callPut（W）'!L244="--",0,'callPut（W）'!L244)</f>
        <v>0</v>
      </c>
      <c r="F245" s="161">
        <f>IF('callPut（W）'!M244="--",0,'callPut（W）'!M244)</f>
        <v>0</v>
      </c>
      <c r="H245" s="161">
        <f>IF('callPut（F）'!D244="--",0,'callPut（F）'!D244)</f>
        <v>0</v>
      </c>
      <c r="I245" s="161">
        <f>IF('callPut（F）'!E244="--",0,'callPut（F）'!E244)</f>
        <v>0</v>
      </c>
      <c r="J245" s="165">
        <v>27600</v>
      </c>
      <c r="K245" s="161">
        <f>IF('callPut（F）'!L244="--",0,'callPut（F）'!L244)</f>
        <v>0</v>
      </c>
      <c r="L245" s="161">
        <f>IF('callPut（F）'!M244="--",0,'callPut（F）'!M244)</f>
        <v>0</v>
      </c>
      <c r="O245" s="160">
        <f t="shared" si="15"/>
        <v>0</v>
      </c>
      <c r="P245" s="160">
        <f t="shared" si="16"/>
        <v>0</v>
      </c>
      <c r="Q245" s="166">
        <v>27600</v>
      </c>
      <c r="R245" s="160">
        <f t="shared" si="17"/>
        <v>0</v>
      </c>
      <c r="S245" s="160">
        <f t="shared" si="18"/>
        <v>0</v>
      </c>
      <c r="T245" s="161"/>
      <c r="U245" s="160">
        <v>0</v>
      </c>
      <c r="V245" s="160">
        <v>0</v>
      </c>
      <c r="X245" s="160">
        <v>0</v>
      </c>
      <c r="Y245" s="160">
        <v>0</v>
      </c>
      <c r="AA245" s="160"/>
      <c r="AB245" s="162"/>
      <c r="AC245" s="162"/>
      <c r="AD245" s="162">
        <f t="shared" si="19"/>
        <v>0</v>
      </c>
      <c r="AE245" s="160">
        <v>243</v>
      </c>
    </row>
    <row r="246" spans="2:31" ht="15.75" x14ac:dyDescent="0.25">
      <c r="B246" s="161">
        <f>IF('callPut（W）'!D245="--",0,'callPut（W）'!D245)</f>
        <v>0</v>
      </c>
      <c r="C246" s="161">
        <f>IF('callPut（W）'!E245="--",0,'callPut（W）'!E245)</f>
        <v>0</v>
      </c>
      <c r="D246" s="165">
        <v>27650</v>
      </c>
      <c r="E246" s="161">
        <f>IF('callPut（W）'!L245="--",0,'callPut（W）'!L245)</f>
        <v>0</v>
      </c>
      <c r="F246" s="161">
        <f>IF('callPut（W）'!M245="--",0,'callPut（W）'!M245)</f>
        <v>0</v>
      </c>
      <c r="H246" s="161">
        <f>IF('callPut（F）'!D245="--",0,'callPut（F）'!D245)</f>
        <v>0</v>
      </c>
      <c r="I246" s="161">
        <f>IF('callPut（F）'!E245="--",0,'callPut（F）'!E245)</f>
        <v>0</v>
      </c>
      <c r="J246" s="165">
        <v>27650</v>
      </c>
      <c r="K246" s="161">
        <f>IF('callPut（F）'!L245="--",0,'callPut（F）'!L245)</f>
        <v>0</v>
      </c>
      <c r="L246" s="161">
        <f>IF('callPut（F）'!M245="--",0,'callPut（F）'!M245)</f>
        <v>0</v>
      </c>
      <c r="O246" s="160">
        <f t="shared" si="15"/>
        <v>0</v>
      </c>
      <c r="P246" s="160">
        <f t="shared" si="16"/>
        <v>0</v>
      </c>
      <c r="Q246" s="166">
        <v>27650</v>
      </c>
      <c r="R246" s="160">
        <f t="shared" si="17"/>
        <v>0</v>
      </c>
      <c r="S246" s="160">
        <f t="shared" si="18"/>
        <v>0</v>
      </c>
      <c r="T246" s="161"/>
      <c r="U246" s="160">
        <v>0</v>
      </c>
      <c r="V246" s="160">
        <v>0</v>
      </c>
      <c r="X246" s="160">
        <v>0</v>
      </c>
      <c r="Y246" s="160">
        <v>0</v>
      </c>
      <c r="AA246" s="160"/>
      <c r="AB246" s="162"/>
      <c r="AC246" s="162"/>
      <c r="AD246" s="162">
        <f t="shared" si="19"/>
        <v>0</v>
      </c>
      <c r="AE246" s="160">
        <v>244</v>
      </c>
    </row>
    <row r="247" spans="2:31" ht="15.75" x14ac:dyDescent="0.25">
      <c r="B247" s="161">
        <f>IF('callPut（W）'!D246="--",0,'callPut（W）'!D246)</f>
        <v>0</v>
      </c>
      <c r="C247" s="161">
        <f>IF('callPut（W）'!E246="--",0,'callPut（W）'!E246)</f>
        <v>0</v>
      </c>
      <c r="D247" s="165">
        <v>27700</v>
      </c>
      <c r="E247" s="161">
        <f>IF('callPut（W）'!L246="--",0,'callPut（W）'!L246)</f>
        <v>0</v>
      </c>
      <c r="F247" s="161">
        <f>IF('callPut（W）'!M246="--",0,'callPut（W）'!M246)</f>
        <v>0</v>
      </c>
      <c r="H247" s="161">
        <f>IF('callPut（F）'!D246="--",0,'callPut（F）'!D246)</f>
        <v>0</v>
      </c>
      <c r="I247" s="161">
        <f>IF('callPut（F）'!E246="--",0,'callPut（F）'!E246)</f>
        <v>0</v>
      </c>
      <c r="J247" s="165">
        <v>27700</v>
      </c>
      <c r="K247" s="161">
        <f>IF('callPut（F）'!L246="--",0,'callPut（F）'!L246)</f>
        <v>0</v>
      </c>
      <c r="L247" s="161">
        <f>IF('callPut（F）'!M246="--",0,'callPut（F）'!M246)</f>
        <v>0</v>
      </c>
      <c r="O247" s="160">
        <f t="shared" si="15"/>
        <v>0</v>
      </c>
      <c r="P247" s="160">
        <f t="shared" si="16"/>
        <v>0</v>
      </c>
      <c r="Q247" s="166">
        <v>27700</v>
      </c>
      <c r="R247" s="160">
        <f t="shared" si="17"/>
        <v>0</v>
      </c>
      <c r="S247" s="160">
        <f t="shared" si="18"/>
        <v>0</v>
      </c>
      <c r="T247" s="161"/>
      <c r="U247" s="160">
        <v>0</v>
      </c>
      <c r="V247" s="160">
        <v>0</v>
      </c>
      <c r="X247" s="160">
        <v>0</v>
      </c>
      <c r="Y247" s="160">
        <v>0</v>
      </c>
      <c r="AA247" s="160"/>
      <c r="AB247" s="162"/>
      <c r="AC247" s="162"/>
      <c r="AD247" s="162">
        <f t="shared" si="19"/>
        <v>0</v>
      </c>
      <c r="AE247" s="160">
        <v>245</v>
      </c>
    </row>
    <row r="248" spans="2:31" ht="15.75" x14ac:dyDescent="0.25">
      <c r="B248" s="161">
        <f>IF('callPut（W）'!D247="--",0,'callPut（W）'!D247)</f>
        <v>0</v>
      </c>
      <c r="C248" s="161">
        <f>IF('callPut（W）'!E247="--",0,'callPut（W）'!E247)</f>
        <v>0</v>
      </c>
      <c r="D248" s="165">
        <v>27750</v>
      </c>
      <c r="E248" s="161">
        <f>IF('callPut（W）'!L247="--",0,'callPut（W）'!L247)</f>
        <v>0</v>
      </c>
      <c r="F248" s="161">
        <f>IF('callPut（W）'!M247="--",0,'callPut（W）'!M247)</f>
        <v>0</v>
      </c>
      <c r="H248" s="161">
        <f>IF('callPut（F）'!D247="--",0,'callPut（F）'!D247)</f>
        <v>0</v>
      </c>
      <c r="I248" s="161">
        <f>IF('callPut（F）'!E247="--",0,'callPut（F）'!E247)</f>
        <v>0</v>
      </c>
      <c r="J248" s="165">
        <v>27750</v>
      </c>
      <c r="K248" s="161">
        <f>IF('callPut（F）'!L247="--",0,'callPut（F）'!L247)</f>
        <v>0</v>
      </c>
      <c r="L248" s="161">
        <f>IF('callPut（F）'!M247="--",0,'callPut（F）'!M247)</f>
        <v>0</v>
      </c>
      <c r="O248" s="160">
        <f t="shared" si="15"/>
        <v>0</v>
      </c>
      <c r="P248" s="160">
        <f t="shared" si="16"/>
        <v>0</v>
      </c>
      <c r="Q248" s="166">
        <v>27750</v>
      </c>
      <c r="R248" s="160">
        <f t="shared" si="17"/>
        <v>0</v>
      </c>
      <c r="S248" s="160">
        <f t="shared" si="18"/>
        <v>0</v>
      </c>
      <c r="T248" s="161"/>
      <c r="U248" s="160">
        <v>0</v>
      </c>
      <c r="V248" s="160">
        <v>0</v>
      </c>
      <c r="X248" s="160">
        <v>0</v>
      </c>
      <c r="Y248" s="160">
        <v>0</v>
      </c>
      <c r="AA248" s="160"/>
      <c r="AB248" s="162"/>
      <c r="AC248" s="162"/>
      <c r="AD248" s="162">
        <f t="shared" si="19"/>
        <v>0</v>
      </c>
      <c r="AE248" s="160">
        <v>246</v>
      </c>
    </row>
    <row r="249" spans="2:31" ht="15.75" x14ac:dyDescent="0.25">
      <c r="B249" s="161">
        <f>IF('callPut（W）'!D248="--",0,'callPut（W）'!D248)</f>
        <v>0</v>
      </c>
      <c r="C249" s="161">
        <f>IF('callPut（W）'!E248="--",0,'callPut（W）'!E248)</f>
        <v>0</v>
      </c>
      <c r="D249" s="165">
        <v>27800</v>
      </c>
      <c r="E249" s="161">
        <f>IF('callPut（W）'!L248="--",0,'callPut（W）'!L248)</f>
        <v>0</v>
      </c>
      <c r="F249" s="161">
        <f>IF('callPut（W）'!M248="--",0,'callPut（W）'!M248)</f>
        <v>0</v>
      </c>
      <c r="H249" s="161">
        <f>IF('callPut（F）'!D248="--",0,'callPut（F）'!D248)</f>
        <v>0</v>
      </c>
      <c r="I249" s="161">
        <f>IF('callPut（F）'!E248="--",0,'callPut（F）'!E248)</f>
        <v>0</v>
      </c>
      <c r="J249" s="165">
        <v>27800</v>
      </c>
      <c r="K249" s="161">
        <f>IF('callPut（F）'!L248="--",0,'callPut（F）'!L248)</f>
        <v>0</v>
      </c>
      <c r="L249" s="161">
        <f>IF('callPut（F）'!M248="--",0,'callPut（F）'!M248)</f>
        <v>0</v>
      </c>
      <c r="O249" s="160">
        <f t="shared" si="15"/>
        <v>0</v>
      </c>
      <c r="P249" s="160">
        <f t="shared" si="16"/>
        <v>0</v>
      </c>
      <c r="Q249" s="166">
        <v>27800</v>
      </c>
      <c r="R249" s="160">
        <f t="shared" si="17"/>
        <v>0</v>
      </c>
      <c r="S249" s="160">
        <f t="shared" si="18"/>
        <v>0</v>
      </c>
      <c r="T249" s="161"/>
      <c r="U249" s="160">
        <v>0</v>
      </c>
      <c r="V249" s="160">
        <v>0</v>
      </c>
      <c r="X249" s="160">
        <v>0</v>
      </c>
      <c r="Y249" s="160">
        <v>0</v>
      </c>
      <c r="AA249" s="160"/>
      <c r="AB249" s="162"/>
      <c r="AC249" s="162"/>
      <c r="AD249" s="162">
        <f t="shared" si="19"/>
        <v>0</v>
      </c>
      <c r="AE249" s="160">
        <v>247</v>
      </c>
    </row>
    <row r="250" spans="2:31" ht="15.75" x14ac:dyDescent="0.25">
      <c r="B250" s="161">
        <f>IF('callPut（W）'!D249="--",0,'callPut（W）'!D249)</f>
        <v>0</v>
      </c>
      <c r="C250" s="161">
        <f>IF('callPut（W）'!E249="--",0,'callPut（W）'!E249)</f>
        <v>0</v>
      </c>
      <c r="D250" s="165">
        <v>27850</v>
      </c>
      <c r="E250" s="161">
        <f>IF('callPut（W）'!L249="--",0,'callPut（W）'!L249)</f>
        <v>0</v>
      </c>
      <c r="F250" s="161">
        <f>IF('callPut（W）'!M249="--",0,'callPut（W）'!M249)</f>
        <v>0</v>
      </c>
      <c r="H250" s="161">
        <f>IF('callPut（F）'!D249="--",0,'callPut（F）'!D249)</f>
        <v>0</v>
      </c>
      <c r="I250" s="161">
        <f>IF('callPut（F）'!E249="--",0,'callPut（F）'!E249)</f>
        <v>0</v>
      </c>
      <c r="J250" s="165">
        <v>27850</v>
      </c>
      <c r="K250" s="161">
        <f>IF('callPut（F）'!L249="--",0,'callPut（F）'!L249)</f>
        <v>0</v>
      </c>
      <c r="L250" s="161">
        <f>IF('callPut（F）'!M249="--",0,'callPut（F）'!M249)</f>
        <v>0</v>
      </c>
      <c r="O250" s="160">
        <f t="shared" si="15"/>
        <v>0</v>
      </c>
      <c r="P250" s="160">
        <f t="shared" si="16"/>
        <v>0</v>
      </c>
      <c r="Q250" s="166">
        <v>27850</v>
      </c>
      <c r="R250" s="160">
        <f t="shared" si="17"/>
        <v>0</v>
      </c>
      <c r="S250" s="160">
        <f t="shared" si="18"/>
        <v>0</v>
      </c>
      <c r="T250" s="161"/>
      <c r="U250" s="160">
        <v>0</v>
      </c>
      <c r="V250" s="160">
        <v>0</v>
      </c>
      <c r="X250" s="160">
        <v>0</v>
      </c>
      <c r="Y250" s="160">
        <v>0</v>
      </c>
      <c r="AA250" s="160"/>
      <c r="AB250" s="162"/>
      <c r="AC250" s="162"/>
      <c r="AD250" s="162">
        <f t="shared" si="19"/>
        <v>0</v>
      </c>
      <c r="AE250" s="160">
        <v>248</v>
      </c>
    </row>
    <row r="251" spans="2:31" ht="15.75" x14ac:dyDescent="0.25">
      <c r="B251" s="161">
        <f>IF('callPut（W）'!D250="--",0,'callPut（W）'!D250)</f>
        <v>0</v>
      </c>
      <c r="C251" s="161">
        <f>IF('callPut（W）'!E250="--",0,'callPut（W）'!E250)</f>
        <v>0</v>
      </c>
      <c r="D251" s="165">
        <v>27900</v>
      </c>
      <c r="E251" s="161">
        <f>IF('callPut（W）'!L250="--",0,'callPut（W）'!L250)</f>
        <v>0</v>
      </c>
      <c r="F251" s="161">
        <f>IF('callPut（W）'!M250="--",0,'callPut（W）'!M250)</f>
        <v>0</v>
      </c>
      <c r="H251" s="161">
        <f>IF('callPut（F）'!D250="--",0,'callPut（F）'!D250)</f>
        <v>0</v>
      </c>
      <c r="I251" s="161">
        <f>IF('callPut（F）'!E250="--",0,'callPut（F）'!E250)</f>
        <v>0</v>
      </c>
      <c r="J251" s="165">
        <v>27900</v>
      </c>
      <c r="K251" s="161">
        <f>IF('callPut（F）'!L250="--",0,'callPut（F）'!L250)</f>
        <v>0</v>
      </c>
      <c r="L251" s="161">
        <f>IF('callPut（F）'!M250="--",0,'callPut（F）'!M250)</f>
        <v>0</v>
      </c>
      <c r="O251" s="160">
        <f t="shared" si="15"/>
        <v>0</v>
      </c>
      <c r="P251" s="160">
        <f t="shared" si="16"/>
        <v>0</v>
      </c>
      <c r="Q251" s="166">
        <v>27900</v>
      </c>
      <c r="R251" s="160">
        <f t="shared" si="17"/>
        <v>0</v>
      </c>
      <c r="S251" s="160">
        <f t="shared" si="18"/>
        <v>0</v>
      </c>
      <c r="T251" s="161"/>
      <c r="U251" s="160">
        <v>0</v>
      </c>
      <c r="V251" s="160">
        <v>0</v>
      </c>
      <c r="X251" s="160">
        <v>0</v>
      </c>
      <c r="Y251" s="160">
        <v>0</v>
      </c>
      <c r="AA251" s="160"/>
      <c r="AB251" s="162"/>
      <c r="AC251" s="162"/>
      <c r="AD251" s="162">
        <f t="shared" si="19"/>
        <v>0</v>
      </c>
      <c r="AE251" s="160">
        <v>249</v>
      </c>
    </row>
    <row r="252" spans="2:31" ht="15.75" x14ac:dyDescent="0.25">
      <c r="B252" s="161">
        <f>IF('callPut（W）'!D251="--",0,'callPut（W）'!D251)</f>
        <v>0</v>
      </c>
      <c r="C252" s="161">
        <f>IF('callPut（W）'!E251="--",0,'callPut（W）'!E251)</f>
        <v>0</v>
      </c>
      <c r="D252" s="165">
        <v>27950</v>
      </c>
      <c r="E252" s="161">
        <f>IF('callPut（W）'!L251="--",0,'callPut（W）'!L251)</f>
        <v>0</v>
      </c>
      <c r="F252" s="161">
        <f>IF('callPut（W）'!M251="--",0,'callPut（W）'!M251)</f>
        <v>0</v>
      </c>
      <c r="H252" s="161">
        <f>IF('callPut（F）'!D251="--",0,'callPut（F）'!D251)</f>
        <v>0</v>
      </c>
      <c r="I252" s="161">
        <f>IF('callPut（F）'!E251="--",0,'callPut（F）'!E251)</f>
        <v>0</v>
      </c>
      <c r="J252" s="165">
        <v>27950</v>
      </c>
      <c r="K252" s="161">
        <f>IF('callPut（F）'!L251="--",0,'callPut（F）'!L251)</f>
        <v>0</v>
      </c>
      <c r="L252" s="161">
        <f>IF('callPut（F）'!M251="--",0,'callPut（F）'!M251)</f>
        <v>0</v>
      </c>
      <c r="O252" s="160">
        <f t="shared" si="15"/>
        <v>0</v>
      </c>
      <c r="P252" s="160">
        <f t="shared" si="16"/>
        <v>0</v>
      </c>
      <c r="Q252" s="166">
        <v>27950</v>
      </c>
      <c r="R252" s="160">
        <f t="shared" si="17"/>
        <v>0</v>
      </c>
      <c r="S252" s="160">
        <f t="shared" si="18"/>
        <v>0</v>
      </c>
      <c r="T252" s="161"/>
      <c r="U252" s="160">
        <v>0</v>
      </c>
      <c r="V252" s="160">
        <v>0</v>
      </c>
      <c r="X252" s="160">
        <v>0</v>
      </c>
      <c r="Y252" s="160">
        <v>0</v>
      </c>
      <c r="AA252" s="160"/>
      <c r="AB252" s="162"/>
      <c r="AC252" s="162"/>
      <c r="AD252" s="162">
        <f t="shared" si="19"/>
        <v>0</v>
      </c>
      <c r="AE252" s="160">
        <v>250</v>
      </c>
    </row>
    <row r="253" spans="2:31" ht="15.75" x14ac:dyDescent="0.25">
      <c r="B253" s="161">
        <f>IF('callPut（W）'!D252="--",0,'callPut（W）'!D252)</f>
        <v>0</v>
      </c>
      <c r="C253" s="161">
        <f>IF('callPut（W）'!E252="--",0,'callPut（W）'!E252)</f>
        <v>0</v>
      </c>
      <c r="D253" s="165">
        <v>28000</v>
      </c>
      <c r="E253" s="161">
        <f>IF('callPut（W）'!L252="--",0,'callPut（W）'!L252)</f>
        <v>0</v>
      </c>
      <c r="F253" s="161">
        <f>IF('callPut（W）'!M252="--",0,'callPut（W）'!M252)</f>
        <v>0</v>
      </c>
      <c r="H253" s="161">
        <f>IF('callPut（F）'!D252="--",0,'callPut（F）'!D252)</f>
        <v>0</v>
      </c>
      <c r="I253" s="161">
        <f>IF('callPut（F）'!E252="--",0,'callPut（F）'!E252)</f>
        <v>0</v>
      </c>
      <c r="J253" s="165">
        <v>28000</v>
      </c>
      <c r="K253" s="161">
        <f>IF('callPut（F）'!L252="--",0,'callPut（F）'!L252)</f>
        <v>0</v>
      </c>
      <c r="L253" s="161">
        <f>IF('callPut（F）'!M252="--",0,'callPut（F）'!M252)</f>
        <v>0</v>
      </c>
      <c r="O253" s="160">
        <f t="shared" si="15"/>
        <v>0</v>
      </c>
      <c r="P253" s="160">
        <f t="shared" si="16"/>
        <v>0</v>
      </c>
      <c r="Q253" s="166">
        <v>28000</v>
      </c>
      <c r="R253" s="160">
        <f t="shared" si="17"/>
        <v>0</v>
      </c>
      <c r="S253" s="160">
        <f t="shared" si="18"/>
        <v>0</v>
      </c>
      <c r="T253" s="161"/>
      <c r="U253" s="160">
        <v>0</v>
      </c>
      <c r="V253" s="160">
        <v>0</v>
      </c>
      <c r="X253" s="160">
        <v>0</v>
      </c>
      <c r="Y253" s="160">
        <v>0</v>
      </c>
      <c r="AA253" s="160"/>
      <c r="AB253" s="162"/>
      <c r="AC253" s="162"/>
      <c r="AD253" s="162">
        <f t="shared" si="19"/>
        <v>0</v>
      </c>
      <c r="AE253" s="160">
        <v>251</v>
      </c>
    </row>
    <row r="254" spans="2:31" ht="15.75" x14ac:dyDescent="0.25">
      <c r="B254" s="161">
        <f>IF('callPut（W）'!D253="--",0,'callPut（W）'!D253)</f>
        <v>0</v>
      </c>
      <c r="C254" s="161">
        <f>IF('callPut（W）'!E253="--",0,'callPut（W）'!E253)</f>
        <v>0</v>
      </c>
      <c r="D254" s="165">
        <v>28050</v>
      </c>
      <c r="E254" s="161">
        <f>IF('callPut（W）'!L253="--",0,'callPut（W）'!L253)</f>
        <v>0</v>
      </c>
      <c r="F254" s="161">
        <f>IF('callPut（W）'!M253="--",0,'callPut（W）'!M253)</f>
        <v>0</v>
      </c>
      <c r="H254" s="161">
        <f>IF('callPut（F）'!D253="--",0,'callPut（F）'!D253)</f>
        <v>0</v>
      </c>
      <c r="I254" s="161">
        <f>IF('callPut（F）'!E253="--",0,'callPut（F）'!E253)</f>
        <v>0</v>
      </c>
      <c r="J254" s="165">
        <v>28050</v>
      </c>
      <c r="K254" s="161">
        <f>IF('callPut（F）'!L253="--",0,'callPut（F）'!L253)</f>
        <v>0</v>
      </c>
      <c r="L254" s="161">
        <f>IF('callPut（F）'!M253="--",0,'callPut（F）'!M253)</f>
        <v>0</v>
      </c>
      <c r="O254" s="160">
        <f t="shared" si="15"/>
        <v>0</v>
      </c>
      <c r="P254" s="160">
        <f t="shared" si="16"/>
        <v>0</v>
      </c>
      <c r="Q254" s="166">
        <v>28050</v>
      </c>
      <c r="R254" s="160">
        <f t="shared" si="17"/>
        <v>0</v>
      </c>
      <c r="S254" s="160">
        <f t="shared" si="18"/>
        <v>0</v>
      </c>
      <c r="T254" s="161"/>
      <c r="U254" s="160">
        <v>0</v>
      </c>
      <c r="V254" s="160">
        <v>0</v>
      </c>
      <c r="X254" s="160">
        <v>0</v>
      </c>
      <c r="Y254" s="160">
        <v>0</v>
      </c>
      <c r="AA254" s="160"/>
      <c r="AB254" s="162"/>
      <c r="AC254" s="162"/>
      <c r="AD254" s="162">
        <f t="shared" si="19"/>
        <v>0</v>
      </c>
      <c r="AE254" s="160">
        <v>252</v>
      </c>
    </row>
    <row r="255" spans="2:31" ht="15.75" x14ac:dyDescent="0.25">
      <c r="B255" s="161">
        <f>IF('callPut（W）'!D254="--",0,'callPut（W）'!D254)</f>
        <v>0</v>
      </c>
      <c r="C255" s="161">
        <f>IF('callPut（W）'!E254="--",0,'callPut（W）'!E254)</f>
        <v>0</v>
      </c>
      <c r="D255" s="165">
        <v>28100</v>
      </c>
      <c r="E255" s="161">
        <f>IF('callPut（W）'!L254="--",0,'callPut（W）'!L254)</f>
        <v>0</v>
      </c>
      <c r="F255" s="161">
        <f>IF('callPut（W）'!M254="--",0,'callPut（W）'!M254)</f>
        <v>0</v>
      </c>
      <c r="H255" s="161">
        <f>IF('callPut（F）'!D254="--",0,'callPut（F）'!D254)</f>
        <v>0</v>
      </c>
      <c r="I255" s="161">
        <f>IF('callPut（F）'!E254="--",0,'callPut（F）'!E254)</f>
        <v>0</v>
      </c>
      <c r="J255" s="165">
        <v>28100</v>
      </c>
      <c r="K255" s="161">
        <f>IF('callPut（F）'!L254="--",0,'callPut（F）'!L254)</f>
        <v>0</v>
      </c>
      <c r="L255" s="161">
        <f>IF('callPut（F）'!M254="--",0,'callPut（F）'!M254)</f>
        <v>0</v>
      </c>
      <c r="O255" s="160">
        <f t="shared" si="15"/>
        <v>0</v>
      </c>
      <c r="P255" s="160">
        <f t="shared" si="16"/>
        <v>0</v>
      </c>
      <c r="Q255" s="166">
        <v>28100</v>
      </c>
      <c r="R255" s="160">
        <f t="shared" si="17"/>
        <v>0</v>
      </c>
      <c r="S255" s="160">
        <f t="shared" si="18"/>
        <v>0</v>
      </c>
      <c r="T255" s="161"/>
      <c r="U255" s="160">
        <v>0</v>
      </c>
      <c r="V255" s="160">
        <v>0</v>
      </c>
      <c r="X255" s="160">
        <v>0</v>
      </c>
      <c r="Y255" s="160">
        <v>0</v>
      </c>
      <c r="AA255" s="160"/>
      <c r="AB255" s="162"/>
      <c r="AC255" s="162"/>
      <c r="AD255" s="162">
        <f t="shared" si="19"/>
        <v>0</v>
      </c>
      <c r="AE255" s="160">
        <v>253</v>
      </c>
    </row>
    <row r="256" spans="2:31" ht="15.75" x14ac:dyDescent="0.25">
      <c r="B256" s="161">
        <f>IF('callPut（W）'!D255="--",0,'callPut（W）'!D255)</f>
        <v>0</v>
      </c>
      <c r="C256" s="161">
        <f>IF('callPut（W）'!E255="--",0,'callPut（W）'!E255)</f>
        <v>0</v>
      </c>
      <c r="D256" s="165">
        <v>28150</v>
      </c>
      <c r="E256" s="161">
        <f>IF('callPut（W）'!L255="--",0,'callPut（W）'!L255)</f>
        <v>0</v>
      </c>
      <c r="F256" s="161">
        <f>IF('callPut（W）'!M255="--",0,'callPut（W）'!M255)</f>
        <v>0</v>
      </c>
      <c r="H256" s="161">
        <f>IF('callPut（F）'!D255="--",0,'callPut（F）'!D255)</f>
        <v>0</v>
      </c>
      <c r="I256" s="161">
        <f>IF('callPut（F）'!E255="--",0,'callPut（F）'!E255)</f>
        <v>0</v>
      </c>
      <c r="J256" s="165">
        <v>28150</v>
      </c>
      <c r="K256" s="161">
        <f>IF('callPut（F）'!L255="--",0,'callPut（F）'!L255)</f>
        <v>0</v>
      </c>
      <c r="L256" s="161">
        <f>IF('callPut（F）'!M255="--",0,'callPut（F）'!M255)</f>
        <v>0</v>
      </c>
      <c r="O256" s="160">
        <f t="shared" si="15"/>
        <v>0</v>
      </c>
      <c r="P256" s="160">
        <f t="shared" si="16"/>
        <v>0</v>
      </c>
      <c r="Q256" s="166">
        <v>28150</v>
      </c>
      <c r="R256" s="160">
        <f t="shared" si="17"/>
        <v>0</v>
      </c>
      <c r="S256" s="160">
        <f t="shared" si="18"/>
        <v>0</v>
      </c>
      <c r="T256" s="161"/>
      <c r="U256" s="160">
        <v>0</v>
      </c>
      <c r="V256" s="160">
        <v>0</v>
      </c>
      <c r="X256" s="160">
        <v>0</v>
      </c>
      <c r="Y256" s="160">
        <v>0</v>
      </c>
      <c r="AA256" s="160"/>
      <c r="AB256" s="162"/>
      <c r="AC256" s="162"/>
      <c r="AD256" s="162">
        <f t="shared" si="19"/>
        <v>0</v>
      </c>
      <c r="AE256" s="160">
        <v>254</v>
      </c>
    </row>
    <row r="257" spans="2:31" ht="15.75" x14ac:dyDescent="0.25">
      <c r="B257" s="161">
        <f>IF('callPut（W）'!D256="--",0,'callPut（W）'!D256)</f>
        <v>0</v>
      </c>
      <c r="C257" s="161">
        <f>IF('callPut（W）'!E256="--",0,'callPut（W）'!E256)</f>
        <v>0</v>
      </c>
      <c r="D257" s="165">
        <v>28200</v>
      </c>
      <c r="E257" s="161">
        <f>IF('callPut（W）'!L256="--",0,'callPut（W）'!L256)</f>
        <v>0</v>
      </c>
      <c r="F257" s="161">
        <f>IF('callPut（W）'!M256="--",0,'callPut（W）'!M256)</f>
        <v>0</v>
      </c>
      <c r="H257" s="161">
        <f>IF('callPut（F）'!D256="--",0,'callPut（F）'!D256)</f>
        <v>0</v>
      </c>
      <c r="I257" s="161">
        <f>IF('callPut（F）'!E256="--",0,'callPut（F）'!E256)</f>
        <v>0</v>
      </c>
      <c r="J257" s="165">
        <v>28200</v>
      </c>
      <c r="K257" s="161">
        <f>IF('callPut（F）'!L256="--",0,'callPut（F）'!L256)</f>
        <v>0</v>
      </c>
      <c r="L257" s="161">
        <f>IF('callPut（F）'!M256="--",0,'callPut（F）'!M256)</f>
        <v>0</v>
      </c>
      <c r="O257" s="160">
        <f t="shared" si="15"/>
        <v>0</v>
      </c>
      <c r="P257" s="160">
        <f t="shared" si="16"/>
        <v>0</v>
      </c>
      <c r="Q257" s="166">
        <v>28200</v>
      </c>
      <c r="R257" s="160">
        <f t="shared" si="17"/>
        <v>0</v>
      </c>
      <c r="S257" s="160">
        <f t="shared" si="18"/>
        <v>0</v>
      </c>
      <c r="T257" s="161"/>
      <c r="U257" s="160">
        <v>0</v>
      </c>
      <c r="V257" s="160">
        <v>0</v>
      </c>
      <c r="X257" s="160">
        <v>0</v>
      </c>
      <c r="Y257" s="160">
        <v>0</v>
      </c>
      <c r="AA257" s="160"/>
      <c r="AB257" s="162"/>
      <c r="AC257" s="162"/>
      <c r="AD257" s="162">
        <f t="shared" si="19"/>
        <v>0</v>
      </c>
      <c r="AE257" s="160">
        <v>255</v>
      </c>
    </row>
    <row r="258" spans="2:31" ht="15.75" x14ac:dyDescent="0.25">
      <c r="B258" s="161">
        <f>IF('callPut（W）'!D257="--",0,'callPut（W）'!D257)</f>
        <v>0</v>
      </c>
      <c r="C258" s="161">
        <f>IF('callPut（W）'!E257="--",0,'callPut（W）'!E257)</f>
        <v>0</v>
      </c>
      <c r="D258" s="165">
        <v>28250</v>
      </c>
      <c r="E258" s="161">
        <f>IF('callPut（W）'!L257="--",0,'callPut（W）'!L257)</f>
        <v>0</v>
      </c>
      <c r="F258" s="161">
        <f>IF('callPut（W）'!M257="--",0,'callPut（W）'!M257)</f>
        <v>0</v>
      </c>
      <c r="H258" s="161">
        <f>IF('callPut（F）'!D257="--",0,'callPut（F）'!D257)</f>
        <v>0</v>
      </c>
      <c r="I258" s="161">
        <f>IF('callPut（F）'!E257="--",0,'callPut（F）'!E257)</f>
        <v>0</v>
      </c>
      <c r="J258" s="165">
        <v>28250</v>
      </c>
      <c r="K258" s="161">
        <f>IF('callPut（F）'!L257="--",0,'callPut（F）'!L257)</f>
        <v>0</v>
      </c>
      <c r="L258" s="161">
        <f>IF('callPut（F）'!M257="--",0,'callPut（F）'!M257)</f>
        <v>0</v>
      </c>
      <c r="O258" s="160">
        <f t="shared" si="15"/>
        <v>0</v>
      </c>
      <c r="P258" s="160">
        <f t="shared" si="16"/>
        <v>0</v>
      </c>
      <c r="Q258" s="166">
        <v>28250</v>
      </c>
      <c r="R258" s="160">
        <f t="shared" si="17"/>
        <v>0</v>
      </c>
      <c r="S258" s="160">
        <f t="shared" si="18"/>
        <v>0</v>
      </c>
      <c r="T258" s="161"/>
      <c r="U258" s="160">
        <v>0</v>
      </c>
      <c r="V258" s="160">
        <v>0</v>
      </c>
      <c r="X258" s="160">
        <v>0</v>
      </c>
      <c r="Y258" s="160">
        <v>0</v>
      </c>
      <c r="AA258" s="160"/>
      <c r="AB258" s="162"/>
      <c r="AC258" s="162"/>
      <c r="AD258" s="162">
        <f t="shared" si="19"/>
        <v>0</v>
      </c>
      <c r="AE258" s="160">
        <v>256</v>
      </c>
    </row>
    <row r="259" spans="2:31" ht="15.75" x14ac:dyDescent="0.25">
      <c r="B259" s="161">
        <f>IF('callPut（W）'!D258="--",0,'callPut（W）'!D258)</f>
        <v>0</v>
      </c>
      <c r="C259" s="161">
        <f>IF('callPut（W）'!E258="--",0,'callPut（W）'!E258)</f>
        <v>0</v>
      </c>
      <c r="D259" s="165">
        <v>28300</v>
      </c>
      <c r="E259" s="161">
        <f>IF('callPut（W）'!L258="--",0,'callPut（W）'!L258)</f>
        <v>0</v>
      </c>
      <c r="F259" s="161">
        <f>IF('callPut（W）'!M258="--",0,'callPut（W）'!M258)</f>
        <v>0</v>
      </c>
      <c r="H259" s="161">
        <f>IF('callPut（F）'!D258="--",0,'callPut（F）'!D258)</f>
        <v>0</v>
      </c>
      <c r="I259" s="161">
        <f>IF('callPut（F）'!E258="--",0,'callPut（F）'!E258)</f>
        <v>0</v>
      </c>
      <c r="J259" s="165">
        <v>28300</v>
      </c>
      <c r="K259" s="161">
        <f>IF('callPut（F）'!L258="--",0,'callPut（F）'!L258)</f>
        <v>0</v>
      </c>
      <c r="L259" s="161">
        <f>IF('callPut（F）'!M258="--",0,'callPut（F）'!M258)</f>
        <v>0</v>
      </c>
      <c r="O259" s="160">
        <f t="shared" si="15"/>
        <v>0</v>
      </c>
      <c r="P259" s="160">
        <f t="shared" si="16"/>
        <v>0</v>
      </c>
      <c r="Q259" s="166">
        <v>28300</v>
      </c>
      <c r="R259" s="160">
        <f t="shared" si="17"/>
        <v>0</v>
      </c>
      <c r="S259" s="160">
        <f t="shared" si="18"/>
        <v>0</v>
      </c>
      <c r="T259" s="161"/>
      <c r="U259" s="160">
        <v>0</v>
      </c>
      <c r="V259" s="160">
        <v>0</v>
      </c>
      <c r="X259" s="160">
        <v>0</v>
      </c>
      <c r="Y259" s="160">
        <v>0</v>
      </c>
      <c r="AA259" s="160"/>
      <c r="AB259" s="162"/>
      <c r="AC259" s="162"/>
      <c r="AD259" s="162">
        <f t="shared" si="19"/>
        <v>0</v>
      </c>
      <c r="AE259" s="160">
        <v>257</v>
      </c>
    </row>
    <row r="260" spans="2:31" ht="15.75" x14ac:dyDescent="0.25">
      <c r="B260" s="161">
        <f>IF('callPut（W）'!D259="--",0,'callPut（W）'!D259)</f>
        <v>0</v>
      </c>
      <c r="C260" s="161">
        <f>IF('callPut（W）'!E259="--",0,'callPut（W）'!E259)</f>
        <v>0</v>
      </c>
      <c r="D260" s="165">
        <v>28350</v>
      </c>
      <c r="E260" s="161">
        <f>IF('callPut（W）'!L259="--",0,'callPut（W）'!L259)</f>
        <v>0</v>
      </c>
      <c r="F260" s="161">
        <f>IF('callPut（W）'!M259="--",0,'callPut（W）'!M259)</f>
        <v>0</v>
      </c>
      <c r="H260" s="161">
        <f>IF('callPut（F）'!D259="--",0,'callPut（F）'!D259)</f>
        <v>0</v>
      </c>
      <c r="I260" s="161">
        <f>IF('callPut（F）'!E259="--",0,'callPut（F）'!E259)</f>
        <v>0</v>
      </c>
      <c r="J260" s="165">
        <v>28350</v>
      </c>
      <c r="K260" s="161">
        <f>IF('callPut（F）'!L259="--",0,'callPut（F）'!L259)</f>
        <v>0</v>
      </c>
      <c r="L260" s="161">
        <f>IF('callPut（F）'!M259="--",0,'callPut（F）'!M259)</f>
        <v>0</v>
      </c>
      <c r="O260" s="160">
        <f t="shared" ref="O260:O293" si="20">B260+H260</f>
        <v>0</v>
      </c>
      <c r="P260" s="160">
        <f t="shared" ref="P260:P293" si="21">C260+I260</f>
        <v>0</v>
      </c>
      <c r="Q260" s="166">
        <v>28350</v>
      </c>
      <c r="R260" s="160">
        <f t="shared" ref="R260:R293" si="22">E260+K260</f>
        <v>0</v>
      </c>
      <c r="S260" s="160">
        <f t="shared" ref="S260:S293" si="23">F260+L260</f>
        <v>0</v>
      </c>
      <c r="T260" s="161"/>
      <c r="U260" s="160">
        <v>0</v>
      </c>
      <c r="V260" s="160">
        <v>0</v>
      </c>
      <c r="X260" s="160">
        <v>0</v>
      </c>
      <c r="Y260" s="160">
        <v>0</v>
      </c>
      <c r="AA260" s="160"/>
      <c r="AB260" s="162"/>
      <c r="AC260" s="162"/>
      <c r="AD260" s="162">
        <f t="shared" ref="AD260:AD323" si="24">AB260+AC260</f>
        <v>0</v>
      </c>
      <c r="AE260" s="160">
        <v>258</v>
      </c>
    </row>
    <row r="261" spans="2:31" ht="15.75" x14ac:dyDescent="0.25">
      <c r="B261" s="161">
        <f>IF('callPut（W）'!D260="--",0,'callPut（W）'!D260)</f>
        <v>0</v>
      </c>
      <c r="C261" s="161">
        <f>IF('callPut（W）'!E260="--",0,'callPut（W）'!E260)</f>
        <v>0</v>
      </c>
      <c r="D261" s="165">
        <v>28400</v>
      </c>
      <c r="E261" s="161">
        <f>IF('callPut（W）'!L260="--",0,'callPut（W）'!L260)</f>
        <v>0</v>
      </c>
      <c r="F261" s="161">
        <f>IF('callPut（W）'!M260="--",0,'callPut（W）'!M260)</f>
        <v>0</v>
      </c>
      <c r="H261" s="161">
        <f>IF('callPut（F）'!D260="--",0,'callPut（F）'!D260)</f>
        <v>0</v>
      </c>
      <c r="I261" s="161">
        <f>IF('callPut（F）'!E260="--",0,'callPut（F）'!E260)</f>
        <v>0</v>
      </c>
      <c r="J261" s="165">
        <v>28400</v>
      </c>
      <c r="K261" s="161">
        <f>IF('callPut（F）'!L260="--",0,'callPut（F）'!L260)</f>
        <v>0</v>
      </c>
      <c r="L261" s="161">
        <f>IF('callPut（F）'!M260="--",0,'callPut（F）'!M260)</f>
        <v>0</v>
      </c>
      <c r="O261" s="160">
        <f t="shared" si="20"/>
        <v>0</v>
      </c>
      <c r="P261" s="160">
        <f t="shared" si="21"/>
        <v>0</v>
      </c>
      <c r="Q261" s="166">
        <v>28400</v>
      </c>
      <c r="R261" s="160">
        <f t="shared" si="22"/>
        <v>0</v>
      </c>
      <c r="S261" s="160">
        <f t="shared" si="23"/>
        <v>0</v>
      </c>
      <c r="T261" s="161"/>
      <c r="U261" s="160">
        <v>0</v>
      </c>
      <c r="V261" s="160">
        <v>0</v>
      </c>
      <c r="X261" s="160">
        <v>0</v>
      </c>
      <c r="Y261" s="160">
        <v>0</v>
      </c>
      <c r="AA261" s="160"/>
      <c r="AB261" s="162"/>
      <c r="AC261" s="162"/>
      <c r="AD261" s="162">
        <f t="shared" si="24"/>
        <v>0</v>
      </c>
      <c r="AE261" s="160">
        <v>259</v>
      </c>
    </row>
    <row r="262" spans="2:31" ht="15.75" x14ac:dyDescent="0.25">
      <c r="B262" s="161">
        <f>IF('callPut（W）'!D261="--",0,'callPut（W）'!D261)</f>
        <v>0</v>
      </c>
      <c r="C262" s="161">
        <f>IF('callPut（W）'!E261="--",0,'callPut（W）'!E261)</f>
        <v>0</v>
      </c>
      <c r="D262" s="165">
        <v>28450</v>
      </c>
      <c r="E262" s="161">
        <f>IF('callPut（W）'!L261="--",0,'callPut（W）'!L261)</f>
        <v>0</v>
      </c>
      <c r="F262" s="161">
        <f>IF('callPut（W）'!M261="--",0,'callPut（W）'!M261)</f>
        <v>0</v>
      </c>
      <c r="H262" s="161">
        <f>IF('callPut（F）'!D261="--",0,'callPut（F）'!D261)</f>
        <v>0</v>
      </c>
      <c r="I262" s="161">
        <f>IF('callPut（F）'!E261="--",0,'callPut（F）'!E261)</f>
        <v>0</v>
      </c>
      <c r="J262" s="165">
        <v>28450</v>
      </c>
      <c r="K262" s="161">
        <f>IF('callPut（F）'!L261="--",0,'callPut（F）'!L261)</f>
        <v>0</v>
      </c>
      <c r="L262" s="161">
        <f>IF('callPut（F）'!M261="--",0,'callPut（F）'!M261)</f>
        <v>0</v>
      </c>
      <c r="O262" s="160">
        <f t="shared" si="20"/>
        <v>0</v>
      </c>
      <c r="P262" s="160">
        <f t="shared" si="21"/>
        <v>0</v>
      </c>
      <c r="Q262" s="166">
        <v>28450</v>
      </c>
      <c r="R262" s="160">
        <f t="shared" si="22"/>
        <v>0</v>
      </c>
      <c r="S262" s="160">
        <f t="shared" si="23"/>
        <v>0</v>
      </c>
      <c r="T262" s="161"/>
      <c r="U262" s="160">
        <v>0</v>
      </c>
      <c r="V262" s="160">
        <v>0</v>
      </c>
      <c r="X262" s="160">
        <v>0</v>
      </c>
      <c r="Y262" s="160">
        <v>0</v>
      </c>
      <c r="AA262" s="160"/>
      <c r="AB262" s="162"/>
      <c r="AC262" s="162"/>
      <c r="AD262" s="162">
        <f t="shared" si="24"/>
        <v>0</v>
      </c>
      <c r="AE262" s="160">
        <v>260</v>
      </c>
    </row>
    <row r="263" spans="2:31" ht="15.75" x14ac:dyDescent="0.25">
      <c r="B263" s="161">
        <f>IF('callPut（W）'!D262="--",0,'callPut（W）'!D262)</f>
        <v>0</v>
      </c>
      <c r="C263" s="161">
        <f>IF('callPut（W）'!E262="--",0,'callPut（W）'!E262)</f>
        <v>0</v>
      </c>
      <c r="D263" s="165">
        <v>28500</v>
      </c>
      <c r="E263" s="161">
        <f>IF('callPut（W）'!L262="--",0,'callPut（W）'!L262)</f>
        <v>0</v>
      </c>
      <c r="F263" s="161">
        <f>IF('callPut（W）'!M262="--",0,'callPut（W）'!M262)</f>
        <v>0</v>
      </c>
      <c r="H263" s="161">
        <f>IF('callPut（F）'!D262="--",0,'callPut（F）'!D262)</f>
        <v>0</v>
      </c>
      <c r="I263" s="161">
        <f>IF('callPut（F）'!E262="--",0,'callPut（F）'!E262)</f>
        <v>0</v>
      </c>
      <c r="J263" s="165">
        <v>28500</v>
      </c>
      <c r="K263" s="161">
        <f>IF('callPut（F）'!L262="--",0,'callPut（F）'!L262)</f>
        <v>0</v>
      </c>
      <c r="L263" s="161">
        <f>IF('callPut（F）'!M262="--",0,'callPut（F）'!M262)</f>
        <v>0</v>
      </c>
      <c r="O263" s="160">
        <f t="shared" si="20"/>
        <v>0</v>
      </c>
      <c r="P263" s="160">
        <f t="shared" si="21"/>
        <v>0</v>
      </c>
      <c r="Q263" s="166">
        <v>28500</v>
      </c>
      <c r="R263" s="160">
        <f t="shared" si="22"/>
        <v>0</v>
      </c>
      <c r="S263" s="160">
        <f t="shared" si="23"/>
        <v>0</v>
      </c>
      <c r="T263" s="161"/>
      <c r="U263" s="160">
        <v>0</v>
      </c>
      <c r="V263" s="160">
        <v>0</v>
      </c>
      <c r="X263" s="160">
        <v>0</v>
      </c>
      <c r="Y263" s="160">
        <v>0</v>
      </c>
      <c r="AA263" s="160"/>
      <c r="AB263" s="162"/>
      <c r="AC263" s="162"/>
      <c r="AD263" s="162">
        <f t="shared" si="24"/>
        <v>0</v>
      </c>
      <c r="AE263" s="160">
        <v>261</v>
      </c>
    </row>
    <row r="264" spans="2:31" ht="15.75" x14ac:dyDescent="0.25">
      <c r="B264" s="161">
        <f>IF('callPut（W）'!D263="--",0,'callPut（W）'!D263)</f>
        <v>0</v>
      </c>
      <c r="C264" s="161">
        <f>IF('callPut（W）'!E263="--",0,'callPut（W）'!E263)</f>
        <v>0</v>
      </c>
      <c r="D264" s="165">
        <v>28550</v>
      </c>
      <c r="E264" s="161">
        <f>IF('callPut（W）'!L263="--",0,'callPut（W）'!L263)</f>
        <v>0</v>
      </c>
      <c r="F264" s="161">
        <f>IF('callPut（W）'!M263="--",0,'callPut（W）'!M263)</f>
        <v>0</v>
      </c>
      <c r="H264" s="161">
        <f>IF('callPut（F）'!D263="--",0,'callPut（F）'!D263)</f>
        <v>0</v>
      </c>
      <c r="I264" s="161">
        <f>IF('callPut（F）'!E263="--",0,'callPut（F）'!E263)</f>
        <v>0</v>
      </c>
      <c r="J264" s="165">
        <v>28550</v>
      </c>
      <c r="K264" s="161">
        <f>IF('callPut（F）'!L263="--",0,'callPut（F）'!L263)</f>
        <v>0</v>
      </c>
      <c r="L264" s="161">
        <f>IF('callPut（F）'!M263="--",0,'callPut（F）'!M263)</f>
        <v>0</v>
      </c>
      <c r="O264" s="160">
        <f t="shared" si="20"/>
        <v>0</v>
      </c>
      <c r="P264" s="160">
        <f t="shared" si="21"/>
        <v>0</v>
      </c>
      <c r="Q264" s="166">
        <v>28550</v>
      </c>
      <c r="R264" s="160">
        <f t="shared" si="22"/>
        <v>0</v>
      </c>
      <c r="S264" s="160">
        <f t="shared" si="23"/>
        <v>0</v>
      </c>
      <c r="T264" s="161"/>
      <c r="U264" s="160">
        <v>0</v>
      </c>
      <c r="V264" s="160">
        <v>0</v>
      </c>
      <c r="X264" s="160">
        <v>0</v>
      </c>
      <c r="Y264" s="160">
        <v>0</v>
      </c>
      <c r="AA264" s="160"/>
      <c r="AB264" s="162"/>
      <c r="AC264" s="162"/>
      <c r="AD264" s="162">
        <f t="shared" si="24"/>
        <v>0</v>
      </c>
      <c r="AE264" s="160">
        <v>262</v>
      </c>
    </row>
    <row r="265" spans="2:31" ht="15.75" x14ac:dyDescent="0.25">
      <c r="B265" s="161">
        <f>IF('callPut（W）'!D264="--",0,'callPut（W）'!D264)</f>
        <v>0</v>
      </c>
      <c r="C265" s="161">
        <f>IF('callPut（W）'!E264="--",0,'callPut（W）'!E264)</f>
        <v>0</v>
      </c>
      <c r="D265" s="165">
        <v>28600</v>
      </c>
      <c r="E265" s="161">
        <f>IF('callPut（W）'!L264="--",0,'callPut（W）'!L264)</f>
        <v>0</v>
      </c>
      <c r="F265" s="161">
        <f>IF('callPut（W）'!M264="--",0,'callPut（W）'!M264)</f>
        <v>0</v>
      </c>
      <c r="H265" s="161">
        <f>IF('callPut（F）'!D264="--",0,'callPut（F）'!D264)</f>
        <v>0</v>
      </c>
      <c r="I265" s="161">
        <f>IF('callPut（F）'!E264="--",0,'callPut（F）'!E264)</f>
        <v>0</v>
      </c>
      <c r="J265" s="165">
        <v>28600</v>
      </c>
      <c r="K265" s="161">
        <f>IF('callPut（F）'!L264="--",0,'callPut（F）'!L264)</f>
        <v>0</v>
      </c>
      <c r="L265" s="161">
        <f>IF('callPut（F）'!M264="--",0,'callPut（F）'!M264)</f>
        <v>0</v>
      </c>
      <c r="O265" s="160">
        <f t="shared" si="20"/>
        <v>0</v>
      </c>
      <c r="P265" s="160">
        <f t="shared" si="21"/>
        <v>0</v>
      </c>
      <c r="Q265" s="166">
        <v>28600</v>
      </c>
      <c r="R265" s="160">
        <f t="shared" si="22"/>
        <v>0</v>
      </c>
      <c r="S265" s="160">
        <f t="shared" si="23"/>
        <v>0</v>
      </c>
      <c r="T265" s="161"/>
      <c r="U265" s="160">
        <v>0</v>
      </c>
      <c r="V265" s="160">
        <v>0</v>
      </c>
      <c r="X265" s="160">
        <v>0</v>
      </c>
      <c r="Y265" s="160">
        <v>0</v>
      </c>
      <c r="AA265" s="160"/>
      <c r="AB265" s="162"/>
      <c r="AC265" s="162"/>
      <c r="AD265" s="162">
        <f t="shared" si="24"/>
        <v>0</v>
      </c>
      <c r="AE265" s="160">
        <v>263</v>
      </c>
    </row>
    <row r="266" spans="2:31" ht="15.75" x14ac:dyDescent="0.25">
      <c r="B266" s="161">
        <f>IF('callPut（W）'!D265="--",0,'callPut（W）'!D265)</f>
        <v>0</v>
      </c>
      <c r="C266" s="161">
        <f>IF('callPut（W）'!E265="--",0,'callPut（W）'!E265)</f>
        <v>0</v>
      </c>
      <c r="D266" s="165">
        <v>28650</v>
      </c>
      <c r="E266" s="161">
        <f>IF('callPut（W）'!L265="--",0,'callPut（W）'!L265)</f>
        <v>0</v>
      </c>
      <c r="F266" s="161">
        <f>IF('callPut（W）'!M265="--",0,'callPut（W）'!M265)</f>
        <v>0</v>
      </c>
      <c r="H266" s="161">
        <f>IF('callPut（F）'!D265="--",0,'callPut（F）'!D265)</f>
        <v>0</v>
      </c>
      <c r="I266" s="161">
        <f>IF('callPut（F）'!E265="--",0,'callPut（F）'!E265)</f>
        <v>0</v>
      </c>
      <c r="J266" s="165">
        <v>28650</v>
      </c>
      <c r="K266" s="161">
        <f>IF('callPut（F）'!L265="--",0,'callPut（F）'!L265)</f>
        <v>0</v>
      </c>
      <c r="L266" s="161">
        <f>IF('callPut（F）'!M265="--",0,'callPut（F）'!M265)</f>
        <v>0</v>
      </c>
      <c r="O266" s="160">
        <f t="shared" si="20"/>
        <v>0</v>
      </c>
      <c r="P266" s="160">
        <f t="shared" si="21"/>
        <v>0</v>
      </c>
      <c r="Q266" s="166">
        <v>28650</v>
      </c>
      <c r="R266" s="160">
        <f t="shared" si="22"/>
        <v>0</v>
      </c>
      <c r="S266" s="160">
        <f t="shared" si="23"/>
        <v>0</v>
      </c>
      <c r="T266" s="161"/>
      <c r="U266" s="160">
        <v>0</v>
      </c>
      <c r="V266" s="160">
        <v>0</v>
      </c>
      <c r="X266" s="160">
        <v>0</v>
      </c>
      <c r="Y266" s="160">
        <v>0</v>
      </c>
      <c r="AA266" s="160"/>
      <c r="AB266" s="162"/>
      <c r="AC266" s="162"/>
      <c r="AD266" s="162">
        <f t="shared" si="24"/>
        <v>0</v>
      </c>
      <c r="AE266" s="160">
        <v>264</v>
      </c>
    </row>
    <row r="267" spans="2:31" ht="15.75" x14ac:dyDescent="0.25">
      <c r="B267" s="161">
        <f>IF('callPut（W）'!D266="--",0,'callPut（W）'!D266)</f>
        <v>0</v>
      </c>
      <c r="C267" s="161">
        <f>IF('callPut（W）'!E266="--",0,'callPut（W）'!E266)</f>
        <v>0</v>
      </c>
      <c r="D267" s="165">
        <v>28700</v>
      </c>
      <c r="E267" s="161">
        <f>IF('callPut（W）'!L266="--",0,'callPut（W）'!L266)</f>
        <v>0</v>
      </c>
      <c r="F267" s="161">
        <f>IF('callPut（W）'!M266="--",0,'callPut（W）'!M266)</f>
        <v>0</v>
      </c>
      <c r="H267" s="161">
        <f>IF('callPut（F）'!D266="--",0,'callPut（F）'!D266)</f>
        <v>0</v>
      </c>
      <c r="I267" s="161">
        <f>IF('callPut（F）'!E266="--",0,'callPut（F）'!E266)</f>
        <v>0</v>
      </c>
      <c r="J267" s="165">
        <v>28700</v>
      </c>
      <c r="K267" s="161">
        <f>IF('callPut（F）'!L266="--",0,'callPut（F）'!L266)</f>
        <v>0</v>
      </c>
      <c r="L267" s="161">
        <f>IF('callPut（F）'!M266="--",0,'callPut（F）'!M266)</f>
        <v>0</v>
      </c>
      <c r="O267" s="160">
        <f t="shared" si="20"/>
        <v>0</v>
      </c>
      <c r="P267" s="160">
        <f t="shared" si="21"/>
        <v>0</v>
      </c>
      <c r="Q267" s="166">
        <v>28700</v>
      </c>
      <c r="R267" s="160">
        <f t="shared" si="22"/>
        <v>0</v>
      </c>
      <c r="S267" s="160">
        <f t="shared" si="23"/>
        <v>0</v>
      </c>
      <c r="T267" s="161"/>
      <c r="U267" s="160">
        <v>0</v>
      </c>
      <c r="V267" s="160">
        <v>0</v>
      </c>
      <c r="X267" s="160">
        <v>0</v>
      </c>
      <c r="Y267" s="160">
        <v>0</v>
      </c>
      <c r="AA267" s="160"/>
      <c r="AB267" s="162"/>
      <c r="AC267" s="162"/>
      <c r="AD267" s="162">
        <f t="shared" si="24"/>
        <v>0</v>
      </c>
      <c r="AE267" s="160">
        <v>265</v>
      </c>
    </row>
    <row r="268" spans="2:31" ht="15.75" x14ac:dyDescent="0.25">
      <c r="B268" s="161">
        <f>IF('callPut（W）'!D267="--",0,'callPut（W）'!D267)</f>
        <v>0</v>
      </c>
      <c r="C268" s="161">
        <f>IF('callPut（W）'!E267="--",0,'callPut（W）'!E267)</f>
        <v>0</v>
      </c>
      <c r="D268" s="165">
        <v>28750</v>
      </c>
      <c r="E268" s="161">
        <f>IF('callPut（W）'!L267="--",0,'callPut（W）'!L267)</f>
        <v>0</v>
      </c>
      <c r="F268" s="161">
        <f>IF('callPut（W）'!M267="--",0,'callPut（W）'!M267)</f>
        <v>0</v>
      </c>
      <c r="H268" s="161">
        <f>IF('callPut（F）'!D267="--",0,'callPut（F）'!D267)</f>
        <v>0</v>
      </c>
      <c r="I268" s="161">
        <f>IF('callPut（F）'!E267="--",0,'callPut（F）'!E267)</f>
        <v>0</v>
      </c>
      <c r="J268" s="165">
        <v>28750</v>
      </c>
      <c r="K268" s="161">
        <f>IF('callPut（F）'!L267="--",0,'callPut（F）'!L267)</f>
        <v>0</v>
      </c>
      <c r="L268" s="161">
        <f>IF('callPut（F）'!M267="--",0,'callPut（F）'!M267)</f>
        <v>0</v>
      </c>
      <c r="O268" s="160">
        <f t="shared" si="20"/>
        <v>0</v>
      </c>
      <c r="P268" s="160">
        <f t="shared" si="21"/>
        <v>0</v>
      </c>
      <c r="Q268" s="166">
        <v>28750</v>
      </c>
      <c r="R268" s="160">
        <f t="shared" si="22"/>
        <v>0</v>
      </c>
      <c r="S268" s="160">
        <f t="shared" si="23"/>
        <v>0</v>
      </c>
      <c r="T268" s="161"/>
      <c r="U268" s="160">
        <v>0</v>
      </c>
      <c r="V268" s="160">
        <v>0</v>
      </c>
      <c r="X268" s="160">
        <v>0</v>
      </c>
      <c r="Y268" s="160">
        <v>0</v>
      </c>
      <c r="AA268" s="160"/>
      <c r="AB268" s="162"/>
      <c r="AC268" s="162"/>
      <c r="AD268" s="162">
        <f t="shared" si="24"/>
        <v>0</v>
      </c>
      <c r="AE268" s="160">
        <v>266</v>
      </c>
    </row>
    <row r="269" spans="2:31" ht="15.75" x14ac:dyDescent="0.25">
      <c r="B269" s="161">
        <f>IF('callPut（W）'!D268="--",0,'callPut（W）'!D268)</f>
        <v>0</v>
      </c>
      <c r="C269" s="161">
        <f>IF('callPut（W）'!E268="--",0,'callPut（W）'!E268)</f>
        <v>0</v>
      </c>
      <c r="D269" s="165">
        <v>28800</v>
      </c>
      <c r="E269" s="161">
        <f>IF('callPut（W）'!L268="--",0,'callPut（W）'!L268)</f>
        <v>0</v>
      </c>
      <c r="F269" s="161">
        <f>IF('callPut（W）'!M268="--",0,'callPut（W）'!M268)</f>
        <v>0</v>
      </c>
      <c r="H269" s="161">
        <f>IF('callPut（F）'!D268="--",0,'callPut（F）'!D268)</f>
        <v>0</v>
      </c>
      <c r="I269" s="161">
        <f>IF('callPut（F）'!E268="--",0,'callPut（F）'!E268)</f>
        <v>0</v>
      </c>
      <c r="J269" s="165">
        <v>28800</v>
      </c>
      <c r="K269" s="161">
        <f>IF('callPut（F）'!L268="--",0,'callPut（F）'!L268)</f>
        <v>0</v>
      </c>
      <c r="L269" s="161">
        <f>IF('callPut（F）'!M268="--",0,'callPut（F）'!M268)</f>
        <v>0</v>
      </c>
      <c r="O269" s="160">
        <f t="shared" si="20"/>
        <v>0</v>
      </c>
      <c r="P269" s="160">
        <f t="shared" si="21"/>
        <v>0</v>
      </c>
      <c r="Q269" s="166">
        <v>28800</v>
      </c>
      <c r="R269" s="160">
        <f t="shared" si="22"/>
        <v>0</v>
      </c>
      <c r="S269" s="160">
        <f t="shared" si="23"/>
        <v>0</v>
      </c>
      <c r="T269" s="161"/>
      <c r="U269" s="160">
        <v>0</v>
      </c>
      <c r="V269" s="160">
        <v>0</v>
      </c>
      <c r="X269" s="160">
        <v>0</v>
      </c>
      <c r="Y269" s="160">
        <v>0</v>
      </c>
      <c r="AA269" s="160"/>
      <c r="AB269" s="162"/>
      <c r="AC269" s="162"/>
      <c r="AD269" s="162">
        <f t="shared" si="24"/>
        <v>0</v>
      </c>
      <c r="AE269" s="160">
        <v>267</v>
      </c>
    </row>
    <row r="270" spans="2:31" ht="15.75" x14ac:dyDescent="0.25">
      <c r="B270" s="161">
        <f>IF('callPut（W）'!D269="--",0,'callPut（W）'!D269)</f>
        <v>0</v>
      </c>
      <c r="C270" s="161">
        <f>IF('callPut（W）'!E269="--",0,'callPut（W）'!E269)</f>
        <v>0</v>
      </c>
      <c r="D270" s="165">
        <v>28850</v>
      </c>
      <c r="E270" s="161">
        <f>IF('callPut（W）'!L269="--",0,'callPut（W）'!L269)</f>
        <v>0</v>
      </c>
      <c r="F270" s="161">
        <f>IF('callPut（W）'!M269="--",0,'callPut（W）'!M269)</f>
        <v>0</v>
      </c>
      <c r="H270" s="161">
        <f>IF('callPut（F）'!D269="--",0,'callPut（F）'!D269)</f>
        <v>0</v>
      </c>
      <c r="I270" s="161">
        <f>IF('callPut（F）'!E269="--",0,'callPut（F）'!E269)</f>
        <v>0</v>
      </c>
      <c r="J270" s="165">
        <v>28850</v>
      </c>
      <c r="K270" s="161">
        <f>IF('callPut（F）'!L269="--",0,'callPut（F）'!L269)</f>
        <v>0</v>
      </c>
      <c r="L270" s="161">
        <f>IF('callPut（F）'!M269="--",0,'callPut（F）'!M269)</f>
        <v>0</v>
      </c>
      <c r="O270" s="160">
        <f t="shared" si="20"/>
        <v>0</v>
      </c>
      <c r="P270" s="160">
        <f t="shared" si="21"/>
        <v>0</v>
      </c>
      <c r="Q270" s="166">
        <v>28850</v>
      </c>
      <c r="R270" s="160">
        <f t="shared" si="22"/>
        <v>0</v>
      </c>
      <c r="S270" s="160">
        <f t="shared" si="23"/>
        <v>0</v>
      </c>
      <c r="T270" s="161"/>
      <c r="U270" s="160">
        <v>0</v>
      </c>
      <c r="V270" s="160">
        <v>0</v>
      </c>
      <c r="X270" s="160">
        <v>0</v>
      </c>
      <c r="Y270" s="160">
        <v>0</v>
      </c>
      <c r="AA270" s="160"/>
      <c r="AB270" s="162"/>
      <c r="AC270" s="162"/>
      <c r="AD270" s="162">
        <f t="shared" si="24"/>
        <v>0</v>
      </c>
      <c r="AE270" s="160">
        <v>268</v>
      </c>
    </row>
    <row r="271" spans="2:31" ht="15.75" x14ac:dyDescent="0.25">
      <c r="B271" s="161">
        <f>IF('callPut（W）'!D270="--",0,'callPut（W）'!D270)</f>
        <v>0</v>
      </c>
      <c r="C271" s="161">
        <f>IF('callPut（W）'!E270="--",0,'callPut（W）'!E270)</f>
        <v>0</v>
      </c>
      <c r="D271" s="165">
        <v>28900</v>
      </c>
      <c r="E271" s="161">
        <f>IF('callPut（W）'!L270="--",0,'callPut（W）'!L270)</f>
        <v>0</v>
      </c>
      <c r="F271" s="161">
        <f>IF('callPut（W）'!M270="--",0,'callPut（W）'!M270)</f>
        <v>0</v>
      </c>
      <c r="H271" s="161">
        <f>IF('callPut（F）'!D270="--",0,'callPut（F）'!D270)</f>
        <v>0</v>
      </c>
      <c r="I271" s="161">
        <f>IF('callPut（F）'!E270="--",0,'callPut（F）'!E270)</f>
        <v>0</v>
      </c>
      <c r="J271" s="165">
        <v>28900</v>
      </c>
      <c r="K271" s="161">
        <f>IF('callPut（F）'!L270="--",0,'callPut（F）'!L270)</f>
        <v>0</v>
      </c>
      <c r="L271" s="161">
        <f>IF('callPut（F）'!M270="--",0,'callPut（F）'!M270)</f>
        <v>0</v>
      </c>
      <c r="O271" s="160">
        <f t="shared" si="20"/>
        <v>0</v>
      </c>
      <c r="P271" s="160">
        <f t="shared" si="21"/>
        <v>0</v>
      </c>
      <c r="Q271" s="166">
        <v>28900</v>
      </c>
      <c r="R271" s="160">
        <f t="shared" si="22"/>
        <v>0</v>
      </c>
      <c r="S271" s="160">
        <f t="shared" si="23"/>
        <v>0</v>
      </c>
      <c r="T271" s="161"/>
      <c r="U271" s="160">
        <v>0</v>
      </c>
      <c r="V271" s="160">
        <v>0</v>
      </c>
      <c r="X271" s="160">
        <v>0</v>
      </c>
      <c r="Y271" s="160">
        <v>0</v>
      </c>
      <c r="AA271" s="160"/>
      <c r="AB271" s="162"/>
      <c r="AC271" s="162"/>
      <c r="AD271" s="162">
        <f t="shared" si="24"/>
        <v>0</v>
      </c>
      <c r="AE271" s="160">
        <v>269</v>
      </c>
    </row>
    <row r="272" spans="2:31" ht="15.75" x14ac:dyDescent="0.25">
      <c r="B272" s="161">
        <f>IF('callPut（W）'!D271="--",0,'callPut（W）'!D271)</f>
        <v>0</v>
      </c>
      <c r="C272" s="161">
        <f>IF('callPut（W）'!E271="--",0,'callPut（W）'!E271)</f>
        <v>0</v>
      </c>
      <c r="D272" s="165">
        <v>28950</v>
      </c>
      <c r="E272" s="161">
        <f>IF('callPut（W）'!L271="--",0,'callPut（W）'!L271)</f>
        <v>0</v>
      </c>
      <c r="F272" s="161">
        <f>IF('callPut（W）'!M271="--",0,'callPut（W）'!M271)</f>
        <v>0</v>
      </c>
      <c r="H272" s="161">
        <f>IF('callPut（F）'!D271="--",0,'callPut（F）'!D271)</f>
        <v>0</v>
      </c>
      <c r="I272" s="161">
        <f>IF('callPut（F）'!E271="--",0,'callPut（F）'!E271)</f>
        <v>0</v>
      </c>
      <c r="J272" s="165">
        <v>28950</v>
      </c>
      <c r="K272" s="161">
        <f>IF('callPut（F）'!L271="--",0,'callPut（F）'!L271)</f>
        <v>0</v>
      </c>
      <c r="L272" s="161">
        <f>IF('callPut（F）'!M271="--",0,'callPut（F）'!M271)</f>
        <v>0</v>
      </c>
      <c r="O272" s="160">
        <f t="shared" si="20"/>
        <v>0</v>
      </c>
      <c r="P272" s="160">
        <f t="shared" si="21"/>
        <v>0</v>
      </c>
      <c r="Q272" s="166">
        <v>28950</v>
      </c>
      <c r="R272" s="160">
        <f t="shared" si="22"/>
        <v>0</v>
      </c>
      <c r="S272" s="160">
        <f t="shared" si="23"/>
        <v>0</v>
      </c>
      <c r="T272" s="161"/>
      <c r="U272" s="160">
        <v>0</v>
      </c>
      <c r="V272" s="160">
        <v>0</v>
      </c>
      <c r="X272" s="160">
        <v>0</v>
      </c>
      <c r="Y272" s="160">
        <v>0</v>
      </c>
      <c r="AA272" s="160"/>
      <c r="AB272" s="162"/>
      <c r="AC272" s="162"/>
      <c r="AD272" s="162">
        <f t="shared" si="24"/>
        <v>0</v>
      </c>
      <c r="AE272" s="160">
        <v>270</v>
      </c>
    </row>
    <row r="273" spans="2:31" ht="15.75" x14ac:dyDescent="0.25">
      <c r="B273" s="161">
        <f>IF('callPut（W）'!D272="--",0,'callPut（W）'!D272)</f>
        <v>0</v>
      </c>
      <c r="C273" s="161">
        <f>IF('callPut（W）'!E272="--",0,'callPut（W）'!E272)</f>
        <v>0</v>
      </c>
      <c r="D273" s="165">
        <v>29000</v>
      </c>
      <c r="E273" s="161">
        <f>IF('callPut（W）'!L272="--",0,'callPut（W）'!L272)</f>
        <v>0</v>
      </c>
      <c r="F273" s="161">
        <f>IF('callPut（W）'!M272="--",0,'callPut（W）'!M272)</f>
        <v>0</v>
      </c>
      <c r="H273" s="161">
        <f>IF('callPut（F）'!D272="--",0,'callPut（F）'!D272)</f>
        <v>0</v>
      </c>
      <c r="I273" s="161">
        <f>IF('callPut（F）'!E272="--",0,'callPut（F）'!E272)</f>
        <v>0</v>
      </c>
      <c r="J273" s="165">
        <v>29000</v>
      </c>
      <c r="K273" s="161">
        <f>IF('callPut（F）'!L272="--",0,'callPut（F）'!L272)</f>
        <v>0</v>
      </c>
      <c r="L273" s="161">
        <f>IF('callPut（F）'!M272="--",0,'callPut（F）'!M272)</f>
        <v>0</v>
      </c>
      <c r="O273" s="160">
        <f t="shared" si="20"/>
        <v>0</v>
      </c>
      <c r="P273" s="160">
        <f t="shared" si="21"/>
        <v>0</v>
      </c>
      <c r="Q273" s="166">
        <v>29000</v>
      </c>
      <c r="R273" s="160">
        <f t="shared" si="22"/>
        <v>0</v>
      </c>
      <c r="S273" s="160">
        <f t="shared" si="23"/>
        <v>0</v>
      </c>
      <c r="T273" s="161"/>
      <c r="U273" s="160">
        <v>0</v>
      </c>
      <c r="V273" s="160">
        <v>0</v>
      </c>
      <c r="X273" s="160">
        <v>0</v>
      </c>
      <c r="Y273" s="160">
        <v>0</v>
      </c>
      <c r="AA273" s="160"/>
      <c r="AB273" s="162"/>
      <c r="AC273" s="162"/>
      <c r="AD273" s="162">
        <f t="shared" si="24"/>
        <v>0</v>
      </c>
      <c r="AE273" s="160">
        <v>271</v>
      </c>
    </row>
    <row r="274" spans="2:31" ht="15.75" x14ac:dyDescent="0.25">
      <c r="B274" s="161">
        <f>IF('callPut（W）'!D273="--",0,'callPut（W）'!D273)</f>
        <v>0</v>
      </c>
      <c r="C274" s="161">
        <f>IF('callPut（W）'!E273="--",0,'callPut（W）'!E273)</f>
        <v>0</v>
      </c>
      <c r="D274" s="165">
        <v>29050</v>
      </c>
      <c r="E274" s="161">
        <f>IF('callPut（W）'!L273="--",0,'callPut（W）'!L273)</f>
        <v>0</v>
      </c>
      <c r="F274" s="161">
        <f>IF('callPut（W）'!M273="--",0,'callPut（W）'!M273)</f>
        <v>0</v>
      </c>
      <c r="H274" s="161">
        <f>IF('callPut（F）'!D273="--",0,'callPut（F）'!D273)</f>
        <v>0</v>
      </c>
      <c r="I274" s="161">
        <f>IF('callPut（F）'!E273="--",0,'callPut（F）'!E273)</f>
        <v>0</v>
      </c>
      <c r="J274" s="165">
        <v>29050</v>
      </c>
      <c r="K274" s="161">
        <f>IF('callPut（F）'!L273="--",0,'callPut（F）'!L273)</f>
        <v>0</v>
      </c>
      <c r="L274" s="161">
        <f>IF('callPut（F）'!M273="--",0,'callPut（F）'!M273)</f>
        <v>0</v>
      </c>
      <c r="O274" s="160">
        <f t="shared" si="20"/>
        <v>0</v>
      </c>
      <c r="P274" s="160">
        <f t="shared" si="21"/>
        <v>0</v>
      </c>
      <c r="Q274" s="166">
        <v>29050</v>
      </c>
      <c r="R274" s="160">
        <f t="shared" si="22"/>
        <v>0</v>
      </c>
      <c r="S274" s="160">
        <f t="shared" si="23"/>
        <v>0</v>
      </c>
      <c r="T274" s="161"/>
      <c r="U274" s="160">
        <v>0</v>
      </c>
      <c r="V274" s="160">
        <v>0</v>
      </c>
      <c r="X274" s="160">
        <v>0</v>
      </c>
      <c r="Y274" s="160">
        <v>0</v>
      </c>
      <c r="AA274" s="160"/>
      <c r="AB274" s="162"/>
      <c r="AC274" s="162"/>
      <c r="AD274" s="162">
        <f t="shared" si="24"/>
        <v>0</v>
      </c>
      <c r="AE274" s="160">
        <v>272</v>
      </c>
    </row>
    <row r="275" spans="2:31" ht="15.75" x14ac:dyDescent="0.25">
      <c r="B275" s="161">
        <f>IF('callPut（W）'!D274="--",0,'callPut（W）'!D274)</f>
        <v>0</v>
      </c>
      <c r="C275" s="161">
        <f>IF('callPut（W）'!E274="--",0,'callPut（W）'!E274)</f>
        <v>0</v>
      </c>
      <c r="D275" s="165">
        <v>29100</v>
      </c>
      <c r="E275" s="161">
        <f>IF('callPut（W）'!L274="--",0,'callPut（W）'!L274)</f>
        <v>0</v>
      </c>
      <c r="F275" s="161">
        <f>IF('callPut（W）'!M274="--",0,'callPut（W）'!M274)</f>
        <v>0</v>
      </c>
      <c r="H275" s="161">
        <f>IF('callPut（F）'!D274="--",0,'callPut（F）'!D274)</f>
        <v>0</v>
      </c>
      <c r="I275" s="161">
        <f>IF('callPut（F）'!E274="--",0,'callPut（F）'!E274)</f>
        <v>0</v>
      </c>
      <c r="J275" s="165">
        <v>29100</v>
      </c>
      <c r="K275" s="161">
        <f>IF('callPut（F）'!L274="--",0,'callPut（F）'!L274)</f>
        <v>0</v>
      </c>
      <c r="L275" s="161">
        <f>IF('callPut（F）'!M274="--",0,'callPut（F）'!M274)</f>
        <v>0</v>
      </c>
      <c r="O275" s="160">
        <f t="shared" si="20"/>
        <v>0</v>
      </c>
      <c r="P275" s="160">
        <f t="shared" si="21"/>
        <v>0</v>
      </c>
      <c r="Q275" s="166">
        <v>29100</v>
      </c>
      <c r="R275" s="160">
        <f t="shared" si="22"/>
        <v>0</v>
      </c>
      <c r="S275" s="160">
        <f t="shared" si="23"/>
        <v>0</v>
      </c>
      <c r="T275" s="161"/>
      <c r="U275" s="160">
        <v>0</v>
      </c>
      <c r="V275" s="160">
        <v>0</v>
      </c>
      <c r="X275" s="160">
        <v>0</v>
      </c>
      <c r="Y275" s="160">
        <v>0</v>
      </c>
      <c r="AA275" s="160"/>
      <c r="AB275" s="162"/>
      <c r="AC275" s="162"/>
      <c r="AD275" s="162">
        <f t="shared" si="24"/>
        <v>0</v>
      </c>
      <c r="AE275" s="160">
        <v>273</v>
      </c>
    </row>
    <row r="276" spans="2:31" ht="15.75" x14ac:dyDescent="0.25">
      <c r="B276" s="161">
        <f>IF('callPut（W）'!D275="--",0,'callPut（W）'!D275)</f>
        <v>0</v>
      </c>
      <c r="C276" s="161">
        <f>IF('callPut（W）'!E275="--",0,'callPut（W）'!E275)</f>
        <v>0</v>
      </c>
      <c r="D276" s="165">
        <v>29150</v>
      </c>
      <c r="E276" s="161">
        <f>IF('callPut（W）'!L275="--",0,'callPut（W）'!L275)</f>
        <v>0</v>
      </c>
      <c r="F276" s="161">
        <f>IF('callPut（W）'!M275="--",0,'callPut（W）'!M275)</f>
        <v>0</v>
      </c>
      <c r="H276" s="161">
        <f>IF('callPut（F）'!D275="--",0,'callPut（F）'!D275)</f>
        <v>0</v>
      </c>
      <c r="I276" s="161">
        <f>IF('callPut（F）'!E275="--",0,'callPut（F）'!E275)</f>
        <v>0</v>
      </c>
      <c r="J276" s="165">
        <v>29150</v>
      </c>
      <c r="K276" s="161">
        <f>IF('callPut（F）'!L275="--",0,'callPut（F）'!L275)</f>
        <v>0</v>
      </c>
      <c r="L276" s="161">
        <f>IF('callPut（F）'!M275="--",0,'callPut（F）'!M275)</f>
        <v>0</v>
      </c>
      <c r="O276" s="160">
        <f t="shared" si="20"/>
        <v>0</v>
      </c>
      <c r="P276" s="160">
        <f t="shared" si="21"/>
        <v>0</v>
      </c>
      <c r="Q276" s="166">
        <v>29150</v>
      </c>
      <c r="R276" s="160">
        <f t="shared" si="22"/>
        <v>0</v>
      </c>
      <c r="S276" s="160">
        <f t="shared" si="23"/>
        <v>0</v>
      </c>
      <c r="T276" s="161"/>
      <c r="U276" s="160">
        <v>0</v>
      </c>
      <c r="V276" s="160">
        <v>0</v>
      </c>
      <c r="X276" s="160">
        <v>0</v>
      </c>
      <c r="Y276" s="160">
        <v>0</v>
      </c>
      <c r="AA276" s="160"/>
      <c r="AB276" s="162"/>
      <c r="AC276" s="162"/>
      <c r="AD276" s="162">
        <f t="shared" si="24"/>
        <v>0</v>
      </c>
      <c r="AE276" s="160">
        <v>274</v>
      </c>
    </row>
    <row r="277" spans="2:31" ht="15.75" x14ac:dyDescent="0.25">
      <c r="B277" s="161">
        <f>IF('callPut（W）'!D276="--",0,'callPut（W）'!D276)</f>
        <v>0</v>
      </c>
      <c r="C277" s="161">
        <f>IF('callPut（W）'!E276="--",0,'callPut（W）'!E276)</f>
        <v>0</v>
      </c>
      <c r="D277" s="165">
        <v>29200</v>
      </c>
      <c r="E277" s="161">
        <f>IF('callPut（W）'!L276="--",0,'callPut（W）'!L276)</f>
        <v>0</v>
      </c>
      <c r="F277" s="161">
        <f>IF('callPut（W）'!M276="--",0,'callPut（W）'!M276)</f>
        <v>0</v>
      </c>
      <c r="H277" s="161">
        <f>IF('callPut（F）'!D276="--",0,'callPut（F）'!D276)</f>
        <v>0</v>
      </c>
      <c r="I277" s="161">
        <f>IF('callPut（F）'!E276="--",0,'callPut（F）'!E276)</f>
        <v>0</v>
      </c>
      <c r="J277" s="165">
        <v>29200</v>
      </c>
      <c r="K277" s="161">
        <f>IF('callPut（F）'!L276="--",0,'callPut（F）'!L276)</f>
        <v>0</v>
      </c>
      <c r="L277" s="161">
        <f>IF('callPut（F）'!M276="--",0,'callPut（F）'!M276)</f>
        <v>0</v>
      </c>
      <c r="O277" s="160">
        <f t="shared" si="20"/>
        <v>0</v>
      </c>
      <c r="P277" s="160">
        <f t="shared" si="21"/>
        <v>0</v>
      </c>
      <c r="Q277" s="166">
        <v>29200</v>
      </c>
      <c r="R277" s="160">
        <f t="shared" si="22"/>
        <v>0</v>
      </c>
      <c r="S277" s="160">
        <f t="shared" si="23"/>
        <v>0</v>
      </c>
      <c r="T277" s="161"/>
      <c r="U277" s="160">
        <v>0</v>
      </c>
      <c r="V277" s="160">
        <v>0</v>
      </c>
      <c r="X277" s="160">
        <v>0</v>
      </c>
      <c r="Y277" s="160">
        <v>0</v>
      </c>
      <c r="AA277" s="160"/>
      <c r="AB277" s="162"/>
      <c r="AC277" s="162"/>
      <c r="AD277" s="162">
        <f t="shared" si="24"/>
        <v>0</v>
      </c>
      <c r="AE277" s="160">
        <v>275</v>
      </c>
    </row>
    <row r="278" spans="2:31" ht="15.75" x14ac:dyDescent="0.25">
      <c r="B278" s="161">
        <f>IF('callPut（W）'!D277="--",0,'callPut（W）'!D277)</f>
        <v>0</v>
      </c>
      <c r="C278" s="161">
        <f>IF('callPut（W）'!E277="--",0,'callPut（W）'!E277)</f>
        <v>0</v>
      </c>
      <c r="D278" s="165">
        <v>29250</v>
      </c>
      <c r="E278" s="161">
        <f>IF('callPut（W）'!L277="--",0,'callPut（W）'!L277)</f>
        <v>0</v>
      </c>
      <c r="F278" s="161">
        <f>IF('callPut（W）'!M277="--",0,'callPut（W）'!M277)</f>
        <v>0</v>
      </c>
      <c r="H278" s="161">
        <f>IF('callPut（F）'!D277="--",0,'callPut（F）'!D277)</f>
        <v>0</v>
      </c>
      <c r="I278" s="161">
        <f>IF('callPut（F）'!E277="--",0,'callPut（F）'!E277)</f>
        <v>0</v>
      </c>
      <c r="J278" s="165">
        <v>29250</v>
      </c>
      <c r="K278" s="161">
        <f>IF('callPut（F）'!L277="--",0,'callPut（F）'!L277)</f>
        <v>0</v>
      </c>
      <c r="L278" s="161">
        <f>IF('callPut（F）'!M277="--",0,'callPut（F）'!M277)</f>
        <v>0</v>
      </c>
      <c r="O278" s="160">
        <f t="shared" si="20"/>
        <v>0</v>
      </c>
      <c r="P278" s="160">
        <f t="shared" si="21"/>
        <v>0</v>
      </c>
      <c r="Q278" s="166">
        <v>29250</v>
      </c>
      <c r="R278" s="160">
        <f t="shared" si="22"/>
        <v>0</v>
      </c>
      <c r="S278" s="160">
        <f t="shared" si="23"/>
        <v>0</v>
      </c>
      <c r="T278" s="161"/>
      <c r="U278" s="160">
        <v>0</v>
      </c>
      <c r="V278" s="160">
        <v>0</v>
      </c>
      <c r="X278" s="160">
        <v>0</v>
      </c>
      <c r="Y278" s="160">
        <v>0</v>
      </c>
      <c r="AA278" s="160"/>
      <c r="AB278" s="162"/>
      <c r="AC278" s="162"/>
      <c r="AD278" s="162">
        <f t="shared" si="24"/>
        <v>0</v>
      </c>
      <c r="AE278" s="160">
        <v>276</v>
      </c>
    </row>
    <row r="279" spans="2:31" ht="15.75" x14ac:dyDescent="0.25">
      <c r="B279" s="161">
        <f>IF('callPut（W）'!D278="--",0,'callPut（W）'!D278)</f>
        <v>0</v>
      </c>
      <c r="C279" s="161">
        <f>IF('callPut（W）'!E278="--",0,'callPut（W）'!E278)</f>
        <v>0</v>
      </c>
      <c r="D279" s="165">
        <v>29300</v>
      </c>
      <c r="E279" s="161">
        <f>IF('callPut（W）'!L278="--",0,'callPut（W）'!L278)</f>
        <v>0</v>
      </c>
      <c r="F279" s="161">
        <f>IF('callPut（W）'!M278="--",0,'callPut（W）'!M278)</f>
        <v>0</v>
      </c>
      <c r="H279" s="161">
        <f>IF('callPut（F）'!D278="--",0,'callPut（F）'!D278)</f>
        <v>0</v>
      </c>
      <c r="I279" s="161">
        <f>IF('callPut（F）'!E278="--",0,'callPut（F）'!E278)</f>
        <v>0</v>
      </c>
      <c r="J279" s="165">
        <v>29300</v>
      </c>
      <c r="K279" s="161">
        <f>IF('callPut（F）'!L278="--",0,'callPut（F）'!L278)</f>
        <v>0</v>
      </c>
      <c r="L279" s="161">
        <f>IF('callPut（F）'!M278="--",0,'callPut（F）'!M278)</f>
        <v>0</v>
      </c>
      <c r="O279" s="160">
        <f t="shared" si="20"/>
        <v>0</v>
      </c>
      <c r="P279" s="160">
        <f t="shared" si="21"/>
        <v>0</v>
      </c>
      <c r="Q279" s="166">
        <v>29300</v>
      </c>
      <c r="R279" s="160">
        <f t="shared" si="22"/>
        <v>0</v>
      </c>
      <c r="S279" s="160">
        <f t="shared" si="23"/>
        <v>0</v>
      </c>
      <c r="T279" s="161"/>
      <c r="U279" s="160">
        <v>0</v>
      </c>
      <c r="V279" s="160">
        <v>0</v>
      </c>
      <c r="X279" s="160">
        <v>0</v>
      </c>
      <c r="Y279" s="160">
        <v>0</v>
      </c>
      <c r="AA279" s="160"/>
      <c r="AB279" s="162"/>
      <c r="AC279" s="162"/>
      <c r="AD279" s="162">
        <f t="shared" si="24"/>
        <v>0</v>
      </c>
      <c r="AE279" s="160">
        <v>277</v>
      </c>
    </row>
    <row r="280" spans="2:31" ht="15.75" x14ac:dyDescent="0.25">
      <c r="B280" s="161">
        <f>IF('callPut（W）'!D279="--",0,'callPut（W）'!D279)</f>
        <v>0</v>
      </c>
      <c r="C280" s="161">
        <f>IF('callPut（W）'!E279="--",0,'callPut（W）'!E279)</f>
        <v>0</v>
      </c>
      <c r="D280" s="165">
        <v>29350</v>
      </c>
      <c r="E280" s="161">
        <f>IF('callPut（W）'!L279="--",0,'callPut（W）'!L279)</f>
        <v>0</v>
      </c>
      <c r="F280" s="161">
        <f>IF('callPut（W）'!M279="--",0,'callPut（W）'!M279)</f>
        <v>0</v>
      </c>
      <c r="H280" s="161">
        <f>IF('callPut（F）'!D279="--",0,'callPut（F）'!D279)</f>
        <v>0</v>
      </c>
      <c r="I280" s="161">
        <f>IF('callPut（F）'!E279="--",0,'callPut（F）'!E279)</f>
        <v>0</v>
      </c>
      <c r="J280" s="165">
        <v>29350</v>
      </c>
      <c r="K280" s="161">
        <f>IF('callPut（F）'!L279="--",0,'callPut（F）'!L279)</f>
        <v>0</v>
      </c>
      <c r="L280" s="161">
        <f>IF('callPut（F）'!M279="--",0,'callPut（F）'!M279)</f>
        <v>0</v>
      </c>
      <c r="O280" s="160">
        <f t="shared" si="20"/>
        <v>0</v>
      </c>
      <c r="P280" s="160">
        <f t="shared" si="21"/>
        <v>0</v>
      </c>
      <c r="Q280" s="166">
        <v>29350</v>
      </c>
      <c r="R280" s="160">
        <f t="shared" si="22"/>
        <v>0</v>
      </c>
      <c r="S280" s="160">
        <f t="shared" si="23"/>
        <v>0</v>
      </c>
      <c r="T280" s="161"/>
      <c r="U280" s="160">
        <v>0</v>
      </c>
      <c r="V280" s="160">
        <v>0</v>
      </c>
      <c r="X280" s="160">
        <v>0</v>
      </c>
      <c r="Y280" s="160">
        <v>0</v>
      </c>
      <c r="AA280" s="160"/>
      <c r="AB280" s="162"/>
      <c r="AC280" s="162"/>
      <c r="AD280" s="162">
        <f t="shared" si="24"/>
        <v>0</v>
      </c>
      <c r="AE280" s="160">
        <v>278</v>
      </c>
    </row>
    <row r="281" spans="2:31" ht="15.75" x14ac:dyDescent="0.25">
      <c r="B281" s="161">
        <f>IF('callPut（W）'!D280="--",0,'callPut（W）'!D280)</f>
        <v>0</v>
      </c>
      <c r="C281" s="161">
        <f>IF('callPut（W）'!E280="--",0,'callPut（W）'!E280)</f>
        <v>0</v>
      </c>
      <c r="D281" s="165">
        <v>29400</v>
      </c>
      <c r="E281" s="161">
        <f>IF('callPut（W）'!L280="--",0,'callPut（W）'!L280)</f>
        <v>0</v>
      </c>
      <c r="F281" s="161">
        <f>IF('callPut（W）'!M280="--",0,'callPut（W）'!M280)</f>
        <v>0</v>
      </c>
      <c r="H281" s="161">
        <f>IF('callPut（F）'!D280="--",0,'callPut（F）'!D280)</f>
        <v>0</v>
      </c>
      <c r="I281" s="161">
        <f>IF('callPut（F）'!E280="--",0,'callPut（F）'!E280)</f>
        <v>0</v>
      </c>
      <c r="J281" s="165">
        <v>29400</v>
      </c>
      <c r="K281" s="161">
        <f>IF('callPut（F）'!L280="--",0,'callPut（F）'!L280)</f>
        <v>0</v>
      </c>
      <c r="L281" s="161">
        <f>IF('callPut（F）'!M280="--",0,'callPut（F）'!M280)</f>
        <v>0</v>
      </c>
      <c r="O281" s="160">
        <f t="shared" si="20"/>
        <v>0</v>
      </c>
      <c r="P281" s="160">
        <f t="shared" si="21"/>
        <v>0</v>
      </c>
      <c r="Q281" s="166">
        <v>29400</v>
      </c>
      <c r="R281" s="160">
        <f t="shared" si="22"/>
        <v>0</v>
      </c>
      <c r="S281" s="160">
        <f t="shared" si="23"/>
        <v>0</v>
      </c>
      <c r="T281" s="161"/>
      <c r="U281" s="160">
        <v>0</v>
      </c>
      <c r="V281" s="160">
        <v>0</v>
      </c>
      <c r="X281" s="160">
        <v>0</v>
      </c>
      <c r="Y281" s="160">
        <v>0</v>
      </c>
      <c r="AA281" s="160"/>
      <c r="AB281" s="162"/>
      <c r="AC281" s="162"/>
      <c r="AD281" s="162">
        <f t="shared" si="24"/>
        <v>0</v>
      </c>
      <c r="AE281" s="160">
        <v>279</v>
      </c>
    </row>
    <row r="282" spans="2:31" ht="15.75" x14ac:dyDescent="0.25">
      <c r="B282" s="161">
        <f>IF('callPut（W）'!D281="--",0,'callPut（W）'!D281)</f>
        <v>0</v>
      </c>
      <c r="C282" s="161">
        <f>IF('callPut（W）'!E281="--",0,'callPut（W）'!E281)</f>
        <v>0</v>
      </c>
      <c r="D282" s="165">
        <v>29450</v>
      </c>
      <c r="E282" s="161">
        <f>IF('callPut（W）'!L281="--",0,'callPut（W）'!L281)</f>
        <v>0</v>
      </c>
      <c r="F282" s="161">
        <f>IF('callPut（W）'!M281="--",0,'callPut（W）'!M281)</f>
        <v>0</v>
      </c>
      <c r="H282" s="161">
        <f>IF('callPut（F）'!D281="--",0,'callPut（F）'!D281)</f>
        <v>0</v>
      </c>
      <c r="I282" s="161">
        <f>IF('callPut（F）'!E281="--",0,'callPut（F）'!E281)</f>
        <v>0</v>
      </c>
      <c r="J282" s="165">
        <v>29450</v>
      </c>
      <c r="K282" s="161">
        <f>IF('callPut（F）'!L281="--",0,'callPut（F）'!L281)</f>
        <v>0</v>
      </c>
      <c r="L282" s="161">
        <f>IF('callPut（F）'!M281="--",0,'callPut（F）'!M281)</f>
        <v>0</v>
      </c>
      <c r="O282" s="160">
        <f t="shared" si="20"/>
        <v>0</v>
      </c>
      <c r="P282" s="160">
        <f t="shared" si="21"/>
        <v>0</v>
      </c>
      <c r="Q282" s="166">
        <v>29450</v>
      </c>
      <c r="R282" s="160">
        <f t="shared" si="22"/>
        <v>0</v>
      </c>
      <c r="S282" s="160">
        <f t="shared" si="23"/>
        <v>0</v>
      </c>
      <c r="T282" s="161"/>
      <c r="U282" s="160">
        <v>0</v>
      </c>
      <c r="V282" s="160">
        <v>0</v>
      </c>
      <c r="X282" s="160">
        <v>0</v>
      </c>
      <c r="Y282" s="160">
        <v>0</v>
      </c>
      <c r="AA282" s="160"/>
      <c r="AB282" s="162"/>
      <c r="AC282" s="162"/>
      <c r="AD282" s="162">
        <f t="shared" si="24"/>
        <v>0</v>
      </c>
      <c r="AE282" s="160">
        <v>280</v>
      </c>
    </row>
    <row r="283" spans="2:31" ht="15.75" x14ac:dyDescent="0.25">
      <c r="B283" s="161">
        <f>IF('callPut（W）'!D282="--",0,'callPut（W）'!D282)</f>
        <v>0</v>
      </c>
      <c r="C283" s="161">
        <f>IF('callPut（W）'!E282="--",0,'callPut（W）'!E282)</f>
        <v>0</v>
      </c>
      <c r="D283" s="165">
        <v>29500</v>
      </c>
      <c r="E283" s="161">
        <f>IF('callPut（W）'!L282="--",0,'callPut（W）'!L282)</f>
        <v>0</v>
      </c>
      <c r="F283" s="161">
        <f>IF('callPut（W）'!M282="--",0,'callPut（W）'!M282)</f>
        <v>0</v>
      </c>
      <c r="H283" s="161">
        <f>IF('callPut（F）'!D282="--",0,'callPut（F）'!D282)</f>
        <v>0</v>
      </c>
      <c r="I283" s="161">
        <f>IF('callPut（F）'!E282="--",0,'callPut（F）'!E282)</f>
        <v>0</v>
      </c>
      <c r="J283" s="165">
        <v>29500</v>
      </c>
      <c r="K283" s="161">
        <f>IF('callPut（F）'!L282="--",0,'callPut（F）'!L282)</f>
        <v>0</v>
      </c>
      <c r="L283" s="161">
        <f>IF('callPut（F）'!M282="--",0,'callPut（F）'!M282)</f>
        <v>0</v>
      </c>
      <c r="O283" s="160">
        <f t="shared" si="20"/>
        <v>0</v>
      </c>
      <c r="P283" s="160">
        <f t="shared" si="21"/>
        <v>0</v>
      </c>
      <c r="Q283" s="166">
        <v>29500</v>
      </c>
      <c r="R283" s="160">
        <f t="shared" si="22"/>
        <v>0</v>
      </c>
      <c r="S283" s="160">
        <f t="shared" si="23"/>
        <v>0</v>
      </c>
      <c r="T283" s="161"/>
      <c r="U283" s="160">
        <v>0</v>
      </c>
      <c r="V283" s="160">
        <v>0</v>
      </c>
      <c r="X283" s="160">
        <v>0</v>
      </c>
      <c r="Y283" s="160">
        <v>0</v>
      </c>
      <c r="AA283" s="160"/>
      <c r="AB283" s="162"/>
      <c r="AC283" s="162"/>
      <c r="AD283" s="162">
        <f t="shared" si="24"/>
        <v>0</v>
      </c>
      <c r="AE283" s="160">
        <v>281</v>
      </c>
    </row>
    <row r="284" spans="2:31" ht="15.75" x14ac:dyDescent="0.25">
      <c r="B284" s="161">
        <f>IF('callPut（W）'!D283="--",0,'callPut（W）'!D283)</f>
        <v>0</v>
      </c>
      <c r="C284" s="161">
        <f>IF('callPut（W）'!E283="--",0,'callPut（W）'!E283)</f>
        <v>0</v>
      </c>
      <c r="D284" s="165">
        <v>29550</v>
      </c>
      <c r="E284" s="161">
        <f>IF('callPut（W）'!L283="--",0,'callPut（W）'!L283)</f>
        <v>0</v>
      </c>
      <c r="F284" s="161">
        <f>IF('callPut（W）'!M283="--",0,'callPut（W）'!M283)</f>
        <v>0</v>
      </c>
      <c r="H284" s="161">
        <f>IF('callPut（F）'!D283="--",0,'callPut（F）'!D283)</f>
        <v>0</v>
      </c>
      <c r="I284" s="161">
        <f>IF('callPut（F）'!E283="--",0,'callPut（F）'!E283)</f>
        <v>0</v>
      </c>
      <c r="J284" s="165">
        <v>29550</v>
      </c>
      <c r="K284" s="161">
        <f>IF('callPut（F）'!L283="--",0,'callPut（F）'!L283)</f>
        <v>0</v>
      </c>
      <c r="L284" s="161">
        <f>IF('callPut（F）'!M283="--",0,'callPut（F）'!M283)</f>
        <v>0</v>
      </c>
      <c r="O284" s="160">
        <f t="shared" si="20"/>
        <v>0</v>
      </c>
      <c r="P284" s="160">
        <f t="shared" si="21"/>
        <v>0</v>
      </c>
      <c r="Q284" s="166">
        <v>29550</v>
      </c>
      <c r="R284" s="160">
        <f t="shared" si="22"/>
        <v>0</v>
      </c>
      <c r="S284" s="160">
        <f t="shared" si="23"/>
        <v>0</v>
      </c>
      <c r="T284" s="161"/>
      <c r="U284" s="160">
        <v>0</v>
      </c>
      <c r="V284" s="160">
        <v>0</v>
      </c>
      <c r="X284" s="160">
        <v>0</v>
      </c>
      <c r="Y284" s="160">
        <v>0</v>
      </c>
      <c r="AA284" s="160"/>
      <c r="AB284" s="162"/>
      <c r="AC284" s="162"/>
      <c r="AD284" s="162">
        <f t="shared" si="24"/>
        <v>0</v>
      </c>
      <c r="AE284" s="160">
        <v>282</v>
      </c>
    </row>
    <row r="285" spans="2:31" ht="15.75" x14ac:dyDescent="0.25">
      <c r="B285" s="161">
        <f>IF('callPut（W）'!D284="--",0,'callPut（W）'!D284)</f>
        <v>0</v>
      </c>
      <c r="C285" s="161">
        <f>IF('callPut（W）'!E284="--",0,'callPut（W）'!E284)</f>
        <v>0</v>
      </c>
      <c r="D285" s="165">
        <v>29600</v>
      </c>
      <c r="E285" s="161">
        <f>IF('callPut（W）'!L284="--",0,'callPut（W）'!L284)</f>
        <v>0</v>
      </c>
      <c r="F285" s="161">
        <f>IF('callPut（W）'!M284="--",0,'callPut（W）'!M284)</f>
        <v>0</v>
      </c>
      <c r="H285" s="161">
        <f>IF('callPut（F）'!D284="--",0,'callPut（F）'!D284)</f>
        <v>0</v>
      </c>
      <c r="I285" s="161">
        <f>IF('callPut（F）'!E284="--",0,'callPut（F）'!E284)</f>
        <v>0</v>
      </c>
      <c r="J285" s="165">
        <v>29600</v>
      </c>
      <c r="K285" s="161">
        <f>IF('callPut（F）'!L284="--",0,'callPut（F）'!L284)</f>
        <v>0</v>
      </c>
      <c r="L285" s="161">
        <f>IF('callPut（F）'!M284="--",0,'callPut（F）'!M284)</f>
        <v>0</v>
      </c>
      <c r="O285" s="160">
        <f t="shared" si="20"/>
        <v>0</v>
      </c>
      <c r="P285" s="160">
        <f t="shared" si="21"/>
        <v>0</v>
      </c>
      <c r="Q285" s="166">
        <v>29600</v>
      </c>
      <c r="R285" s="160">
        <f t="shared" si="22"/>
        <v>0</v>
      </c>
      <c r="S285" s="160">
        <f t="shared" si="23"/>
        <v>0</v>
      </c>
      <c r="T285" s="161"/>
      <c r="U285" s="160">
        <v>0</v>
      </c>
      <c r="V285" s="160">
        <v>0</v>
      </c>
      <c r="X285" s="160">
        <v>0</v>
      </c>
      <c r="Y285" s="160">
        <v>0</v>
      </c>
      <c r="AA285" s="160"/>
      <c r="AB285" s="162"/>
      <c r="AC285" s="162"/>
      <c r="AD285" s="162">
        <f t="shared" si="24"/>
        <v>0</v>
      </c>
      <c r="AE285" s="160">
        <v>283</v>
      </c>
    </row>
    <row r="286" spans="2:31" ht="15.75" x14ac:dyDescent="0.25">
      <c r="B286" s="161">
        <f>IF('callPut（W）'!D285="--",0,'callPut（W）'!D285)</f>
        <v>0</v>
      </c>
      <c r="C286" s="161">
        <f>IF('callPut（W）'!E285="--",0,'callPut（W）'!E285)</f>
        <v>0</v>
      </c>
      <c r="D286" s="165">
        <v>29650</v>
      </c>
      <c r="E286" s="161">
        <f>IF('callPut（W）'!L285="--",0,'callPut（W）'!L285)</f>
        <v>0</v>
      </c>
      <c r="F286" s="161">
        <f>IF('callPut（W）'!M285="--",0,'callPut（W）'!M285)</f>
        <v>0</v>
      </c>
      <c r="H286" s="161">
        <f>IF('callPut（F）'!D285="--",0,'callPut（F）'!D285)</f>
        <v>0</v>
      </c>
      <c r="I286" s="161">
        <f>IF('callPut（F）'!E285="--",0,'callPut（F）'!E285)</f>
        <v>0</v>
      </c>
      <c r="J286" s="165">
        <v>29650</v>
      </c>
      <c r="K286" s="161">
        <f>IF('callPut（F）'!L285="--",0,'callPut（F）'!L285)</f>
        <v>0</v>
      </c>
      <c r="L286" s="161">
        <f>IF('callPut（F）'!M285="--",0,'callPut（F）'!M285)</f>
        <v>0</v>
      </c>
      <c r="O286" s="160">
        <f t="shared" si="20"/>
        <v>0</v>
      </c>
      <c r="P286" s="160">
        <f t="shared" si="21"/>
        <v>0</v>
      </c>
      <c r="Q286" s="166">
        <v>29650</v>
      </c>
      <c r="R286" s="160">
        <f t="shared" si="22"/>
        <v>0</v>
      </c>
      <c r="S286" s="160">
        <f t="shared" si="23"/>
        <v>0</v>
      </c>
      <c r="T286" s="161"/>
      <c r="U286" s="160">
        <v>0</v>
      </c>
      <c r="V286" s="160">
        <v>0</v>
      </c>
      <c r="X286" s="160">
        <v>0</v>
      </c>
      <c r="Y286" s="160">
        <v>0</v>
      </c>
      <c r="AA286" s="160"/>
      <c r="AB286" s="162"/>
      <c r="AC286" s="162"/>
      <c r="AD286" s="162">
        <f t="shared" si="24"/>
        <v>0</v>
      </c>
      <c r="AE286" s="160">
        <v>284</v>
      </c>
    </row>
    <row r="287" spans="2:31" ht="15.75" x14ac:dyDescent="0.25">
      <c r="B287" s="161">
        <f>IF('callPut（W）'!D286="--",0,'callPut（W）'!D286)</f>
        <v>0</v>
      </c>
      <c r="C287" s="161">
        <f>IF('callPut（W）'!E286="--",0,'callPut（W）'!E286)</f>
        <v>0</v>
      </c>
      <c r="D287" s="165">
        <v>29700</v>
      </c>
      <c r="E287" s="161">
        <f>IF('callPut（W）'!L286="--",0,'callPut（W）'!L286)</f>
        <v>0</v>
      </c>
      <c r="F287" s="161">
        <f>IF('callPut（W）'!M286="--",0,'callPut（W）'!M286)</f>
        <v>0</v>
      </c>
      <c r="H287" s="161">
        <f>IF('callPut（F）'!D286="--",0,'callPut（F）'!D286)</f>
        <v>0</v>
      </c>
      <c r="I287" s="161">
        <f>IF('callPut（F）'!E286="--",0,'callPut（F）'!E286)</f>
        <v>0</v>
      </c>
      <c r="J287" s="165">
        <v>29700</v>
      </c>
      <c r="K287" s="161">
        <f>IF('callPut（F）'!L286="--",0,'callPut（F）'!L286)</f>
        <v>0</v>
      </c>
      <c r="L287" s="161">
        <f>IF('callPut（F）'!M286="--",0,'callPut（F）'!M286)</f>
        <v>0</v>
      </c>
      <c r="O287" s="160">
        <f t="shared" si="20"/>
        <v>0</v>
      </c>
      <c r="P287" s="160">
        <f t="shared" si="21"/>
        <v>0</v>
      </c>
      <c r="Q287" s="166">
        <v>29700</v>
      </c>
      <c r="R287" s="160">
        <f t="shared" si="22"/>
        <v>0</v>
      </c>
      <c r="S287" s="160">
        <f t="shared" si="23"/>
        <v>0</v>
      </c>
      <c r="T287" s="161"/>
      <c r="U287" s="160">
        <v>0</v>
      </c>
      <c r="V287" s="160">
        <v>0</v>
      </c>
      <c r="X287" s="160">
        <v>0</v>
      </c>
      <c r="Y287" s="160">
        <v>0</v>
      </c>
      <c r="AA287" s="160"/>
      <c r="AB287" s="162"/>
      <c r="AC287" s="162"/>
      <c r="AD287" s="162">
        <f t="shared" si="24"/>
        <v>0</v>
      </c>
      <c r="AE287" s="160">
        <v>285</v>
      </c>
    </row>
    <row r="288" spans="2:31" ht="15.75" x14ac:dyDescent="0.25">
      <c r="B288" s="161">
        <f>IF('callPut（W）'!D287="--",0,'callPut（W）'!D287)</f>
        <v>0</v>
      </c>
      <c r="C288" s="161">
        <f>IF('callPut（W）'!E287="--",0,'callPut（W）'!E287)</f>
        <v>0</v>
      </c>
      <c r="D288" s="165">
        <v>29750</v>
      </c>
      <c r="E288" s="161">
        <f>IF('callPut（W）'!L287="--",0,'callPut（W）'!L287)</f>
        <v>0</v>
      </c>
      <c r="F288" s="161">
        <f>IF('callPut（W）'!M287="--",0,'callPut（W）'!M287)</f>
        <v>0</v>
      </c>
      <c r="H288" s="161">
        <f>IF('callPut（F）'!D287="--",0,'callPut（F）'!D287)</f>
        <v>0</v>
      </c>
      <c r="I288" s="161">
        <f>IF('callPut（F）'!E287="--",0,'callPut（F）'!E287)</f>
        <v>0</v>
      </c>
      <c r="J288" s="165">
        <v>29750</v>
      </c>
      <c r="K288" s="161">
        <f>IF('callPut（F）'!L287="--",0,'callPut（F）'!L287)</f>
        <v>0</v>
      </c>
      <c r="L288" s="161">
        <f>IF('callPut（F）'!M287="--",0,'callPut（F）'!M287)</f>
        <v>0</v>
      </c>
      <c r="O288" s="160">
        <f t="shared" si="20"/>
        <v>0</v>
      </c>
      <c r="P288" s="160">
        <f t="shared" si="21"/>
        <v>0</v>
      </c>
      <c r="Q288" s="166">
        <v>29750</v>
      </c>
      <c r="R288" s="160">
        <f t="shared" si="22"/>
        <v>0</v>
      </c>
      <c r="S288" s="160">
        <f t="shared" si="23"/>
        <v>0</v>
      </c>
      <c r="T288" s="161"/>
      <c r="U288" s="160">
        <v>0</v>
      </c>
      <c r="V288" s="160">
        <v>0</v>
      </c>
      <c r="X288" s="160">
        <v>0</v>
      </c>
      <c r="Y288" s="160">
        <v>0</v>
      </c>
      <c r="AA288" s="160"/>
      <c r="AB288" s="162"/>
      <c r="AC288" s="162"/>
      <c r="AD288" s="162">
        <f t="shared" si="24"/>
        <v>0</v>
      </c>
      <c r="AE288" s="160">
        <v>286</v>
      </c>
    </row>
    <row r="289" spans="2:31" ht="15.75" x14ac:dyDescent="0.25">
      <c r="B289" s="161">
        <f>IF('callPut（W）'!D288="--",0,'callPut（W）'!D288)</f>
        <v>0</v>
      </c>
      <c r="C289" s="161">
        <f>IF('callPut（W）'!E288="--",0,'callPut（W）'!E288)</f>
        <v>0</v>
      </c>
      <c r="D289" s="165">
        <v>29800</v>
      </c>
      <c r="E289" s="161">
        <f>IF('callPut（W）'!L288="--",0,'callPut（W）'!L288)</f>
        <v>0</v>
      </c>
      <c r="F289" s="161">
        <f>IF('callPut（W）'!M288="--",0,'callPut（W）'!M288)</f>
        <v>0</v>
      </c>
      <c r="H289" s="161">
        <f>IF('callPut（F）'!D288="--",0,'callPut（F）'!D288)</f>
        <v>0</v>
      </c>
      <c r="I289" s="161">
        <f>IF('callPut（F）'!E288="--",0,'callPut（F）'!E288)</f>
        <v>0</v>
      </c>
      <c r="J289" s="165">
        <v>29800</v>
      </c>
      <c r="K289" s="161">
        <f>IF('callPut（F）'!L288="--",0,'callPut（F）'!L288)</f>
        <v>0</v>
      </c>
      <c r="L289" s="161">
        <f>IF('callPut（F）'!M288="--",0,'callPut（F）'!M288)</f>
        <v>0</v>
      </c>
      <c r="O289" s="160">
        <f t="shared" si="20"/>
        <v>0</v>
      </c>
      <c r="P289" s="160">
        <f t="shared" si="21"/>
        <v>0</v>
      </c>
      <c r="Q289" s="166">
        <v>29800</v>
      </c>
      <c r="R289" s="160">
        <f t="shared" si="22"/>
        <v>0</v>
      </c>
      <c r="S289" s="160">
        <f t="shared" si="23"/>
        <v>0</v>
      </c>
      <c r="T289" s="161"/>
      <c r="U289" s="160">
        <v>0</v>
      </c>
      <c r="V289" s="160">
        <v>0</v>
      </c>
      <c r="X289" s="160">
        <v>0</v>
      </c>
      <c r="Y289" s="160">
        <v>0</v>
      </c>
      <c r="AA289" s="160"/>
      <c r="AB289" s="162"/>
      <c r="AC289" s="162"/>
      <c r="AD289" s="162">
        <f t="shared" si="24"/>
        <v>0</v>
      </c>
      <c r="AE289" s="160">
        <v>287</v>
      </c>
    </row>
    <row r="290" spans="2:31" ht="15.75" x14ac:dyDescent="0.25">
      <c r="B290" s="161">
        <f>IF('callPut（W）'!D289="--",0,'callPut（W）'!D289)</f>
        <v>0</v>
      </c>
      <c r="C290" s="161">
        <f>IF('callPut（W）'!E289="--",0,'callPut（W）'!E289)</f>
        <v>0</v>
      </c>
      <c r="D290" s="165">
        <v>29850</v>
      </c>
      <c r="E290" s="161">
        <f>IF('callPut（W）'!L289="--",0,'callPut（W）'!L289)</f>
        <v>0</v>
      </c>
      <c r="F290" s="161">
        <f>IF('callPut（W）'!M289="--",0,'callPut（W）'!M289)</f>
        <v>0</v>
      </c>
      <c r="H290" s="161">
        <f>IF('callPut（F）'!D289="--",0,'callPut（F）'!D289)</f>
        <v>0</v>
      </c>
      <c r="I290" s="161">
        <f>IF('callPut（F）'!E289="--",0,'callPut（F）'!E289)</f>
        <v>0</v>
      </c>
      <c r="J290" s="165">
        <v>29850</v>
      </c>
      <c r="K290" s="161">
        <f>IF('callPut（F）'!L289="--",0,'callPut（F）'!L289)</f>
        <v>0</v>
      </c>
      <c r="L290" s="161">
        <f>IF('callPut（F）'!M289="--",0,'callPut（F）'!M289)</f>
        <v>0</v>
      </c>
      <c r="O290" s="160">
        <f t="shared" si="20"/>
        <v>0</v>
      </c>
      <c r="P290" s="160">
        <f t="shared" si="21"/>
        <v>0</v>
      </c>
      <c r="Q290" s="166">
        <v>29850</v>
      </c>
      <c r="R290" s="160">
        <f t="shared" si="22"/>
        <v>0</v>
      </c>
      <c r="S290" s="160">
        <f t="shared" si="23"/>
        <v>0</v>
      </c>
      <c r="T290" s="161"/>
      <c r="U290" s="160">
        <v>0</v>
      </c>
      <c r="V290" s="160">
        <v>0</v>
      </c>
      <c r="X290" s="160">
        <v>0</v>
      </c>
      <c r="Y290" s="160">
        <v>0</v>
      </c>
      <c r="AA290" s="160"/>
      <c r="AB290" s="162"/>
      <c r="AC290" s="162"/>
      <c r="AD290" s="162">
        <f t="shared" si="24"/>
        <v>0</v>
      </c>
      <c r="AE290" s="160">
        <v>288</v>
      </c>
    </row>
    <row r="291" spans="2:31" ht="15.75" x14ac:dyDescent="0.25">
      <c r="B291" s="161">
        <f>IF('callPut（W）'!D290="--",0,'callPut（W）'!D290)</f>
        <v>0</v>
      </c>
      <c r="C291" s="161">
        <f>IF('callPut（W）'!E290="--",0,'callPut（W）'!E290)</f>
        <v>0</v>
      </c>
      <c r="D291" s="165">
        <v>29900</v>
      </c>
      <c r="E291" s="161">
        <f>IF('callPut（W）'!L290="--",0,'callPut（W）'!L290)</f>
        <v>0</v>
      </c>
      <c r="F291" s="161">
        <f>IF('callPut（W）'!M290="--",0,'callPut（W）'!M290)</f>
        <v>0</v>
      </c>
      <c r="H291" s="161">
        <f>IF('callPut（F）'!D290="--",0,'callPut（F）'!D290)</f>
        <v>0</v>
      </c>
      <c r="I291" s="161">
        <f>IF('callPut（F）'!E290="--",0,'callPut（F）'!E290)</f>
        <v>0</v>
      </c>
      <c r="J291" s="165">
        <v>29900</v>
      </c>
      <c r="K291" s="161">
        <f>IF('callPut（F）'!L290="--",0,'callPut（F）'!L290)</f>
        <v>0</v>
      </c>
      <c r="L291" s="161">
        <f>IF('callPut（F）'!M290="--",0,'callPut（F）'!M290)</f>
        <v>0</v>
      </c>
      <c r="O291" s="160">
        <f t="shared" si="20"/>
        <v>0</v>
      </c>
      <c r="P291" s="160">
        <f t="shared" si="21"/>
        <v>0</v>
      </c>
      <c r="Q291" s="166">
        <v>29900</v>
      </c>
      <c r="R291" s="160">
        <f t="shared" si="22"/>
        <v>0</v>
      </c>
      <c r="S291" s="160">
        <f t="shared" si="23"/>
        <v>0</v>
      </c>
      <c r="T291" s="161"/>
      <c r="U291" s="160">
        <v>0</v>
      </c>
      <c r="V291" s="160">
        <v>0</v>
      </c>
      <c r="X291" s="160">
        <v>0</v>
      </c>
      <c r="Y291" s="160">
        <v>0</v>
      </c>
      <c r="AA291" s="160"/>
      <c r="AB291" s="162"/>
      <c r="AC291" s="162"/>
      <c r="AD291" s="162">
        <f t="shared" si="24"/>
        <v>0</v>
      </c>
      <c r="AE291" s="160">
        <v>289</v>
      </c>
    </row>
    <row r="292" spans="2:31" ht="15.75" x14ac:dyDescent="0.25">
      <c r="B292" s="161">
        <f>IF('callPut（W）'!D291="--",0,'callPut（W）'!D291)</f>
        <v>0</v>
      </c>
      <c r="C292" s="161">
        <f>IF('callPut（W）'!E291="--",0,'callPut（W）'!E291)</f>
        <v>0</v>
      </c>
      <c r="D292" s="165">
        <v>29950</v>
      </c>
      <c r="E292" s="161">
        <f>IF('callPut（W）'!L291="--",0,'callPut（W）'!L291)</f>
        <v>0</v>
      </c>
      <c r="F292" s="161">
        <f>IF('callPut（W）'!M291="--",0,'callPut（W）'!M291)</f>
        <v>0</v>
      </c>
      <c r="H292" s="161">
        <f>IF('callPut（F）'!D291="--",0,'callPut（F）'!D291)</f>
        <v>0</v>
      </c>
      <c r="I292" s="161">
        <f>IF('callPut（F）'!E291="--",0,'callPut（F）'!E291)</f>
        <v>0</v>
      </c>
      <c r="J292" s="165">
        <v>29950</v>
      </c>
      <c r="K292" s="161">
        <f>IF('callPut（F）'!L291="--",0,'callPut（F）'!L291)</f>
        <v>0</v>
      </c>
      <c r="L292" s="161">
        <f>IF('callPut（F）'!M291="--",0,'callPut（F）'!M291)</f>
        <v>0</v>
      </c>
      <c r="O292" s="160">
        <f t="shared" si="20"/>
        <v>0</v>
      </c>
      <c r="P292" s="160">
        <f t="shared" si="21"/>
        <v>0</v>
      </c>
      <c r="Q292" s="166">
        <v>29950</v>
      </c>
      <c r="R292" s="160">
        <f t="shared" si="22"/>
        <v>0</v>
      </c>
      <c r="S292" s="160">
        <f t="shared" si="23"/>
        <v>0</v>
      </c>
      <c r="T292" s="161"/>
      <c r="U292" s="160">
        <v>0</v>
      </c>
      <c r="V292" s="160">
        <v>0</v>
      </c>
      <c r="X292" s="160">
        <v>0</v>
      </c>
      <c r="Y292" s="160">
        <v>0</v>
      </c>
      <c r="AA292" s="160"/>
      <c r="AB292" s="162"/>
      <c r="AC292" s="162"/>
      <c r="AD292" s="162">
        <f t="shared" si="24"/>
        <v>0</v>
      </c>
      <c r="AE292" s="160">
        <v>290</v>
      </c>
    </row>
    <row r="293" spans="2:31" ht="15.75" x14ac:dyDescent="0.25">
      <c r="B293" s="161">
        <f>IF('callPut（W）'!D292="--",0,'callPut（W）'!D292)</f>
        <v>0</v>
      </c>
      <c r="C293" s="161">
        <f>IF('callPut（W）'!E292="--",0,'callPut（W）'!E292)</f>
        <v>0</v>
      </c>
      <c r="D293" s="165">
        <v>30000</v>
      </c>
      <c r="E293" s="161">
        <f>IF('callPut（W）'!L292="--",0,'callPut（W）'!L292)</f>
        <v>0</v>
      </c>
      <c r="F293" s="161">
        <f>IF('callPut（W）'!M292="--",0,'callPut（W）'!M292)</f>
        <v>0</v>
      </c>
      <c r="H293" s="161">
        <f>IF('callPut（F）'!D292="--",0,'callPut（F）'!D292)</f>
        <v>0</v>
      </c>
      <c r="I293" s="161">
        <f>IF('callPut（F）'!E292="--",0,'callPut（F）'!E292)</f>
        <v>0</v>
      </c>
      <c r="J293" s="165">
        <v>30000</v>
      </c>
      <c r="K293" s="161">
        <f>IF('callPut（F）'!L292="--",0,'callPut（F）'!L292)</f>
        <v>0</v>
      </c>
      <c r="L293" s="161">
        <f>IF('callPut（F）'!M292="--",0,'callPut（F）'!M292)</f>
        <v>0</v>
      </c>
      <c r="O293" s="160">
        <f t="shared" si="20"/>
        <v>0</v>
      </c>
      <c r="P293" s="160">
        <f t="shared" si="21"/>
        <v>0</v>
      </c>
      <c r="Q293" s="166">
        <v>30000</v>
      </c>
      <c r="R293" s="160">
        <f t="shared" si="22"/>
        <v>0</v>
      </c>
      <c r="S293" s="160">
        <f t="shared" si="23"/>
        <v>0</v>
      </c>
      <c r="T293" s="161"/>
      <c r="U293" s="160">
        <v>0</v>
      </c>
      <c r="V293" s="160">
        <v>0</v>
      </c>
      <c r="X293" s="160">
        <v>0</v>
      </c>
      <c r="Y293" s="160">
        <v>0</v>
      </c>
      <c r="AA293" s="160"/>
      <c r="AB293" s="162"/>
      <c r="AC293" s="162"/>
      <c r="AD293" s="162">
        <f t="shared" si="24"/>
        <v>0</v>
      </c>
      <c r="AE293" s="160">
        <v>291</v>
      </c>
    </row>
    <row r="294" spans="2:31" ht="15.75" x14ac:dyDescent="0.25">
      <c r="D294" s="161"/>
      <c r="T294" s="161"/>
      <c r="AA294" s="160"/>
      <c r="AB294" s="162"/>
      <c r="AC294" s="162"/>
      <c r="AD294" s="162">
        <f t="shared" si="24"/>
        <v>0</v>
      </c>
      <c r="AE294" s="160">
        <v>292</v>
      </c>
    </row>
    <row r="295" spans="2:31" x14ac:dyDescent="0.25">
      <c r="T295" s="161"/>
      <c r="AA295" s="160"/>
      <c r="AB295" s="162"/>
      <c r="AC295" s="162"/>
      <c r="AD295" s="162">
        <f t="shared" si="24"/>
        <v>0</v>
      </c>
      <c r="AE295" s="160">
        <v>293</v>
      </c>
    </row>
    <row r="296" spans="2:31" x14ac:dyDescent="0.25">
      <c r="T296" s="161"/>
      <c r="AA296" s="160"/>
      <c r="AB296" s="162"/>
      <c r="AC296" s="162"/>
      <c r="AD296" s="162">
        <f t="shared" si="24"/>
        <v>0</v>
      </c>
      <c r="AE296" s="160">
        <v>294</v>
      </c>
    </row>
    <row r="297" spans="2:31" x14ac:dyDescent="0.25">
      <c r="AA297" s="160"/>
      <c r="AB297" s="162"/>
      <c r="AC297" s="162"/>
      <c r="AD297" s="162">
        <f t="shared" si="24"/>
        <v>0</v>
      </c>
      <c r="AE297" s="160">
        <v>295</v>
      </c>
    </row>
    <row r="298" spans="2:31" x14ac:dyDescent="0.25">
      <c r="AA298" s="160"/>
      <c r="AB298" s="162"/>
      <c r="AC298" s="162"/>
      <c r="AD298" s="162">
        <f t="shared" si="24"/>
        <v>0</v>
      </c>
      <c r="AE298" s="160">
        <v>296</v>
      </c>
    </row>
    <row r="299" spans="2:31" x14ac:dyDescent="0.25">
      <c r="AA299" s="160"/>
      <c r="AB299" s="162"/>
      <c r="AC299" s="162"/>
      <c r="AD299" s="162">
        <f t="shared" si="24"/>
        <v>0</v>
      </c>
      <c r="AE299" s="160">
        <v>297</v>
      </c>
    </row>
    <row r="300" spans="2:31" x14ac:dyDescent="0.25">
      <c r="AA300" s="160"/>
      <c r="AB300" s="162"/>
      <c r="AC300" s="162"/>
      <c r="AD300" s="162">
        <f t="shared" si="24"/>
        <v>0</v>
      </c>
      <c r="AE300" s="160">
        <v>298</v>
      </c>
    </row>
    <row r="301" spans="2:31" x14ac:dyDescent="0.25">
      <c r="AA301" s="160"/>
      <c r="AB301" s="162"/>
      <c r="AC301" s="162"/>
      <c r="AD301" s="162">
        <f t="shared" si="24"/>
        <v>0</v>
      </c>
      <c r="AE301" s="160">
        <v>299</v>
      </c>
    </row>
    <row r="302" spans="2:31" x14ac:dyDescent="0.25">
      <c r="AA302" s="160"/>
      <c r="AB302" s="162"/>
      <c r="AC302" s="162"/>
      <c r="AD302" s="162">
        <f t="shared" si="24"/>
        <v>0</v>
      </c>
      <c r="AE302" s="160">
        <v>300</v>
      </c>
    </row>
    <row r="303" spans="2:31" x14ac:dyDescent="0.25">
      <c r="AA303" s="160"/>
      <c r="AB303" s="162"/>
      <c r="AC303" s="162"/>
      <c r="AD303" s="162">
        <f t="shared" si="24"/>
        <v>0</v>
      </c>
      <c r="AE303" s="160">
        <v>301</v>
      </c>
    </row>
    <row r="304" spans="2:31" x14ac:dyDescent="0.25">
      <c r="AA304" s="160"/>
      <c r="AB304" s="162"/>
      <c r="AC304" s="162"/>
      <c r="AD304" s="162">
        <f t="shared" si="24"/>
        <v>0</v>
      </c>
      <c r="AE304" s="160">
        <v>302</v>
      </c>
    </row>
    <row r="305" spans="27:31" x14ac:dyDescent="0.25">
      <c r="AA305" s="160"/>
      <c r="AB305" s="162"/>
      <c r="AC305" s="162"/>
      <c r="AD305" s="162">
        <f t="shared" si="24"/>
        <v>0</v>
      </c>
      <c r="AE305" s="160">
        <v>303</v>
      </c>
    </row>
    <row r="306" spans="27:31" x14ac:dyDescent="0.25">
      <c r="AA306" s="160"/>
      <c r="AB306" s="162"/>
      <c r="AC306" s="162"/>
      <c r="AD306" s="162">
        <f t="shared" si="24"/>
        <v>0</v>
      </c>
      <c r="AE306" s="160">
        <v>304</v>
      </c>
    </row>
    <row r="307" spans="27:31" x14ac:dyDescent="0.25">
      <c r="AA307" s="160"/>
      <c r="AB307" s="162"/>
      <c r="AC307" s="162"/>
      <c r="AD307" s="162">
        <f t="shared" si="24"/>
        <v>0</v>
      </c>
      <c r="AE307" s="160">
        <v>305</v>
      </c>
    </row>
    <row r="308" spans="27:31" x14ac:dyDescent="0.25">
      <c r="AA308" s="160"/>
      <c r="AB308" s="162"/>
      <c r="AC308" s="162"/>
      <c r="AD308" s="162">
        <f t="shared" si="24"/>
        <v>0</v>
      </c>
      <c r="AE308" s="160">
        <v>306</v>
      </c>
    </row>
    <row r="309" spans="27:31" x14ac:dyDescent="0.25">
      <c r="AA309" s="160"/>
      <c r="AB309" s="162"/>
      <c r="AC309" s="162"/>
      <c r="AD309" s="162">
        <f t="shared" si="24"/>
        <v>0</v>
      </c>
      <c r="AE309" s="160">
        <v>307</v>
      </c>
    </row>
    <row r="310" spans="27:31" x14ac:dyDescent="0.25">
      <c r="AA310" s="160"/>
      <c r="AB310" s="162"/>
      <c r="AC310" s="162"/>
      <c r="AD310" s="162">
        <f t="shared" si="24"/>
        <v>0</v>
      </c>
      <c r="AE310" s="160">
        <v>308</v>
      </c>
    </row>
    <row r="311" spans="27:31" x14ac:dyDescent="0.25">
      <c r="AA311" s="160"/>
      <c r="AB311" s="162"/>
      <c r="AC311" s="162"/>
      <c r="AD311" s="162">
        <f t="shared" si="24"/>
        <v>0</v>
      </c>
      <c r="AE311" s="160">
        <v>309</v>
      </c>
    </row>
    <row r="312" spans="27:31" x14ac:dyDescent="0.25">
      <c r="AA312" s="160"/>
      <c r="AB312" s="162"/>
      <c r="AC312" s="162"/>
      <c r="AD312" s="162">
        <f t="shared" si="24"/>
        <v>0</v>
      </c>
      <c r="AE312" s="160">
        <v>310</v>
      </c>
    </row>
    <row r="313" spans="27:31" x14ac:dyDescent="0.25">
      <c r="AA313" s="160"/>
      <c r="AB313" s="162"/>
      <c r="AC313" s="162"/>
      <c r="AD313" s="162">
        <f t="shared" si="24"/>
        <v>0</v>
      </c>
      <c r="AE313" s="160">
        <v>311</v>
      </c>
    </row>
    <row r="314" spans="27:31" x14ac:dyDescent="0.25">
      <c r="AA314" s="160"/>
      <c r="AB314" s="162"/>
      <c r="AC314" s="162"/>
      <c r="AD314" s="162">
        <f t="shared" si="24"/>
        <v>0</v>
      </c>
      <c r="AE314" s="160">
        <v>312</v>
      </c>
    </row>
    <row r="315" spans="27:31" x14ac:dyDescent="0.25">
      <c r="AA315" s="160"/>
      <c r="AB315" s="162"/>
      <c r="AC315" s="162"/>
      <c r="AD315" s="162">
        <f t="shared" si="24"/>
        <v>0</v>
      </c>
      <c r="AE315" s="160">
        <v>313</v>
      </c>
    </row>
    <row r="316" spans="27:31" x14ac:dyDescent="0.25">
      <c r="AA316" s="160"/>
      <c r="AB316" s="162"/>
      <c r="AC316" s="162"/>
      <c r="AD316" s="162">
        <f t="shared" si="24"/>
        <v>0</v>
      </c>
      <c r="AE316" s="160">
        <v>314</v>
      </c>
    </row>
    <row r="317" spans="27:31" x14ac:dyDescent="0.25">
      <c r="AA317" s="160"/>
      <c r="AB317" s="162"/>
      <c r="AC317" s="162"/>
      <c r="AD317" s="162">
        <f t="shared" si="24"/>
        <v>0</v>
      </c>
      <c r="AE317" s="160">
        <v>315</v>
      </c>
    </row>
    <row r="318" spans="27:31" x14ac:dyDescent="0.25">
      <c r="AA318" s="160"/>
      <c r="AB318" s="162"/>
      <c r="AC318" s="162"/>
      <c r="AD318" s="162">
        <f t="shared" si="24"/>
        <v>0</v>
      </c>
      <c r="AE318" s="160">
        <v>316</v>
      </c>
    </row>
    <row r="319" spans="27:31" x14ac:dyDescent="0.25">
      <c r="AA319" s="160"/>
      <c r="AB319" s="162"/>
      <c r="AC319" s="162"/>
      <c r="AD319" s="162">
        <f t="shared" si="24"/>
        <v>0</v>
      </c>
      <c r="AE319" s="160">
        <v>317</v>
      </c>
    </row>
    <row r="320" spans="27:31" x14ac:dyDescent="0.25">
      <c r="AA320" s="160"/>
      <c r="AB320" s="162"/>
      <c r="AC320" s="162"/>
      <c r="AD320" s="162">
        <f t="shared" si="24"/>
        <v>0</v>
      </c>
      <c r="AE320" s="160">
        <v>318</v>
      </c>
    </row>
    <row r="321" spans="27:31" x14ac:dyDescent="0.25">
      <c r="AA321" s="160"/>
      <c r="AB321" s="162"/>
      <c r="AC321" s="162"/>
      <c r="AD321" s="162">
        <f t="shared" si="24"/>
        <v>0</v>
      </c>
      <c r="AE321" s="160">
        <v>319</v>
      </c>
    </row>
    <row r="322" spans="27:31" x14ac:dyDescent="0.25">
      <c r="AA322" s="160"/>
      <c r="AB322" s="162"/>
      <c r="AC322" s="162"/>
      <c r="AD322" s="162">
        <f t="shared" si="24"/>
        <v>0</v>
      </c>
      <c r="AE322" s="160">
        <v>320</v>
      </c>
    </row>
    <row r="323" spans="27:31" x14ac:dyDescent="0.25">
      <c r="AA323" s="160"/>
      <c r="AB323" s="162"/>
      <c r="AC323" s="162"/>
      <c r="AD323" s="162">
        <f t="shared" si="24"/>
        <v>0</v>
      </c>
      <c r="AE323" s="160">
        <v>321</v>
      </c>
    </row>
    <row r="324" spans="27:31" x14ac:dyDescent="0.25">
      <c r="AA324" s="160"/>
      <c r="AB324" s="162"/>
      <c r="AC324" s="162"/>
      <c r="AD324" s="162">
        <f t="shared" ref="AD324:AD387" si="25">AB324+AC324</f>
        <v>0</v>
      </c>
      <c r="AE324" s="160">
        <v>322</v>
      </c>
    </row>
    <row r="325" spans="27:31" x14ac:dyDescent="0.25">
      <c r="AA325" s="160"/>
      <c r="AB325" s="162"/>
      <c r="AC325" s="162"/>
      <c r="AD325" s="162">
        <f t="shared" si="25"/>
        <v>0</v>
      </c>
      <c r="AE325" s="160">
        <v>323</v>
      </c>
    </row>
    <row r="326" spans="27:31" x14ac:dyDescent="0.25">
      <c r="AA326" s="160"/>
      <c r="AB326" s="162"/>
      <c r="AC326" s="162"/>
      <c r="AD326" s="162">
        <f t="shared" si="25"/>
        <v>0</v>
      </c>
      <c r="AE326" s="160">
        <v>324</v>
      </c>
    </row>
    <row r="327" spans="27:31" x14ac:dyDescent="0.25">
      <c r="AA327" s="160"/>
      <c r="AB327" s="162"/>
      <c r="AC327" s="162"/>
      <c r="AD327" s="162">
        <f t="shared" si="25"/>
        <v>0</v>
      </c>
      <c r="AE327" s="160">
        <v>325</v>
      </c>
    </row>
    <row r="328" spans="27:31" x14ac:dyDescent="0.25">
      <c r="AA328" s="160"/>
      <c r="AB328" s="162"/>
      <c r="AC328" s="162"/>
      <c r="AD328" s="162">
        <f t="shared" si="25"/>
        <v>0</v>
      </c>
      <c r="AE328" s="160">
        <v>326</v>
      </c>
    </row>
    <row r="329" spans="27:31" x14ac:dyDescent="0.25">
      <c r="AA329" s="160"/>
      <c r="AB329" s="162"/>
      <c r="AC329" s="162"/>
      <c r="AD329" s="162">
        <f t="shared" si="25"/>
        <v>0</v>
      </c>
      <c r="AE329" s="160">
        <v>327</v>
      </c>
    </row>
    <row r="330" spans="27:31" x14ac:dyDescent="0.25">
      <c r="AA330" s="160"/>
      <c r="AB330" s="162"/>
      <c r="AC330" s="162"/>
      <c r="AD330" s="162">
        <f t="shared" si="25"/>
        <v>0</v>
      </c>
      <c r="AE330" s="160">
        <v>328</v>
      </c>
    </row>
    <row r="331" spans="27:31" x14ac:dyDescent="0.25">
      <c r="AA331" s="160"/>
      <c r="AB331" s="162"/>
      <c r="AC331" s="162"/>
      <c r="AD331" s="162">
        <f t="shared" si="25"/>
        <v>0</v>
      </c>
      <c r="AE331" s="160">
        <v>329</v>
      </c>
    </row>
    <row r="332" spans="27:31" x14ac:dyDescent="0.25">
      <c r="AA332" s="160"/>
      <c r="AB332" s="162"/>
      <c r="AC332" s="162"/>
      <c r="AD332" s="162">
        <f t="shared" si="25"/>
        <v>0</v>
      </c>
      <c r="AE332" s="160">
        <v>330</v>
      </c>
    </row>
    <row r="333" spans="27:31" x14ac:dyDescent="0.25">
      <c r="AA333" s="160"/>
      <c r="AB333" s="162"/>
      <c r="AC333" s="162"/>
      <c r="AD333" s="162">
        <f t="shared" si="25"/>
        <v>0</v>
      </c>
      <c r="AE333" s="160">
        <v>331</v>
      </c>
    </row>
    <row r="334" spans="27:31" x14ac:dyDescent="0.25">
      <c r="AA334" s="160"/>
      <c r="AB334" s="162"/>
      <c r="AC334" s="162"/>
      <c r="AD334" s="162">
        <f t="shared" si="25"/>
        <v>0</v>
      </c>
      <c r="AE334" s="160">
        <v>332</v>
      </c>
    </row>
    <row r="335" spans="27:31" x14ac:dyDescent="0.25">
      <c r="AA335" s="160"/>
      <c r="AB335" s="162"/>
      <c r="AC335" s="162"/>
      <c r="AD335" s="162">
        <f t="shared" si="25"/>
        <v>0</v>
      </c>
      <c r="AE335" s="160">
        <v>333</v>
      </c>
    </row>
    <row r="336" spans="27:31" x14ac:dyDescent="0.25">
      <c r="AA336" s="160"/>
      <c r="AB336" s="162"/>
      <c r="AC336" s="162"/>
      <c r="AD336" s="162">
        <f t="shared" si="25"/>
        <v>0</v>
      </c>
      <c r="AE336" s="160">
        <v>334</v>
      </c>
    </row>
    <row r="337" spans="27:31" x14ac:dyDescent="0.25">
      <c r="AA337" s="160"/>
      <c r="AB337" s="162"/>
      <c r="AC337" s="162"/>
      <c r="AD337" s="162">
        <f t="shared" si="25"/>
        <v>0</v>
      </c>
      <c r="AE337" s="160">
        <v>335</v>
      </c>
    </row>
    <row r="338" spans="27:31" x14ac:dyDescent="0.25">
      <c r="AA338" s="160"/>
      <c r="AB338" s="162"/>
      <c r="AC338" s="162"/>
      <c r="AD338" s="162">
        <f t="shared" si="25"/>
        <v>0</v>
      </c>
      <c r="AE338" s="160">
        <v>336</v>
      </c>
    </row>
    <row r="339" spans="27:31" x14ac:dyDescent="0.25">
      <c r="AA339" s="160"/>
      <c r="AB339" s="162"/>
      <c r="AC339" s="162"/>
      <c r="AD339" s="162">
        <f t="shared" si="25"/>
        <v>0</v>
      </c>
      <c r="AE339" s="160">
        <v>337</v>
      </c>
    </row>
    <row r="340" spans="27:31" x14ac:dyDescent="0.25">
      <c r="AA340" s="160"/>
      <c r="AB340" s="162"/>
      <c r="AC340" s="162"/>
      <c r="AD340" s="162">
        <f t="shared" si="25"/>
        <v>0</v>
      </c>
      <c r="AE340" s="160">
        <v>338</v>
      </c>
    </row>
    <row r="341" spans="27:31" x14ac:dyDescent="0.25">
      <c r="AA341" s="160"/>
      <c r="AB341" s="162"/>
      <c r="AC341" s="162"/>
      <c r="AD341" s="162">
        <f t="shared" si="25"/>
        <v>0</v>
      </c>
      <c r="AE341" s="160">
        <v>339</v>
      </c>
    </row>
    <row r="342" spans="27:31" x14ac:dyDescent="0.25">
      <c r="AA342" s="160"/>
      <c r="AB342" s="162"/>
      <c r="AC342" s="162"/>
      <c r="AD342" s="162">
        <f t="shared" si="25"/>
        <v>0</v>
      </c>
      <c r="AE342" s="160">
        <v>340</v>
      </c>
    </row>
    <row r="343" spans="27:31" x14ac:dyDescent="0.25">
      <c r="AA343" s="160"/>
      <c r="AB343" s="162"/>
      <c r="AC343" s="162"/>
      <c r="AD343" s="162">
        <f t="shared" si="25"/>
        <v>0</v>
      </c>
      <c r="AE343" s="160">
        <v>341</v>
      </c>
    </row>
    <row r="344" spans="27:31" x14ac:dyDescent="0.25">
      <c r="AA344" s="160"/>
      <c r="AB344" s="162"/>
      <c r="AC344" s="162"/>
      <c r="AD344" s="162">
        <f t="shared" si="25"/>
        <v>0</v>
      </c>
      <c r="AE344" s="160">
        <v>342</v>
      </c>
    </row>
    <row r="345" spans="27:31" x14ac:dyDescent="0.25">
      <c r="AA345" s="160"/>
      <c r="AB345" s="162"/>
      <c r="AC345" s="162"/>
      <c r="AD345" s="162">
        <f t="shared" si="25"/>
        <v>0</v>
      </c>
      <c r="AE345" s="160">
        <v>343</v>
      </c>
    </row>
    <row r="346" spans="27:31" x14ac:dyDescent="0.25">
      <c r="AA346" s="160"/>
      <c r="AB346" s="162"/>
      <c r="AC346" s="162"/>
      <c r="AD346" s="162">
        <f t="shared" si="25"/>
        <v>0</v>
      </c>
      <c r="AE346" s="160">
        <v>344</v>
      </c>
    </row>
    <row r="347" spans="27:31" x14ac:dyDescent="0.25">
      <c r="AA347" s="160"/>
      <c r="AB347" s="162"/>
      <c r="AC347" s="162"/>
      <c r="AD347" s="162">
        <f t="shared" si="25"/>
        <v>0</v>
      </c>
      <c r="AE347" s="160">
        <v>345</v>
      </c>
    </row>
    <row r="348" spans="27:31" x14ac:dyDescent="0.25">
      <c r="AA348" s="160"/>
      <c r="AB348" s="162"/>
      <c r="AC348" s="162"/>
      <c r="AD348" s="162">
        <f t="shared" si="25"/>
        <v>0</v>
      </c>
      <c r="AE348" s="160">
        <v>346</v>
      </c>
    </row>
    <row r="349" spans="27:31" x14ac:dyDescent="0.25">
      <c r="AA349" s="160"/>
      <c r="AB349" s="162"/>
      <c r="AC349" s="162"/>
      <c r="AD349" s="162">
        <f t="shared" si="25"/>
        <v>0</v>
      </c>
      <c r="AE349" s="160">
        <v>347</v>
      </c>
    </row>
    <row r="350" spans="27:31" x14ac:dyDescent="0.25">
      <c r="AA350" s="160"/>
      <c r="AB350" s="162"/>
      <c r="AC350" s="162"/>
      <c r="AD350" s="162">
        <f t="shared" si="25"/>
        <v>0</v>
      </c>
      <c r="AE350" s="160">
        <v>348</v>
      </c>
    </row>
    <row r="351" spans="27:31" x14ac:dyDescent="0.25">
      <c r="AA351" s="160"/>
      <c r="AB351" s="162"/>
      <c r="AC351" s="162"/>
      <c r="AD351" s="162">
        <f t="shared" si="25"/>
        <v>0</v>
      </c>
      <c r="AE351" s="160">
        <v>349</v>
      </c>
    </row>
    <row r="352" spans="27:31" x14ac:dyDescent="0.25">
      <c r="AA352" s="160"/>
      <c r="AB352" s="162"/>
      <c r="AC352" s="162"/>
      <c r="AD352" s="162">
        <f t="shared" si="25"/>
        <v>0</v>
      </c>
      <c r="AE352" s="160">
        <v>350</v>
      </c>
    </row>
    <row r="353" spans="27:31" x14ac:dyDescent="0.25">
      <c r="AA353" s="160"/>
      <c r="AB353" s="162"/>
      <c r="AC353" s="162"/>
      <c r="AD353" s="162">
        <f t="shared" si="25"/>
        <v>0</v>
      </c>
      <c r="AE353" s="160">
        <v>351</v>
      </c>
    </row>
    <row r="354" spans="27:31" x14ac:dyDescent="0.25">
      <c r="AA354" s="160"/>
      <c r="AB354" s="162"/>
      <c r="AC354" s="162"/>
      <c r="AD354" s="162">
        <f t="shared" si="25"/>
        <v>0</v>
      </c>
      <c r="AE354" s="160">
        <v>352</v>
      </c>
    </row>
    <row r="355" spans="27:31" x14ac:dyDescent="0.25">
      <c r="AA355" s="160"/>
      <c r="AB355" s="162"/>
      <c r="AC355" s="162"/>
      <c r="AD355" s="162">
        <f t="shared" si="25"/>
        <v>0</v>
      </c>
      <c r="AE355" s="160">
        <v>353</v>
      </c>
    </row>
    <row r="356" spans="27:31" x14ac:dyDescent="0.25">
      <c r="AA356" s="160"/>
      <c r="AB356" s="162"/>
      <c r="AC356" s="162"/>
      <c r="AD356" s="162">
        <f t="shared" si="25"/>
        <v>0</v>
      </c>
      <c r="AE356" s="160">
        <v>354</v>
      </c>
    </row>
    <row r="357" spans="27:31" x14ac:dyDescent="0.25">
      <c r="AA357" s="160"/>
      <c r="AB357" s="162"/>
      <c r="AC357" s="162"/>
      <c r="AD357" s="162">
        <f t="shared" si="25"/>
        <v>0</v>
      </c>
      <c r="AE357" s="160">
        <v>355</v>
      </c>
    </row>
    <row r="358" spans="27:31" x14ac:dyDescent="0.25">
      <c r="AA358" s="160"/>
      <c r="AB358" s="162"/>
      <c r="AC358" s="162"/>
      <c r="AD358" s="162">
        <f t="shared" si="25"/>
        <v>0</v>
      </c>
      <c r="AE358" s="160">
        <v>356</v>
      </c>
    </row>
    <row r="359" spans="27:31" x14ac:dyDescent="0.25">
      <c r="AA359" s="160"/>
      <c r="AB359" s="162"/>
      <c r="AC359" s="162"/>
      <c r="AD359" s="162">
        <f t="shared" si="25"/>
        <v>0</v>
      </c>
      <c r="AE359" s="160">
        <v>357</v>
      </c>
    </row>
    <row r="360" spans="27:31" x14ac:dyDescent="0.25">
      <c r="AA360" s="160"/>
      <c r="AB360" s="162"/>
      <c r="AC360" s="162"/>
      <c r="AD360" s="162">
        <f t="shared" si="25"/>
        <v>0</v>
      </c>
      <c r="AE360" s="160">
        <v>358</v>
      </c>
    </row>
    <row r="361" spans="27:31" x14ac:dyDescent="0.25">
      <c r="AA361" s="160"/>
      <c r="AB361" s="162"/>
      <c r="AC361" s="162"/>
      <c r="AD361" s="162">
        <f t="shared" si="25"/>
        <v>0</v>
      </c>
      <c r="AE361" s="160">
        <v>359</v>
      </c>
    </row>
    <row r="362" spans="27:31" x14ac:dyDescent="0.25">
      <c r="AA362" s="160"/>
      <c r="AB362" s="162"/>
      <c r="AC362" s="162"/>
      <c r="AD362" s="162">
        <f t="shared" si="25"/>
        <v>0</v>
      </c>
      <c r="AE362" s="160">
        <v>360</v>
      </c>
    </row>
    <row r="363" spans="27:31" x14ac:dyDescent="0.25">
      <c r="AA363" s="160"/>
      <c r="AB363" s="162"/>
      <c r="AC363" s="162"/>
      <c r="AD363" s="162">
        <f t="shared" si="25"/>
        <v>0</v>
      </c>
      <c r="AE363" s="160">
        <v>361</v>
      </c>
    </row>
    <row r="364" spans="27:31" x14ac:dyDescent="0.25">
      <c r="AA364" s="160"/>
      <c r="AB364" s="162"/>
      <c r="AC364" s="162"/>
      <c r="AD364" s="162">
        <f t="shared" si="25"/>
        <v>0</v>
      </c>
      <c r="AE364" s="160">
        <v>362</v>
      </c>
    </row>
    <row r="365" spans="27:31" x14ac:dyDescent="0.25">
      <c r="AA365" s="160"/>
      <c r="AB365" s="162"/>
      <c r="AC365" s="162"/>
      <c r="AD365" s="162">
        <f t="shared" si="25"/>
        <v>0</v>
      </c>
      <c r="AE365" s="160">
        <v>363</v>
      </c>
    </row>
    <row r="366" spans="27:31" x14ac:dyDescent="0.25">
      <c r="AA366" s="160"/>
      <c r="AB366" s="162"/>
      <c r="AC366" s="162"/>
      <c r="AD366" s="162">
        <f t="shared" si="25"/>
        <v>0</v>
      </c>
      <c r="AE366" s="160">
        <v>364</v>
      </c>
    </row>
    <row r="367" spans="27:31" x14ac:dyDescent="0.25">
      <c r="AA367" s="160"/>
      <c r="AB367" s="162"/>
      <c r="AC367" s="162"/>
      <c r="AD367" s="162">
        <f t="shared" si="25"/>
        <v>0</v>
      </c>
      <c r="AE367" s="160">
        <v>365</v>
      </c>
    </row>
    <row r="368" spans="27:31" x14ac:dyDescent="0.25">
      <c r="AA368" s="160"/>
      <c r="AB368" s="162"/>
      <c r="AC368" s="162"/>
      <c r="AD368" s="162">
        <f t="shared" si="25"/>
        <v>0</v>
      </c>
      <c r="AE368" s="160">
        <v>366</v>
      </c>
    </row>
    <row r="369" spans="27:31" x14ac:dyDescent="0.25">
      <c r="AA369" s="160"/>
      <c r="AB369" s="162"/>
      <c r="AC369" s="162"/>
      <c r="AD369" s="162">
        <f t="shared" si="25"/>
        <v>0</v>
      </c>
      <c r="AE369" s="160">
        <v>367</v>
      </c>
    </row>
    <row r="370" spans="27:31" x14ac:dyDescent="0.25">
      <c r="AA370" s="160"/>
      <c r="AB370" s="162"/>
      <c r="AC370" s="162"/>
      <c r="AD370" s="162">
        <f t="shared" si="25"/>
        <v>0</v>
      </c>
      <c r="AE370" s="160">
        <v>368</v>
      </c>
    </row>
    <row r="371" spans="27:31" x14ac:dyDescent="0.25">
      <c r="AA371" s="160"/>
      <c r="AB371" s="162"/>
      <c r="AC371" s="162"/>
      <c r="AD371" s="162">
        <f t="shared" si="25"/>
        <v>0</v>
      </c>
      <c r="AE371" s="160">
        <v>369</v>
      </c>
    </row>
    <row r="372" spans="27:31" x14ac:dyDescent="0.25">
      <c r="AA372" s="160"/>
      <c r="AB372" s="162"/>
      <c r="AC372" s="162"/>
      <c r="AD372" s="162">
        <f t="shared" si="25"/>
        <v>0</v>
      </c>
      <c r="AE372" s="160">
        <v>370</v>
      </c>
    </row>
    <row r="373" spans="27:31" x14ac:dyDescent="0.25">
      <c r="AA373" s="160"/>
      <c r="AB373" s="162"/>
      <c r="AC373" s="162"/>
      <c r="AD373" s="162">
        <f t="shared" si="25"/>
        <v>0</v>
      </c>
      <c r="AE373" s="160">
        <v>371</v>
      </c>
    </row>
    <row r="374" spans="27:31" x14ac:dyDescent="0.25">
      <c r="AA374" s="160"/>
      <c r="AB374" s="162"/>
      <c r="AC374" s="162"/>
      <c r="AD374" s="162">
        <f t="shared" si="25"/>
        <v>0</v>
      </c>
      <c r="AE374" s="160">
        <v>372</v>
      </c>
    </row>
    <row r="375" spans="27:31" x14ac:dyDescent="0.25">
      <c r="AA375" s="160"/>
      <c r="AB375" s="162"/>
      <c r="AC375" s="162"/>
      <c r="AD375" s="162">
        <f t="shared" si="25"/>
        <v>0</v>
      </c>
      <c r="AE375" s="160">
        <v>373</v>
      </c>
    </row>
    <row r="376" spans="27:31" x14ac:dyDescent="0.25">
      <c r="AA376" s="160"/>
      <c r="AB376" s="162"/>
      <c r="AC376" s="162"/>
      <c r="AD376" s="162">
        <f t="shared" si="25"/>
        <v>0</v>
      </c>
      <c r="AE376" s="160">
        <v>374</v>
      </c>
    </row>
    <row r="377" spans="27:31" x14ac:dyDescent="0.25">
      <c r="AA377" s="160"/>
      <c r="AB377" s="162"/>
      <c r="AC377" s="162"/>
      <c r="AD377" s="162">
        <f t="shared" si="25"/>
        <v>0</v>
      </c>
      <c r="AE377" s="160">
        <v>375</v>
      </c>
    </row>
    <row r="378" spans="27:31" x14ac:dyDescent="0.25">
      <c r="AA378" s="160"/>
      <c r="AB378" s="162"/>
      <c r="AC378" s="162"/>
      <c r="AD378" s="162">
        <f t="shared" si="25"/>
        <v>0</v>
      </c>
      <c r="AE378" s="160">
        <v>376</v>
      </c>
    </row>
    <row r="379" spans="27:31" x14ac:dyDescent="0.25">
      <c r="AA379" s="160"/>
      <c r="AB379" s="162"/>
      <c r="AC379" s="162"/>
      <c r="AD379" s="162">
        <f t="shared" si="25"/>
        <v>0</v>
      </c>
      <c r="AE379" s="160">
        <v>377</v>
      </c>
    </row>
    <row r="380" spans="27:31" x14ac:dyDescent="0.25">
      <c r="AA380" s="160"/>
      <c r="AB380" s="162"/>
      <c r="AC380" s="162"/>
      <c r="AD380" s="162">
        <f t="shared" si="25"/>
        <v>0</v>
      </c>
      <c r="AE380" s="160">
        <v>378</v>
      </c>
    </row>
    <row r="381" spans="27:31" x14ac:dyDescent="0.25">
      <c r="AA381" s="160"/>
      <c r="AB381" s="162"/>
      <c r="AC381" s="162"/>
      <c r="AD381" s="162">
        <f t="shared" si="25"/>
        <v>0</v>
      </c>
      <c r="AE381" s="160">
        <v>379</v>
      </c>
    </row>
    <row r="382" spans="27:31" x14ac:dyDescent="0.25">
      <c r="AA382" s="160"/>
      <c r="AB382" s="162"/>
      <c r="AC382" s="162"/>
      <c r="AD382" s="162">
        <f t="shared" si="25"/>
        <v>0</v>
      </c>
      <c r="AE382" s="160">
        <v>380</v>
      </c>
    </row>
    <row r="383" spans="27:31" x14ac:dyDescent="0.25">
      <c r="AA383" s="160"/>
      <c r="AB383" s="162"/>
      <c r="AC383" s="162"/>
      <c r="AD383" s="162">
        <f t="shared" si="25"/>
        <v>0</v>
      </c>
      <c r="AE383" s="160">
        <v>381</v>
      </c>
    </row>
    <row r="384" spans="27:31" x14ac:dyDescent="0.25">
      <c r="AA384" s="160"/>
      <c r="AB384" s="162"/>
      <c r="AC384" s="162"/>
      <c r="AD384" s="162">
        <f t="shared" si="25"/>
        <v>0</v>
      </c>
      <c r="AE384" s="160">
        <v>382</v>
      </c>
    </row>
    <row r="385" spans="27:31" x14ac:dyDescent="0.25">
      <c r="AA385" s="160"/>
      <c r="AB385" s="162"/>
      <c r="AC385" s="162"/>
      <c r="AD385" s="162">
        <f t="shared" si="25"/>
        <v>0</v>
      </c>
      <c r="AE385" s="160">
        <v>383</v>
      </c>
    </row>
    <row r="386" spans="27:31" x14ac:dyDescent="0.25">
      <c r="AA386" s="160"/>
      <c r="AB386" s="162"/>
      <c r="AC386" s="162"/>
      <c r="AD386" s="162">
        <f t="shared" si="25"/>
        <v>0</v>
      </c>
      <c r="AE386" s="160">
        <v>384</v>
      </c>
    </row>
    <row r="387" spans="27:31" x14ac:dyDescent="0.25">
      <c r="AA387" s="160"/>
      <c r="AB387" s="162"/>
      <c r="AC387" s="162"/>
      <c r="AD387" s="162">
        <f t="shared" si="25"/>
        <v>0</v>
      </c>
      <c r="AE387" s="160">
        <v>385</v>
      </c>
    </row>
    <row r="388" spans="27:31" x14ac:dyDescent="0.25">
      <c r="AA388" s="160"/>
      <c r="AB388" s="162"/>
      <c r="AC388" s="162"/>
      <c r="AD388" s="162">
        <f t="shared" ref="AD388:AD451" si="26">AB388+AC388</f>
        <v>0</v>
      </c>
      <c r="AE388" s="160">
        <v>386</v>
      </c>
    </row>
    <row r="389" spans="27:31" x14ac:dyDescent="0.25">
      <c r="AA389" s="160"/>
      <c r="AB389" s="162"/>
      <c r="AC389" s="162"/>
      <c r="AD389" s="162">
        <f t="shared" si="26"/>
        <v>0</v>
      </c>
      <c r="AE389" s="160">
        <v>387</v>
      </c>
    </row>
    <row r="390" spans="27:31" x14ac:dyDescent="0.25">
      <c r="AA390" s="160"/>
      <c r="AB390" s="162"/>
      <c r="AC390" s="162"/>
      <c r="AD390" s="162">
        <f t="shared" si="26"/>
        <v>0</v>
      </c>
      <c r="AE390" s="160">
        <v>388</v>
      </c>
    </row>
    <row r="391" spans="27:31" x14ac:dyDescent="0.25">
      <c r="AA391" s="160"/>
      <c r="AB391" s="162"/>
      <c r="AC391" s="162"/>
      <c r="AD391" s="162">
        <f t="shared" si="26"/>
        <v>0</v>
      </c>
      <c r="AE391" s="160">
        <v>389</v>
      </c>
    </row>
    <row r="392" spans="27:31" x14ac:dyDescent="0.25">
      <c r="AA392" s="160"/>
      <c r="AB392" s="162"/>
      <c r="AC392" s="162"/>
      <c r="AD392" s="162">
        <f t="shared" si="26"/>
        <v>0</v>
      </c>
      <c r="AE392" s="160">
        <v>390</v>
      </c>
    </row>
    <row r="393" spans="27:31" x14ac:dyDescent="0.25">
      <c r="AA393" s="160"/>
      <c r="AB393" s="162"/>
      <c r="AC393" s="162"/>
      <c r="AD393" s="162">
        <f t="shared" si="26"/>
        <v>0</v>
      </c>
      <c r="AE393" s="160">
        <v>391</v>
      </c>
    </row>
    <row r="394" spans="27:31" x14ac:dyDescent="0.25">
      <c r="AA394" s="160"/>
      <c r="AB394" s="162"/>
      <c r="AC394" s="162"/>
      <c r="AD394" s="162">
        <f t="shared" si="26"/>
        <v>0</v>
      </c>
      <c r="AE394" s="160">
        <v>392</v>
      </c>
    </row>
    <row r="395" spans="27:31" x14ac:dyDescent="0.25">
      <c r="AA395" s="160"/>
      <c r="AB395" s="162"/>
      <c r="AC395" s="162"/>
      <c r="AD395" s="162">
        <f t="shared" si="26"/>
        <v>0</v>
      </c>
      <c r="AE395" s="160">
        <v>393</v>
      </c>
    </row>
    <row r="396" spans="27:31" x14ac:dyDescent="0.25">
      <c r="AA396" s="160"/>
      <c r="AB396" s="162"/>
      <c r="AC396" s="162"/>
      <c r="AD396" s="162">
        <f t="shared" si="26"/>
        <v>0</v>
      </c>
      <c r="AE396" s="160">
        <v>394</v>
      </c>
    </row>
    <row r="397" spans="27:31" x14ac:dyDescent="0.25">
      <c r="AA397" s="160"/>
      <c r="AB397" s="162"/>
      <c r="AC397" s="162"/>
      <c r="AD397" s="162">
        <f t="shared" si="26"/>
        <v>0</v>
      </c>
      <c r="AE397" s="160">
        <v>395</v>
      </c>
    </row>
    <row r="398" spans="27:31" x14ac:dyDescent="0.25">
      <c r="AA398" s="160"/>
      <c r="AB398" s="162"/>
      <c r="AC398" s="162"/>
      <c r="AD398" s="162">
        <f t="shared" si="26"/>
        <v>0</v>
      </c>
      <c r="AE398" s="160">
        <v>396</v>
      </c>
    </row>
    <row r="399" spans="27:31" x14ac:dyDescent="0.25">
      <c r="AA399" s="160"/>
      <c r="AB399" s="162"/>
      <c r="AC399" s="162"/>
      <c r="AD399" s="162">
        <f t="shared" si="26"/>
        <v>0</v>
      </c>
      <c r="AE399" s="160">
        <v>397</v>
      </c>
    </row>
    <row r="400" spans="27:31" x14ac:dyDescent="0.25">
      <c r="AA400" s="160"/>
      <c r="AB400" s="162"/>
      <c r="AC400" s="162"/>
      <c r="AD400" s="162">
        <f t="shared" si="26"/>
        <v>0</v>
      </c>
      <c r="AE400" s="160">
        <v>398</v>
      </c>
    </row>
    <row r="401" spans="27:31" x14ac:dyDescent="0.25">
      <c r="AA401" s="160"/>
      <c r="AB401" s="162"/>
      <c r="AC401" s="162"/>
      <c r="AD401" s="162">
        <f t="shared" si="26"/>
        <v>0</v>
      </c>
      <c r="AE401" s="160">
        <v>399</v>
      </c>
    </row>
    <row r="402" spans="27:31" x14ac:dyDescent="0.25">
      <c r="AA402" s="160"/>
      <c r="AB402" s="162"/>
      <c r="AC402" s="162"/>
      <c r="AD402" s="162">
        <f t="shared" si="26"/>
        <v>0</v>
      </c>
      <c r="AE402" s="160">
        <v>400</v>
      </c>
    </row>
    <row r="403" spans="27:31" x14ac:dyDescent="0.25">
      <c r="AA403" s="160"/>
      <c r="AB403" s="162"/>
      <c r="AC403" s="162"/>
      <c r="AD403" s="162">
        <f t="shared" si="26"/>
        <v>0</v>
      </c>
      <c r="AE403" s="160">
        <v>401</v>
      </c>
    </row>
    <row r="404" spans="27:31" x14ac:dyDescent="0.25">
      <c r="AA404" s="160"/>
      <c r="AB404" s="162"/>
      <c r="AC404" s="162"/>
      <c r="AD404" s="162">
        <f t="shared" si="26"/>
        <v>0</v>
      </c>
      <c r="AE404" s="160">
        <v>402</v>
      </c>
    </row>
    <row r="405" spans="27:31" x14ac:dyDescent="0.25">
      <c r="AA405" s="160"/>
      <c r="AB405" s="162"/>
      <c r="AC405" s="162"/>
      <c r="AD405" s="162">
        <f t="shared" si="26"/>
        <v>0</v>
      </c>
      <c r="AE405" s="160">
        <v>403</v>
      </c>
    </row>
    <row r="406" spans="27:31" x14ac:dyDescent="0.25">
      <c r="AA406" s="160"/>
      <c r="AB406" s="162"/>
      <c r="AC406" s="162"/>
      <c r="AD406" s="162">
        <f t="shared" si="26"/>
        <v>0</v>
      </c>
      <c r="AE406" s="160">
        <v>404</v>
      </c>
    </row>
    <row r="407" spans="27:31" x14ac:dyDescent="0.25">
      <c r="AA407" s="160"/>
      <c r="AB407" s="162"/>
      <c r="AC407" s="162"/>
      <c r="AD407" s="162">
        <f t="shared" si="26"/>
        <v>0</v>
      </c>
      <c r="AE407" s="160">
        <v>405</v>
      </c>
    </row>
    <row r="408" spans="27:31" x14ac:dyDescent="0.25">
      <c r="AA408" s="160"/>
      <c r="AB408" s="162"/>
      <c r="AC408" s="162"/>
      <c r="AD408" s="162">
        <f t="shared" si="26"/>
        <v>0</v>
      </c>
      <c r="AE408" s="160">
        <v>406</v>
      </c>
    </row>
    <row r="409" spans="27:31" x14ac:dyDescent="0.25">
      <c r="AA409" s="160"/>
      <c r="AB409" s="162"/>
      <c r="AC409" s="162"/>
      <c r="AD409" s="162">
        <f t="shared" si="26"/>
        <v>0</v>
      </c>
      <c r="AE409" s="160">
        <v>407</v>
      </c>
    </row>
    <row r="410" spans="27:31" x14ac:dyDescent="0.25">
      <c r="AA410" s="160"/>
      <c r="AB410" s="162"/>
      <c r="AC410" s="162"/>
      <c r="AD410" s="162">
        <f t="shared" si="26"/>
        <v>0</v>
      </c>
      <c r="AE410" s="160">
        <v>408</v>
      </c>
    </row>
    <row r="411" spans="27:31" x14ac:dyDescent="0.25">
      <c r="AA411" s="160"/>
      <c r="AB411" s="162"/>
      <c r="AC411" s="162"/>
      <c r="AD411" s="162">
        <f t="shared" si="26"/>
        <v>0</v>
      </c>
      <c r="AE411" s="160">
        <v>409</v>
      </c>
    </row>
    <row r="412" spans="27:31" x14ac:dyDescent="0.25">
      <c r="AA412" s="160"/>
      <c r="AB412" s="162"/>
      <c r="AC412" s="162"/>
      <c r="AD412" s="162">
        <f t="shared" si="26"/>
        <v>0</v>
      </c>
      <c r="AE412" s="160">
        <v>410</v>
      </c>
    </row>
    <row r="413" spans="27:31" x14ac:dyDescent="0.25">
      <c r="AA413" s="160"/>
      <c r="AB413" s="162"/>
      <c r="AC413" s="162"/>
      <c r="AD413" s="162">
        <f t="shared" si="26"/>
        <v>0</v>
      </c>
      <c r="AE413" s="160">
        <v>411</v>
      </c>
    </row>
    <row r="414" spans="27:31" x14ac:dyDescent="0.25">
      <c r="AA414" s="160"/>
      <c r="AB414" s="162"/>
      <c r="AC414" s="162"/>
      <c r="AD414" s="162">
        <f t="shared" si="26"/>
        <v>0</v>
      </c>
      <c r="AE414" s="160">
        <v>412</v>
      </c>
    </row>
    <row r="415" spans="27:31" x14ac:dyDescent="0.25">
      <c r="AA415" s="160"/>
      <c r="AB415" s="162"/>
      <c r="AC415" s="162"/>
      <c r="AD415" s="162">
        <f t="shared" si="26"/>
        <v>0</v>
      </c>
      <c r="AE415" s="160">
        <v>413</v>
      </c>
    </row>
    <row r="416" spans="27:31" x14ac:dyDescent="0.25">
      <c r="AA416" s="160"/>
      <c r="AB416" s="162"/>
      <c r="AC416" s="162"/>
      <c r="AD416" s="162">
        <f t="shared" si="26"/>
        <v>0</v>
      </c>
      <c r="AE416" s="160">
        <v>414</v>
      </c>
    </row>
    <row r="417" spans="27:31" x14ac:dyDescent="0.25">
      <c r="AA417" s="160"/>
      <c r="AB417" s="162"/>
      <c r="AC417" s="162"/>
      <c r="AD417" s="162">
        <f t="shared" si="26"/>
        <v>0</v>
      </c>
      <c r="AE417" s="160">
        <v>415</v>
      </c>
    </row>
    <row r="418" spans="27:31" x14ac:dyDescent="0.25">
      <c r="AA418" s="160"/>
      <c r="AB418" s="162"/>
      <c r="AC418" s="162"/>
      <c r="AD418" s="162">
        <f t="shared" si="26"/>
        <v>0</v>
      </c>
      <c r="AE418" s="160">
        <v>416</v>
      </c>
    </row>
    <row r="419" spans="27:31" x14ac:dyDescent="0.25">
      <c r="AA419" s="160"/>
      <c r="AB419" s="162"/>
      <c r="AC419" s="162"/>
      <c r="AD419" s="162">
        <f t="shared" si="26"/>
        <v>0</v>
      </c>
      <c r="AE419" s="160">
        <v>417</v>
      </c>
    </row>
    <row r="420" spans="27:31" x14ac:dyDescent="0.25">
      <c r="AA420" s="160"/>
      <c r="AB420" s="162"/>
      <c r="AC420" s="162"/>
      <c r="AD420" s="162">
        <f t="shared" si="26"/>
        <v>0</v>
      </c>
      <c r="AE420" s="160">
        <v>418</v>
      </c>
    </row>
    <row r="421" spans="27:31" x14ac:dyDescent="0.25">
      <c r="AA421" s="160"/>
      <c r="AB421" s="162"/>
      <c r="AC421" s="162"/>
      <c r="AD421" s="162">
        <f t="shared" si="26"/>
        <v>0</v>
      </c>
      <c r="AE421" s="160">
        <v>419</v>
      </c>
    </row>
    <row r="422" spans="27:31" x14ac:dyDescent="0.25">
      <c r="AA422" s="160"/>
      <c r="AB422" s="162"/>
      <c r="AC422" s="162"/>
      <c r="AD422" s="162">
        <f t="shared" si="26"/>
        <v>0</v>
      </c>
      <c r="AE422" s="160">
        <v>420</v>
      </c>
    </row>
    <row r="423" spans="27:31" x14ac:dyDescent="0.25">
      <c r="AA423" s="160"/>
      <c r="AB423" s="162"/>
      <c r="AC423" s="162"/>
      <c r="AD423" s="162">
        <f t="shared" si="26"/>
        <v>0</v>
      </c>
      <c r="AE423" s="160">
        <v>421</v>
      </c>
    </row>
    <row r="424" spans="27:31" x14ac:dyDescent="0.25">
      <c r="AA424" s="160"/>
      <c r="AB424" s="162"/>
      <c r="AC424" s="162"/>
      <c r="AD424" s="162">
        <f t="shared" si="26"/>
        <v>0</v>
      </c>
      <c r="AE424" s="160">
        <v>422</v>
      </c>
    </row>
    <row r="425" spans="27:31" x14ac:dyDescent="0.25">
      <c r="AA425" s="160"/>
      <c r="AB425" s="162"/>
      <c r="AC425" s="162"/>
      <c r="AD425" s="162">
        <f t="shared" si="26"/>
        <v>0</v>
      </c>
      <c r="AE425" s="160">
        <v>423</v>
      </c>
    </row>
    <row r="426" spans="27:31" x14ac:dyDescent="0.25">
      <c r="AA426" s="160"/>
      <c r="AB426" s="162"/>
      <c r="AC426" s="162"/>
      <c r="AD426" s="162">
        <f t="shared" si="26"/>
        <v>0</v>
      </c>
      <c r="AE426" s="160">
        <v>424</v>
      </c>
    </row>
    <row r="427" spans="27:31" x14ac:dyDescent="0.25">
      <c r="AA427" s="160"/>
      <c r="AB427" s="162"/>
      <c r="AC427" s="162"/>
      <c r="AD427" s="162">
        <f t="shared" si="26"/>
        <v>0</v>
      </c>
      <c r="AE427" s="160">
        <v>425</v>
      </c>
    </row>
    <row r="428" spans="27:31" x14ac:dyDescent="0.25">
      <c r="AA428" s="160"/>
      <c r="AB428" s="162"/>
      <c r="AC428" s="162"/>
      <c r="AD428" s="162">
        <f t="shared" si="26"/>
        <v>0</v>
      </c>
      <c r="AE428" s="160">
        <v>426</v>
      </c>
    </row>
    <row r="429" spans="27:31" x14ac:dyDescent="0.25">
      <c r="AA429" s="160"/>
      <c r="AB429" s="162"/>
      <c r="AC429" s="162"/>
      <c r="AD429" s="162">
        <f t="shared" si="26"/>
        <v>0</v>
      </c>
      <c r="AE429" s="160">
        <v>427</v>
      </c>
    </row>
    <row r="430" spans="27:31" x14ac:dyDescent="0.25">
      <c r="AA430" s="160"/>
      <c r="AB430" s="162"/>
      <c r="AC430" s="162"/>
      <c r="AD430" s="162">
        <f t="shared" si="26"/>
        <v>0</v>
      </c>
      <c r="AE430" s="160">
        <v>428</v>
      </c>
    </row>
    <row r="431" spans="27:31" x14ac:dyDescent="0.25">
      <c r="AA431" s="160"/>
      <c r="AB431" s="162"/>
      <c r="AC431" s="162"/>
      <c r="AD431" s="162">
        <f t="shared" si="26"/>
        <v>0</v>
      </c>
      <c r="AE431" s="160">
        <v>429</v>
      </c>
    </row>
    <row r="432" spans="27:31" x14ac:dyDescent="0.25">
      <c r="AA432" s="160"/>
      <c r="AB432" s="162"/>
      <c r="AC432" s="162"/>
      <c r="AD432" s="162">
        <f t="shared" si="26"/>
        <v>0</v>
      </c>
      <c r="AE432" s="160">
        <v>430</v>
      </c>
    </row>
    <row r="433" spans="27:31" x14ac:dyDescent="0.25">
      <c r="AA433" s="160"/>
      <c r="AB433" s="162"/>
      <c r="AC433" s="162"/>
      <c r="AD433" s="162">
        <f t="shared" si="26"/>
        <v>0</v>
      </c>
      <c r="AE433" s="160">
        <v>431</v>
      </c>
    </row>
    <row r="434" spans="27:31" x14ac:dyDescent="0.25">
      <c r="AA434" s="160"/>
      <c r="AB434" s="162"/>
      <c r="AC434" s="162"/>
      <c r="AD434" s="162">
        <f t="shared" si="26"/>
        <v>0</v>
      </c>
      <c r="AE434" s="160">
        <v>432</v>
      </c>
    </row>
    <row r="435" spans="27:31" x14ac:dyDescent="0.25">
      <c r="AA435" s="160"/>
      <c r="AB435" s="162"/>
      <c r="AC435" s="162"/>
      <c r="AD435" s="162">
        <f t="shared" si="26"/>
        <v>0</v>
      </c>
      <c r="AE435" s="160">
        <v>433</v>
      </c>
    </row>
    <row r="436" spans="27:31" x14ac:dyDescent="0.25">
      <c r="AA436" s="160"/>
      <c r="AB436" s="162"/>
      <c r="AC436" s="162"/>
      <c r="AD436" s="162">
        <f t="shared" si="26"/>
        <v>0</v>
      </c>
      <c r="AE436" s="160">
        <v>434</v>
      </c>
    </row>
    <row r="437" spans="27:31" x14ac:dyDescent="0.25">
      <c r="AA437" s="160"/>
      <c r="AB437" s="162"/>
      <c r="AC437" s="162"/>
      <c r="AD437" s="162">
        <f t="shared" si="26"/>
        <v>0</v>
      </c>
      <c r="AE437" s="160">
        <v>435</v>
      </c>
    </row>
    <row r="438" spans="27:31" x14ac:dyDescent="0.25">
      <c r="AA438" s="160"/>
      <c r="AB438" s="162"/>
      <c r="AC438" s="162"/>
      <c r="AD438" s="162">
        <f t="shared" si="26"/>
        <v>0</v>
      </c>
      <c r="AE438" s="160">
        <v>436</v>
      </c>
    </row>
    <row r="439" spans="27:31" x14ac:dyDescent="0.25">
      <c r="AA439" s="160"/>
      <c r="AB439" s="162"/>
      <c r="AC439" s="162"/>
      <c r="AD439" s="162">
        <f t="shared" si="26"/>
        <v>0</v>
      </c>
      <c r="AE439" s="160">
        <v>437</v>
      </c>
    </row>
    <row r="440" spans="27:31" x14ac:dyDescent="0.25">
      <c r="AA440" s="160"/>
      <c r="AB440" s="162"/>
      <c r="AC440" s="162"/>
      <c r="AD440" s="162">
        <f t="shared" si="26"/>
        <v>0</v>
      </c>
      <c r="AE440" s="160">
        <v>438</v>
      </c>
    </row>
    <row r="441" spans="27:31" x14ac:dyDescent="0.25">
      <c r="AA441" s="160"/>
      <c r="AB441" s="162"/>
      <c r="AC441" s="162"/>
      <c r="AD441" s="162">
        <f t="shared" si="26"/>
        <v>0</v>
      </c>
      <c r="AE441" s="160">
        <v>439</v>
      </c>
    </row>
    <row r="442" spans="27:31" x14ac:dyDescent="0.25">
      <c r="AA442" s="160"/>
      <c r="AB442" s="162"/>
      <c r="AC442" s="162"/>
      <c r="AD442" s="162">
        <f t="shared" si="26"/>
        <v>0</v>
      </c>
      <c r="AE442" s="160">
        <v>440</v>
      </c>
    </row>
    <row r="443" spans="27:31" x14ac:dyDescent="0.25">
      <c r="AA443" s="160"/>
      <c r="AB443" s="162"/>
      <c r="AC443" s="162"/>
      <c r="AD443" s="162">
        <f t="shared" si="26"/>
        <v>0</v>
      </c>
      <c r="AE443" s="160">
        <v>441</v>
      </c>
    </row>
    <row r="444" spans="27:31" x14ac:dyDescent="0.25">
      <c r="AA444" s="160"/>
      <c r="AB444" s="162"/>
      <c r="AC444" s="162"/>
      <c r="AD444" s="162">
        <f t="shared" si="26"/>
        <v>0</v>
      </c>
      <c r="AE444" s="160">
        <v>442</v>
      </c>
    </row>
    <row r="445" spans="27:31" x14ac:dyDescent="0.25">
      <c r="AA445" s="160"/>
      <c r="AB445" s="162"/>
      <c r="AC445" s="162"/>
      <c r="AD445" s="162">
        <f t="shared" si="26"/>
        <v>0</v>
      </c>
      <c r="AE445" s="160">
        <v>443</v>
      </c>
    </row>
    <row r="446" spans="27:31" x14ac:dyDescent="0.25">
      <c r="AA446" s="160"/>
      <c r="AB446" s="162"/>
      <c r="AC446" s="162"/>
      <c r="AD446" s="162">
        <f t="shared" si="26"/>
        <v>0</v>
      </c>
      <c r="AE446" s="160">
        <v>444</v>
      </c>
    </row>
    <row r="447" spans="27:31" x14ac:dyDescent="0.25">
      <c r="AA447" s="160"/>
      <c r="AB447" s="162"/>
      <c r="AC447" s="162"/>
      <c r="AD447" s="162">
        <f t="shared" si="26"/>
        <v>0</v>
      </c>
      <c r="AE447" s="160">
        <v>445</v>
      </c>
    </row>
    <row r="448" spans="27:31" x14ac:dyDescent="0.25">
      <c r="AA448" s="160"/>
      <c r="AB448" s="162"/>
      <c r="AC448" s="162"/>
      <c r="AD448" s="162">
        <f t="shared" si="26"/>
        <v>0</v>
      </c>
      <c r="AE448" s="160">
        <v>446</v>
      </c>
    </row>
    <row r="449" spans="27:31" x14ac:dyDescent="0.25">
      <c r="AA449" s="160"/>
      <c r="AB449" s="162"/>
      <c r="AC449" s="162"/>
      <c r="AD449" s="162">
        <f t="shared" si="26"/>
        <v>0</v>
      </c>
      <c r="AE449" s="160">
        <v>447</v>
      </c>
    </row>
    <row r="450" spans="27:31" x14ac:dyDescent="0.25">
      <c r="AA450" s="160"/>
      <c r="AB450" s="162"/>
      <c r="AC450" s="162"/>
      <c r="AD450" s="162">
        <f t="shared" si="26"/>
        <v>0</v>
      </c>
      <c r="AE450" s="160">
        <v>448</v>
      </c>
    </row>
    <row r="451" spans="27:31" x14ac:dyDescent="0.25">
      <c r="AA451" s="160"/>
      <c r="AB451" s="162"/>
      <c r="AC451" s="162"/>
      <c r="AD451" s="162">
        <f t="shared" si="26"/>
        <v>0</v>
      </c>
      <c r="AE451" s="160">
        <v>449</v>
      </c>
    </row>
    <row r="452" spans="27:31" x14ac:dyDescent="0.25">
      <c r="AA452" s="160"/>
      <c r="AB452" s="162"/>
      <c r="AC452" s="162"/>
      <c r="AD452" s="162">
        <f t="shared" ref="AD452:AD515" si="27">AB452+AC452</f>
        <v>0</v>
      </c>
      <c r="AE452" s="160">
        <v>450</v>
      </c>
    </row>
    <row r="453" spans="27:31" x14ac:dyDescent="0.25">
      <c r="AA453" s="160"/>
      <c r="AB453" s="162"/>
      <c r="AC453" s="162"/>
      <c r="AD453" s="162">
        <f t="shared" si="27"/>
        <v>0</v>
      </c>
      <c r="AE453" s="160">
        <v>451</v>
      </c>
    </row>
    <row r="454" spans="27:31" x14ac:dyDescent="0.25">
      <c r="AA454" s="160"/>
      <c r="AB454" s="162"/>
      <c r="AC454" s="162"/>
      <c r="AD454" s="162">
        <f t="shared" si="27"/>
        <v>0</v>
      </c>
      <c r="AE454" s="160">
        <v>452</v>
      </c>
    </row>
    <row r="455" spans="27:31" x14ac:dyDescent="0.25">
      <c r="AA455" s="160"/>
      <c r="AB455" s="162"/>
      <c r="AC455" s="162"/>
      <c r="AD455" s="162">
        <f t="shared" si="27"/>
        <v>0</v>
      </c>
      <c r="AE455" s="160">
        <v>453</v>
      </c>
    </row>
    <row r="456" spans="27:31" x14ac:dyDescent="0.25">
      <c r="AA456" s="160"/>
      <c r="AB456" s="162"/>
      <c r="AC456" s="162"/>
      <c r="AD456" s="162">
        <f t="shared" si="27"/>
        <v>0</v>
      </c>
      <c r="AE456" s="160">
        <v>454</v>
      </c>
    </row>
    <row r="457" spans="27:31" x14ac:dyDescent="0.25">
      <c r="AA457" s="160"/>
      <c r="AB457" s="162"/>
      <c r="AC457" s="162"/>
      <c r="AD457" s="162">
        <f t="shared" si="27"/>
        <v>0</v>
      </c>
      <c r="AE457" s="160">
        <v>455</v>
      </c>
    </row>
    <row r="458" spans="27:31" x14ac:dyDescent="0.25">
      <c r="AA458" s="160"/>
      <c r="AB458" s="162"/>
      <c r="AC458" s="162"/>
      <c r="AD458" s="162">
        <f t="shared" si="27"/>
        <v>0</v>
      </c>
      <c r="AE458" s="160">
        <v>456</v>
      </c>
    </row>
    <row r="459" spans="27:31" x14ac:dyDescent="0.25">
      <c r="AA459" s="160"/>
      <c r="AB459" s="162"/>
      <c r="AC459" s="162"/>
      <c r="AD459" s="162">
        <f t="shared" si="27"/>
        <v>0</v>
      </c>
      <c r="AE459" s="160">
        <v>457</v>
      </c>
    </row>
    <row r="460" spans="27:31" x14ac:dyDescent="0.25">
      <c r="AA460" s="160"/>
      <c r="AB460" s="162"/>
      <c r="AC460" s="162"/>
      <c r="AD460" s="162">
        <f t="shared" si="27"/>
        <v>0</v>
      </c>
      <c r="AE460" s="160">
        <v>458</v>
      </c>
    </row>
    <row r="461" spans="27:31" x14ac:dyDescent="0.25">
      <c r="AA461" s="160"/>
      <c r="AB461" s="162"/>
      <c r="AC461" s="162"/>
      <c r="AD461" s="162">
        <f t="shared" si="27"/>
        <v>0</v>
      </c>
      <c r="AE461" s="160">
        <v>459</v>
      </c>
    </row>
    <row r="462" spans="27:31" x14ac:dyDescent="0.25">
      <c r="AA462" s="160"/>
      <c r="AB462" s="162"/>
      <c r="AC462" s="162"/>
      <c r="AD462" s="162">
        <f t="shared" si="27"/>
        <v>0</v>
      </c>
      <c r="AE462" s="160">
        <v>460</v>
      </c>
    </row>
    <row r="463" spans="27:31" x14ac:dyDescent="0.25">
      <c r="AA463" s="160"/>
      <c r="AB463" s="162"/>
      <c r="AC463" s="162"/>
      <c r="AD463" s="162">
        <f t="shared" si="27"/>
        <v>0</v>
      </c>
      <c r="AE463" s="160">
        <v>461</v>
      </c>
    </row>
    <row r="464" spans="27:31" x14ac:dyDescent="0.25">
      <c r="AA464" s="160"/>
      <c r="AB464" s="162"/>
      <c r="AC464" s="162"/>
      <c r="AD464" s="162">
        <f t="shared" si="27"/>
        <v>0</v>
      </c>
      <c r="AE464" s="160">
        <v>462</v>
      </c>
    </row>
    <row r="465" spans="27:31" x14ac:dyDescent="0.25">
      <c r="AA465" s="160"/>
      <c r="AB465" s="162"/>
      <c r="AC465" s="162"/>
      <c r="AD465" s="162">
        <f t="shared" si="27"/>
        <v>0</v>
      </c>
      <c r="AE465" s="160">
        <v>463</v>
      </c>
    </row>
    <row r="466" spans="27:31" x14ac:dyDescent="0.25">
      <c r="AA466" s="160"/>
      <c r="AB466" s="162"/>
      <c r="AC466" s="162"/>
      <c r="AD466" s="162">
        <f t="shared" si="27"/>
        <v>0</v>
      </c>
      <c r="AE466" s="160">
        <v>464</v>
      </c>
    </row>
    <row r="467" spans="27:31" x14ac:dyDescent="0.25">
      <c r="AA467" s="160"/>
      <c r="AB467" s="162"/>
      <c r="AC467" s="162"/>
      <c r="AD467" s="162">
        <f t="shared" si="27"/>
        <v>0</v>
      </c>
      <c r="AE467" s="160">
        <v>465</v>
      </c>
    </row>
    <row r="468" spans="27:31" x14ac:dyDescent="0.25">
      <c r="AA468" s="160"/>
      <c r="AB468" s="162"/>
      <c r="AC468" s="162"/>
      <c r="AD468" s="162">
        <f t="shared" si="27"/>
        <v>0</v>
      </c>
      <c r="AE468" s="160">
        <v>466</v>
      </c>
    </row>
    <row r="469" spans="27:31" x14ac:dyDescent="0.25">
      <c r="AA469" s="160"/>
      <c r="AB469" s="162"/>
      <c r="AC469" s="162"/>
      <c r="AD469" s="162">
        <f t="shared" si="27"/>
        <v>0</v>
      </c>
      <c r="AE469" s="160">
        <v>467</v>
      </c>
    </row>
    <row r="470" spans="27:31" x14ac:dyDescent="0.25">
      <c r="AA470" s="160"/>
      <c r="AB470" s="162"/>
      <c r="AC470" s="162"/>
      <c r="AD470" s="162">
        <f t="shared" si="27"/>
        <v>0</v>
      </c>
      <c r="AE470" s="160">
        <v>468</v>
      </c>
    </row>
    <row r="471" spans="27:31" x14ac:dyDescent="0.25">
      <c r="AA471" s="160"/>
      <c r="AB471" s="162"/>
      <c r="AC471" s="162"/>
      <c r="AD471" s="162">
        <f t="shared" si="27"/>
        <v>0</v>
      </c>
      <c r="AE471" s="160">
        <v>469</v>
      </c>
    </row>
    <row r="472" spans="27:31" x14ac:dyDescent="0.25">
      <c r="AA472" s="160"/>
      <c r="AB472" s="162"/>
      <c r="AC472" s="162"/>
      <c r="AD472" s="162">
        <f t="shared" si="27"/>
        <v>0</v>
      </c>
      <c r="AE472" s="160">
        <v>470</v>
      </c>
    </row>
    <row r="473" spans="27:31" x14ac:dyDescent="0.25">
      <c r="AA473" s="160"/>
      <c r="AB473" s="162"/>
      <c r="AC473" s="162"/>
      <c r="AD473" s="162">
        <f t="shared" si="27"/>
        <v>0</v>
      </c>
      <c r="AE473" s="160">
        <v>471</v>
      </c>
    </row>
    <row r="474" spans="27:31" x14ac:dyDescent="0.25">
      <c r="AA474" s="160"/>
      <c r="AB474" s="162"/>
      <c r="AC474" s="162"/>
      <c r="AD474" s="162">
        <f t="shared" si="27"/>
        <v>0</v>
      </c>
      <c r="AE474" s="160">
        <v>472</v>
      </c>
    </row>
    <row r="475" spans="27:31" x14ac:dyDescent="0.25">
      <c r="AA475" s="160"/>
      <c r="AB475" s="162"/>
      <c r="AC475" s="162"/>
      <c r="AD475" s="162">
        <f t="shared" si="27"/>
        <v>0</v>
      </c>
      <c r="AE475" s="160">
        <v>473</v>
      </c>
    </row>
    <row r="476" spans="27:31" x14ac:dyDescent="0.25">
      <c r="AA476" s="160"/>
      <c r="AB476" s="162"/>
      <c r="AC476" s="162"/>
      <c r="AD476" s="162">
        <f t="shared" si="27"/>
        <v>0</v>
      </c>
      <c r="AE476" s="160">
        <v>474</v>
      </c>
    </row>
    <row r="477" spans="27:31" x14ac:dyDescent="0.25">
      <c r="AA477" s="160"/>
      <c r="AB477" s="162"/>
      <c r="AC477" s="162"/>
      <c r="AD477" s="162">
        <f t="shared" si="27"/>
        <v>0</v>
      </c>
      <c r="AE477" s="160">
        <v>475</v>
      </c>
    </row>
    <row r="478" spans="27:31" x14ac:dyDescent="0.25">
      <c r="AA478" s="160"/>
      <c r="AB478" s="162"/>
      <c r="AC478" s="162"/>
      <c r="AD478" s="162">
        <f t="shared" si="27"/>
        <v>0</v>
      </c>
      <c r="AE478" s="160">
        <v>476</v>
      </c>
    </row>
    <row r="479" spans="27:31" x14ac:dyDescent="0.25">
      <c r="AA479" s="160"/>
      <c r="AB479" s="162"/>
      <c r="AC479" s="162"/>
      <c r="AD479" s="162">
        <f t="shared" si="27"/>
        <v>0</v>
      </c>
      <c r="AE479" s="160">
        <v>477</v>
      </c>
    </row>
    <row r="480" spans="27:31" x14ac:dyDescent="0.25">
      <c r="AA480" s="160"/>
      <c r="AB480" s="162"/>
      <c r="AC480" s="162"/>
      <c r="AD480" s="162">
        <f t="shared" si="27"/>
        <v>0</v>
      </c>
      <c r="AE480" s="160">
        <v>478</v>
      </c>
    </row>
    <row r="481" spans="27:31" x14ac:dyDescent="0.25">
      <c r="AA481" s="160"/>
      <c r="AB481" s="162"/>
      <c r="AC481" s="162"/>
      <c r="AD481" s="162">
        <f t="shared" si="27"/>
        <v>0</v>
      </c>
      <c r="AE481" s="160">
        <v>479</v>
      </c>
    </row>
    <row r="482" spans="27:31" x14ac:dyDescent="0.25">
      <c r="AA482" s="160"/>
      <c r="AB482" s="162"/>
      <c r="AC482" s="162"/>
      <c r="AD482" s="162">
        <f t="shared" si="27"/>
        <v>0</v>
      </c>
      <c r="AE482" s="160">
        <v>480</v>
      </c>
    </row>
    <row r="483" spans="27:31" x14ac:dyDescent="0.25">
      <c r="AA483" s="160"/>
      <c r="AB483" s="162"/>
      <c r="AC483" s="162"/>
      <c r="AD483" s="162">
        <f t="shared" si="27"/>
        <v>0</v>
      </c>
      <c r="AE483" s="160">
        <v>481</v>
      </c>
    </row>
    <row r="484" spans="27:31" x14ac:dyDescent="0.25">
      <c r="AA484" s="160"/>
      <c r="AB484" s="162"/>
      <c r="AC484" s="162"/>
      <c r="AD484" s="162">
        <f t="shared" si="27"/>
        <v>0</v>
      </c>
      <c r="AE484" s="160">
        <v>482</v>
      </c>
    </row>
    <row r="485" spans="27:31" x14ac:dyDescent="0.25">
      <c r="AA485" s="160"/>
      <c r="AB485" s="162"/>
      <c r="AC485" s="162"/>
      <c r="AD485" s="162">
        <f t="shared" si="27"/>
        <v>0</v>
      </c>
      <c r="AE485" s="160">
        <v>483</v>
      </c>
    </row>
    <row r="486" spans="27:31" x14ac:dyDescent="0.25">
      <c r="AA486" s="160"/>
      <c r="AB486" s="162"/>
      <c r="AC486" s="162"/>
      <c r="AD486" s="162">
        <f t="shared" si="27"/>
        <v>0</v>
      </c>
      <c r="AE486" s="160">
        <v>484</v>
      </c>
    </row>
    <row r="487" spans="27:31" x14ac:dyDescent="0.25">
      <c r="AA487" s="160"/>
      <c r="AB487" s="162"/>
      <c r="AC487" s="162"/>
      <c r="AD487" s="162">
        <f t="shared" si="27"/>
        <v>0</v>
      </c>
      <c r="AE487" s="160">
        <v>485</v>
      </c>
    </row>
    <row r="488" spans="27:31" x14ac:dyDescent="0.25">
      <c r="AA488" s="160"/>
      <c r="AB488" s="162"/>
      <c r="AC488" s="162"/>
      <c r="AD488" s="162">
        <f t="shared" si="27"/>
        <v>0</v>
      </c>
      <c r="AE488" s="160">
        <v>486</v>
      </c>
    </row>
    <row r="489" spans="27:31" x14ac:dyDescent="0.25">
      <c r="AA489" s="160"/>
      <c r="AB489" s="162"/>
      <c r="AC489" s="162"/>
      <c r="AD489" s="162">
        <f t="shared" si="27"/>
        <v>0</v>
      </c>
      <c r="AE489" s="160">
        <v>487</v>
      </c>
    </row>
    <row r="490" spans="27:31" x14ac:dyDescent="0.25">
      <c r="AA490" s="160"/>
      <c r="AB490" s="162"/>
      <c r="AC490" s="162"/>
      <c r="AD490" s="162">
        <f t="shared" si="27"/>
        <v>0</v>
      </c>
      <c r="AE490" s="160">
        <v>488</v>
      </c>
    </row>
    <row r="491" spans="27:31" x14ac:dyDescent="0.25">
      <c r="AA491" s="160"/>
      <c r="AB491" s="162"/>
      <c r="AC491" s="162"/>
      <c r="AD491" s="162">
        <f t="shared" si="27"/>
        <v>0</v>
      </c>
      <c r="AE491" s="160">
        <v>489</v>
      </c>
    </row>
    <row r="492" spans="27:31" x14ac:dyDescent="0.25">
      <c r="AA492" s="160"/>
      <c r="AB492" s="162"/>
      <c r="AC492" s="162"/>
      <c r="AD492" s="162">
        <f t="shared" si="27"/>
        <v>0</v>
      </c>
      <c r="AE492" s="160">
        <v>490</v>
      </c>
    </row>
    <row r="493" spans="27:31" x14ac:dyDescent="0.25">
      <c r="AA493" s="160"/>
      <c r="AB493" s="162"/>
      <c r="AC493" s="162"/>
      <c r="AD493" s="162">
        <f t="shared" si="27"/>
        <v>0</v>
      </c>
      <c r="AE493" s="160">
        <v>491</v>
      </c>
    </row>
    <row r="494" spans="27:31" x14ac:dyDescent="0.25">
      <c r="AA494" s="160"/>
      <c r="AB494" s="162"/>
      <c r="AC494" s="162"/>
      <c r="AD494" s="162">
        <f t="shared" si="27"/>
        <v>0</v>
      </c>
      <c r="AE494" s="160">
        <v>492</v>
      </c>
    </row>
    <row r="495" spans="27:31" x14ac:dyDescent="0.25">
      <c r="AA495" s="160"/>
      <c r="AB495" s="162"/>
      <c r="AC495" s="162"/>
      <c r="AD495" s="162">
        <f t="shared" si="27"/>
        <v>0</v>
      </c>
      <c r="AE495" s="160">
        <v>493</v>
      </c>
    </row>
    <row r="496" spans="27:31" x14ac:dyDescent="0.25">
      <c r="AA496" s="160"/>
      <c r="AB496" s="162"/>
      <c r="AC496" s="162"/>
      <c r="AD496" s="162">
        <f t="shared" si="27"/>
        <v>0</v>
      </c>
      <c r="AE496" s="160">
        <v>494</v>
      </c>
    </row>
    <row r="497" spans="27:31" x14ac:dyDescent="0.25">
      <c r="AA497" s="160"/>
      <c r="AB497" s="162"/>
      <c r="AC497" s="162"/>
      <c r="AD497" s="162">
        <f t="shared" si="27"/>
        <v>0</v>
      </c>
      <c r="AE497" s="160">
        <v>495</v>
      </c>
    </row>
    <row r="498" spans="27:31" x14ac:dyDescent="0.25">
      <c r="AA498" s="160"/>
      <c r="AB498" s="162"/>
      <c r="AC498" s="162"/>
      <c r="AD498" s="162">
        <f t="shared" si="27"/>
        <v>0</v>
      </c>
      <c r="AE498" s="160">
        <v>496</v>
      </c>
    </row>
    <row r="499" spans="27:31" x14ac:dyDescent="0.25">
      <c r="AA499" s="160"/>
      <c r="AB499" s="162"/>
      <c r="AC499" s="162"/>
      <c r="AD499" s="162">
        <f t="shared" si="27"/>
        <v>0</v>
      </c>
      <c r="AE499" s="160">
        <v>497</v>
      </c>
    </row>
    <row r="500" spans="27:31" x14ac:dyDescent="0.25">
      <c r="AA500" s="160"/>
      <c r="AB500" s="162"/>
      <c r="AC500" s="162"/>
      <c r="AD500" s="162">
        <f t="shared" si="27"/>
        <v>0</v>
      </c>
      <c r="AE500" s="160">
        <v>498</v>
      </c>
    </row>
    <row r="501" spans="27:31" x14ac:dyDescent="0.25">
      <c r="AA501" s="160"/>
      <c r="AB501" s="162"/>
      <c r="AC501" s="162"/>
      <c r="AD501" s="162">
        <f t="shared" si="27"/>
        <v>0</v>
      </c>
      <c r="AE501" s="160">
        <v>499</v>
      </c>
    </row>
    <row r="502" spans="27:31" x14ac:dyDescent="0.25">
      <c r="AA502" s="160"/>
      <c r="AB502" s="162"/>
      <c r="AC502" s="162"/>
      <c r="AD502" s="162">
        <f t="shared" si="27"/>
        <v>0</v>
      </c>
      <c r="AE502" s="160">
        <v>500</v>
      </c>
    </row>
    <row r="503" spans="27:31" x14ac:dyDescent="0.25">
      <c r="AA503" s="160"/>
      <c r="AB503" s="162"/>
      <c r="AC503" s="162"/>
      <c r="AD503" s="162">
        <f t="shared" si="27"/>
        <v>0</v>
      </c>
      <c r="AE503" s="160">
        <v>501</v>
      </c>
    </row>
    <row r="504" spans="27:31" x14ac:dyDescent="0.25">
      <c r="AA504" s="160"/>
      <c r="AB504" s="162"/>
      <c r="AC504" s="162"/>
      <c r="AD504" s="162">
        <f t="shared" si="27"/>
        <v>0</v>
      </c>
      <c r="AE504" s="160">
        <v>502</v>
      </c>
    </row>
    <row r="505" spans="27:31" x14ac:dyDescent="0.25">
      <c r="AA505" s="160"/>
      <c r="AB505" s="162"/>
      <c r="AC505" s="162"/>
      <c r="AD505" s="162">
        <f t="shared" si="27"/>
        <v>0</v>
      </c>
      <c r="AE505" s="160">
        <v>503</v>
      </c>
    </row>
    <row r="506" spans="27:31" x14ac:dyDescent="0.25">
      <c r="AA506" s="160"/>
      <c r="AB506" s="162"/>
      <c r="AC506" s="162"/>
      <c r="AD506" s="162">
        <f t="shared" si="27"/>
        <v>0</v>
      </c>
      <c r="AE506" s="160">
        <v>504</v>
      </c>
    </row>
    <row r="507" spans="27:31" x14ac:dyDescent="0.25">
      <c r="AA507" s="160"/>
      <c r="AB507" s="162"/>
      <c r="AC507" s="162"/>
      <c r="AD507" s="162">
        <f t="shared" si="27"/>
        <v>0</v>
      </c>
      <c r="AE507" s="160">
        <v>505</v>
      </c>
    </row>
    <row r="508" spans="27:31" x14ac:dyDescent="0.25">
      <c r="AA508" s="160"/>
      <c r="AB508" s="162"/>
      <c r="AC508" s="162"/>
      <c r="AD508" s="162">
        <f t="shared" si="27"/>
        <v>0</v>
      </c>
      <c r="AE508" s="160">
        <v>506</v>
      </c>
    </row>
    <row r="509" spans="27:31" x14ac:dyDescent="0.25">
      <c r="AA509" s="160"/>
      <c r="AB509" s="162"/>
      <c r="AC509" s="162"/>
      <c r="AD509" s="162">
        <f t="shared" si="27"/>
        <v>0</v>
      </c>
      <c r="AE509" s="160">
        <v>507</v>
      </c>
    </row>
    <row r="510" spans="27:31" x14ac:dyDescent="0.25">
      <c r="AA510" s="160"/>
      <c r="AB510" s="162"/>
      <c r="AC510" s="162"/>
      <c r="AD510" s="162">
        <f t="shared" si="27"/>
        <v>0</v>
      </c>
      <c r="AE510" s="160">
        <v>508</v>
      </c>
    </row>
    <row r="511" spans="27:31" x14ac:dyDescent="0.25">
      <c r="AA511" s="160"/>
      <c r="AB511" s="162"/>
      <c r="AC511" s="162"/>
      <c r="AD511" s="162">
        <f t="shared" si="27"/>
        <v>0</v>
      </c>
      <c r="AE511" s="160">
        <v>509</v>
      </c>
    </row>
    <row r="512" spans="27:31" x14ac:dyDescent="0.25">
      <c r="AA512" s="160"/>
      <c r="AB512" s="162"/>
      <c r="AC512" s="162"/>
      <c r="AD512" s="162">
        <f t="shared" si="27"/>
        <v>0</v>
      </c>
      <c r="AE512" s="160">
        <v>510</v>
      </c>
    </row>
    <row r="513" spans="27:31" x14ac:dyDescent="0.25">
      <c r="AA513" s="160"/>
      <c r="AB513" s="162"/>
      <c r="AC513" s="162"/>
      <c r="AD513" s="162">
        <f t="shared" si="27"/>
        <v>0</v>
      </c>
      <c r="AE513" s="160">
        <v>511</v>
      </c>
    </row>
    <row r="514" spans="27:31" x14ac:dyDescent="0.25">
      <c r="AA514" s="160"/>
      <c r="AB514" s="162"/>
      <c r="AC514" s="162"/>
      <c r="AD514" s="162">
        <f t="shared" si="27"/>
        <v>0</v>
      </c>
      <c r="AE514" s="160">
        <v>512</v>
      </c>
    </row>
    <row r="515" spans="27:31" x14ac:dyDescent="0.25">
      <c r="AA515" s="160"/>
      <c r="AB515" s="162"/>
      <c r="AC515" s="162"/>
      <c r="AD515" s="162">
        <f t="shared" si="27"/>
        <v>0</v>
      </c>
      <c r="AE515" s="160">
        <v>513</v>
      </c>
    </row>
    <row r="516" spans="27:31" x14ac:dyDescent="0.25">
      <c r="AA516" s="160"/>
      <c r="AB516" s="162"/>
      <c r="AC516" s="162"/>
      <c r="AD516" s="162">
        <f t="shared" ref="AD516:AD579" si="28">AB516+AC516</f>
        <v>0</v>
      </c>
      <c r="AE516" s="160">
        <v>514</v>
      </c>
    </row>
    <row r="517" spans="27:31" x14ac:dyDescent="0.25">
      <c r="AA517" s="160"/>
      <c r="AB517" s="162"/>
      <c r="AC517" s="162"/>
      <c r="AD517" s="162">
        <f t="shared" si="28"/>
        <v>0</v>
      </c>
      <c r="AE517" s="160">
        <v>515</v>
      </c>
    </row>
    <row r="518" spans="27:31" x14ac:dyDescent="0.25">
      <c r="AA518" s="160"/>
      <c r="AB518" s="162"/>
      <c r="AC518" s="162"/>
      <c r="AD518" s="162">
        <f t="shared" si="28"/>
        <v>0</v>
      </c>
      <c r="AE518" s="160">
        <v>516</v>
      </c>
    </row>
    <row r="519" spans="27:31" x14ac:dyDescent="0.25">
      <c r="AA519" s="160"/>
      <c r="AB519" s="162"/>
      <c r="AC519" s="162"/>
      <c r="AD519" s="162">
        <f t="shared" si="28"/>
        <v>0</v>
      </c>
      <c r="AE519" s="160">
        <v>517</v>
      </c>
    </row>
    <row r="520" spans="27:31" x14ac:dyDescent="0.25">
      <c r="AA520" s="160"/>
      <c r="AB520" s="162"/>
      <c r="AC520" s="162"/>
      <c r="AD520" s="162">
        <f t="shared" si="28"/>
        <v>0</v>
      </c>
      <c r="AE520" s="160">
        <v>518</v>
      </c>
    </row>
    <row r="521" spans="27:31" x14ac:dyDescent="0.25">
      <c r="AA521" s="160"/>
      <c r="AB521" s="162"/>
      <c r="AC521" s="162"/>
      <c r="AD521" s="162">
        <f t="shared" si="28"/>
        <v>0</v>
      </c>
      <c r="AE521" s="160">
        <v>519</v>
      </c>
    </row>
    <row r="522" spans="27:31" x14ac:dyDescent="0.25">
      <c r="AA522" s="160"/>
      <c r="AB522" s="162"/>
      <c r="AC522" s="162"/>
      <c r="AD522" s="162">
        <f t="shared" si="28"/>
        <v>0</v>
      </c>
      <c r="AE522" s="160">
        <v>520</v>
      </c>
    </row>
    <row r="523" spans="27:31" x14ac:dyDescent="0.25">
      <c r="AA523" s="160"/>
      <c r="AB523" s="162"/>
      <c r="AC523" s="162"/>
      <c r="AD523" s="162">
        <f t="shared" si="28"/>
        <v>0</v>
      </c>
      <c r="AE523" s="160">
        <v>521</v>
      </c>
    </row>
    <row r="524" spans="27:31" x14ac:dyDescent="0.25">
      <c r="AA524" s="160"/>
      <c r="AB524" s="162"/>
      <c r="AC524" s="162"/>
      <c r="AD524" s="162">
        <f t="shared" si="28"/>
        <v>0</v>
      </c>
      <c r="AE524" s="160">
        <v>522</v>
      </c>
    </row>
    <row r="525" spans="27:31" x14ac:dyDescent="0.25">
      <c r="AA525" s="160"/>
      <c r="AB525" s="162"/>
      <c r="AC525" s="162"/>
      <c r="AD525" s="162">
        <f t="shared" si="28"/>
        <v>0</v>
      </c>
      <c r="AE525" s="160">
        <v>523</v>
      </c>
    </row>
    <row r="526" spans="27:31" x14ac:dyDescent="0.25">
      <c r="AA526" s="160"/>
      <c r="AB526" s="162"/>
      <c r="AC526" s="162"/>
      <c r="AD526" s="162">
        <f t="shared" si="28"/>
        <v>0</v>
      </c>
      <c r="AE526" s="160">
        <v>524</v>
      </c>
    </row>
    <row r="527" spans="27:31" x14ac:dyDescent="0.25">
      <c r="AA527" s="160"/>
      <c r="AB527" s="162"/>
      <c r="AC527" s="162"/>
      <c r="AD527" s="162">
        <f t="shared" si="28"/>
        <v>0</v>
      </c>
      <c r="AE527" s="160">
        <v>525</v>
      </c>
    </row>
    <row r="528" spans="27:31" x14ac:dyDescent="0.25">
      <c r="AA528" s="160"/>
      <c r="AB528" s="162"/>
      <c r="AC528" s="162"/>
      <c r="AD528" s="162">
        <f t="shared" si="28"/>
        <v>0</v>
      </c>
      <c r="AE528" s="160">
        <v>526</v>
      </c>
    </row>
    <row r="529" spans="27:31" x14ac:dyDescent="0.25">
      <c r="AA529" s="160"/>
      <c r="AB529" s="162"/>
      <c r="AC529" s="162"/>
      <c r="AD529" s="162">
        <f t="shared" si="28"/>
        <v>0</v>
      </c>
      <c r="AE529" s="160">
        <v>527</v>
      </c>
    </row>
    <row r="530" spans="27:31" x14ac:dyDescent="0.25">
      <c r="AA530" s="160"/>
      <c r="AB530" s="162"/>
      <c r="AC530" s="162"/>
      <c r="AD530" s="162">
        <f t="shared" si="28"/>
        <v>0</v>
      </c>
      <c r="AE530" s="160">
        <v>528</v>
      </c>
    </row>
    <row r="531" spans="27:31" x14ac:dyDescent="0.25">
      <c r="AA531" s="160"/>
      <c r="AB531" s="162"/>
      <c r="AC531" s="162"/>
      <c r="AD531" s="162">
        <f t="shared" si="28"/>
        <v>0</v>
      </c>
      <c r="AE531" s="160">
        <v>529</v>
      </c>
    </row>
    <row r="532" spans="27:31" x14ac:dyDescent="0.25">
      <c r="AA532" s="160"/>
      <c r="AB532" s="162"/>
      <c r="AC532" s="162"/>
      <c r="AD532" s="162">
        <f t="shared" si="28"/>
        <v>0</v>
      </c>
      <c r="AE532" s="160">
        <v>530</v>
      </c>
    </row>
    <row r="533" spans="27:31" x14ac:dyDescent="0.25">
      <c r="AA533" s="160"/>
      <c r="AB533" s="162"/>
      <c r="AC533" s="162"/>
      <c r="AD533" s="162">
        <f t="shared" si="28"/>
        <v>0</v>
      </c>
      <c r="AE533" s="160">
        <v>531</v>
      </c>
    </row>
    <row r="534" spans="27:31" x14ac:dyDescent="0.25">
      <c r="AA534" s="160"/>
      <c r="AB534" s="162"/>
      <c r="AC534" s="162"/>
      <c r="AD534" s="162">
        <f t="shared" si="28"/>
        <v>0</v>
      </c>
      <c r="AE534" s="160">
        <v>532</v>
      </c>
    </row>
    <row r="535" spans="27:31" x14ac:dyDescent="0.25">
      <c r="AA535" s="160"/>
      <c r="AB535" s="162"/>
      <c r="AC535" s="162"/>
      <c r="AD535" s="162">
        <f t="shared" si="28"/>
        <v>0</v>
      </c>
      <c r="AE535" s="160">
        <v>533</v>
      </c>
    </row>
    <row r="536" spans="27:31" x14ac:dyDescent="0.25">
      <c r="AA536" s="160"/>
      <c r="AB536" s="162"/>
      <c r="AC536" s="162"/>
      <c r="AD536" s="162">
        <f t="shared" si="28"/>
        <v>0</v>
      </c>
      <c r="AE536" s="160">
        <v>534</v>
      </c>
    </row>
    <row r="537" spans="27:31" x14ac:dyDescent="0.25">
      <c r="AA537" s="160"/>
      <c r="AB537" s="162"/>
      <c r="AC537" s="162"/>
      <c r="AD537" s="162">
        <f t="shared" si="28"/>
        <v>0</v>
      </c>
      <c r="AE537" s="160">
        <v>535</v>
      </c>
    </row>
    <row r="538" spans="27:31" x14ac:dyDescent="0.25">
      <c r="AA538" s="160"/>
      <c r="AB538" s="162"/>
      <c r="AC538" s="162"/>
      <c r="AD538" s="162">
        <f t="shared" si="28"/>
        <v>0</v>
      </c>
      <c r="AE538" s="160">
        <v>536</v>
      </c>
    </row>
    <row r="539" spans="27:31" x14ac:dyDescent="0.25">
      <c r="AA539" s="160"/>
      <c r="AB539" s="162"/>
      <c r="AC539" s="162"/>
      <c r="AD539" s="162">
        <f t="shared" si="28"/>
        <v>0</v>
      </c>
      <c r="AE539" s="160">
        <v>537</v>
      </c>
    </row>
    <row r="540" spans="27:31" x14ac:dyDescent="0.25">
      <c r="AA540" s="160"/>
      <c r="AB540" s="162"/>
      <c r="AC540" s="162"/>
      <c r="AD540" s="162">
        <f t="shared" si="28"/>
        <v>0</v>
      </c>
      <c r="AE540" s="160">
        <v>538</v>
      </c>
    </row>
    <row r="541" spans="27:31" x14ac:dyDescent="0.25">
      <c r="AA541" s="160"/>
      <c r="AB541" s="162"/>
      <c r="AC541" s="162"/>
      <c r="AD541" s="162">
        <f t="shared" si="28"/>
        <v>0</v>
      </c>
      <c r="AE541" s="160">
        <v>539</v>
      </c>
    </row>
    <row r="542" spans="27:31" x14ac:dyDescent="0.25">
      <c r="AA542" s="160"/>
      <c r="AB542" s="162"/>
      <c r="AC542" s="162"/>
      <c r="AD542" s="162">
        <f t="shared" si="28"/>
        <v>0</v>
      </c>
      <c r="AE542" s="160">
        <v>540</v>
      </c>
    </row>
    <row r="543" spans="27:31" x14ac:dyDescent="0.25">
      <c r="AA543" s="160"/>
      <c r="AB543" s="162"/>
      <c r="AC543" s="162"/>
      <c r="AD543" s="162">
        <f t="shared" si="28"/>
        <v>0</v>
      </c>
      <c r="AE543" s="160">
        <v>541</v>
      </c>
    </row>
    <row r="544" spans="27:31" x14ac:dyDescent="0.25">
      <c r="AA544" s="160"/>
      <c r="AB544" s="162"/>
      <c r="AC544" s="162"/>
      <c r="AD544" s="162">
        <f t="shared" si="28"/>
        <v>0</v>
      </c>
      <c r="AE544" s="160">
        <v>542</v>
      </c>
    </row>
    <row r="545" spans="27:31" x14ac:dyDescent="0.25">
      <c r="AA545" s="160"/>
      <c r="AB545" s="162"/>
      <c r="AC545" s="162"/>
      <c r="AD545" s="162">
        <f t="shared" si="28"/>
        <v>0</v>
      </c>
      <c r="AE545" s="160">
        <v>543</v>
      </c>
    </row>
    <row r="546" spans="27:31" x14ac:dyDescent="0.25">
      <c r="AA546" s="160"/>
      <c r="AB546" s="162"/>
      <c r="AC546" s="162"/>
      <c r="AD546" s="162">
        <f t="shared" si="28"/>
        <v>0</v>
      </c>
      <c r="AE546" s="160">
        <v>544</v>
      </c>
    </row>
    <row r="547" spans="27:31" x14ac:dyDescent="0.25">
      <c r="AA547" s="160"/>
      <c r="AB547" s="162"/>
      <c r="AC547" s="162"/>
      <c r="AD547" s="162">
        <f t="shared" si="28"/>
        <v>0</v>
      </c>
      <c r="AE547" s="160">
        <v>545</v>
      </c>
    </row>
    <row r="548" spans="27:31" x14ac:dyDescent="0.25">
      <c r="AA548" s="160"/>
      <c r="AB548" s="162"/>
      <c r="AC548" s="162"/>
      <c r="AD548" s="162">
        <f t="shared" si="28"/>
        <v>0</v>
      </c>
      <c r="AE548" s="160">
        <v>546</v>
      </c>
    </row>
    <row r="549" spans="27:31" x14ac:dyDescent="0.25">
      <c r="AA549" s="160"/>
      <c r="AB549" s="162"/>
      <c r="AC549" s="162"/>
      <c r="AD549" s="162">
        <f t="shared" si="28"/>
        <v>0</v>
      </c>
      <c r="AE549" s="160">
        <v>547</v>
      </c>
    </row>
    <row r="550" spans="27:31" x14ac:dyDescent="0.25">
      <c r="AA550" s="160"/>
      <c r="AB550" s="162"/>
      <c r="AC550" s="162"/>
      <c r="AD550" s="162">
        <f t="shared" si="28"/>
        <v>0</v>
      </c>
      <c r="AE550" s="160">
        <v>548</v>
      </c>
    </row>
    <row r="551" spans="27:31" x14ac:dyDescent="0.25">
      <c r="AA551" s="160"/>
      <c r="AB551" s="162"/>
      <c r="AC551" s="162"/>
      <c r="AD551" s="162">
        <f t="shared" si="28"/>
        <v>0</v>
      </c>
      <c r="AE551" s="160">
        <v>549</v>
      </c>
    </row>
    <row r="552" spans="27:31" x14ac:dyDescent="0.25">
      <c r="AA552" s="160"/>
      <c r="AB552" s="162"/>
      <c r="AC552" s="162"/>
      <c r="AD552" s="162">
        <f t="shared" si="28"/>
        <v>0</v>
      </c>
      <c r="AE552" s="160">
        <v>550</v>
      </c>
    </row>
    <row r="553" spans="27:31" x14ac:dyDescent="0.25">
      <c r="AA553" s="160"/>
      <c r="AB553" s="162"/>
      <c r="AC553" s="162"/>
      <c r="AD553" s="162">
        <f t="shared" si="28"/>
        <v>0</v>
      </c>
      <c r="AE553" s="160">
        <v>551</v>
      </c>
    </row>
    <row r="554" spans="27:31" x14ac:dyDescent="0.25">
      <c r="AA554" s="160"/>
      <c r="AB554" s="162"/>
      <c r="AC554" s="162"/>
      <c r="AD554" s="162">
        <f t="shared" si="28"/>
        <v>0</v>
      </c>
      <c r="AE554" s="160">
        <v>552</v>
      </c>
    </row>
    <row r="555" spans="27:31" x14ac:dyDescent="0.25">
      <c r="AA555" s="160"/>
      <c r="AB555" s="162"/>
      <c r="AC555" s="162"/>
      <c r="AD555" s="162">
        <f t="shared" si="28"/>
        <v>0</v>
      </c>
      <c r="AE555" s="160">
        <v>553</v>
      </c>
    </row>
    <row r="556" spans="27:31" x14ac:dyDescent="0.25">
      <c r="AA556" s="160"/>
      <c r="AB556" s="162"/>
      <c r="AC556" s="162"/>
      <c r="AD556" s="162">
        <f t="shared" si="28"/>
        <v>0</v>
      </c>
      <c r="AE556" s="160">
        <v>554</v>
      </c>
    </row>
    <row r="557" spans="27:31" x14ac:dyDescent="0.25">
      <c r="AA557" s="160"/>
      <c r="AB557" s="162"/>
      <c r="AC557" s="162"/>
      <c r="AD557" s="162">
        <f t="shared" si="28"/>
        <v>0</v>
      </c>
      <c r="AE557" s="160">
        <v>555</v>
      </c>
    </row>
    <row r="558" spans="27:31" x14ac:dyDescent="0.25">
      <c r="AA558" s="160"/>
      <c r="AB558" s="162"/>
      <c r="AC558" s="162"/>
      <c r="AD558" s="162">
        <f t="shared" si="28"/>
        <v>0</v>
      </c>
      <c r="AE558" s="160">
        <v>556</v>
      </c>
    </row>
    <row r="559" spans="27:31" x14ac:dyDescent="0.25">
      <c r="AA559" s="160"/>
      <c r="AB559" s="162"/>
      <c r="AC559" s="162"/>
      <c r="AD559" s="162">
        <f t="shared" si="28"/>
        <v>0</v>
      </c>
      <c r="AE559" s="160">
        <v>557</v>
      </c>
    </row>
    <row r="560" spans="27:31" x14ac:dyDescent="0.25">
      <c r="AA560" s="160"/>
      <c r="AB560" s="162"/>
      <c r="AC560" s="162"/>
      <c r="AD560" s="162">
        <f t="shared" si="28"/>
        <v>0</v>
      </c>
      <c r="AE560" s="160">
        <v>558</v>
      </c>
    </row>
    <row r="561" spans="27:31" x14ac:dyDescent="0.25">
      <c r="AA561" s="160"/>
      <c r="AB561" s="162"/>
      <c r="AC561" s="162"/>
      <c r="AD561" s="162">
        <f t="shared" si="28"/>
        <v>0</v>
      </c>
      <c r="AE561" s="160">
        <v>559</v>
      </c>
    </row>
    <row r="562" spans="27:31" x14ac:dyDescent="0.25">
      <c r="AA562" s="160"/>
      <c r="AB562" s="162"/>
      <c r="AC562" s="162"/>
      <c r="AD562" s="162">
        <f t="shared" si="28"/>
        <v>0</v>
      </c>
      <c r="AE562" s="160">
        <v>560</v>
      </c>
    </row>
    <row r="563" spans="27:31" x14ac:dyDescent="0.25">
      <c r="AA563" s="160"/>
      <c r="AB563" s="162"/>
      <c r="AC563" s="162"/>
      <c r="AD563" s="162">
        <f t="shared" si="28"/>
        <v>0</v>
      </c>
      <c r="AE563" s="160">
        <v>561</v>
      </c>
    </row>
    <row r="564" spans="27:31" x14ac:dyDescent="0.25">
      <c r="AA564" s="160"/>
      <c r="AB564" s="162"/>
      <c r="AC564" s="162"/>
      <c r="AD564" s="162">
        <f t="shared" si="28"/>
        <v>0</v>
      </c>
      <c r="AE564" s="160">
        <v>562</v>
      </c>
    </row>
    <row r="565" spans="27:31" x14ac:dyDescent="0.25">
      <c r="AA565" s="160"/>
      <c r="AB565" s="162"/>
      <c r="AC565" s="162"/>
      <c r="AD565" s="162">
        <f t="shared" si="28"/>
        <v>0</v>
      </c>
      <c r="AE565" s="160">
        <v>563</v>
      </c>
    </row>
    <row r="566" spans="27:31" x14ac:dyDescent="0.25">
      <c r="AA566" s="160"/>
      <c r="AB566" s="162"/>
      <c r="AC566" s="162"/>
      <c r="AD566" s="162">
        <f t="shared" si="28"/>
        <v>0</v>
      </c>
      <c r="AE566" s="160">
        <v>564</v>
      </c>
    </row>
    <row r="567" spans="27:31" x14ac:dyDescent="0.25">
      <c r="AA567" s="160"/>
      <c r="AB567" s="162"/>
      <c r="AC567" s="162"/>
      <c r="AD567" s="162">
        <f t="shared" si="28"/>
        <v>0</v>
      </c>
      <c r="AE567" s="160">
        <v>565</v>
      </c>
    </row>
    <row r="568" spans="27:31" x14ac:dyDescent="0.25">
      <c r="AA568" s="160"/>
      <c r="AB568" s="162"/>
      <c r="AC568" s="162"/>
      <c r="AD568" s="162">
        <f t="shared" si="28"/>
        <v>0</v>
      </c>
      <c r="AE568" s="160">
        <v>566</v>
      </c>
    </row>
    <row r="569" spans="27:31" x14ac:dyDescent="0.25">
      <c r="AA569" s="160"/>
      <c r="AB569" s="162"/>
      <c r="AC569" s="162"/>
      <c r="AD569" s="162">
        <f t="shared" si="28"/>
        <v>0</v>
      </c>
      <c r="AE569" s="160">
        <v>567</v>
      </c>
    </row>
    <row r="570" spans="27:31" x14ac:dyDescent="0.25">
      <c r="AA570" s="160"/>
      <c r="AB570" s="162"/>
      <c r="AC570" s="162"/>
      <c r="AD570" s="162">
        <f t="shared" si="28"/>
        <v>0</v>
      </c>
      <c r="AE570" s="160">
        <v>568</v>
      </c>
    </row>
    <row r="571" spans="27:31" x14ac:dyDescent="0.25">
      <c r="AA571" s="160"/>
      <c r="AB571" s="162"/>
      <c r="AC571" s="162"/>
      <c r="AD571" s="162">
        <f t="shared" si="28"/>
        <v>0</v>
      </c>
      <c r="AE571" s="160">
        <v>569</v>
      </c>
    </row>
    <row r="572" spans="27:31" x14ac:dyDescent="0.25">
      <c r="AA572" s="160"/>
      <c r="AB572" s="162"/>
      <c r="AC572" s="162"/>
      <c r="AD572" s="162">
        <f t="shared" si="28"/>
        <v>0</v>
      </c>
      <c r="AE572" s="160">
        <v>570</v>
      </c>
    </row>
    <row r="573" spans="27:31" x14ac:dyDescent="0.25">
      <c r="AA573" s="160"/>
      <c r="AB573" s="162"/>
      <c r="AC573" s="162"/>
      <c r="AD573" s="162">
        <f t="shared" si="28"/>
        <v>0</v>
      </c>
      <c r="AE573" s="160">
        <v>571</v>
      </c>
    </row>
    <row r="574" spans="27:31" x14ac:dyDescent="0.25">
      <c r="AA574" s="160"/>
      <c r="AB574" s="162"/>
      <c r="AC574" s="162"/>
      <c r="AD574" s="162">
        <f t="shared" si="28"/>
        <v>0</v>
      </c>
      <c r="AE574" s="160">
        <v>572</v>
      </c>
    </row>
    <row r="575" spans="27:31" x14ac:dyDescent="0.25">
      <c r="AA575" s="160"/>
      <c r="AB575" s="162"/>
      <c r="AC575" s="162"/>
      <c r="AD575" s="162">
        <f t="shared" si="28"/>
        <v>0</v>
      </c>
      <c r="AE575" s="160">
        <v>573</v>
      </c>
    </row>
    <row r="576" spans="27:31" x14ac:dyDescent="0.25">
      <c r="AA576" s="160"/>
      <c r="AB576" s="162"/>
      <c r="AC576" s="162"/>
      <c r="AD576" s="162">
        <f t="shared" si="28"/>
        <v>0</v>
      </c>
      <c r="AE576" s="160">
        <v>574</v>
      </c>
    </row>
    <row r="577" spans="27:31" x14ac:dyDescent="0.25">
      <c r="AA577" s="160"/>
      <c r="AB577" s="162"/>
      <c r="AC577" s="162"/>
      <c r="AD577" s="162">
        <f t="shared" si="28"/>
        <v>0</v>
      </c>
      <c r="AE577" s="160">
        <v>575</v>
      </c>
    </row>
    <row r="578" spans="27:31" x14ac:dyDescent="0.25">
      <c r="AA578" s="160"/>
      <c r="AB578" s="162"/>
      <c r="AC578" s="162"/>
      <c r="AD578" s="162">
        <f t="shared" si="28"/>
        <v>0</v>
      </c>
      <c r="AE578" s="160">
        <v>576</v>
      </c>
    </row>
    <row r="579" spans="27:31" x14ac:dyDescent="0.25">
      <c r="AA579" s="160"/>
      <c r="AB579" s="162"/>
      <c r="AC579" s="162"/>
      <c r="AD579" s="162">
        <f t="shared" si="28"/>
        <v>0</v>
      </c>
      <c r="AE579" s="160">
        <v>577</v>
      </c>
    </row>
    <row r="580" spans="27:31" x14ac:dyDescent="0.25">
      <c r="AA580" s="160"/>
      <c r="AB580" s="162"/>
      <c r="AC580" s="162"/>
      <c r="AD580" s="162">
        <f t="shared" ref="AD580:AD643" si="29">AB580+AC580</f>
        <v>0</v>
      </c>
      <c r="AE580" s="160">
        <v>578</v>
      </c>
    </row>
    <row r="581" spans="27:31" x14ac:dyDescent="0.25">
      <c r="AA581" s="160"/>
      <c r="AB581" s="162"/>
      <c r="AC581" s="162"/>
      <c r="AD581" s="162">
        <f t="shared" si="29"/>
        <v>0</v>
      </c>
      <c r="AE581" s="160">
        <v>579</v>
      </c>
    </row>
    <row r="582" spans="27:31" x14ac:dyDescent="0.25">
      <c r="AA582" s="160"/>
      <c r="AB582" s="162"/>
      <c r="AC582" s="162"/>
      <c r="AD582" s="162">
        <f t="shared" si="29"/>
        <v>0</v>
      </c>
      <c r="AE582" s="160">
        <v>580</v>
      </c>
    </row>
    <row r="583" spans="27:31" x14ac:dyDescent="0.25">
      <c r="AA583" s="160"/>
      <c r="AB583" s="162"/>
      <c r="AC583" s="162"/>
      <c r="AD583" s="162">
        <f t="shared" si="29"/>
        <v>0</v>
      </c>
      <c r="AE583" s="160">
        <v>581</v>
      </c>
    </row>
    <row r="584" spans="27:31" x14ac:dyDescent="0.25">
      <c r="AA584" s="160"/>
      <c r="AB584" s="162"/>
      <c r="AC584" s="162"/>
      <c r="AD584" s="162">
        <f t="shared" si="29"/>
        <v>0</v>
      </c>
      <c r="AE584" s="160">
        <v>582</v>
      </c>
    </row>
    <row r="585" spans="27:31" x14ac:dyDescent="0.25">
      <c r="AA585" s="160"/>
      <c r="AB585" s="162"/>
      <c r="AC585" s="162"/>
      <c r="AD585" s="162">
        <f t="shared" si="29"/>
        <v>0</v>
      </c>
      <c r="AE585" s="160">
        <v>583</v>
      </c>
    </row>
    <row r="586" spans="27:31" x14ac:dyDescent="0.25">
      <c r="AA586" s="160"/>
      <c r="AB586" s="162"/>
      <c r="AC586" s="162"/>
      <c r="AD586" s="162">
        <f t="shared" si="29"/>
        <v>0</v>
      </c>
      <c r="AE586" s="160">
        <v>584</v>
      </c>
    </row>
    <row r="587" spans="27:31" x14ac:dyDescent="0.25">
      <c r="AA587" s="160"/>
      <c r="AB587" s="162"/>
      <c r="AC587" s="162"/>
      <c r="AD587" s="162">
        <f t="shared" si="29"/>
        <v>0</v>
      </c>
      <c r="AE587" s="160">
        <v>585</v>
      </c>
    </row>
    <row r="588" spans="27:31" x14ac:dyDescent="0.25">
      <c r="AA588" s="160"/>
      <c r="AB588" s="162"/>
      <c r="AC588" s="162"/>
      <c r="AD588" s="162">
        <f t="shared" si="29"/>
        <v>0</v>
      </c>
      <c r="AE588" s="160">
        <v>586</v>
      </c>
    </row>
    <row r="589" spans="27:31" x14ac:dyDescent="0.25">
      <c r="AA589" s="160"/>
      <c r="AB589" s="162"/>
      <c r="AC589" s="162"/>
      <c r="AD589" s="162">
        <f t="shared" si="29"/>
        <v>0</v>
      </c>
      <c r="AE589" s="160">
        <v>587</v>
      </c>
    </row>
    <row r="590" spans="27:31" x14ac:dyDescent="0.25">
      <c r="AA590" s="160"/>
      <c r="AB590" s="162"/>
      <c r="AC590" s="162"/>
      <c r="AD590" s="162">
        <f t="shared" si="29"/>
        <v>0</v>
      </c>
      <c r="AE590" s="160">
        <v>588</v>
      </c>
    </row>
    <row r="591" spans="27:31" x14ac:dyDescent="0.25">
      <c r="AA591" s="160"/>
      <c r="AB591" s="162"/>
      <c r="AC591" s="162"/>
      <c r="AD591" s="162">
        <f t="shared" si="29"/>
        <v>0</v>
      </c>
      <c r="AE591" s="160">
        <v>589</v>
      </c>
    </row>
    <row r="592" spans="27:31" x14ac:dyDescent="0.25">
      <c r="AA592" s="160"/>
      <c r="AB592" s="162"/>
      <c r="AC592" s="162"/>
      <c r="AD592" s="162">
        <f t="shared" si="29"/>
        <v>0</v>
      </c>
      <c r="AE592" s="160">
        <v>590</v>
      </c>
    </row>
    <row r="593" spans="27:31" x14ac:dyDescent="0.25">
      <c r="AA593" s="160"/>
      <c r="AB593" s="162"/>
      <c r="AC593" s="162"/>
      <c r="AD593" s="162">
        <f t="shared" si="29"/>
        <v>0</v>
      </c>
      <c r="AE593" s="160">
        <v>591</v>
      </c>
    </row>
    <row r="594" spans="27:31" x14ac:dyDescent="0.25">
      <c r="AA594" s="160"/>
      <c r="AB594" s="162"/>
      <c r="AC594" s="162"/>
      <c r="AD594" s="162">
        <f t="shared" si="29"/>
        <v>0</v>
      </c>
      <c r="AE594" s="160">
        <v>592</v>
      </c>
    </row>
    <row r="595" spans="27:31" x14ac:dyDescent="0.25">
      <c r="AA595" s="160"/>
      <c r="AB595" s="162"/>
      <c r="AC595" s="162"/>
      <c r="AD595" s="162">
        <f t="shared" si="29"/>
        <v>0</v>
      </c>
      <c r="AE595" s="160">
        <v>593</v>
      </c>
    </row>
    <row r="596" spans="27:31" x14ac:dyDescent="0.25">
      <c r="AA596" s="160"/>
      <c r="AB596" s="162"/>
      <c r="AC596" s="162"/>
      <c r="AD596" s="162">
        <f t="shared" si="29"/>
        <v>0</v>
      </c>
      <c r="AE596" s="160">
        <v>594</v>
      </c>
    </row>
    <row r="597" spans="27:31" x14ac:dyDescent="0.25">
      <c r="AA597" s="160"/>
      <c r="AB597" s="162"/>
      <c r="AC597" s="162"/>
      <c r="AD597" s="162">
        <f t="shared" si="29"/>
        <v>0</v>
      </c>
      <c r="AE597" s="160">
        <v>595</v>
      </c>
    </row>
    <row r="598" spans="27:31" x14ac:dyDescent="0.25">
      <c r="AA598" s="160"/>
      <c r="AB598" s="162"/>
      <c r="AC598" s="162"/>
      <c r="AD598" s="162">
        <f t="shared" si="29"/>
        <v>0</v>
      </c>
      <c r="AE598" s="160">
        <v>596</v>
      </c>
    </row>
    <row r="599" spans="27:31" x14ac:dyDescent="0.25">
      <c r="AA599" s="160"/>
      <c r="AB599" s="162"/>
      <c r="AC599" s="162"/>
      <c r="AD599" s="162">
        <f t="shared" si="29"/>
        <v>0</v>
      </c>
      <c r="AE599" s="160">
        <v>597</v>
      </c>
    </row>
    <row r="600" spans="27:31" x14ac:dyDescent="0.25">
      <c r="AA600" s="160"/>
      <c r="AB600" s="162"/>
      <c r="AC600" s="162"/>
      <c r="AD600" s="162">
        <f t="shared" si="29"/>
        <v>0</v>
      </c>
      <c r="AE600" s="160">
        <v>598</v>
      </c>
    </row>
    <row r="601" spans="27:31" x14ac:dyDescent="0.25">
      <c r="AA601" s="160"/>
      <c r="AB601" s="162"/>
      <c r="AC601" s="162"/>
      <c r="AD601" s="162">
        <f t="shared" si="29"/>
        <v>0</v>
      </c>
      <c r="AE601" s="160">
        <v>599</v>
      </c>
    </row>
    <row r="602" spans="27:31" x14ac:dyDescent="0.25">
      <c r="AA602" s="160"/>
      <c r="AB602" s="162"/>
      <c r="AC602" s="162"/>
      <c r="AD602" s="162">
        <f t="shared" si="29"/>
        <v>0</v>
      </c>
      <c r="AE602" s="160">
        <v>600</v>
      </c>
    </row>
    <row r="603" spans="27:31" x14ac:dyDescent="0.25">
      <c r="AA603" s="160"/>
      <c r="AB603" s="162"/>
      <c r="AC603" s="162"/>
      <c r="AD603" s="162">
        <f t="shared" si="29"/>
        <v>0</v>
      </c>
      <c r="AE603" s="160">
        <v>601</v>
      </c>
    </row>
    <row r="604" spans="27:31" x14ac:dyDescent="0.25">
      <c r="AA604" s="160"/>
      <c r="AB604" s="162"/>
      <c r="AC604" s="162"/>
      <c r="AD604" s="162">
        <f t="shared" si="29"/>
        <v>0</v>
      </c>
      <c r="AE604" s="160">
        <v>602</v>
      </c>
    </row>
    <row r="605" spans="27:31" x14ac:dyDescent="0.25">
      <c r="AA605" s="160"/>
      <c r="AB605" s="162"/>
      <c r="AC605" s="162"/>
      <c r="AD605" s="162">
        <f t="shared" si="29"/>
        <v>0</v>
      </c>
      <c r="AE605" s="160">
        <v>603</v>
      </c>
    </row>
    <row r="606" spans="27:31" x14ac:dyDescent="0.25">
      <c r="AA606" s="160"/>
      <c r="AB606" s="162"/>
      <c r="AC606" s="162"/>
      <c r="AD606" s="162">
        <f t="shared" si="29"/>
        <v>0</v>
      </c>
      <c r="AE606" s="160">
        <v>604</v>
      </c>
    </row>
    <row r="607" spans="27:31" x14ac:dyDescent="0.25">
      <c r="AA607" s="160"/>
      <c r="AB607" s="162"/>
      <c r="AC607" s="162"/>
      <c r="AD607" s="162">
        <f t="shared" si="29"/>
        <v>0</v>
      </c>
      <c r="AE607" s="160">
        <v>605</v>
      </c>
    </row>
    <row r="608" spans="27:31" x14ac:dyDescent="0.25">
      <c r="AA608" s="160"/>
      <c r="AB608" s="162"/>
      <c r="AC608" s="162"/>
      <c r="AD608" s="162">
        <f t="shared" si="29"/>
        <v>0</v>
      </c>
      <c r="AE608" s="160">
        <v>606</v>
      </c>
    </row>
    <row r="609" spans="27:31" x14ac:dyDescent="0.25">
      <c r="AA609" s="160"/>
      <c r="AB609" s="162"/>
      <c r="AC609" s="162"/>
      <c r="AD609" s="162">
        <f t="shared" si="29"/>
        <v>0</v>
      </c>
      <c r="AE609" s="160">
        <v>607</v>
      </c>
    </row>
    <row r="610" spans="27:31" x14ac:dyDescent="0.25">
      <c r="AA610" s="160"/>
      <c r="AB610" s="162"/>
      <c r="AC610" s="162"/>
      <c r="AD610" s="162">
        <f t="shared" si="29"/>
        <v>0</v>
      </c>
      <c r="AE610" s="160">
        <v>608</v>
      </c>
    </row>
    <row r="611" spans="27:31" x14ac:dyDescent="0.25">
      <c r="AA611" s="160"/>
      <c r="AB611" s="162"/>
      <c r="AC611" s="162"/>
      <c r="AD611" s="162">
        <f t="shared" si="29"/>
        <v>0</v>
      </c>
      <c r="AE611" s="160">
        <v>609</v>
      </c>
    </row>
    <row r="612" spans="27:31" x14ac:dyDescent="0.25">
      <c r="AA612" s="160"/>
      <c r="AB612" s="162"/>
      <c r="AC612" s="162"/>
      <c r="AD612" s="162">
        <f t="shared" si="29"/>
        <v>0</v>
      </c>
      <c r="AE612" s="160">
        <v>610</v>
      </c>
    </row>
    <row r="613" spans="27:31" x14ac:dyDescent="0.25">
      <c r="AA613" s="160"/>
      <c r="AB613" s="162"/>
      <c r="AC613" s="162"/>
      <c r="AD613" s="162">
        <f t="shared" si="29"/>
        <v>0</v>
      </c>
      <c r="AE613" s="160">
        <v>611</v>
      </c>
    </row>
    <row r="614" spans="27:31" x14ac:dyDescent="0.25">
      <c r="AA614" s="160"/>
      <c r="AB614" s="162"/>
      <c r="AC614" s="162"/>
      <c r="AD614" s="162">
        <f t="shared" si="29"/>
        <v>0</v>
      </c>
      <c r="AE614" s="160">
        <v>612</v>
      </c>
    </row>
    <row r="615" spans="27:31" x14ac:dyDescent="0.25">
      <c r="AA615" s="160"/>
      <c r="AB615" s="162"/>
      <c r="AC615" s="162"/>
      <c r="AD615" s="162">
        <f t="shared" si="29"/>
        <v>0</v>
      </c>
      <c r="AE615" s="160">
        <v>613</v>
      </c>
    </row>
    <row r="616" spans="27:31" x14ac:dyDescent="0.25">
      <c r="AA616" s="160"/>
      <c r="AB616" s="162"/>
      <c r="AC616" s="162"/>
      <c r="AD616" s="162">
        <f t="shared" si="29"/>
        <v>0</v>
      </c>
      <c r="AE616" s="160">
        <v>614</v>
      </c>
    </row>
    <row r="617" spans="27:31" x14ac:dyDescent="0.25">
      <c r="AA617" s="160"/>
      <c r="AB617" s="162"/>
      <c r="AC617" s="162"/>
      <c r="AD617" s="162">
        <f t="shared" si="29"/>
        <v>0</v>
      </c>
      <c r="AE617" s="160">
        <v>615</v>
      </c>
    </row>
    <row r="618" spans="27:31" x14ac:dyDescent="0.25">
      <c r="AA618" s="160"/>
      <c r="AB618" s="162"/>
      <c r="AC618" s="162"/>
      <c r="AD618" s="162">
        <f t="shared" si="29"/>
        <v>0</v>
      </c>
      <c r="AE618" s="160">
        <v>616</v>
      </c>
    </row>
    <row r="619" spans="27:31" x14ac:dyDescent="0.25">
      <c r="AA619" s="160"/>
      <c r="AB619" s="162"/>
      <c r="AC619" s="162"/>
      <c r="AD619" s="162">
        <f t="shared" si="29"/>
        <v>0</v>
      </c>
      <c r="AE619" s="160">
        <v>617</v>
      </c>
    </row>
    <row r="620" spans="27:31" x14ac:dyDescent="0.25">
      <c r="AA620" s="160"/>
      <c r="AB620" s="162"/>
      <c r="AC620" s="162"/>
      <c r="AD620" s="162">
        <f t="shared" si="29"/>
        <v>0</v>
      </c>
      <c r="AE620" s="160">
        <v>618</v>
      </c>
    </row>
    <row r="621" spans="27:31" x14ac:dyDescent="0.25">
      <c r="AA621" s="160"/>
      <c r="AB621" s="162"/>
      <c r="AC621" s="162"/>
      <c r="AD621" s="162">
        <f t="shared" si="29"/>
        <v>0</v>
      </c>
      <c r="AE621" s="160">
        <v>619</v>
      </c>
    </row>
    <row r="622" spans="27:31" x14ac:dyDescent="0.25">
      <c r="AA622" s="160"/>
      <c r="AB622" s="162"/>
      <c r="AC622" s="162"/>
      <c r="AD622" s="162">
        <f t="shared" si="29"/>
        <v>0</v>
      </c>
      <c r="AE622" s="160">
        <v>620</v>
      </c>
    </row>
    <row r="623" spans="27:31" x14ac:dyDescent="0.25">
      <c r="AA623" s="160"/>
      <c r="AB623" s="162"/>
      <c r="AC623" s="162"/>
      <c r="AD623" s="162">
        <f t="shared" si="29"/>
        <v>0</v>
      </c>
      <c r="AE623" s="160">
        <v>621</v>
      </c>
    </row>
    <row r="624" spans="27:31" x14ac:dyDescent="0.25">
      <c r="AA624" s="160"/>
      <c r="AB624" s="162"/>
      <c r="AC624" s="162"/>
      <c r="AD624" s="162">
        <f t="shared" si="29"/>
        <v>0</v>
      </c>
      <c r="AE624" s="160">
        <v>622</v>
      </c>
    </row>
    <row r="625" spans="27:31" x14ac:dyDescent="0.25">
      <c r="AA625" s="160"/>
      <c r="AB625" s="162"/>
      <c r="AC625" s="162"/>
      <c r="AD625" s="162">
        <f t="shared" si="29"/>
        <v>0</v>
      </c>
      <c r="AE625" s="160">
        <v>623</v>
      </c>
    </row>
    <row r="626" spans="27:31" x14ac:dyDescent="0.25">
      <c r="AA626" s="160"/>
      <c r="AB626" s="162"/>
      <c r="AC626" s="162"/>
      <c r="AD626" s="162">
        <f t="shared" si="29"/>
        <v>0</v>
      </c>
      <c r="AE626" s="160">
        <v>624</v>
      </c>
    </row>
    <row r="627" spans="27:31" x14ac:dyDescent="0.25">
      <c r="AA627" s="160"/>
      <c r="AB627" s="162"/>
      <c r="AC627" s="162"/>
      <c r="AD627" s="162">
        <f t="shared" si="29"/>
        <v>0</v>
      </c>
      <c r="AE627" s="160">
        <v>625</v>
      </c>
    </row>
    <row r="628" spans="27:31" x14ac:dyDescent="0.25">
      <c r="AA628" s="160"/>
      <c r="AB628" s="162"/>
      <c r="AC628" s="162"/>
      <c r="AD628" s="162">
        <f t="shared" si="29"/>
        <v>0</v>
      </c>
      <c r="AE628" s="160">
        <v>626</v>
      </c>
    </row>
    <row r="629" spans="27:31" x14ac:dyDescent="0.25">
      <c r="AA629" s="160"/>
      <c r="AB629" s="162"/>
      <c r="AC629" s="162"/>
      <c r="AD629" s="162">
        <f t="shared" si="29"/>
        <v>0</v>
      </c>
      <c r="AE629" s="160">
        <v>627</v>
      </c>
    </row>
    <row r="630" spans="27:31" x14ac:dyDescent="0.25">
      <c r="AA630" s="160"/>
      <c r="AB630" s="162"/>
      <c r="AC630" s="162"/>
      <c r="AD630" s="162">
        <f t="shared" si="29"/>
        <v>0</v>
      </c>
      <c r="AE630" s="160">
        <v>628</v>
      </c>
    </row>
    <row r="631" spans="27:31" x14ac:dyDescent="0.25">
      <c r="AA631" s="160"/>
      <c r="AB631" s="162"/>
      <c r="AC631" s="162"/>
      <c r="AD631" s="162">
        <f t="shared" si="29"/>
        <v>0</v>
      </c>
      <c r="AE631" s="160">
        <v>629</v>
      </c>
    </row>
    <row r="632" spans="27:31" x14ac:dyDescent="0.25">
      <c r="AA632" s="160"/>
      <c r="AB632" s="162"/>
      <c r="AC632" s="162"/>
      <c r="AD632" s="162">
        <f t="shared" si="29"/>
        <v>0</v>
      </c>
      <c r="AE632" s="160">
        <v>630</v>
      </c>
    </row>
    <row r="633" spans="27:31" x14ac:dyDescent="0.25">
      <c r="AA633" s="160"/>
      <c r="AB633" s="162"/>
      <c r="AC633" s="162"/>
      <c r="AD633" s="162">
        <f t="shared" si="29"/>
        <v>0</v>
      </c>
      <c r="AE633" s="160">
        <v>631</v>
      </c>
    </row>
    <row r="634" spans="27:31" x14ac:dyDescent="0.25">
      <c r="AA634" s="160"/>
      <c r="AB634" s="162"/>
      <c r="AC634" s="162"/>
      <c r="AD634" s="162">
        <f t="shared" si="29"/>
        <v>0</v>
      </c>
      <c r="AE634" s="160">
        <v>632</v>
      </c>
    </row>
    <row r="635" spans="27:31" x14ac:dyDescent="0.25">
      <c r="AA635" s="160"/>
      <c r="AB635" s="162"/>
      <c r="AC635" s="162"/>
      <c r="AD635" s="162">
        <f t="shared" si="29"/>
        <v>0</v>
      </c>
      <c r="AE635" s="160">
        <v>633</v>
      </c>
    </row>
    <row r="636" spans="27:31" x14ac:dyDescent="0.25">
      <c r="AA636" s="160"/>
      <c r="AB636" s="162"/>
      <c r="AC636" s="162"/>
      <c r="AD636" s="162">
        <f t="shared" si="29"/>
        <v>0</v>
      </c>
      <c r="AE636" s="160">
        <v>634</v>
      </c>
    </row>
    <row r="637" spans="27:31" x14ac:dyDescent="0.25">
      <c r="AA637" s="160"/>
      <c r="AB637" s="162"/>
      <c r="AC637" s="162"/>
      <c r="AD637" s="162">
        <f t="shared" si="29"/>
        <v>0</v>
      </c>
      <c r="AE637" s="160">
        <v>635</v>
      </c>
    </row>
    <row r="638" spans="27:31" x14ac:dyDescent="0.25">
      <c r="AA638" s="160"/>
      <c r="AB638" s="162"/>
      <c r="AC638" s="162"/>
      <c r="AD638" s="162">
        <f t="shared" si="29"/>
        <v>0</v>
      </c>
      <c r="AE638" s="160">
        <v>636</v>
      </c>
    </row>
    <row r="639" spans="27:31" x14ac:dyDescent="0.25">
      <c r="AA639" s="160"/>
      <c r="AB639" s="162"/>
      <c r="AC639" s="162"/>
      <c r="AD639" s="162">
        <f t="shared" si="29"/>
        <v>0</v>
      </c>
      <c r="AE639" s="160">
        <v>637</v>
      </c>
    </row>
    <row r="640" spans="27:31" x14ac:dyDescent="0.25">
      <c r="AA640" s="160"/>
      <c r="AB640" s="162"/>
      <c r="AC640" s="162"/>
      <c r="AD640" s="162">
        <f t="shared" si="29"/>
        <v>0</v>
      </c>
      <c r="AE640" s="160">
        <v>638</v>
      </c>
    </row>
    <row r="641" spans="27:31" x14ac:dyDescent="0.25">
      <c r="AA641" s="160"/>
      <c r="AB641" s="162"/>
      <c r="AC641" s="162"/>
      <c r="AD641" s="162">
        <f t="shared" si="29"/>
        <v>0</v>
      </c>
      <c r="AE641" s="160">
        <v>639</v>
      </c>
    </row>
    <row r="642" spans="27:31" x14ac:dyDescent="0.25">
      <c r="AA642" s="160"/>
      <c r="AB642" s="162"/>
      <c r="AC642" s="162"/>
      <c r="AD642" s="162">
        <f t="shared" si="29"/>
        <v>0</v>
      </c>
      <c r="AE642" s="160">
        <v>640</v>
      </c>
    </row>
    <row r="643" spans="27:31" x14ac:dyDescent="0.25">
      <c r="AA643" s="160"/>
      <c r="AB643" s="162"/>
      <c r="AC643" s="162"/>
      <c r="AD643" s="162">
        <f t="shared" si="29"/>
        <v>0</v>
      </c>
      <c r="AE643" s="160">
        <v>641</v>
      </c>
    </row>
    <row r="644" spans="27:31" x14ac:dyDescent="0.25">
      <c r="AA644" s="160"/>
      <c r="AB644" s="162"/>
      <c r="AC644" s="162"/>
      <c r="AD644" s="162">
        <f t="shared" ref="AD644:AD707" si="30">AB644+AC644</f>
        <v>0</v>
      </c>
      <c r="AE644" s="160">
        <v>642</v>
      </c>
    </row>
    <row r="645" spans="27:31" x14ac:dyDescent="0.25">
      <c r="AA645" s="160"/>
      <c r="AB645" s="162"/>
      <c r="AC645" s="162"/>
      <c r="AD645" s="162">
        <f t="shared" si="30"/>
        <v>0</v>
      </c>
      <c r="AE645" s="160">
        <v>643</v>
      </c>
    </row>
    <row r="646" spans="27:31" x14ac:dyDescent="0.25">
      <c r="AA646" s="160"/>
      <c r="AB646" s="162"/>
      <c r="AC646" s="162"/>
      <c r="AD646" s="162">
        <f t="shared" si="30"/>
        <v>0</v>
      </c>
      <c r="AE646" s="160">
        <v>644</v>
      </c>
    </row>
    <row r="647" spans="27:31" x14ac:dyDescent="0.25">
      <c r="AA647" s="160"/>
      <c r="AB647" s="162"/>
      <c r="AC647" s="162"/>
      <c r="AD647" s="162">
        <f t="shared" si="30"/>
        <v>0</v>
      </c>
      <c r="AE647" s="160">
        <v>645</v>
      </c>
    </row>
    <row r="648" spans="27:31" x14ac:dyDescent="0.25">
      <c r="AA648" s="160"/>
      <c r="AB648" s="162"/>
      <c r="AC648" s="162"/>
      <c r="AD648" s="162">
        <f t="shared" si="30"/>
        <v>0</v>
      </c>
      <c r="AE648" s="160">
        <v>646</v>
      </c>
    </row>
    <row r="649" spans="27:31" x14ac:dyDescent="0.25">
      <c r="AA649" s="160"/>
      <c r="AB649" s="162"/>
      <c r="AC649" s="162"/>
      <c r="AD649" s="162">
        <f t="shared" si="30"/>
        <v>0</v>
      </c>
      <c r="AE649" s="160">
        <v>647</v>
      </c>
    </row>
    <row r="650" spans="27:31" x14ac:dyDescent="0.25">
      <c r="AA650" s="160"/>
      <c r="AB650" s="162"/>
      <c r="AC650" s="162"/>
      <c r="AD650" s="162">
        <f t="shared" si="30"/>
        <v>0</v>
      </c>
      <c r="AE650" s="160">
        <v>648</v>
      </c>
    </row>
    <row r="651" spans="27:31" x14ac:dyDescent="0.25">
      <c r="AA651" s="160"/>
      <c r="AB651" s="162"/>
      <c r="AC651" s="162"/>
      <c r="AD651" s="162">
        <f t="shared" si="30"/>
        <v>0</v>
      </c>
      <c r="AE651" s="160">
        <v>649</v>
      </c>
    </row>
    <row r="652" spans="27:31" x14ac:dyDescent="0.25">
      <c r="AA652" s="160"/>
      <c r="AB652" s="162"/>
      <c r="AC652" s="162"/>
      <c r="AD652" s="162">
        <f t="shared" si="30"/>
        <v>0</v>
      </c>
      <c r="AE652" s="160">
        <v>650</v>
      </c>
    </row>
    <row r="653" spans="27:31" x14ac:dyDescent="0.25">
      <c r="AA653" s="160"/>
      <c r="AB653" s="162"/>
      <c r="AC653" s="162"/>
      <c r="AD653" s="162">
        <f t="shared" si="30"/>
        <v>0</v>
      </c>
      <c r="AE653" s="160">
        <v>651</v>
      </c>
    </row>
    <row r="654" spans="27:31" x14ac:dyDescent="0.25">
      <c r="AA654" s="160"/>
      <c r="AB654" s="162"/>
      <c r="AC654" s="162"/>
      <c r="AD654" s="162">
        <f t="shared" si="30"/>
        <v>0</v>
      </c>
      <c r="AE654" s="160">
        <v>652</v>
      </c>
    </row>
    <row r="655" spans="27:31" x14ac:dyDescent="0.25">
      <c r="AA655" s="160"/>
      <c r="AB655" s="162"/>
      <c r="AC655" s="162"/>
      <c r="AD655" s="162">
        <f t="shared" si="30"/>
        <v>0</v>
      </c>
      <c r="AE655" s="160">
        <v>653</v>
      </c>
    </row>
    <row r="656" spans="27:31" x14ac:dyDescent="0.25">
      <c r="AA656" s="160"/>
      <c r="AB656" s="162"/>
      <c r="AC656" s="162"/>
      <c r="AD656" s="162">
        <f t="shared" si="30"/>
        <v>0</v>
      </c>
      <c r="AE656" s="160">
        <v>654</v>
      </c>
    </row>
    <row r="657" spans="27:31" x14ac:dyDescent="0.25">
      <c r="AA657" s="160"/>
      <c r="AB657" s="162"/>
      <c r="AC657" s="162"/>
      <c r="AD657" s="162">
        <f t="shared" si="30"/>
        <v>0</v>
      </c>
      <c r="AE657" s="160">
        <v>655</v>
      </c>
    </row>
    <row r="658" spans="27:31" x14ac:dyDescent="0.25">
      <c r="AA658" s="160"/>
      <c r="AB658" s="162"/>
      <c r="AC658" s="162"/>
      <c r="AD658" s="162">
        <f t="shared" si="30"/>
        <v>0</v>
      </c>
      <c r="AE658" s="160">
        <v>656</v>
      </c>
    </row>
    <row r="659" spans="27:31" x14ac:dyDescent="0.25">
      <c r="AA659" s="160"/>
      <c r="AB659" s="162"/>
      <c r="AC659" s="162"/>
      <c r="AD659" s="162">
        <f t="shared" si="30"/>
        <v>0</v>
      </c>
      <c r="AE659" s="160">
        <v>657</v>
      </c>
    </row>
    <row r="660" spans="27:31" x14ac:dyDescent="0.25">
      <c r="AA660" s="160"/>
      <c r="AB660" s="162"/>
      <c r="AC660" s="162"/>
      <c r="AD660" s="162">
        <f t="shared" si="30"/>
        <v>0</v>
      </c>
      <c r="AE660" s="160">
        <v>658</v>
      </c>
    </row>
    <row r="661" spans="27:31" x14ac:dyDescent="0.25">
      <c r="AA661" s="160"/>
      <c r="AB661" s="162"/>
      <c r="AC661" s="162"/>
      <c r="AD661" s="162">
        <f t="shared" si="30"/>
        <v>0</v>
      </c>
      <c r="AE661" s="160">
        <v>659</v>
      </c>
    </row>
    <row r="662" spans="27:31" x14ac:dyDescent="0.25">
      <c r="AA662" s="160"/>
      <c r="AB662" s="162"/>
      <c r="AC662" s="162"/>
      <c r="AD662" s="162">
        <f t="shared" si="30"/>
        <v>0</v>
      </c>
      <c r="AE662" s="160">
        <v>660</v>
      </c>
    </row>
    <row r="663" spans="27:31" x14ac:dyDescent="0.25">
      <c r="AA663" s="160"/>
      <c r="AB663" s="162"/>
      <c r="AC663" s="162"/>
      <c r="AD663" s="162">
        <f t="shared" si="30"/>
        <v>0</v>
      </c>
      <c r="AE663" s="160">
        <v>661</v>
      </c>
    </row>
    <row r="664" spans="27:31" x14ac:dyDescent="0.25">
      <c r="AA664" s="160"/>
      <c r="AB664" s="162"/>
      <c r="AC664" s="162"/>
      <c r="AD664" s="162">
        <f t="shared" si="30"/>
        <v>0</v>
      </c>
      <c r="AE664" s="160">
        <v>662</v>
      </c>
    </row>
    <row r="665" spans="27:31" x14ac:dyDescent="0.25">
      <c r="AA665" s="160"/>
      <c r="AB665" s="162"/>
      <c r="AC665" s="162"/>
      <c r="AD665" s="162">
        <f t="shared" si="30"/>
        <v>0</v>
      </c>
      <c r="AE665" s="160">
        <v>663</v>
      </c>
    </row>
    <row r="666" spans="27:31" x14ac:dyDescent="0.25">
      <c r="AA666" s="160"/>
      <c r="AB666" s="162"/>
      <c r="AC666" s="162"/>
      <c r="AD666" s="162">
        <f t="shared" si="30"/>
        <v>0</v>
      </c>
      <c r="AE666" s="160">
        <v>664</v>
      </c>
    </row>
    <row r="667" spans="27:31" x14ac:dyDescent="0.25">
      <c r="AA667" s="160"/>
      <c r="AB667" s="162"/>
      <c r="AC667" s="162"/>
      <c r="AD667" s="162">
        <f t="shared" si="30"/>
        <v>0</v>
      </c>
      <c r="AE667" s="160">
        <v>665</v>
      </c>
    </row>
    <row r="668" spans="27:31" x14ac:dyDescent="0.25">
      <c r="AA668" s="160"/>
      <c r="AB668" s="162"/>
      <c r="AC668" s="162"/>
      <c r="AD668" s="162">
        <f t="shared" si="30"/>
        <v>0</v>
      </c>
      <c r="AE668" s="160">
        <v>666</v>
      </c>
    </row>
    <row r="669" spans="27:31" x14ac:dyDescent="0.25">
      <c r="AA669" s="160"/>
      <c r="AB669" s="162"/>
      <c r="AC669" s="162"/>
      <c r="AD669" s="162">
        <f t="shared" si="30"/>
        <v>0</v>
      </c>
      <c r="AE669" s="160">
        <v>667</v>
      </c>
    </row>
    <row r="670" spans="27:31" x14ac:dyDescent="0.25">
      <c r="AA670" s="160"/>
      <c r="AB670" s="162"/>
      <c r="AC670" s="162"/>
      <c r="AD670" s="162">
        <f t="shared" si="30"/>
        <v>0</v>
      </c>
      <c r="AE670" s="160">
        <v>668</v>
      </c>
    </row>
    <row r="671" spans="27:31" x14ac:dyDescent="0.25">
      <c r="AA671" s="160"/>
      <c r="AB671" s="162"/>
      <c r="AC671" s="162"/>
      <c r="AD671" s="162">
        <f t="shared" si="30"/>
        <v>0</v>
      </c>
      <c r="AE671" s="160">
        <v>669</v>
      </c>
    </row>
    <row r="672" spans="27:31" x14ac:dyDescent="0.25">
      <c r="AA672" s="160"/>
      <c r="AB672" s="162"/>
      <c r="AC672" s="162"/>
      <c r="AD672" s="162">
        <f t="shared" si="30"/>
        <v>0</v>
      </c>
      <c r="AE672" s="160">
        <v>670</v>
      </c>
    </row>
    <row r="673" spans="27:31" x14ac:dyDescent="0.25">
      <c r="AA673" s="160"/>
      <c r="AB673" s="162"/>
      <c r="AC673" s="162"/>
      <c r="AD673" s="162">
        <f t="shared" si="30"/>
        <v>0</v>
      </c>
      <c r="AE673" s="160">
        <v>671</v>
      </c>
    </row>
    <row r="674" spans="27:31" x14ac:dyDescent="0.25">
      <c r="AA674" s="160"/>
      <c r="AB674" s="162"/>
      <c r="AC674" s="162"/>
      <c r="AD674" s="162">
        <f t="shared" si="30"/>
        <v>0</v>
      </c>
      <c r="AE674" s="160">
        <v>672</v>
      </c>
    </row>
    <row r="675" spans="27:31" x14ac:dyDescent="0.25">
      <c r="AA675" s="160"/>
      <c r="AB675" s="162"/>
      <c r="AC675" s="162"/>
      <c r="AD675" s="162">
        <f t="shared" si="30"/>
        <v>0</v>
      </c>
      <c r="AE675" s="160">
        <v>673</v>
      </c>
    </row>
    <row r="676" spans="27:31" x14ac:dyDescent="0.25">
      <c r="AA676" s="160"/>
      <c r="AB676" s="162"/>
      <c r="AC676" s="162"/>
      <c r="AD676" s="162">
        <f t="shared" si="30"/>
        <v>0</v>
      </c>
      <c r="AE676" s="160">
        <v>674</v>
      </c>
    </row>
    <row r="677" spans="27:31" x14ac:dyDescent="0.25">
      <c r="AA677" s="160"/>
      <c r="AB677" s="162"/>
      <c r="AC677" s="162"/>
      <c r="AD677" s="162">
        <f t="shared" si="30"/>
        <v>0</v>
      </c>
      <c r="AE677" s="160">
        <v>675</v>
      </c>
    </row>
    <row r="678" spans="27:31" x14ac:dyDescent="0.25">
      <c r="AA678" s="160"/>
      <c r="AB678" s="162"/>
      <c r="AC678" s="162"/>
      <c r="AD678" s="162">
        <f t="shared" si="30"/>
        <v>0</v>
      </c>
      <c r="AE678" s="160">
        <v>676</v>
      </c>
    </row>
    <row r="679" spans="27:31" x14ac:dyDescent="0.25">
      <c r="AA679" s="160"/>
      <c r="AB679" s="162"/>
      <c r="AC679" s="162"/>
      <c r="AD679" s="162">
        <f t="shared" si="30"/>
        <v>0</v>
      </c>
      <c r="AE679" s="160">
        <v>677</v>
      </c>
    </row>
    <row r="680" spans="27:31" x14ac:dyDescent="0.25">
      <c r="AA680" s="160"/>
      <c r="AB680" s="162"/>
      <c r="AC680" s="162"/>
      <c r="AD680" s="162">
        <f t="shared" si="30"/>
        <v>0</v>
      </c>
      <c r="AE680" s="160">
        <v>678</v>
      </c>
    </row>
    <row r="681" spans="27:31" x14ac:dyDescent="0.25">
      <c r="AA681" s="160"/>
      <c r="AB681" s="162"/>
      <c r="AC681" s="162"/>
      <c r="AD681" s="162">
        <f t="shared" si="30"/>
        <v>0</v>
      </c>
      <c r="AE681" s="160">
        <v>679</v>
      </c>
    </row>
    <row r="682" spans="27:31" x14ac:dyDescent="0.25">
      <c r="AA682" s="160"/>
      <c r="AB682" s="162"/>
      <c r="AC682" s="162"/>
      <c r="AD682" s="162">
        <f t="shared" si="30"/>
        <v>0</v>
      </c>
      <c r="AE682" s="160">
        <v>680</v>
      </c>
    </row>
    <row r="683" spans="27:31" x14ac:dyDescent="0.25">
      <c r="AA683" s="160"/>
      <c r="AB683" s="162"/>
      <c r="AC683" s="162"/>
      <c r="AD683" s="162">
        <f t="shared" si="30"/>
        <v>0</v>
      </c>
      <c r="AE683" s="160">
        <v>681</v>
      </c>
    </row>
    <row r="684" spans="27:31" x14ac:dyDescent="0.25">
      <c r="AA684" s="160"/>
      <c r="AB684" s="162"/>
      <c r="AC684" s="162"/>
      <c r="AD684" s="162">
        <f t="shared" si="30"/>
        <v>0</v>
      </c>
      <c r="AE684" s="160">
        <v>682</v>
      </c>
    </row>
    <row r="685" spans="27:31" x14ac:dyDescent="0.25">
      <c r="AA685" s="160"/>
      <c r="AB685" s="162"/>
      <c r="AC685" s="162"/>
      <c r="AD685" s="162">
        <f t="shared" si="30"/>
        <v>0</v>
      </c>
      <c r="AE685" s="160">
        <v>683</v>
      </c>
    </row>
    <row r="686" spans="27:31" x14ac:dyDescent="0.25">
      <c r="AA686" s="160"/>
      <c r="AB686" s="162"/>
      <c r="AC686" s="162"/>
      <c r="AD686" s="162">
        <f t="shared" si="30"/>
        <v>0</v>
      </c>
      <c r="AE686" s="160">
        <v>684</v>
      </c>
    </row>
    <row r="687" spans="27:31" x14ac:dyDescent="0.25">
      <c r="AA687" s="160"/>
      <c r="AB687" s="162"/>
      <c r="AC687" s="162"/>
      <c r="AD687" s="162">
        <f t="shared" si="30"/>
        <v>0</v>
      </c>
      <c r="AE687" s="160">
        <v>685</v>
      </c>
    </row>
    <row r="688" spans="27:31" x14ac:dyDescent="0.25">
      <c r="AA688" s="160"/>
      <c r="AB688" s="162"/>
      <c r="AC688" s="162"/>
      <c r="AD688" s="162">
        <f t="shared" si="30"/>
        <v>0</v>
      </c>
      <c r="AE688" s="160">
        <v>686</v>
      </c>
    </row>
    <row r="689" spans="27:31" x14ac:dyDescent="0.25">
      <c r="AA689" s="160"/>
      <c r="AB689" s="162"/>
      <c r="AC689" s="162"/>
      <c r="AD689" s="162">
        <f t="shared" si="30"/>
        <v>0</v>
      </c>
      <c r="AE689" s="160">
        <v>687</v>
      </c>
    </row>
    <row r="690" spans="27:31" x14ac:dyDescent="0.25">
      <c r="AA690" s="160"/>
      <c r="AB690" s="162"/>
      <c r="AC690" s="162"/>
      <c r="AD690" s="162">
        <f t="shared" si="30"/>
        <v>0</v>
      </c>
      <c r="AE690" s="160">
        <v>688</v>
      </c>
    </row>
    <row r="691" spans="27:31" x14ac:dyDescent="0.25">
      <c r="AA691" s="160"/>
      <c r="AB691" s="162"/>
      <c r="AC691" s="162"/>
      <c r="AD691" s="162">
        <f t="shared" si="30"/>
        <v>0</v>
      </c>
      <c r="AE691" s="160">
        <v>689</v>
      </c>
    </row>
    <row r="692" spans="27:31" x14ac:dyDescent="0.25">
      <c r="AA692" s="160"/>
      <c r="AB692" s="162"/>
      <c r="AC692" s="162"/>
      <c r="AD692" s="162">
        <f t="shared" si="30"/>
        <v>0</v>
      </c>
      <c r="AE692" s="160">
        <v>690</v>
      </c>
    </row>
    <row r="693" spans="27:31" x14ac:dyDescent="0.25">
      <c r="AA693" s="160"/>
      <c r="AB693" s="162"/>
      <c r="AC693" s="162"/>
      <c r="AD693" s="162">
        <f t="shared" si="30"/>
        <v>0</v>
      </c>
      <c r="AE693" s="160">
        <v>691</v>
      </c>
    </row>
    <row r="694" spans="27:31" x14ac:dyDescent="0.25">
      <c r="AA694" s="160"/>
      <c r="AB694" s="162"/>
      <c r="AC694" s="162"/>
      <c r="AD694" s="162">
        <f t="shared" si="30"/>
        <v>0</v>
      </c>
      <c r="AE694" s="160">
        <v>692</v>
      </c>
    </row>
    <row r="695" spans="27:31" x14ac:dyDescent="0.25">
      <c r="AA695" s="160"/>
      <c r="AB695" s="162"/>
      <c r="AC695" s="162"/>
      <c r="AD695" s="162">
        <f t="shared" si="30"/>
        <v>0</v>
      </c>
      <c r="AE695" s="160">
        <v>693</v>
      </c>
    </row>
    <row r="696" spans="27:31" x14ac:dyDescent="0.25">
      <c r="AA696" s="160"/>
      <c r="AB696" s="162"/>
      <c r="AC696" s="162"/>
      <c r="AD696" s="162">
        <f t="shared" si="30"/>
        <v>0</v>
      </c>
      <c r="AE696" s="160">
        <v>694</v>
      </c>
    </row>
    <row r="697" spans="27:31" x14ac:dyDescent="0.25">
      <c r="AA697" s="160"/>
      <c r="AB697" s="162"/>
      <c r="AC697" s="162"/>
      <c r="AD697" s="162">
        <f t="shared" si="30"/>
        <v>0</v>
      </c>
      <c r="AE697" s="160">
        <v>695</v>
      </c>
    </row>
    <row r="698" spans="27:31" x14ac:dyDescent="0.25">
      <c r="AA698" s="160"/>
      <c r="AB698" s="162"/>
      <c r="AC698" s="162"/>
      <c r="AD698" s="162">
        <f t="shared" si="30"/>
        <v>0</v>
      </c>
      <c r="AE698" s="160">
        <v>696</v>
      </c>
    </row>
    <row r="699" spans="27:31" x14ac:dyDescent="0.25">
      <c r="AA699" s="160"/>
      <c r="AB699" s="162"/>
      <c r="AC699" s="162"/>
      <c r="AD699" s="162">
        <f t="shared" si="30"/>
        <v>0</v>
      </c>
      <c r="AE699" s="160">
        <v>697</v>
      </c>
    </row>
    <row r="700" spans="27:31" x14ac:dyDescent="0.25">
      <c r="AA700" s="160"/>
      <c r="AB700" s="162"/>
      <c r="AC700" s="162"/>
      <c r="AD700" s="162">
        <f t="shared" si="30"/>
        <v>0</v>
      </c>
      <c r="AE700" s="160">
        <v>698</v>
      </c>
    </row>
    <row r="701" spans="27:31" x14ac:dyDescent="0.25">
      <c r="AA701" s="160"/>
      <c r="AB701" s="162"/>
      <c r="AC701" s="162"/>
      <c r="AD701" s="162">
        <f t="shared" si="30"/>
        <v>0</v>
      </c>
      <c r="AE701" s="160">
        <v>699</v>
      </c>
    </row>
    <row r="702" spans="27:31" x14ac:dyDescent="0.25">
      <c r="AA702" s="160"/>
      <c r="AB702" s="162"/>
      <c r="AC702" s="162"/>
      <c r="AD702" s="162">
        <f t="shared" si="30"/>
        <v>0</v>
      </c>
      <c r="AE702" s="160">
        <v>700</v>
      </c>
    </row>
    <row r="703" spans="27:31" x14ac:dyDescent="0.25">
      <c r="AA703" s="160"/>
      <c r="AB703" s="162"/>
      <c r="AC703" s="162"/>
      <c r="AD703" s="162">
        <f t="shared" si="30"/>
        <v>0</v>
      </c>
      <c r="AE703" s="160">
        <v>701</v>
      </c>
    </row>
    <row r="704" spans="27:31" x14ac:dyDescent="0.25">
      <c r="AA704" s="160"/>
      <c r="AB704" s="162"/>
      <c r="AC704" s="162"/>
      <c r="AD704" s="162">
        <f t="shared" si="30"/>
        <v>0</v>
      </c>
      <c r="AE704" s="160">
        <v>702</v>
      </c>
    </row>
    <row r="705" spans="27:31" x14ac:dyDescent="0.25">
      <c r="AA705" s="160"/>
      <c r="AB705" s="162"/>
      <c r="AC705" s="162"/>
      <c r="AD705" s="162">
        <f t="shared" si="30"/>
        <v>0</v>
      </c>
      <c r="AE705" s="160">
        <v>703</v>
      </c>
    </row>
    <row r="706" spans="27:31" x14ac:dyDescent="0.25">
      <c r="AA706" s="160"/>
      <c r="AB706" s="162"/>
      <c r="AC706" s="162"/>
      <c r="AD706" s="162">
        <f t="shared" si="30"/>
        <v>0</v>
      </c>
      <c r="AE706" s="160">
        <v>704</v>
      </c>
    </row>
    <row r="707" spans="27:31" x14ac:dyDescent="0.25">
      <c r="AA707" s="160"/>
      <c r="AB707" s="162"/>
      <c r="AC707" s="162"/>
      <c r="AD707" s="162">
        <f t="shared" si="30"/>
        <v>0</v>
      </c>
      <c r="AE707" s="160">
        <v>705</v>
      </c>
    </row>
    <row r="708" spans="27:31" x14ac:dyDescent="0.25">
      <c r="AA708" s="160"/>
      <c r="AB708" s="162"/>
      <c r="AC708" s="162"/>
      <c r="AD708" s="162">
        <f t="shared" ref="AD708:AD771" si="31">AB708+AC708</f>
        <v>0</v>
      </c>
      <c r="AE708" s="160">
        <v>706</v>
      </c>
    </row>
    <row r="709" spans="27:31" x14ac:dyDescent="0.25">
      <c r="AA709" s="160"/>
      <c r="AB709" s="162"/>
      <c r="AC709" s="162"/>
      <c r="AD709" s="162">
        <f t="shared" si="31"/>
        <v>0</v>
      </c>
      <c r="AE709" s="160">
        <v>707</v>
      </c>
    </row>
    <row r="710" spans="27:31" x14ac:dyDescent="0.25">
      <c r="AA710" s="160"/>
      <c r="AB710" s="162"/>
      <c r="AC710" s="162"/>
      <c r="AD710" s="162">
        <f t="shared" si="31"/>
        <v>0</v>
      </c>
      <c r="AE710" s="160">
        <v>708</v>
      </c>
    </row>
    <row r="711" spans="27:31" x14ac:dyDescent="0.25">
      <c r="AA711" s="160"/>
      <c r="AB711" s="162"/>
      <c r="AC711" s="162"/>
      <c r="AD711" s="162">
        <f t="shared" si="31"/>
        <v>0</v>
      </c>
      <c r="AE711" s="160">
        <v>709</v>
      </c>
    </row>
    <row r="712" spans="27:31" x14ac:dyDescent="0.25">
      <c r="AA712" s="160"/>
      <c r="AB712" s="162"/>
      <c r="AC712" s="162"/>
      <c r="AD712" s="162">
        <f t="shared" si="31"/>
        <v>0</v>
      </c>
      <c r="AE712" s="160">
        <v>710</v>
      </c>
    </row>
    <row r="713" spans="27:31" x14ac:dyDescent="0.25">
      <c r="AA713" s="160"/>
      <c r="AB713" s="162"/>
      <c r="AC713" s="162"/>
      <c r="AD713" s="162">
        <f t="shared" si="31"/>
        <v>0</v>
      </c>
      <c r="AE713" s="160">
        <v>711</v>
      </c>
    </row>
    <row r="714" spans="27:31" x14ac:dyDescent="0.25">
      <c r="AA714" s="160"/>
      <c r="AB714" s="162"/>
      <c r="AC714" s="162"/>
      <c r="AD714" s="162">
        <f t="shared" si="31"/>
        <v>0</v>
      </c>
      <c r="AE714" s="160">
        <v>712</v>
      </c>
    </row>
    <row r="715" spans="27:31" x14ac:dyDescent="0.25">
      <c r="AA715" s="160"/>
      <c r="AB715" s="162"/>
      <c r="AC715" s="162"/>
      <c r="AD715" s="162">
        <f t="shared" si="31"/>
        <v>0</v>
      </c>
      <c r="AE715" s="160">
        <v>713</v>
      </c>
    </row>
    <row r="716" spans="27:31" x14ac:dyDescent="0.25">
      <c r="AA716" s="160"/>
      <c r="AB716" s="162"/>
      <c r="AC716" s="162"/>
      <c r="AD716" s="162">
        <f t="shared" si="31"/>
        <v>0</v>
      </c>
      <c r="AE716" s="160">
        <v>714</v>
      </c>
    </row>
    <row r="717" spans="27:31" x14ac:dyDescent="0.25">
      <c r="AA717" s="160"/>
      <c r="AB717" s="162"/>
      <c r="AC717" s="162"/>
      <c r="AD717" s="162">
        <f t="shared" si="31"/>
        <v>0</v>
      </c>
      <c r="AE717" s="160">
        <v>715</v>
      </c>
    </row>
    <row r="718" spans="27:31" x14ac:dyDescent="0.25">
      <c r="AA718" s="160"/>
      <c r="AB718" s="162"/>
      <c r="AC718" s="162"/>
      <c r="AD718" s="162">
        <f t="shared" si="31"/>
        <v>0</v>
      </c>
      <c r="AE718" s="160">
        <v>716</v>
      </c>
    </row>
    <row r="719" spans="27:31" x14ac:dyDescent="0.25">
      <c r="AA719" s="160"/>
      <c r="AB719" s="162"/>
      <c r="AC719" s="162"/>
      <c r="AD719" s="162">
        <f t="shared" si="31"/>
        <v>0</v>
      </c>
      <c r="AE719" s="160">
        <v>717</v>
      </c>
    </row>
    <row r="720" spans="27:31" x14ac:dyDescent="0.25">
      <c r="AA720" s="160"/>
      <c r="AB720" s="162"/>
      <c r="AC720" s="162"/>
      <c r="AD720" s="162">
        <f t="shared" si="31"/>
        <v>0</v>
      </c>
      <c r="AE720" s="160">
        <v>718</v>
      </c>
    </row>
    <row r="721" spans="27:31" x14ac:dyDescent="0.25">
      <c r="AA721" s="160"/>
      <c r="AB721" s="162"/>
      <c r="AC721" s="162"/>
      <c r="AD721" s="162">
        <f t="shared" si="31"/>
        <v>0</v>
      </c>
      <c r="AE721" s="160">
        <v>719</v>
      </c>
    </row>
    <row r="722" spans="27:31" x14ac:dyDescent="0.25">
      <c r="AA722" s="160"/>
      <c r="AB722" s="162"/>
      <c r="AC722" s="162"/>
      <c r="AD722" s="162">
        <f t="shared" si="31"/>
        <v>0</v>
      </c>
      <c r="AE722" s="160">
        <v>720</v>
      </c>
    </row>
    <row r="723" spans="27:31" x14ac:dyDescent="0.25">
      <c r="AA723" s="160"/>
      <c r="AB723" s="162"/>
      <c r="AC723" s="162"/>
      <c r="AD723" s="162">
        <f t="shared" si="31"/>
        <v>0</v>
      </c>
      <c r="AE723" s="160">
        <v>721</v>
      </c>
    </row>
    <row r="724" spans="27:31" x14ac:dyDescent="0.25">
      <c r="AA724" s="160"/>
      <c r="AB724" s="162"/>
      <c r="AC724" s="162"/>
      <c r="AD724" s="162">
        <f t="shared" si="31"/>
        <v>0</v>
      </c>
      <c r="AE724" s="160">
        <v>722</v>
      </c>
    </row>
    <row r="725" spans="27:31" x14ac:dyDescent="0.25">
      <c r="AA725" s="160"/>
      <c r="AB725" s="162"/>
      <c r="AC725" s="162"/>
      <c r="AD725" s="162">
        <f t="shared" si="31"/>
        <v>0</v>
      </c>
      <c r="AE725" s="160">
        <v>723</v>
      </c>
    </row>
    <row r="726" spans="27:31" x14ac:dyDescent="0.25">
      <c r="AA726" s="160"/>
      <c r="AB726" s="162"/>
      <c r="AC726" s="162"/>
      <c r="AD726" s="162">
        <f t="shared" si="31"/>
        <v>0</v>
      </c>
      <c r="AE726" s="160">
        <v>724</v>
      </c>
    </row>
    <row r="727" spans="27:31" x14ac:dyDescent="0.25">
      <c r="AA727" s="160"/>
      <c r="AB727" s="162"/>
      <c r="AC727" s="162"/>
      <c r="AD727" s="162">
        <f t="shared" si="31"/>
        <v>0</v>
      </c>
      <c r="AE727" s="160">
        <v>725</v>
      </c>
    </row>
    <row r="728" spans="27:31" x14ac:dyDescent="0.25">
      <c r="AA728" s="160"/>
      <c r="AB728" s="162"/>
      <c r="AC728" s="162"/>
      <c r="AD728" s="162">
        <f t="shared" si="31"/>
        <v>0</v>
      </c>
      <c r="AE728" s="160">
        <v>726</v>
      </c>
    </row>
    <row r="729" spans="27:31" x14ac:dyDescent="0.25">
      <c r="AA729" s="160"/>
      <c r="AB729" s="162"/>
      <c r="AC729" s="162"/>
      <c r="AD729" s="162">
        <f t="shared" si="31"/>
        <v>0</v>
      </c>
      <c r="AE729" s="160">
        <v>727</v>
      </c>
    </row>
    <row r="730" spans="27:31" x14ac:dyDescent="0.25">
      <c r="AA730" s="160"/>
      <c r="AB730" s="162"/>
      <c r="AC730" s="162"/>
      <c r="AD730" s="162">
        <f t="shared" si="31"/>
        <v>0</v>
      </c>
      <c r="AE730" s="160">
        <v>728</v>
      </c>
    </row>
    <row r="731" spans="27:31" x14ac:dyDescent="0.25">
      <c r="AA731" s="160"/>
      <c r="AB731" s="162"/>
      <c r="AC731" s="162"/>
      <c r="AD731" s="162">
        <f t="shared" si="31"/>
        <v>0</v>
      </c>
      <c r="AE731" s="160">
        <v>729</v>
      </c>
    </row>
    <row r="732" spans="27:31" x14ac:dyDescent="0.25">
      <c r="AA732" s="160"/>
      <c r="AB732" s="162"/>
      <c r="AC732" s="162"/>
      <c r="AD732" s="162">
        <f t="shared" si="31"/>
        <v>0</v>
      </c>
      <c r="AE732" s="160">
        <v>730</v>
      </c>
    </row>
    <row r="733" spans="27:31" x14ac:dyDescent="0.25">
      <c r="AA733" s="160"/>
      <c r="AB733" s="162"/>
      <c r="AC733" s="162"/>
      <c r="AD733" s="162">
        <f t="shared" si="31"/>
        <v>0</v>
      </c>
      <c r="AE733" s="160">
        <v>731</v>
      </c>
    </row>
    <row r="734" spans="27:31" x14ac:dyDescent="0.25">
      <c r="AA734" s="160"/>
      <c r="AB734" s="162"/>
      <c r="AC734" s="162"/>
      <c r="AD734" s="162">
        <f t="shared" si="31"/>
        <v>0</v>
      </c>
      <c r="AE734" s="160">
        <v>732</v>
      </c>
    </row>
    <row r="735" spans="27:31" x14ac:dyDescent="0.25">
      <c r="AA735" s="160"/>
      <c r="AB735" s="162"/>
      <c r="AC735" s="162"/>
      <c r="AD735" s="162">
        <f t="shared" si="31"/>
        <v>0</v>
      </c>
      <c r="AE735" s="160">
        <v>733</v>
      </c>
    </row>
    <row r="736" spans="27:31" x14ac:dyDescent="0.25">
      <c r="AA736" s="160"/>
      <c r="AB736" s="162"/>
      <c r="AC736" s="162"/>
      <c r="AD736" s="162">
        <f t="shared" si="31"/>
        <v>0</v>
      </c>
      <c r="AE736" s="160">
        <v>734</v>
      </c>
    </row>
    <row r="737" spans="27:31" x14ac:dyDescent="0.25">
      <c r="AA737" s="160"/>
      <c r="AB737" s="162"/>
      <c r="AC737" s="162"/>
      <c r="AD737" s="162">
        <f t="shared" si="31"/>
        <v>0</v>
      </c>
      <c r="AE737" s="160">
        <v>735</v>
      </c>
    </row>
    <row r="738" spans="27:31" x14ac:dyDescent="0.25">
      <c r="AA738" s="160"/>
      <c r="AB738" s="162"/>
      <c r="AC738" s="162"/>
      <c r="AD738" s="162">
        <f t="shared" si="31"/>
        <v>0</v>
      </c>
      <c r="AE738" s="160">
        <v>736</v>
      </c>
    </row>
    <row r="739" spans="27:31" x14ac:dyDescent="0.25">
      <c r="AA739" s="160"/>
      <c r="AB739" s="162"/>
      <c r="AC739" s="162"/>
      <c r="AD739" s="162">
        <f t="shared" si="31"/>
        <v>0</v>
      </c>
      <c r="AE739" s="160">
        <v>737</v>
      </c>
    </row>
    <row r="740" spans="27:31" x14ac:dyDescent="0.25">
      <c r="AA740" s="160"/>
      <c r="AB740" s="162"/>
      <c r="AC740" s="162"/>
      <c r="AD740" s="162">
        <f t="shared" si="31"/>
        <v>0</v>
      </c>
      <c r="AE740" s="160">
        <v>738</v>
      </c>
    </row>
    <row r="741" spans="27:31" x14ac:dyDescent="0.25">
      <c r="AA741" s="160"/>
      <c r="AB741" s="162"/>
      <c r="AC741" s="162"/>
      <c r="AD741" s="162">
        <f t="shared" si="31"/>
        <v>0</v>
      </c>
      <c r="AE741" s="160">
        <v>739</v>
      </c>
    </row>
    <row r="742" spans="27:31" x14ac:dyDescent="0.25">
      <c r="AA742" s="160"/>
      <c r="AB742" s="162"/>
      <c r="AC742" s="162"/>
      <c r="AD742" s="162">
        <f t="shared" si="31"/>
        <v>0</v>
      </c>
      <c r="AE742" s="160">
        <v>740</v>
      </c>
    </row>
    <row r="743" spans="27:31" x14ac:dyDescent="0.25">
      <c r="AA743" s="160"/>
      <c r="AB743" s="162"/>
      <c r="AC743" s="162"/>
      <c r="AD743" s="162">
        <f t="shared" si="31"/>
        <v>0</v>
      </c>
      <c r="AE743" s="160">
        <v>741</v>
      </c>
    </row>
    <row r="744" spans="27:31" x14ac:dyDescent="0.25">
      <c r="AA744" s="160"/>
      <c r="AB744" s="162"/>
      <c r="AC744" s="162"/>
      <c r="AD744" s="162">
        <f t="shared" si="31"/>
        <v>0</v>
      </c>
      <c r="AE744" s="160">
        <v>742</v>
      </c>
    </row>
    <row r="745" spans="27:31" x14ac:dyDescent="0.25">
      <c r="AA745" s="160"/>
      <c r="AB745" s="162"/>
      <c r="AC745" s="162"/>
      <c r="AD745" s="162">
        <f t="shared" si="31"/>
        <v>0</v>
      </c>
      <c r="AE745" s="160">
        <v>743</v>
      </c>
    </row>
    <row r="746" spans="27:31" x14ac:dyDescent="0.25">
      <c r="AA746" s="160"/>
      <c r="AB746" s="162"/>
      <c r="AC746" s="162"/>
      <c r="AD746" s="162">
        <f t="shared" si="31"/>
        <v>0</v>
      </c>
      <c r="AE746" s="160">
        <v>744</v>
      </c>
    </row>
    <row r="747" spans="27:31" x14ac:dyDescent="0.25">
      <c r="AA747" s="160"/>
      <c r="AB747" s="162"/>
      <c r="AC747" s="162"/>
      <c r="AD747" s="162">
        <f t="shared" si="31"/>
        <v>0</v>
      </c>
      <c r="AE747" s="160">
        <v>745</v>
      </c>
    </row>
    <row r="748" spans="27:31" x14ac:dyDescent="0.25">
      <c r="AA748" s="160"/>
      <c r="AB748" s="162"/>
      <c r="AC748" s="162"/>
      <c r="AD748" s="162">
        <f t="shared" si="31"/>
        <v>0</v>
      </c>
      <c r="AE748" s="160">
        <v>746</v>
      </c>
    </row>
    <row r="749" spans="27:31" x14ac:dyDescent="0.25">
      <c r="AA749" s="160"/>
      <c r="AB749" s="162"/>
      <c r="AC749" s="162"/>
      <c r="AD749" s="162">
        <f t="shared" si="31"/>
        <v>0</v>
      </c>
      <c r="AE749" s="160">
        <v>747</v>
      </c>
    </row>
    <row r="750" spans="27:31" x14ac:dyDescent="0.25">
      <c r="AA750" s="160"/>
      <c r="AB750" s="162"/>
      <c r="AC750" s="162"/>
      <c r="AD750" s="162">
        <f t="shared" si="31"/>
        <v>0</v>
      </c>
      <c r="AE750" s="160">
        <v>748</v>
      </c>
    </row>
    <row r="751" spans="27:31" x14ac:dyDescent="0.25">
      <c r="AA751" s="160"/>
      <c r="AB751" s="162"/>
      <c r="AC751" s="162"/>
      <c r="AD751" s="162">
        <f t="shared" si="31"/>
        <v>0</v>
      </c>
      <c r="AE751" s="160">
        <v>749</v>
      </c>
    </row>
    <row r="752" spans="27:31" x14ac:dyDescent="0.25">
      <c r="AA752" s="160"/>
      <c r="AB752" s="162"/>
      <c r="AC752" s="162"/>
      <c r="AD752" s="162">
        <f t="shared" si="31"/>
        <v>0</v>
      </c>
      <c r="AE752" s="160">
        <v>750</v>
      </c>
    </row>
    <row r="753" spans="27:31" x14ac:dyDescent="0.25">
      <c r="AA753" s="160"/>
      <c r="AB753" s="162"/>
      <c r="AC753" s="162"/>
      <c r="AD753" s="162">
        <f t="shared" si="31"/>
        <v>0</v>
      </c>
      <c r="AE753" s="160">
        <v>751</v>
      </c>
    </row>
    <row r="754" spans="27:31" x14ac:dyDescent="0.25">
      <c r="AA754" s="160"/>
      <c r="AB754" s="162"/>
      <c r="AC754" s="162"/>
      <c r="AD754" s="162">
        <f t="shared" si="31"/>
        <v>0</v>
      </c>
      <c r="AE754" s="160">
        <v>752</v>
      </c>
    </row>
    <row r="755" spans="27:31" x14ac:dyDescent="0.25">
      <c r="AA755" s="160"/>
      <c r="AB755" s="162"/>
      <c r="AC755" s="162"/>
      <c r="AD755" s="162">
        <f t="shared" si="31"/>
        <v>0</v>
      </c>
      <c r="AE755" s="160">
        <v>753</v>
      </c>
    </row>
    <row r="756" spans="27:31" x14ac:dyDescent="0.25">
      <c r="AA756" s="160"/>
      <c r="AB756" s="162"/>
      <c r="AC756" s="162"/>
      <c r="AD756" s="162">
        <f t="shared" si="31"/>
        <v>0</v>
      </c>
      <c r="AE756" s="160">
        <v>754</v>
      </c>
    </row>
    <row r="757" spans="27:31" x14ac:dyDescent="0.25">
      <c r="AA757" s="160"/>
      <c r="AB757" s="162"/>
      <c r="AC757" s="162"/>
      <c r="AD757" s="162">
        <f t="shared" si="31"/>
        <v>0</v>
      </c>
      <c r="AE757" s="160">
        <v>755</v>
      </c>
    </row>
    <row r="758" spans="27:31" x14ac:dyDescent="0.25">
      <c r="AA758" s="160"/>
      <c r="AB758" s="162"/>
      <c r="AC758" s="162"/>
      <c r="AD758" s="162">
        <f t="shared" si="31"/>
        <v>0</v>
      </c>
      <c r="AE758" s="160">
        <v>756</v>
      </c>
    </row>
    <row r="759" spans="27:31" x14ac:dyDescent="0.25">
      <c r="AA759" s="160"/>
      <c r="AB759" s="162"/>
      <c r="AC759" s="162"/>
      <c r="AD759" s="162">
        <f t="shared" si="31"/>
        <v>0</v>
      </c>
      <c r="AE759" s="160">
        <v>757</v>
      </c>
    </row>
    <row r="760" spans="27:31" x14ac:dyDescent="0.25">
      <c r="AA760" s="160"/>
      <c r="AB760" s="162"/>
      <c r="AC760" s="162"/>
      <c r="AD760" s="162">
        <f t="shared" si="31"/>
        <v>0</v>
      </c>
      <c r="AE760" s="160">
        <v>758</v>
      </c>
    </row>
    <row r="761" spans="27:31" x14ac:dyDescent="0.25">
      <c r="AA761" s="160"/>
      <c r="AB761" s="162"/>
      <c r="AC761" s="162"/>
      <c r="AD761" s="162">
        <f t="shared" si="31"/>
        <v>0</v>
      </c>
      <c r="AE761" s="160">
        <v>759</v>
      </c>
    </row>
    <row r="762" spans="27:31" x14ac:dyDescent="0.25">
      <c r="AA762" s="160"/>
      <c r="AB762" s="162"/>
      <c r="AC762" s="162"/>
      <c r="AD762" s="162">
        <f t="shared" si="31"/>
        <v>0</v>
      </c>
      <c r="AE762" s="160">
        <v>760</v>
      </c>
    </row>
    <row r="763" spans="27:31" x14ac:dyDescent="0.25">
      <c r="AA763" s="160"/>
      <c r="AB763" s="162"/>
      <c r="AC763" s="162"/>
      <c r="AD763" s="162">
        <f t="shared" si="31"/>
        <v>0</v>
      </c>
      <c r="AE763" s="160">
        <v>761</v>
      </c>
    </row>
    <row r="764" spans="27:31" x14ac:dyDescent="0.25">
      <c r="AA764" s="160"/>
      <c r="AB764" s="162"/>
      <c r="AC764" s="162"/>
      <c r="AD764" s="162">
        <f t="shared" si="31"/>
        <v>0</v>
      </c>
      <c r="AE764" s="160">
        <v>762</v>
      </c>
    </row>
    <row r="765" spans="27:31" x14ac:dyDescent="0.25">
      <c r="AA765" s="160"/>
      <c r="AB765" s="162"/>
      <c r="AC765" s="162"/>
      <c r="AD765" s="162">
        <f t="shared" si="31"/>
        <v>0</v>
      </c>
      <c r="AE765" s="160">
        <v>763</v>
      </c>
    </row>
    <row r="766" spans="27:31" x14ac:dyDescent="0.25">
      <c r="AA766" s="160"/>
      <c r="AB766" s="162"/>
      <c r="AC766" s="162"/>
      <c r="AD766" s="162">
        <f t="shared" si="31"/>
        <v>0</v>
      </c>
      <c r="AE766" s="160">
        <v>764</v>
      </c>
    </row>
    <row r="767" spans="27:31" x14ac:dyDescent="0.25">
      <c r="AA767" s="160"/>
      <c r="AB767" s="162"/>
      <c r="AC767" s="162"/>
      <c r="AD767" s="162">
        <f t="shared" si="31"/>
        <v>0</v>
      </c>
      <c r="AE767" s="160">
        <v>765</v>
      </c>
    </row>
    <row r="768" spans="27:31" x14ac:dyDescent="0.25">
      <c r="AA768" s="160"/>
      <c r="AB768" s="162"/>
      <c r="AC768" s="162"/>
      <c r="AD768" s="162">
        <f t="shared" si="31"/>
        <v>0</v>
      </c>
      <c r="AE768" s="160">
        <v>766</v>
      </c>
    </row>
    <row r="769" spans="27:31" x14ac:dyDescent="0.25">
      <c r="AA769" s="160"/>
      <c r="AB769" s="162"/>
      <c r="AC769" s="162"/>
      <c r="AD769" s="162">
        <f t="shared" si="31"/>
        <v>0</v>
      </c>
      <c r="AE769" s="160">
        <v>767</v>
      </c>
    </row>
    <row r="770" spans="27:31" x14ac:dyDescent="0.25">
      <c r="AA770" s="160"/>
      <c r="AB770" s="162"/>
      <c r="AC770" s="162"/>
      <c r="AD770" s="162">
        <f t="shared" si="31"/>
        <v>0</v>
      </c>
      <c r="AE770" s="160">
        <v>768</v>
      </c>
    </row>
    <row r="771" spans="27:31" x14ac:dyDescent="0.25">
      <c r="AA771" s="160"/>
      <c r="AB771" s="162"/>
      <c r="AC771" s="162"/>
      <c r="AD771" s="162">
        <f t="shared" si="31"/>
        <v>0</v>
      </c>
      <c r="AE771" s="160">
        <v>769</v>
      </c>
    </row>
    <row r="772" spans="27:31" x14ac:dyDescent="0.25">
      <c r="AA772" s="160"/>
      <c r="AB772" s="162"/>
      <c r="AC772" s="162"/>
      <c r="AD772" s="162">
        <f t="shared" ref="AD772:AD835" si="32">AB772+AC772</f>
        <v>0</v>
      </c>
      <c r="AE772" s="160">
        <v>770</v>
      </c>
    </row>
    <row r="773" spans="27:31" x14ac:dyDescent="0.25">
      <c r="AA773" s="160"/>
      <c r="AB773" s="162"/>
      <c r="AC773" s="162"/>
      <c r="AD773" s="162">
        <f t="shared" si="32"/>
        <v>0</v>
      </c>
      <c r="AE773" s="160">
        <v>771</v>
      </c>
    </row>
    <row r="774" spans="27:31" x14ac:dyDescent="0.25">
      <c r="AA774" s="160"/>
      <c r="AB774" s="162"/>
      <c r="AC774" s="162"/>
      <c r="AD774" s="162">
        <f t="shared" si="32"/>
        <v>0</v>
      </c>
      <c r="AE774" s="160">
        <v>772</v>
      </c>
    </row>
    <row r="775" spans="27:31" x14ac:dyDescent="0.25">
      <c r="AA775" s="160"/>
      <c r="AB775" s="162"/>
      <c r="AC775" s="162"/>
      <c r="AD775" s="162">
        <f t="shared" si="32"/>
        <v>0</v>
      </c>
      <c r="AE775" s="160">
        <v>773</v>
      </c>
    </row>
    <row r="776" spans="27:31" x14ac:dyDescent="0.25">
      <c r="AA776" s="160"/>
      <c r="AB776" s="162"/>
      <c r="AC776" s="162"/>
      <c r="AD776" s="162">
        <f t="shared" si="32"/>
        <v>0</v>
      </c>
      <c r="AE776" s="160">
        <v>774</v>
      </c>
    </row>
    <row r="777" spans="27:31" x14ac:dyDescent="0.25">
      <c r="AA777" s="160"/>
      <c r="AB777" s="162"/>
      <c r="AC777" s="162"/>
      <c r="AD777" s="162">
        <f t="shared" si="32"/>
        <v>0</v>
      </c>
      <c r="AE777" s="160">
        <v>775</v>
      </c>
    </row>
    <row r="778" spans="27:31" x14ac:dyDescent="0.25">
      <c r="AA778" s="160"/>
      <c r="AB778" s="162"/>
      <c r="AC778" s="162"/>
      <c r="AD778" s="162">
        <f t="shared" si="32"/>
        <v>0</v>
      </c>
      <c r="AE778" s="160">
        <v>776</v>
      </c>
    </row>
    <row r="779" spans="27:31" x14ac:dyDescent="0.25">
      <c r="AA779" s="160"/>
      <c r="AB779" s="162"/>
      <c r="AC779" s="162"/>
      <c r="AD779" s="162">
        <f t="shared" si="32"/>
        <v>0</v>
      </c>
      <c r="AE779" s="160">
        <v>777</v>
      </c>
    </row>
    <row r="780" spans="27:31" x14ac:dyDescent="0.25">
      <c r="AA780" s="160"/>
      <c r="AB780" s="162"/>
      <c r="AC780" s="162"/>
      <c r="AD780" s="162">
        <f t="shared" si="32"/>
        <v>0</v>
      </c>
      <c r="AE780" s="160">
        <v>778</v>
      </c>
    </row>
    <row r="781" spans="27:31" x14ac:dyDescent="0.25">
      <c r="AA781" s="160"/>
      <c r="AB781" s="162"/>
      <c r="AC781" s="162"/>
      <c r="AD781" s="162">
        <f t="shared" si="32"/>
        <v>0</v>
      </c>
      <c r="AE781" s="160">
        <v>779</v>
      </c>
    </row>
    <row r="782" spans="27:31" x14ac:dyDescent="0.25">
      <c r="AA782" s="160"/>
      <c r="AB782" s="162"/>
      <c r="AC782" s="162"/>
      <c r="AD782" s="162">
        <f t="shared" si="32"/>
        <v>0</v>
      </c>
      <c r="AE782" s="160">
        <v>780</v>
      </c>
    </row>
    <row r="783" spans="27:31" x14ac:dyDescent="0.25">
      <c r="AA783" s="160"/>
      <c r="AB783" s="162"/>
      <c r="AC783" s="162"/>
      <c r="AD783" s="162">
        <f t="shared" si="32"/>
        <v>0</v>
      </c>
      <c r="AE783" s="160">
        <v>781</v>
      </c>
    </row>
    <row r="784" spans="27:31" x14ac:dyDescent="0.25">
      <c r="AA784" s="160"/>
      <c r="AB784" s="162"/>
      <c r="AC784" s="162"/>
      <c r="AD784" s="162">
        <f t="shared" si="32"/>
        <v>0</v>
      </c>
      <c r="AE784" s="160">
        <v>782</v>
      </c>
    </row>
    <row r="785" spans="27:31" x14ac:dyDescent="0.25">
      <c r="AA785" s="160"/>
      <c r="AB785" s="162"/>
      <c r="AC785" s="162"/>
      <c r="AD785" s="162">
        <f t="shared" si="32"/>
        <v>0</v>
      </c>
      <c r="AE785" s="160">
        <v>783</v>
      </c>
    </row>
    <row r="786" spans="27:31" x14ac:dyDescent="0.25">
      <c r="AA786" s="160"/>
      <c r="AB786" s="162"/>
      <c r="AC786" s="162"/>
      <c r="AD786" s="162">
        <f t="shared" si="32"/>
        <v>0</v>
      </c>
      <c r="AE786" s="160">
        <v>784</v>
      </c>
    </row>
    <row r="787" spans="27:31" x14ac:dyDescent="0.25">
      <c r="AA787" s="160"/>
      <c r="AB787" s="162"/>
      <c r="AC787" s="162"/>
      <c r="AD787" s="162">
        <f t="shared" si="32"/>
        <v>0</v>
      </c>
      <c r="AE787" s="160">
        <v>785</v>
      </c>
    </row>
    <row r="788" spans="27:31" x14ac:dyDescent="0.25">
      <c r="AA788" s="160"/>
      <c r="AB788" s="162"/>
      <c r="AC788" s="162"/>
      <c r="AD788" s="162">
        <f t="shared" si="32"/>
        <v>0</v>
      </c>
      <c r="AE788" s="160">
        <v>786</v>
      </c>
    </row>
    <row r="789" spans="27:31" x14ac:dyDescent="0.25">
      <c r="AA789" s="160"/>
      <c r="AB789" s="162"/>
      <c r="AC789" s="162"/>
      <c r="AD789" s="162">
        <f t="shared" si="32"/>
        <v>0</v>
      </c>
      <c r="AE789" s="160">
        <v>787</v>
      </c>
    </row>
    <row r="790" spans="27:31" x14ac:dyDescent="0.25">
      <c r="AA790" s="160"/>
      <c r="AB790" s="162"/>
      <c r="AC790" s="162"/>
      <c r="AD790" s="162">
        <f t="shared" si="32"/>
        <v>0</v>
      </c>
      <c r="AE790" s="160">
        <v>788</v>
      </c>
    </row>
    <row r="791" spans="27:31" x14ac:dyDescent="0.25">
      <c r="AA791" s="160"/>
      <c r="AB791" s="162"/>
      <c r="AC791" s="162"/>
      <c r="AD791" s="162">
        <f t="shared" si="32"/>
        <v>0</v>
      </c>
      <c r="AE791" s="160">
        <v>789</v>
      </c>
    </row>
    <row r="792" spans="27:31" x14ac:dyDescent="0.25">
      <c r="AA792" s="160"/>
      <c r="AB792" s="162"/>
      <c r="AC792" s="162"/>
      <c r="AD792" s="162">
        <f t="shared" si="32"/>
        <v>0</v>
      </c>
      <c r="AE792" s="160">
        <v>790</v>
      </c>
    </row>
    <row r="793" spans="27:31" x14ac:dyDescent="0.25">
      <c r="AA793" s="160"/>
      <c r="AB793" s="162"/>
      <c r="AC793" s="162"/>
      <c r="AD793" s="162">
        <f t="shared" si="32"/>
        <v>0</v>
      </c>
      <c r="AE793" s="160">
        <v>791</v>
      </c>
    </row>
    <row r="794" spans="27:31" x14ac:dyDescent="0.25">
      <c r="AA794" s="160"/>
      <c r="AB794" s="162"/>
      <c r="AC794" s="162"/>
      <c r="AD794" s="162">
        <f t="shared" si="32"/>
        <v>0</v>
      </c>
      <c r="AE794" s="160">
        <v>792</v>
      </c>
    </row>
    <row r="795" spans="27:31" x14ac:dyDescent="0.25">
      <c r="AA795" s="160"/>
      <c r="AB795" s="162"/>
      <c r="AC795" s="162"/>
      <c r="AD795" s="162">
        <f t="shared" si="32"/>
        <v>0</v>
      </c>
      <c r="AE795" s="160">
        <v>793</v>
      </c>
    </row>
    <row r="796" spans="27:31" x14ac:dyDescent="0.25">
      <c r="AA796" s="160"/>
      <c r="AB796" s="162"/>
      <c r="AC796" s="162"/>
      <c r="AD796" s="162">
        <f t="shared" si="32"/>
        <v>0</v>
      </c>
      <c r="AE796" s="160">
        <v>794</v>
      </c>
    </row>
    <row r="797" spans="27:31" x14ac:dyDescent="0.25">
      <c r="AA797" s="160"/>
      <c r="AB797" s="162"/>
      <c r="AC797" s="162"/>
      <c r="AD797" s="162">
        <f t="shared" si="32"/>
        <v>0</v>
      </c>
      <c r="AE797" s="160">
        <v>795</v>
      </c>
    </row>
    <row r="798" spans="27:31" x14ac:dyDescent="0.25">
      <c r="AA798" s="160"/>
      <c r="AB798" s="162"/>
      <c r="AC798" s="162"/>
      <c r="AD798" s="162">
        <f t="shared" si="32"/>
        <v>0</v>
      </c>
      <c r="AE798" s="160">
        <v>796</v>
      </c>
    </row>
    <row r="799" spans="27:31" x14ac:dyDescent="0.25">
      <c r="AA799" s="160"/>
      <c r="AB799" s="162"/>
      <c r="AC799" s="162"/>
      <c r="AD799" s="162">
        <f t="shared" si="32"/>
        <v>0</v>
      </c>
      <c r="AE799" s="160">
        <v>797</v>
      </c>
    </row>
    <row r="800" spans="27:31" x14ac:dyDescent="0.25">
      <c r="AA800" s="160"/>
      <c r="AB800" s="162"/>
      <c r="AC800" s="162"/>
      <c r="AD800" s="162">
        <f t="shared" si="32"/>
        <v>0</v>
      </c>
      <c r="AE800" s="160">
        <v>798</v>
      </c>
    </row>
    <row r="801" spans="27:31" x14ac:dyDescent="0.25">
      <c r="AA801" s="160"/>
      <c r="AB801" s="162"/>
      <c r="AC801" s="162"/>
      <c r="AD801" s="162">
        <f t="shared" si="32"/>
        <v>0</v>
      </c>
      <c r="AE801" s="160">
        <v>799</v>
      </c>
    </row>
    <row r="802" spans="27:31" x14ac:dyDescent="0.25">
      <c r="AA802" s="160"/>
      <c r="AB802" s="162"/>
      <c r="AC802" s="162"/>
      <c r="AD802" s="162">
        <f t="shared" si="32"/>
        <v>0</v>
      </c>
      <c r="AE802" s="160">
        <v>800</v>
      </c>
    </row>
    <row r="803" spans="27:31" x14ac:dyDescent="0.25">
      <c r="AA803" s="160"/>
      <c r="AB803" s="162"/>
      <c r="AC803" s="162"/>
      <c r="AD803" s="162">
        <f t="shared" si="32"/>
        <v>0</v>
      </c>
      <c r="AE803" s="160">
        <v>801</v>
      </c>
    </row>
    <row r="804" spans="27:31" x14ac:dyDescent="0.25">
      <c r="AA804" s="160"/>
      <c r="AB804" s="162"/>
      <c r="AC804" s="162"/>
      <c r="AD804" s="162">
        <f t="shared" si="32"/>
        <v>0</v>
      </c>
      <c r="AE804" s="160">
        <v>802</v>
      </c>
    </row>
    <row r="805" spans="27:31" x14ac:dyDescent="0.25">
      <c r="AA805" s="160"/>
      <c r="AB805" s="162"/>
      <c r="AC805" s="162"/>
      <c r="AD805" s="162">
        <f t="shared" si="32"/>
        <v>0</v>
      </c>
      <c r="AE805" s="160">
        <v>803</v>
      </c>
    </row>
    <row r="806" spans="27:31" x14ac:dyDescent="0.25">
      <c r="AA806" s="160"/>
      <c r="AB806" s="162"/>
      <c r="AC806" s="162"/>
      <c r="AD806" s="162">
        <f t="shared" si="32"/>
        <v>0</v>
      </c>
      <c r="AE806" s="160">
        <v>804</v>
      </c>
    </row>
    <row r="807" spans="27:31" x14ac:dyDescent="0.25">
      <c r="AA807" s="160"/>
      <c r="AB807" s="162"/>
      <c r="AC807" s="162"/>
      <c r="AD807" s="162">
        <f t="shared" si="32"/>
        <v>0</v>
      </c>
      <c r="AE807" s="160">
        <v>805</v>
      </c>
    </row>
    <row r="808" spans="27:31" x14ac:dyDescent="0.25">
      <c r="AA808" s="160"/>
      <c r="AB808" s="162"/>
      <c r="AC808" s="162"/>
      <c r="AD808" s="162">
        <f t="shared" si="32"/>
        <v>0</v>
      </c>
      <c r="AE808" s="160">
        <v>806</v>
      </c>
    </row>
    <row r="809" spans="27:31" x14ac:dyDescent="0.25">
      <c r="AA809" s="160"/>
      <c r="AB809" s="162"/>
      <c r="AC809" s="162"/>
      <c r="AD809" s="162">
        <f t="shared" si="32"/>
        <v>0</v>
      </c>
      <c r="AE809" s="160">
        <v>807</v>
      </c>
    </row>
    <row r="810" spans="27:31" x14ac:dyDescent="0.25">
      <c r="AA810" s="160"/>
      <c r="AB810" s="162"/>
      <c r="AC810" s="162"/>
      <c r="AD810" s="162">
        <f t="shared" si="32"/>
        <v>0</v>
      </c>
      <c r="AE810" s="160">
        <v>808</v>
      </c>
    </row>
    <row r="811" spans="27:31" x14ac:dyDescent="0.25">
      <c r="AA811" s="160"/>
      <c r="AB811" s="162"/>
      <c r="AC811" s="162"/>
      <c r="AD811" s="162">
        <f t="shared" si="32"/>
        <v>0</v>
      </c>
      <c r="AE811" s="160">
        <v>809</v>
      </c>
    </row>
    <row r="812" spans="27:31" x14ac:dyDescent="0.25">
      <c r="AA812" s="160"/>
      <c r="AB812" s="162"/>
      <c r="AC812" s="162"/>
      <c r="AD812" s="162">
        <f t="shared" si="32"/>
        <v>0</v>
      </c>
      <c r="AE812" s="160">
        <v>810</v>
      </c>
    </row>
    <row r="813" spans="27:31" x14ac:dyDescent="0.25">
      <c r="AA813" s="160"/>
      <c r="AB813" s="162"/>
      <c r="AC813" s="162"/>
      <c r="AD813" s="162">
        <f t="shared" si="32"/>
        <v>0</v>
      </c>
      <c r="AE813" s="160">
        <v>811</v>
      </c>
    </row>
    <row r="814" spans="27:31" x14ac:dyDescent="0.25">
      <c r="AA814" s="160"/>
      <c r="AB814" s="162"/>
      <c r="AC814" s="162"/>
      <c r="AD814" s="162">
        <f t="shared" si="32"/>
        <v>0</v>
      </c>
      <c r="AE814" s="160">
        <v>812</v>
      </c>
    </row>
    <row r="815" spans="27:31" x14ac:dyDescent="0.25">
      <c r="AA815" s="160"/>
      <c r="AB815" s="162"/>
      <c r="AC815" s="162"/>
      <c r="AD815" s="162">
        <f t="shared" si="32"/>
        <v>0</v>
      </c>
      <c r="AE815" s="160">
        <v>813</v>
      </c>
    </row>
    <row r="816" spans="27:31" x14ac:dyDescent="0.25">
      <c r="AA816" s="160"/>
      <c r="AB816" s="162"/>
      <c r="AC816" s="162"/>
      <c r="AD816" s="162">
        <f t="shared" si="32"/>
        <v>0</v>
      </c>
      <c r="AE816" s="160">
        <v>814</v>
      </c>
    </row>
    <row r="817" spans="27:31" x14ac:dyDescent="0.25">
      <c r="AA817" s="160"/>
      <c r="AB817" s="162"/>
      <c r="AC817" s="162"/>
      <c r="AD817" s="162">
        <f t="shared" si="32"/>
        <v>0</v>
      </c>
      <c r="AE817" s="160">
        <v>815</v>
      </c>
    </row>
    <row r="818" spans="27:31" x14ac:dyDescent="0.25">
      <c r="AA818" s="160"/>
      <c r="AB818" s="162"/>
      <c r="AC818" s="162"/>
      <c r="AD818" s="162">
        <f t="shared" si="32"/>
        <v>0</v>
      </c>
      <c r="AE818" s="160">
        <v>816</v>
      </c>
    </row>
    <row r="819" spans="27:31" x14ac:dyDescent="0.25">
      <c r="AA819" s="160"/>
      <c r="AB819" s="162"/>
      <c r="AC819" s="162"/>
      <c r="AD819" s="162">
        <f t="shared" si="32"/>
        <v>0</v>
      </c>
      <c r="AE819" s="160">
        <v>817</v>
      </c>
    </row>
    <row r="820" spans="27:31" x14ac:dyDescent="0.25">
      <c r="AA820" s="160"/>
      <c r="AB820" s="162"/>
      <c r="AC820" s="162"/>
      <c r="AD820" s="162">
        <f t="shared" si="32"/>
        <v>0</v>
      </c>
      <c r="AE820" s="160">
        <v>818</v>
      </c>
    </row>
    <row r="821" spans="27:31" x14ac:dyDescent="0.25">
      <c r="AA821" s="160"/>
      <c r="AB821" s="162"/>
      <c r="AC821" s="162"/>
      <c r="AD821" s="162">
        <f t="shared" si="32"/>
        <v>0</v>
      </c>
      <c r="AE821" s="160">
        <v>819</v>
      </c>
    </row>
    <row r="822" spans="27:31" x14ac:dyDescent="0.25">
      <c r="AA822" s="160"/>
      <c r="AB822" s="162"/>
      <c r="AC822" s="162"/>
      <c r="AD822" s="162">
        <f t="shared" si="32"/>
        <v>0</v>
      </c>
      <c r="AE822" s="160">
        <v>820</v>
      </c>
    </row>
    <row r="823" spans="27:31" x14ac:dyDescent="0.25">
      <c r="AA823" s="160"/>
      <c r="AB823" s="162"/>
      <c r="AC823" s="162"/>
      <c r="AD823" s="162">
        <f t="shared" si="32"/>
        <v>0</v>
      </c>
      <c r="AE823" s="160">
        <v>821</v>
      </c>
    </row>
    <row r="824" spans="27:31" x14ac:dyDescent="0.25">
      <c r="AA824" s="160"/>
      <c r="AB824" s="162"/>
      <c r="AC824" s="162"/>
      <c r="AD824" s="162">
        <f t="shared" si="32"/>
        <v>0</v>
      </c>
      <c r="AE824" s="160">
        <v>822</v>
      </c>
    </row>
    <row r="825" spans="27:31" x14ac:dyDescent="0.25">
      <c r="AA825" s="160"/>
      <c r="AB825" s="162"/>
      <c r="AC825" s="162"/>
      <c r="AD825" s="162">
        <f t="shared" si="32"/>
        <v>0</v>
      </c>
      <c r="AE825" s="160">
        <v>823</v>
      </c>
    </row>
    <row r="826" spans="27:31" x14ac:dyDescent="0.25">
      <c r="AA826" s="160"/>
      <c r="AB826" s="162"/>
      <c r="AC826" s="162"/>
      <c r="AD826" s="162">
        <f t="shared" si="32"/>
        <v>0</v>
      </c>
      <c r="AE826" s="160">
        <v>824</v>
      </c>
    </row>
    <row r="827" spans="27:31" x14ac:dyDescent="0.25">
      <c r="AA827" s="160"/>
      <c r="AB827" s="162"/>
      <c r="AC827" s="162"/>
      <c r="AD827" s="162">
        <f t="shared" si="32"/>
        <v>0</v>
      </c>
      <c r="AE827" s="160">
        <v>825</v>
      </c>
    </row>
    <row r="828" spans="27:31" x14ac:dyDescent="0.25">
      <c r="AA828" s="160"/>
      <c r="AB828" s="162"/>
      <c r="AC828" s="162"/>
      <c r="AD828" s="162">
        <f t="shared" si="32"/>
        <v>0</v>
      </c>
      <c r="AE828" s="160">
        <v>826</v>
      </c>
    </row>
    <row r="829" spans="27:31" x14ac:dyDescent="0.25">
      <c r="AA829" s="160"/>
      <c r="AB829" s="162"/>
      <c r="AC829" s="162"/>
      <c r="AD829" s="162">
        <f t="shared" si="32"/>
        <v>0</v>
      </c>
      <c r="AE829" s="160">
        <v>827</v>
      </c>
    </row>
    <row r="830" spans="27:31" x14ac:dyDescent="0.25">
      <c r="AA830" s="160"/>
      <c r="AB830" s="162"/>
      <c r="AC830" s="162"/>
      <c r="AD830" s="162">
        <f t="shared" si="32"/>
        <v>0</v>
      </c>
      <c r="AE830" s="160">
        <v>828</v>
      </c>
    </row>
    <row r="831" spans="27:31" x14ac:dyDescent="0.25">
      <c r="AA831" s="160"/>
      <c r="AB831" s="162"/>
      <c r="AC831" s="162"/>
      <c r="AD831" s="162">
        <f t="shared" si="32"/>
        <v>0</v>
      </c>
      <c r="AE831" s="160">
        <v>829</v>
      </c>
    </row>
    <row r="832" spans="27:31" x14ac:dyDescent="0.25">
      <c r="AA832" s="160"/>
      <c r="AB832" s="162"/>
      <c r="AC832" s="162"/>
      <c r="AD832" s="162">
        <f t="shared" si="32"/>
        <v>0</v>
      </c>
      <c r="AE832" s="160">
        <v>830</v>
      </c>
    </row>
    <row r="833" spans="27:31" x14ac:dyDescent="0.25">
      <c r="AA833" s="160"/>
      <c r="AB833" s="162"/>
      <c r="AC833" s="162"/>
      <c r="AD833" s="162">
        <f t="shared" si="32"/>
        <v>0</v>
      </c>
      <c r="AE833" s="160">
        <v>831</v>
      </c>
    </row>
    <row r="834" spans="27:31" x14ac:dyDescent="0.25">
      <c r="AA834" s="160"/>
      <c r="AB834" s="162"/>
      <c r="AC834" s="162"/>
      <c r="AD834" s="162">
        <f t="shared" si="32"/>
        <v>0</v>
      </c>
      <c r="AE834" s="160">
        <v>832</v>
      </c>
    </row>
    <row r="835" spans="27:31" x14ac:dyDescent="0.25">
      <c r="AA835" s="160"/>
      <c r="AB835" s="162"/>
      <c r="AC835" s="162"/>
      <c r="AD835" s="162">
        <f t="shared" si="32"/>
        <v>0</v>
      </c>
      <c r="AE835" s="160">
        <v>833</v>
      </c>
    </row>
    <row r="836" spans="27:31" x14ac:dyDescent="0.25">
      <c r="AA836" s="160"/>
      <c r="AB836" s="162"/>
      <c r="AC836" s="162"/>
      <c r="AD836" s="162">
        <f t="shared" ref="AD836:AD899" si="33">AB836+AC836</f>
        <v>0</v>
      </c>
      <c r="AE836" s="160">
        <v>834</v>
      </c>
    </row>
    <row r="837" spans="27:31" x14ac:dyDescent="0.25">
      <c r="AA837" s="160"/>
      <c r="AB837" s="162"/>
      <c r="AC837" s="162"/>
      <c r="AD837" s="162">
        <f t="shared" si="33"/>
        <v>0</v>
      </c>
      <c r="AE837" s="160">
        <v>835</v>
      </c>
    </row>
    <row r="838" spans="27:31" x14ac:dyDescent="0.25">
      <c r="AA838" s="160"/>
      <c r="AB838" s="162"/>
      <c r="AC838" s="162"/>
      <c r="AD838" s="162">
        <f t="shared" si="33"/>
        <v>0</v>
      </c>
      <c r="AE838" s="160">
        <v>836</v>
      </c>
    </row>
    <row r="839" spans="27:31" x14ac:dyDescent="0.25">
      <c r="AA839" s="160"/>
      <c r="AB839" s="162"/>
      <c r="AC839" s="162"/>
      <c r="AD839" s="162">
        <f t="shared" si="33"/>
        <v>0</v>
      </c>
      <c r="AE839" s="160">
        <v>837</v>
      </c>
    </row>
    <row r="840" spans="27:31" x14ac:dyDescent="0.25">
      <c r="AA840" s="160"/>
      <c r="AB840" s="162"/>
      <c r="AC840" s="162"/>
      <c r="AD840" s="162">
        <f t="shared" si="33"/>
        <v>0</v>
      </c>
      <c r="AE840" s="160">
        <v>838</v>
      </c>
    </row>
    <row r="841" spans="27:31" x14ac:dyDescent="0.25">
      <c r="AA841" s="160"/>
      <c r="AB841" s="162"/>
      <c r="AC841" s="162"/>
      <c r="AD841" s="162">
        <f t="shared" si="33"/>
        <v>0</v>
      </c>
      <c r="AE841" s="160">
        <v>839</v>
      </c>
    </row>
    <row r="842" spans="27:31" x14ac:dyDescent="0.25">
      <c r="AA842" s="160"/>
      <c r="AB842" s="162"/>
      <c r="AC842" s="162"/>
      <c r="AD842" s="162">
        <f t="shared" si="33"/>
        <v>0</v>
      </c>
      <c r="AE842" s="160">
        <v>840</v>
      </c>
    </row>
    <row r="843" spans="27:31" x14ac:dyDescent="0.25">
      <c r="AA843" s="160"/>
      <c r="AB843" s="162"/>
      <c r="AC843" s="162"/>
      <c r="AD843" s="162">
        <f t="shared" si="33"/>
        <v>0</v>
      </c>
      <c r="AE843" s="160">
        <v>841</v>
      </c>
    </row>
    <row r="844" spans="27:31" x14ac:dyDescent="0.25">
      <c r="AA844" s="160"/>
      <c r="AB844" s="162"/>
      <c r="AC844" s="162"/>
      <c r="AD844" s="162">
        <f t="shared" si="33"/>
        <v>0</v>
      </c>
      <c r="AE844" s="160">
        <v>842</v>
      </c>
    </row>
    <row r="845" spans="27:31" x14ac:dyDescent="0.25">
      <c r="AA845" s="160"/>
      <c r="AB845" s="162"/>
      <c r="AC845" s="162"/>
      <c r="AD845" s="162">
        <f t="shared" si="33"/>
        <v>0</v>
      </c>
      <c r="AE845" s="160">
        <v>843</v>
      </c>
    </row>
    <row r="846" spans="27:31" x14ac:dyDescent="0.25">
      <c r="AA846" s="160"/>
      <c r="AB846" s="162"/>
      <c r="AC846" s="162"/>
      <c r="AD846" s="162">
        <f t="shared" si="33"/>
        <v>0</v>
      </c>
      <c r="AE846" s="160">
        <v>844</v>
      </c>
    </row>
    <row r="847" spans="27:31" x14ac:dyDescent="0.25">
      <c r="AA847" s="160"/>
      <c r="AB847" s="162"/>
      <c r="AC847" s="162"/>
      <c r="AD847" s="162">
        <f t="shared" si="33"/>
        <v>0</v>
      </c>
      <c r="AE847" s="160">
        <v>845</v>
      </c>
    </row>
    <row r="848" spans="27:31" x14ac:dyDescent="0.25">
      <c r="AA848" s="160"/>
      <c r="AB848" s="162"/>
      <c r="AC848" s="162"/>
      <c r="AD848" s="162">
        <f t="shared" si="33"/>
        <v>0</v>
      </c>
      <c r="AE848" s="160">
        <v>846</v>
      </c>
    </row>
    <row r="849" spans="27:31" x14ac:dyDescent="0.25">
      <c r="AA849" s="160"/>
      <c r="AB849" s="162"/>
      <c r="AC849" s="162"/>
      <c r="AD849" s="162">
        <f t="shared" si="33"/>
        <v>0</v>
      </c>
      <c r="AE849" s="160">
        <v>847</v>
      </c>
    </row>
    <row r="850" spans="27:31" x14ac:dyDescent="0.25">
      <c r="AA850" s="160"/>
      <c r="AB850" s="162"/>
      <c r="AC850" s="162"/>
      <c r="AD850" s="162">
        <f t="shared" si="33"/>
        <v>0</v>
      </c>
      <c r="AE850" s="160">
        <v>848</v>
      </c>
    </row>
    <row r="851" spans="27:31" x14ac:dyDescent="0.25">
      <c r="AA851" s="160"/>
      <c r="AB851" s="162"/>
      <c r="AC851" s="162"/>
      <c r="AD851" s="162">
        <f t="shared" si="33"/>
        <v>0</v>
      </c>
      <c r="AE851" s="160">
        <v>849</v>
      </c>
    </row>
    <row r="852" spans="27:31" x14ac:dyDescent="0.25">
      <c r="AA852" s="160"/>
      <c r="AB852" s="162"/>
      <c r="AC852" s="162"/>
      <c r="AD852" s="162">
        <f t="shared" si="33"/>
        <v>0</v>
      </c>
      <c r="AE852" s="160">
        <v>850</v>
      </c>
    </row>
    <row r="853" spans="27:31" x14ac:dyDescent="0.25">
      <c r="AA853" s="160"/>
      <c r="AB853" s="162"/>
      <c r="AC853" s="162"/>
      <c r="AD853" s="162">
        <f t="shared" si="33"/>
        <v>0</v>
      </c>
      <c r="AE853" s="160">
        <v>851</v>
      </c>
    </row>
    <row r="854" spans="27:31" x14ac:dyDescent="0.25">
      <c r="AA854" s="160"/>
      <c r="AB854" s="162"/>
      <c r="AC854" s="162"/>
      <c r="AD854" s="162">
        <f t="shared" si="33"/>
        <v>0</v>
      </c>
      <c r="AE854" s="160">
        <v>852</v>
      </c>
    </row>
    <row r="855" spans="27:31" x14ac:dyDescent="0.25">
      <c r="AA855" s="160"/>
      <c r="AB855" s="162"/>
      <c r="AC855" s="162"/>
      <c r="AD855" s="162">
        <f t="shared" si="33"/>
        <v>0</v>
      </c>
      <c r="AE855" s="160">
        <v>853</v>
      </c>
    </row>
    <row r="856" spans="27:31" x14ac:dyDescent="0.25">
      <c r="AA856" s="160"/>
      <c r="AB856" s="162"/>
      <c r="AC856" s="162"/>
      <c r="AD856" s="162">
        <f t="shared" si="33"/>
        <v>0</v>
      </c>
      <c r="AE856" s="160">
        <v>854</v>
      </c>
    </row>
    <row r="857" spans="27:31" x14ac:dyDescent="0.25">
      <c r="AA857" s="160"/>
      <c r="AB857" s="162"/>
      <c r="AC857" s="162"/>
      <c r="AD857" s="162">
        <f t="shared" si="33"/>
        <v>0</v>
      </c>
      <c r="AE857" s="160">
        <v>855</v>
      </c>
    </row>
    <row r="858" spans="27:31" x14ac:dyDescent="0.25">
      <c r="AA858" s="160"/>
      <c r="AB858" s="162"/>
      <c r="AC858" s="162"/>
      <c r="AD858" s="162">
        <f t="shared" si="33"/>
        <v>0</v>
      </c>
      <c r="AE858" s="160">
        <v>856</v>
      </c>
    </row>
    <row r="859" spans="27:31" x14ac:dyDescent="0.25">
      <c r="AA859" s="160"/>
      <c r="AB859" s="162"/>
      <c r="AC859" s="162"/>
      <c r="AD859" s="162">
        <f t="shared" si="33"/>
        <v>0</v>
      </c>
      <c r="AE859" s="160">
        <v>857</v>
      </c>
    </row>
    <row r="860" spans="27:31" x14ac:dyDescent="0.25">
      <c r="AA860" s="160"/>
      <c r="AB860" s="162"/>
      <c r="AC860" s="162"/>
      <c r="AD860" s="162">
        <f t="shared" si="33"/>
        <v>0</v>
      </c>
      <c r="AE860" s="160">
        <v>858</v>
      </c>
    </row>
    <row r="861" spans="27:31" x14ac:dyDescent="0.25">
      <c r="AA861" s="160"/>
      <c r="AB861" s="162"/>
      <c r="AC861" s="162"/>
      <c r="AD861" s="162">
        <f t="shared" si="33"/>
        <v>0</v>
      </c>
      <c r="AE861" s="160">
        <v>859</v>
      </c>
    </row>
    <row r="862" spans="27:31" x14ac:dyDescent="0.25">
      <c r="AA862" s="160"/>
      <c r="AB862" s="162"/>
      <c r="AC862" s="162"/>
      <c r="AD862" s="162">
        <f t="shared" si="33"/>
        <v>0</v>
      </c>
      <c r="AE862" s="160">
        <v>860</v>
      </c>
    </row>
    <row r="863" spans="27:31" x14ac:dyDescent="0.25">
      <c r="AA863" s="160"/>
      <c r="AB863" s="162"/>
      <c r="AC863" s="162"/>
      <c r="AD863" s="162">
        <f t="shared" si="33"/>
        <v>0</v>
      </c>
      <c r="AE863" s="160">
        <v>861</v>
      </c>
    </row>
    <row r="864" spans="27:31" x14ac:dyDescent="0.25">
      <c r="AA864" s="160"/>
      <c r="AB864" s="162"/>
      <c r="AC864" s="162"/>
      <c r="AD864" s="162">
        <f t="shared" si="33"/>
        <v>0</v>
      </c>
      <c r="AE864" s="160">
        <v>862</v>
      </c>
    </row>
    <row r="865" spans="27:31" x14ac:dyDescent="0.25">
      <c r="AA865" s="160"/>
      <c r="AB865" s="162"/>
      <c r="AC865" s="162"/>
      <c r="AD865" s="162">
        <f t="shared" si="33"/>
        <v>0</v>
      </c>
      <c r="AE865" s="160">
        <v>863</v>
      </c>
    </row>
    <row r="866" spans="27:31" x14ac:dyDescent="0.25">
      <c r="AA866" s="160"/>
      <c r="AB866" s="162"/>
      <c r="AC866" s="162"/>
      <c r="AD866" s="162">
        <f t="shared" si="33"/>
        <v>0</v>
      </c>
      <c r="AE866" s="160">
        <v>864</v>
      </c>
    </row>
    <row r="867" spans="27:31" x14ac:dyDescent="0.25">
      <c r="AA867" s="160"/>
      <c r="AB867" s="162"/>
      <c r="AC867" s="162"/>
      <c r="AD867" s="162">
        <f t="shared" si="33"/>
        <v>0</v>
      </c>
      <c r="AE867" s="160">
        <v>865</v>
      </c>
    </row>
    <row r="868" spans="27:31" x14ac:dyDescent="0.25">
      <c r="AA868" s="160"/>
      <c r="AB868" s="162"/>
      <c r="AC868" s="162"/>
      <c r="AD868" s="162">
        <f t="shared" si="33"/>
        <v>0</v>
      </c>
      <c r="AE868" s="160">
        <v>866</v>
      </c>
    </row>
    <row r="869" spans="27:31" x14ac:dyDescent="0.25">
      <c r="AA869" s="160"/>
      <c r="AB869" s="162"/>
      <c r="AC869" s="162"/>
      <c r="AD869" s="162">
        <f t="shared" si="33"/>
        <v>0</v>
      </c>
      <c r="AE869" s="160">
        <v>867</v>
      </c>
    </row>
    <row r="870" spans="27:31" x14ac:dyDescent="0.25">
      <c r="AA870" s="160"/>
      <c r="AB870" s="162"/>
      <c r="AC870" s="162"/>
      <c r="AD870" s="162">
        <f t="shared" si="33"/>
        <v>0</v>
      </c>
      <c r="AE870" s="160">
        <v>868</v>
      </c>
    </row>
    <row r="871" spans="27:31" x14ac:dyDescent="0.25">
      <c r="AA871" s="160"/>
      <c r="AB871" s="162"/>
      <c r="AC871" s="162"/>
      <c r="AD871" s="162">
        <f t="shared" si="33"/>
        <v>0</v>
      </c>
      <c r="AE871" s="160">
        <v>869</v>
      </c>
    </row>
    <row r="872" spans="27:31" x14ac:dyDescent="0.25">
      <c r="AA872" s="160"/>
      <c r="AB872" s="162"/>
      <c r="AC872" s="162"/>
      <c r="AD872" s="162">
        <f t="shared" si="33"/>
        <v>0</v>
      </c>
      <c r="AE872" s="160">
        <v>870</v>
      </c>
    </row>
    <row r="873" spans="27:31" x14ac:dyDescent="0.25">
      <c r="AA873" s="160"/>
      <c r="AB873" s="162"/>
      <c r="AC873" s="162"/>
      <c r="AD873" s="162">
        <f t="shared" si="33"/>
        <v>0</v>
      </c>
      <c r="AE873" s="160">
        <v>871</v>
      </c>
    </row>
    <row r="874" spans="27:31" x14ac:dyDescent="0.25">
      <c r="AA874" s="160"/>
      <c r="AB874" s="162"/>
      <c r="AC874" s="162"/>
      <c r="AD874" s="162">
        <f t="shared" si="33"/>
        <v>0</v>
      </c>
      <c r="AE874" s="160">
        <v>872</v>
      </c>
    </row>
    <row r="875" spans="27:31" x14ac:dyDescent="0.25">
      <c r="AA875" s="160"/>
      <c r="AB875" s="162"/>
      <c r="AC875" s="162"/>
      <c r="AD875" s="162">
        <f t="shared" si="33"/>
        <v>0</v>
      </c>
      <c r="AE875" s="160">
        <v>873</v>
      </c>
    </row>
    <row r="876" spans="27:31" x14ac:dyDescent="0.25">
      <c r="AA876" s="160"/>
      <c r="AB876" s="162"/>
      <c r="AC876" s="162"/>
      <c r="AD876" s="162">
        <f t="shared" si="33"/>
        <v>0</v>
      </c>
      <c r="AE876" s="160">
        <v>874</v>
      </c>
    </row>
    <row r="877" spans="27:31" x14ac:dyDescent="0.25">
      <c r="AA877" s="160"/>
      <c r="AB877" s="162"/>
      <c r="AC877" s="162"/>
      <c r="AD877" s="162">
        <f t="shared" si="33"/>
        <v>0</v>
      </c>
      <c r="AE877" s="160">
        <v>875</v>
      </c>
    </row>
    <row r="878" spans="27:31" x14ac:dyDescent="0.25">
      <c r="AA878" s="160"/>
      <c r="AB878" s="162"/>
      <c r="AC878" s="162"/>
      <c r="AD878" s="162">
        <f t="shared" si="33"/>
        <v>0</v>
      </c>
      <c r="AE878" s="160">
        <v>876</v>
      </c>
    </row>
    <row r="879" spans="27:31" x14ac:dyDescent="0.25">
      <c r="AA879" s="160"/>
      <c r="AB879" s="162"/>
      <c r="AC879" s="162"/>
      <c r="AD879" s="162">
        <f t="shared" si="33"/>
        <v>0</v>
      </c>
      <c r="AE879" s="160">
        <v>877</v>
      </c>
    </row>
    <row r="880" spans="27:31" x14ac:dyDescent="0.25">
      <c r="AA880" s="160"/>
      <c r="AB880" s="162"/>
      <c r="AC880" s="162"/>
      <c r="AD880" s="162">
        <f t="shared" si="33"/>
        <v>0</v>
      </c>
      <c r="AE880" s="160">
        <v>878</v>
      </c>
    </row>
    <row r="881" spans="27:31" x14ac:dyDescent="0.25">
      <c r="AA881" s="160"/>
      <c r="AB881" s="162"/>
      <c r="AC881" s="162"/>
      <c r="AD881" s="162">
        <f t="shared" si="33"/>
        <v>0</v>
      </c>
      <c r="AE881" s="160">
        <v>879</v>
      </c>
    </row>
    <row r="882" spans="27:31" x14ac:dyDescent="0.25">
      <c r="AA882" s="160"/>
      <c r="AB882" s="162"/>
      <c r="AC882" s="162"/>
      <c r="AD882" s="162">
        <f t="shared" si="33"/>
        <v>0</v>
      </c>
      <c r="AE882" s="160">
        <v>880</v>
      </c>
    </row>
    <row r="883" spans="27:31" x14ac:dyDescent="0.25">
      <c r="AA883" s="160"/>
      <c r="AB883" s="162"/>
      <c r="AC883" s="162"/>
      <c r="AD883" s="162">
        <f t="shared" si="33"/>
        <v>0</v>
      </c>
      <c r="AE883" s="160">
        <v>881</v>
      </c>
    </row>
    <row r="884" spans="27:31" x14ac:dyDescent="0.25">
      <c r="AA884" s="160"/>
      <c r="AB884" s="162"/>
      <c r="AC884" s="162"/>
      <c r="AD884" s="162">
        <f t="shared" si="33"/>
        <v>0</v>
      </c>
      <c r="AE884" s="160">
        <v>882</v>
      </c>
    </row>
    <row r="885" spans="27:31" x14ac:dyDescent="0.25">
      <c r="AA885" s="160"/>
      <c r="AB885" s="162"/>
      <c r="AC885" s="162"/>
      <c r="AD885" s="162">
        <f t="shared" si="33"/>
        <v>0</v>
      </c>
      <c r="AE885" s="160">
        <v>883</v>
      </c>
    </row>
    <row r="886" spans="27:31" x14ac:dyDescent="0.25">
      <c r="AA886" s="160"/>
      <c r="AB886" s="162"/>
      <c r="AC886" s="162"/>
      <c r="AD886" s="162">
        <f t="shared" si="33"/>
        <v>0</v>
      </c>
      <c r="AE886" s="160">
        <v>884</v>
      </c>
    </row>
    <row r="887" spans="27:31" x14ac:dyDescent="0.25">
      <c r="AA887" s="160"/>
      <c r="AB887" s="162"/>
      <c r="AC887" s="162"/>
      <c r="AD887" s="162">
        <f t="shared" si="33"/>
        <v>0</v>
      </c>
      <c r="AE887" s="160">
        <v>885</v>
      </c>
    </row>
    <row r="888" spans="27:31" x14ac:dyDescent="0.25">
      <c r="AA888" s="160"/>
      <c r="AB888" s="162"/>
      <c r="AC888" s="162"/>
      <c r="AD888" s="162">
        <f t="shared" si="33"/>
        <v>0</v>
      </c>
      <c r="AE888" s="160">
        <v>886</v>
      </c>
    </row>
    <row r="889" spans="27:31" x14ac:dyDescent="0.25">
      <c r="AA889" s="160"/>
      <c r="AB889" s="162"/>
      <c r="AC889" s="162"/>
      <c r="AD889" s="162">
        <f t="shared" si="33"/>
        <v>0</v>
      </c>
      <c r="AE889" s="160">
        <v>887</v>
      </c>
    </row>
    <row r="890" spans="27:31" x14ac:dyDescent="0.25">
      <c r="AA890" s="160"/>
      <c r="AB890" s="162"/>
      <c r="AC890" s="162"/>
      <c r="AD890" s="162">
        <f t="shared" si="33"/>
        <v>0</v>
      </c>
      <c r="AE890" s="160">
        <v>888</v>
      </c>
    </row>
    <row r="891" spans="27:31" x14ac:dyDescent="0.25">
      <c r="AA891" s="160"/>
      <c r="AB891" s="162"/>
      <c r="AC891" s="162"/>
      <c r="AD891" s="162">
        <f t="shared" si="33"/>
        <v>0</v>
      </c>
      <c r="AE891" s="160">
        <v>889</v>
      </c>
    </row>
    <row r="892" spans="27:31" x14ac:dyDescent="0.25">
      <c r="AA892" s="160"/>
      <c r="AB892" s="162"/>
      <c r="AC892" s="162"/>
      <c r="AD892" s="162">
        <f t="shared" si="33"/>
        <v>0</v>
      </c>
      <c r="AE892" s="160">
        <v>890</v>
      </c>
    </row>
    <row r="893" spans="27:31" x14ac:dyDescent="0.25">
      <c r="AA893" s="160"/>
      <c r="AB893" s="162"/>
      <c r="AC893" s="162"/>
      <c r="AD893" s="162">
        <f t="shared" si="33"/>
        <v>0</v>
      </c>
      <c r="AE893" s="160">
        <v>891</v>
      </c>
    </row>
    <row r="894" spans="27:31" x14ac:dyDescent="0.25">
      <c r="AA894" s="160"/>
      <c r="AB894" s="162"/>
      <c r="AC894" s="162"/>
      <c r="AD894" s="162">
        <f t="shared" si="33"/>
        <v>0</v>
      </c>
      <c r="AE894" s="160">
        <v>892</v>
      </c>
    </row>
    <row r="895" spans="27:31" x14ac:dyDescent="0.25">
      <c r="AA895" s="160"/>
      <c r="AB895" s="162"/>
      <c r="AC895" s="162"/>
      <c r="AD895" s="162">
        <f t="shared" si="33"/>
        <v>0</v>
      </c>
      <c r="AE895" s="160">
        <v>893</v>
      </c>
    </row>
    <row r="896" spans="27:31" x14ac:dyDescent="0.25">
      <c r="AA896" s="160"/>
      <c r="AB896" s="162"/>
      <c r="AC896" s="162"/>
      <c r="AD896" s="162">
        <f t="shared" si="33"/>
        <v>0</v>
      </c>
      <c r="AE896" s="160">
        <v>894</v>
      </c>
    </row>
    <row r="897" spans="27:31" x14ac:dyDescent="0.25">
      <c r="AA897" s="160"/>
      <c r="AB897" s="162"/>
      <c r="AC897" s="162"/>
      <c r="AD897" s="162">
        <f t="shared" si="33"/>
        <v>0</v>
      </c>
      <c r="AE897" s="160">
        <v>895</v>
      </c>
    </row>
    <row r="898" spans="27:31" x14ac:dyDescent="0.25">
      <c r="AA898" s="160"/>
      <c r="AB898" s="162"/>
      <c r="AC898" s="162"/>
      <c r="AD898" s="162">
        <f t="shared" si="33"/>
        <v>0</v>
      </c>
      <c r="AE898" s="160">
        <v>896</v>
      </c>
    </row>
    <row r="899" spans="27:31" x14ac:dyDescent="0.25">
      <c r="AA899" s="160"/>
      <c r="AB899" s="162"/>
      <c r="AC899" s="162"/>
      <c r="AD899" s="162">
        <f t="shared" si="33"/>
        <v>0</v>
      </c>
      <c r="AE899" s="160">
        <v>897</v>
      </c>
    </row>
    <row r="900" spans="27:31" x14ac:dyDescent="0.25">
      <c r="AA900" s="160"/>
      <c r="AB900" s="162"/>
      <c r="AC900" s="162"/>
      <c r="AD900" s="162">
        <f t="shared" ref="AD900:AD963" si="34">AB900+AC900</f>
        <v>0</v>
      </c>
      <c r="AE900" s="160">
        <v>898</v>
      </c>
    </row>
    <row r="901" spans="27:31" x14ac:dyDescent="0.25">
      <c r="AA901" s="160"/>
      <c r="AB901" s="162"/>
      <c r="AC901" s="162"/>
      <c r="AD901" s="162">
        <f t="shared" si="34"/>
        <v>0</v>
      </c>
      <c r="AE901" s="160">
        <v>899</v>
      </c>
    </row>
    <row r="902" spans="27:31" x14ac:dyDescent="0.25">
      <c r="AA902" s="160"/>
      <c r="AB902" s="162"/>
      <c r="AC902" s="162"/>
      <c r="AD902" s="162">
        <f t="shared" si="34"/>
        <v>0</v>
      </c>
      <c r="AE902" s="160">
        <v>900</v>
      </c>
    </row>
    <row r="903" spans="27:31" x14ac:dyDescent="0.25">
      <c r="AA903" s="160"/>
      <c r="AB903" s="162"/>
      <c r="AC903" s="162"/>
      <c r="AD903" s="162">
        <f t="shared" si="34"/>
        <v>0</v>
      </c>
      <c r="AE903" s="160">
        <v>901</v>
      </c>
    </row>
    <row r="904" spans="27:31" x14ac:dyDescent="0.25">
      <c r="AA904" s="160"/>
      <c r="AB904" s="162"/>
      <c r="AC904" s="162"/>
      <c r="AD904" s="162">
        <f t="shared" si="34"/>
        <v>0</v>
      </c>
      <c r="AE904" s="160">
        <v>902</v>
      </c>
    </row>
    <row r="905" spans="27:31" x14ac:dyDescent="0.25">
      <c r="AA905" s="160"/>
      <c r="AB905" s="162"/>
      <c r="AC905" s="162"/>
      <c r="AD905" s="162">
        <f t="shared" si="34"/>
        <v>0</v>
      </c>
      <c r="AE905" s="160">
        <v>903</v>
      </c>
    </row>
    <row r="906" spans="27:31" x14ac:dyDescent="0.25">
      <c r="AA906" s="160"/>
      <c r="AB906" s="162"/>
      <c r="AC906" s="162"/>
      <c r="AD906" s="162">
        <f t="shared" si="34"/>
        <v>0</v>
      </c>
      <c r="AE906" s="160">
        <v>904</v>
      </c>
    </row>
    <row r="907" spans="27:31" x14ac:dyDescent="0.25">
      <c r="AA907" s="160"/>
      <c r="AB907" s="162"/>
      <c r="AC907" s="162"/>
      <c r="AD907" s="162">
        <f t="shared" si="34"/>
        <v>0</v>
      </c>
      <c r="AE907" s="160">
        <v>905</v>
      </c>
    </row>
    <row r="908" spans="27:31" x14ac:dyDescent="0.25">
      <c r="AA908" s="160"/>
      <c r="AB908" s="162"/>
      <c r="AC908" s="162"/>
      <c r="AD908" s="162">
        <f t="shared" si="34"/>
        <v>0</v>
      </c>
      <c r="AE908" s="160">
        <v>906</v>
      </c>
    </row>
    <row r="909" spans="27:31" x14ac:dyDescent="0.25">
      <c r="AA909" s="160"/>
      <c r="AB909" s="162"/>
      <c r="AC909" s="162"/>
      <c r="AD909" s="162">
        <f t="shared" si="34"/>
        <v>0</v>
      </c>
      <c r="AE909" s="160">
        <v>907</v>
      </c>
    </row>
    <row r="910" spans="27:31" x14ac:dyDescent="0.25">
      <c r="AA910" s="160"/>
      <c r="AB910" s="162"/>
      <c r="AC910" s="162"/>
      <c r="AD910" s="162">
        <f t="shared" si="34"/>
        <v>0</v>
      </c>
      <c r="AE910" s="160">
        <v>908</v>
      </c>
    </row>
    <row r="911" spans="27:31" x14ac:dyDescent="0.25">
      <c r="AA911" s="160"/>
      <c r="AB911" s="162"/>
      <c r="AC911" s="162"/>
      <c r="AD911" s="162">
        <f t="shared" si="34"/>
        <v>0</v>
      </c>
      <c r="AE911" s="160">
        <v>909</v>
      </c>
    </row>
    <row r="912" spans="27:31" x14ac:dyDescent="0.25">
      <c r="AA912" s="160"/>
      <c r="AB912" s="162"/>
      <c r="AC912" s="162"/>
      <c r="AD912" s="162">
        <f t="shared" si="34"/>
        <v>0</v>
      </c>
      <c r="AE912" s="160">
        <v>910</v>
      </c>
    </row>
    <row r="913" spans="27:31" x14ac:dyDescent="0.25">
      <c r="AA913" s="160"/>
      <c r="AB913" s="162"/>
      <c r="AC913" s="162"/>
      <c r="AD913" s="162">
        <f t="shared" si="34"/>
        <v>0</v>
      </c>
      <c r="AE913" s="160">
        <v>911</v>
      </c>
    </row>
    <row r="914" spans="27:31" x14ac:dyDescent="0.25">
      <c r="AA914" s="160"/>
      <c r="AB914" s="162"/>
      <c r="AC914" s="162"/>
      <c r="AD914" s="162">
        <f t="shared" si="34"/>
        <v>0</v>
      </c>
      <c r="AE914" s="160">
        <v>912</v>
      </c>
    </row>
    <row r="915" spans="27:31" x14ac:dyDescent="0.25">
      <c r="AA915" s="160"/>
      <c r="AB915" s="162"/>
      <c r="AC915" s="162"/>
      <c r="AD915" s="162">
        <f t="shared" si="34"/>
        <v>0</v>
      </c>
      <c r="AE915" s="160">
        <v>913</v>
      </c>
    </row>
    <row r="916" spans="27:31" x14ac:dyDescent="0.25">
      <c r="AA916" s="160"/>
      <c r="AB916" s="162"/>
      <c r="AC916" s="162"/>
      <c r="AD916" s="162">
        <f t="shared" si="34"/>
        <v>0</v>
      </c>
      <c r="AE916" s="160">
        <v>914</v>
      </c>
    </row>
    <row r="917" spans="27:31" x14ac:dyDescent="0.25">
      <c r="AA917" s="160"/>
      <c r="AB917" s="162"/>
      <c r="AC917" s="162"/>
      <c r="AD917" s="162">
        <f t="shared" si="34"/>
        <v>0</v>
      </c>
      <c r="AE917" s="160">
        <v>915</v>
      </c>
    </row>
    <row r="918" spans="27:31" x14ac:dyDescent="0.25">
      <c r="AA918" s="160"/>
      <c r="AB918" s="162"/>
      <c r="AC918" s="162"/>
      <c r="AD918" s="162">
        <f t="shared" si="34"/>
        <v>0</v>
      </c>
      <c r="AE918" s="160">
        <v>916</v>
      </c>
    </row>
    <row r="919" spans="27:31" x14ac:dyDescent="0.25">
      <c r="AA919" s="160"/>
      <c r="AB919" s="162"/>
      <c r="AC919" s="162"/>
      <c r="AD919" s="162">
        <f t="shared" si="34"/>
        <v>0</v>
      </c>
      <c r="AE919" s="160">
        <v>917</v>
      </c>
    </row>
    <row r="920" spans="27:31" x14ac:dyDescent="0.25">
      <c r="AA920" s="160"/>
      <c r="AB920" s="162"/>
      <c r="AC920" s="162"/>
      <c r="AD920" s="162">
        <f t="shared" si="34"/>
        <v>0</v>
      </c>
      <c r="AE920" s="160">
        <v>918</v>
      </c>
    </row>
    <row r="921" spans="27:31" x14ac:dyDescent="0.25">
      <c r="AA921" s="160"/>
      <c r="AB921" s="162"/>
      <c r="AC921" s="162"/>
      <c r="AD921" s="162">
        <f t="shared" si="34"/>
        <v>0</v>
      </c>
      <c r="AE921" s="160">
        <v>919</v>
      </c>
    </row>
    <row r="922" spans="27:31" x14ac:dyDescent="0.25">
      <c r="AA922" s="160"/>
      <c r="AB922" s="162"/>
      <c r="AC922" s="162"/>
      <c r="AD922" s="162">
        <f t="shared" si="34"/>
        <v>0</v>
      </c>
      <c r="AE922" s="160">
        <v>920</v>
      </c>
    </row>
    <row r="923" spans="27:31" x14ac:dyDescent="0.25">
      <c r="AA923" s="160"/>
      <c r="AB923" s="162"/>
      <c r="AC923" s="162"/>
      <c r="AD923" s="162">
        <f t="shared" si="34"/>
        <v>0</v>
      </c>
      <c r="AE923" s="160">
        <v>921</v>
      </c>
    </row>
    <row r="924" spans="27:31" x14ac:dyDescent="0.25">
      <c r="AA924" s="160"/>
      <c r="AB924" s="162"/>
      <c r="AC924" s="162"/>
      <c r="AD924" s="162">
        <f t="shared" si="34"/>
        <v>0</v>
      </c>
      <c r="AE924" s="160">
        <v>922</v>
      </c>
    </row>
    <row r="925" spans="27:31" x14ac:dyDescent="0.25">
      <c r="AA925" s="160"/>
      <c r="AB925" s="162"/>
      <c r="AC925" s="162"/>
      <c r="AD925" s="162">
        <f t="shared" si="34"/>
        <v>0</v>
      </c>
      <c r="AE925" s="160">
        <v>923</v>
      </c>
    </row>
    <row r="926" spans="27:31" x14ac:dyDescent="0.25">
      <c r="AA926" s="160"/>
      <c r="AB926" s="162"/>
      <c r="AC926" s="162"/>
      <c r="AD926" s="162">
        <f t="shared" si="34"/>
        <v>0</v>
      </c>
      <c r="AE926" s="160">
        <v>924</v>
      </c>
    </row>
    <row r="927" spans="27:31" x14ac:dyDescent="0.25">
      <c r="AA927" s="160"/>
      <c r="AB927" s="162"/>
      <c r="AC927" s="162"/>
      <c r="AD927" s="162">
        <f t="shared" si="34"/>
        <v>0</v>
      </c>
      <c r="AE927" s="160">
        <v>925</v>
      </c>
    </row>
    <row r="928" spans="27:31" x14ac:dyDescent="0.25">
      <c r="AA928" s="160"/>
      <c r="AB928" s="162"/>
      <c r="AC928" s="162"/>
      <c r="AD928" s="162">
        <f t="shared" si="34"/>
        <v>0</v>
      </c>
      <c r="AE928" s="160">
        <v>926</v>
      </c>
    </row>
    <row r="929" spans="27:31" x14ac:dyDescent="0.25">
      <c r="AA929" s="160"/>
      <c r="AB929" s="162"/>
      <c r="AC929" s="162"/>
      <c r="AD929" s="162">
        <f t="shared" si="34"/>
        <v>0</v>
      </c>
      <c r="AE929" s="160">
        <v>927</v>
      </c>
    </row>
    <row r="930" spans="27:31" x14ac:dyDescent="0.25">
      <c r="AA930" s="160"/>
      <c r="AB930" s="162"/>
      <c r="AC930" s="162"/>
      <c r="AD930" s="162">
        <f t="shared" si="34"/>
        <v>0</v>
      </c>
      <c r="AE930" s="160">
        <v>928</v>
      </c>
    </row>
    <row r="931" spans="27:31" x14ac:dyDescent="0.25">
      <c r="AA931" s="160"/>
      <c r="AB931" s="162"/>
      <c r="AC931" s="162"/>
      <c r="AD931" s="162">
        <f t="shared" si="34"/>
        <v>0</v>
      </c>
      <c r="AE931" s="160">
        <v>929</v>
      </c>
    </row>
    <row r="932" spans="27:31" x14ac:dyDescent="0.25">
      <c r="AA932" s="160"/>
      <c r="AB932" s="162"/>
      <c r="AC932" s="162"/>
      <c r="AD932" s="162">
        <f t="shared" si="34"/>
        <v>0</v>
      </c>
      <c r="AE932" s="160">
        <v>930</v>
      </c>
    </row>
    <row r="933" spans="27:31" x14ac:dyDescent="0.25">
      <c r="AA933" s="160"/>
      <c r="AB933" s="162"/>
      <c r="AC933" s="162"/>
      <c r="AD933" s="162">
        <f t="shared" si="34"/>
        <v>0</v>
      </c>
      <c r="AE933" s="160">
        <v>931</v>
      </c>
    </row>
    <row r="934" spans="27:31" x14ac:dyDescent="0.25">
      <c r="AA934" s="160"/>
      <c r="AB934" s="162"/>
      <c r="AC934" s="162"/>
      <c r="AD934" s="162">
        <f t="shared" si="34"/>
        <v>0</v>
      </c>
      <c r="AE934" s="160">
        <v>932</v>
      </c>
    </row>
    <row r="935" spans="27:31" x14ac:dyDescent="0.25">
      <c r="AA935" s="160"/>
      <c r="AB935" s="162"/>
      <c r="AC935" s="162"/>
      <c r="AD935" s="162">
        <f t="shared" si="34"/>
        <v>0</v>
      </c>
      <c r="AE935" s="160">
        <v>933</v>
      </c>
    </row>
    <row r="936" spans="27:31" x14ac:dyDescent="0.25">
      <c r="AA936" s="160"/>
      <c r="AB936" s="162"/>
      <c r="AC936" s="162"/>
      <c r="AD936" s="162">
        <f t="shared" si="34"/>
        <v>0</v>
      </c>
      <c r="AE936" s="160">
        <v>934</v>
      </c>
    </row>
    <row r="937" spans="27:31" x14ac:dyDescent="0.25">
      <c r="AA937" s="160"/>
      <c r="AB937" s="162"/>
      <c r="AC937" s="162"/>
      <c r="AD937" s="162">
        <f t="shared" si="34"/>
        <v>0</v>
      </c>
      <c r="AE937" s="160">
        <v>935</v>
      </c>
    </row>
    <row r="938" spans="27:31" x14ac:dyDescent="0.25">
      <c r="AA938" s="160"/>
      <c r="AB938" s="162"/>
      <c r="AC938" s="162"/>
      <c r="AD938" s="162">
        <f t="shared" si="34"/>
        <v>0</v>
      </c>
      <c r="AE938" s="160">
        <v>936</v>
      </c>
    </row>
    <row r="939" spans="27:31" x14ac:dyDescent="0.25">
      <c r="AA939" s="160"/>
      <c r="AB939" s="162"/>
      <c r="AC939" s="162"/>
      <c r="AD939" s="162">
        <f t="shared" si="34"/>
        <v>0</v>
      </c>
      <c r="AE939" s="160">
        <v>937</v>
      </c>
    </row>
    <row r="940" spans="27:31" x14ac:dyDescent="0.25">
      <c r="AA940" s="160"/>
      <c r="AB940" s="162"/>
      <c r="AC940" s="162"/>
      <c r="AD940" s="162">
        <f t="shared" si="34"/>
        <v>0</v>
      </c>
      <c r="AE940" s="160">
        <v>938</v>
      </c>
    </row>
    <row r="941" spans="27:31" x14ac:dyDescent="0.25">
      <c r="AA941" s="160"/>
      <c r="AB941" s="162"/>
      <c r="AC941" s="162"/>
      <c r="AD941" s="162">
        <f t="shared" si="34"/>
        <v>0</v>
      </c>
      <c r="AE941" s="160">
        <v>939</v>
      </c>
    </row>
    <row r="942" spans="27:31" x14ac:dyDescent="0.25">
      <c r="AA942" s="160"/>
      <c r="AB942" s="162"/>
      <c r="AC942" s="162"/>
      <c r="AD942" s="162">
        <f t="shared" si="34"/>
        <v>0</v>
      </c>
      <c r="AE942" s="160">
        <v>940</v>
      </c>
    </row>
    <row r="943" spans="27:31" x14ac:dyDescent="0.25">
      <c r="AA943" s="160"/>
      <c r="AB943" s="162"/>
      <c r="AC943" s="162"/>
      <c r="AD943" s="162">
        <f t="shared" si="34"/>
        <v>0</v>
      </c>
      <c r="AE943" s="160">
        <v>941</v>
      </c>
    </row>
    <row r="944" spans="27:31" x14ac:dyDescent="0.25">
      <c r="AA944" s="160"/>
      <c r="AB944" s="162"/>
      <c r="AC944" s="162"/>
      <c r="AD944" s="162">
        <f t="shared" si="34"/>
        <v>0</v>
      </c>
      <c r="AE944" s="160">
        <v>942</v>
      </c>
    </row>
    <row r="945" spans="27:31" x14ac:dyDescent="0.25">
      <c r="AA945" s="160"/>
      <c r="AB945" s="162"/>
      <c r="AC945" s="162"/>
      <c r="AD945" s="162">
        <f t="shared" si="34"/>
        <v>0</v>
      </c>
      <c r="AE945" s="160">
        <v>943</v>
      </c>
    </row>
    <row r="946" spans="27:31" x14ac:dyDescent="0.25">
      <c r="AA946" s="160"/>
      <c r="AB946" s="162"/>
      <c r="AC946" s="162"/>
      <c r="AD946" s="162">
        <f t="shared" si="34"/>
        <v>0</v>
      </c>
      <c r="AE946" s="160">
        <v>944</v>
      </c>
    </row>
    <row r="947" spans="27:31" x14ac:dyDescent="0.25">
      <c r="AA947" s="160"/>
      <c r="AB947" s="162"/>
      <c r="AC947" s="162"/>
      <c r="AD947" s="162">
        <f t="shared" si="34"/>
        <v>0</v>
      </c>
      <c r="AE947" s="160">
        <v>945</v>
      </c>
    </row>
    <row r="948" spans="27:31" x14ac:dyDescent="0.25">
      <c r="AA948" s="160"/>
      <c r="AB948" s="162"/>
      <c r="AC948" s="162"/>
      <c r="AD948" s="162">
        <f t="shared" si="34"/>
        <v>0</v>
      </c>
      <c r="AE948" s="160">
        <v>946</v>
      </c>
    </row>
    <row r="949" spans="27:31" x14ac:dyDescent="0.25">
      <c r="AA949" s="160"/>
      <c r="AB949" s="162"/>
      <c r="AC949" s="162"/>
      <c r="AD949" s="162">
        <f t="shared" si="34"/>
        <v>0</v>
      </c>
      <c r="AE949" s="160">
        <v>947</v>
      </c>
    </row>
    <row r="950" spans="27:31" x14ac:dyDescent="0.25">
      <c r="AA950" s="160"/>
      <c r="AB950" s="162"/>
      <c r="AC950" s="162"/>
      <c r="AD950" s="162">
        <f t="shared" si="34"/>
        <v>0</v>
      </c>
      <c r="AE950" s="160">
        <v>948</v>
      </c>
    </row>
    <row r="951" spans="27:31" x14ac:dyDescent="0.25">
      <c r="AA951" s="160"/>
      <c r="AB951" s="162"/>
      <c r="AC951" s="162"/>
      <c r="AD951" s="162">
        <f t="shared" si="34"/>
        <v>0</v>
      </c>
      <c r="AE951" s="160">
        <v>949</v>
      </c>
    </row>
    <row r="952" spans="27:31" x14ac:dyDescent="0.25">
      <c r="AA952" s="160"/>
      <c r="AB952" s="162"/>
      <c r="AC952" s="162"/>
      <c r="AD952" s="162">
        <f t="shared" si="34"/>
        <v>0</v>
      </c>
      <c r="AE952" s="160">
        <v>950</v>
      </c>
    </row>
    <row r="953" spans="27:31" x14ac:dyDescent="0.25">
      <c r="AA953" s="160"/>
      <c r="AB953" s="162"/>
      <c r="AC953" s="162"/>
      <c r="AD953" s="162">
        <f t="shared" si="34"/>
        <v>0</v>
      </c>
      <c r="AE953" s="160">
        <v>951</v>
      </c>
    </row>
    <row r="954" spans="27:31" x14ac:dyDescent="0.25">
      <c r="AA954" s="160"/>
      <c r="AB954" s="162"/>
      <c r="AC954" s="162"/>
      <c r="AD954" s="162">
        <f t="shared" si="34"/>
        <v>0</v>
      </c>
      <c r="AE954" s="160">
        <v>952</v>
      </c>
    </row>
    <row r="955" spans="27:31" x14ac:dyDescent="0.25">
      <c r="AA955" s="160"/>
      <c r="AB955" s="162"/>
      <c r="AC955" s="162"/>
      <c r="AD955" s="162">
        <f t="shared" si="34"/>
        <v>0</v>
      </c>
      <c r="AE955" s="160">
        <v>953</v>
      </c>
    </row>
    <row r="956" spans="27:31" x14ac:dyDescent="0.25">
      <c r="AA956" s="160"/>
      <c r="AB956" s="162"/>
      <c r="AC956" s="162"/>
      <c r="AD956" s="162">
        <f t="shared" si="34"/>
        <v>0</v>
      </c>
      <c r="AE956" s="160">
        <v>954</v>
      </c>
    </row>
    <row r="957" spans="27:31" x14ac:dyDescent="0.25">
      <c r="AA957" s="160"/>
      <c r="AB957" s="162"/>
      <c r="AC957" s="162"/>
      <c r="AD957" s="162">
        <f t="shared" si="34"/>
        <v>0</v>
      </c>
      <c r="AE957" s="160">
        <v>955</v>
      </c>
    </row>
    <row r="958" spans="27:31" x14ac:dyDescent="0.25">
      <c r="AA958" s="160"/>
      <c r="AB958" s="162"/>
      <c r="AC958" s="162"/>
      <c r="AD958" s="162">
        <f t="shared" si="34"/>
        <v>0</v>
      </c>
      <c r="AE958" s="160">
        <v>956</v>
      </c>
    </row>
    <row r="959" spans="27:31" x14ac:dyDescent="0.25">
      <c r="AA959" s="160"/>
      <c r="AB959" s="162"/>
      <c r="AC959" s="162"/>
      <c r="AD959" s="162">
        <f t="shared" si="34"/>
        <v>0</v>
      </c>
      <c r="AE959" s="160">
        <v>957</v>
      </c>
    </row>
    <row r="960" spans="27:31" x14ac:dyDescent="0.25">
      <c r="AA960" s="160"/>
      <c r="AB960" s="162"/>
      <c r="AC960" s="162"/>
      <c r="AD960" s="162">
        <f t="shared" si="34"/>
        <v>0</v>
      </c>
      <c r="AE960" s="160">
        <v>958</v>
      </c>
    </row>
    <row r="961" spans="27:31" x14ac:dyDescent="0.25">
      <c r="AA961" s="160"/>
      <c r="AB961" s="162"/>
      <c r="AC961" s="162"/>
      <c r="AD961" s="162">
        <f t="shared" si="34"/>
        <v>0</v>
      </c>
      <c r="AE961" s="160">
        <v>959</v>
      </c>
    </row>
    <row r="962" spans="27:31" x14ac:dyDescent="0.25">
      <c r="AA962" s="160"/>
      <c r="AB962" s="162"/>
      <c r="AC962" s="162"/>
      <c r="AD962" s="162">
        <f t="shared" si="34"/>
        <v>0</v>
      </c>
      <c r="AE962" s="160">
        <v>960</v>
      </c>
    </row>
    <row r="963" spans="27:31" x14ac:dyDescent="0.25">
      <c r="AA963" s="160"/>
      <c r="AB963" s="162"/>
      <c r="AC963" s="162"/>
      <c r="AD963" s="162">
        <f t="shared" si="34"/>
        <v>0</v>
      </c>
      <c r="AE963" s="160">
        <v>961</v>
      </c>
    </row>
    <row r="964" spans="27:31" x14ac:dyDescent="0.25">
      <c r="AA964" s="160"/>
      <c r="AB964" s="162"/>
      <c r="AC964" s="162"/>
      <c r="AD964" s="162">
        <f t="shared" ref="AD964:AD1027" si="35">AB964+AC964</f>
        <v>0</v>
      </c>
      <c r="AE964" s="160">
        <v>962</v>
      </c>
    </row>
    <row r="965" spans="27:31" x14ac:dyDescent="0.25">
      <c r="AA965" s="160"/>
      <c r="AB965" s="162"/>
      <c r="AC965" s="162"/>
      <c r="AD965" s="162">
        <f t="shared" si="35"/>
        <v>0</v>
      </c>
      <c r="AE965" s="160">
        <v>963</v>
      </c>
    </row>
    <row r="966" spans="27:31" x14ac:dyDescent="0.25">
      <c r="AA966" s="160"/>
      <c r="AB966" s="162"/>
      <c r="AC966" s="162"/>
      <c r="AD966" s="162">
        <f t="shared" si="35"/>
        <v>0</v>
      </c>
      <c r="AE966" s="160">
        <v>964</v>
      </c>
    </row>
    <row r="967" spans="27:31" x14ac:dyDescent="0.25">
      <c r="AA967" s="160"/>
      <c r="AB967" s="162"/>
      <c r="AC967" s="162"/>
      <c r="AD967" s="162">
        <f t="shared" si="35"/>
        <v>0</v>
      </c>
      <c r="AE967" s="160">
        <v>965</v>
      </c>
    </row>
    <row r="968" spans="27:31" x14ac:dyDescent="0.25">
      <c r="AA968" s="160"/>
      <c r="AB968" s="162"/>
      <c r="AC968" s="162"/>
      <c r="AD968" s="162">
        <f t="shared" si="35"/>
        <v>0</v>
      </c>
      <c r="AE968" s="160">
        <v>966</v>
      </c>
    </row>
    <row r="969" spans="27:31" x14ac:dyDescent="0.25">
      <c r="AA969" s="160"/>
      <c r="AB969" s="162"/>
      <c r="AC969" s="162"/>
      <c r="AD969" s="162">
        <f t="shared" si="35"/>
        <v>0</v>
      </c>
      <c r="AE969" s="160">
        <v>967</v>
      </c>
    </row>
    <row r="970" spans="27:31" x14ac:dyDescent="0.25">
      <c r="AA970" s="160"/>
      <c r="AB970" s="162"/>
      <c r="AC970" s="162"/>
      <c r="AD970" s="162">
        <f t="shared" si="35"/>
        <v>0</v>
      </c>
      <c r="AE970" s="160">
        <v>968</v>
      </c>
    </row>
    <row r="971" spans="27:31" x14ac:dyDescent="0.25">
      <c r="AA971" s="160"/>
      <c r="AB971" s="162"/>
      <c r="AC971" s="162"/>
      <c r="AD971" s="162">
        <f t="shared" si="35"/>
        <v>0</v>
      </c>
      <c r="AE971" s="160">
        <v>969</v>
      </c>
    </row>
    <row r="972" spans="27:31" x14ac:dyDescent="0.25">
      <c r="AA972" s="160"/>
      <c r="AB972" s="162"/>
      <c r="AC972" s="162"/>
      <c r="AD972" s="162">
        <f t="shared" si="35"/>
        <v>0</v>
      </c>
      <c r="AE972" s="160">
        <v>970</v>
      </c>
    </row>
    <row r="973" spans="27:31" x14ac:dyDescent="0.25">
      <c r="AA973" s="160"/>
      <c r="AB973" s="162"/>
      <c r="AC973" s="162"/>
      <c r="AD973" s="162">
        <f t="shared" si="35"/>
        <v>0</v>
      </c>
      <c r="AE973" s="160">
        <v>971</v>
      </c>
    </row>
    <row r="974" spans="27:31" x14ac:dyDescent="0.25">
      <c r="AA974" s="160"/>
      <c r="AB974" s="162"/>
      <c r="AC974" s="162"/>
      <c r="AD974" s="162">
        <f t="shared" si="35"/>
        <v>0</v>
      </c>
      <c r="AE974" s="160">
        <v>972</v>
      </c>
    </row>
    <row r="975" spans="27:31" x14ac:dyDescent="0.25">
      <c r="AA975" s="160"/>
      <c r="AB975" s="162"/>
      <c r="AC975" s="162"/>
      <c r="AD975" s="162">
        <f t="shared" si="35"/>
        <v>0</v>
      </c>
      <c r="AE975" s="160">
        <v>973</v>
      </c>
    </row>
    <row r="976" spans="27:31" x14ac:dyDescent="0.25">
      <c r="AA976" s="160"/>
      <c r="AB976" s="162"/>
      <c r="AC976" s="162"/>
      <c r="AD976" s="162">
        <f t="shared" si="35"/>
        <v>0</v>
      </c>
      <c r="AE976" s="160">
        <v>974</v>
      </c>
    </row>
    <row r="977" spans="27:31" x14ac:dyDescent="0.25">
      <c r="AA977" s="160"/>
      <c r="AB977" s="162"/>
      <c r="AC977" s="162"/>
      <c r="AD977" s="162">
        <f t="shared" si="35"/>
        <v>0</v>
      </c>
      <c r="AE977" s="160">
        <v>975</v>
      </c>
    </row>
    <row r="978" spans="27:31" x14ac:dyDescent="0.25">
      <c r="AA978" s="160"/>
      <c r="AB978" s="162"/>
      <c r="AC978" s="162"/>
      <c r="AD978" s="162">
        <f t="shared" si="35"/>
        <v>0</v>
      </c>
      <c r="AE978" s="160">
        <v>976</v>
      </c>
    </row>
    <row r="979" spans="27:31" x14ac:dyDescent="0.25">
      <c r="AA979" s="160"/>
      <c r="AB979" s="162"/>
      <c r="AC979" s="162"/>
      <c r="AD979" s="162">
        <f t="shared" si="35"/>
        <v>0</v>
      </c>
      <c r="AE979" s="160">
        <v>977</v>
      </c>
    </row>
    <row r="980" spans="27:31" x14ac:dyDescent="0.25">
      <c r="AA980" s="160"/>
      <c r="AB980" s="162"/>
      <c r="AC980" s="162"/>
      <c r="AD980" s="162">
        <f t="shared" si="35"/>
        <v>0</v>
      </c>
      <c r="AE980" s="160">
        <v>978</v>
      </c>
    </row>
    <row r="981" spans="27:31" x14ac:dyDescent="0.25">
      <c r="AA981" s="160"/>
      <c r="AB981" s="162"/>
      <c r="AC981" s="162"/>
      <c r="AD981" s="162">
        <f t="shared" si="35"/>
        <v>0</v>
      </c>
      <c r="AE981" s="160">
        <v>979</v>
      </c>
    </row>
    <row r="982" spans="27:31" x14ac:dyDescent="0.25">
      <c r="AA982" s="160"/>
      <c r="AB982" s="162"/>
      <c r="AC982" s="162"/>
      <c r="AD982" s="162">
        <f t="shared" si="35"/>
        <v>0</v>
      </c>
      <c r="AE982" s="160">
        <v>980</v>
      </c>
    </row>
    <row r="983" spans="27:31" x14ac:dyDescent="0.25">
      <c r="AA983" s="160"/>
      <c r="AB983" s="162"/>
      <c r="AC983" s="162"/>
      <c r="AD983" s="162">
        <f t="shared" si="35"/>
        <v>0</v>
      </c>
      <c r="AE983" s="160">
        <v>981</v>
      </c>
    </row>
    <row r="984" spans="27:31" x14ac:dyDescent="0.25">
      <c r="AA984" s="160"/>
      <c r="AB984" s="162"/>
      <c r="AC984" s="162"/>
      <c r="AD984" s="162">
        <f t="shared" si="35"/>
        <v>0</v>
      </c>
      <c r="AE984" s="160">
        <v>982</v>
      </c>
    </row>
    <row r="985" spans="27:31" x14ac:dyDescent="0.25">
      <c r="AA985" s="160"/>
      <c r="AB985" s="162"/>
      <c r="AC985" s="162"/>
      <c r="AD985" s="162">
        <f t="shared" si="35"/>
        <v>0</v>
      </c>
      <c r="AE985" s="160">
        <v>983</v>
      </c>
    </row>
    <row r="986" spans="27:31" x14ac:dyDescent="0.25">
      <c r="AA986" s="160"/>
      <c r="AB986" s="162"/>
      <c r="AC986" s="162"/>
      <c r="AD986" s="162">
        <f t="shared" si="35"/>
        <v>0</v>
      </c>
      <c r="AE986" s="160">
        <v>984</v>
      </c>
    </row>
    <row r="987" spans="27:31" x14ac:dyDescent="0.25">
      <c r="AA987" s="160"/>
      <c r="AB987" s="162"/>
      <c r="AC987" s="162"/>
      <c r="AD987" s="162">
        <f t="shared" si="35"/>
        <v>0</v>
      </c>
      <c r="AE987" s="160">
        <v>985</v>
      </c>
    </row>
    <row r="988" spans="27:31" x14ac:dyDescent="0.25">
      <c r="AA988" s="160"/>
      <c r="AB988" s="162"/>
      <c r="AC988" s="162"/>
      <c r="AD988" s="162">
        <f t="shared" si="35"/>
        <v>0</v>
      </c>
      <c r="AE988" s="160">
        <v>986</v>
      </c>
    </row>
    <row r="989" spans="27:31" x14ac:dyDescent="0.25">
      <c r="AA989" s="160"/>
      <c r="AB989" s="162"/>
      <c r="AC989" s="162"/>
      <c r="AD989" s="162">
        <f t="shared" si="35"/>
        <v>0</v>
      </c>
      <c r="AE989" s="160">
        <v>987</v>
      </c>
    </row>
    <row r="990" spans="27:31" x14ac:dyDescent="0.25">
      <c r="AA990" s="160"/>
      <c r="AB990" s="162"/>
      <c r="AC990" s="162"/>
      <c r="AD990" s="162">
        <f t="shared" si="35"/>
        <v>0</v>
      </c>
      <c r="AE990" s="160">
        <v>988</v>
      </c>
    </row>
    <row r="991" spans="27:31" x14ac:dyDescent="0.25">
      <c r="AA991" s="160"/>
      <c r="AB991" s="162"/>
      <c r="AC991" s="162"/>
      <c r="AD991" s="162">
        <f t="shared" si="35"/>
        <v>0</v>
      </c>
      <c r="AE991" s="160">
        <v>989</v>
      </c>
    </row>
    <row r="992" spans="27:31" x14ac:dyDescent="0.25">
      <c r="AA992" s="160"/>
      <c r="AB992" s="162"/>
      <c r="AC992" s="162"/>
      <c r="AD992" s="162">
        <f t="shared" si="35"/>
        <v>0</v>
      </c>
      <c r="AE992" s="160">
        <v>990</v>
      </c>
    </row>
    <row r="993" spans="27:31" x14ac:dyDescent="0.25">
      <c r="AA993" s="160"/>
      <c r="AB993" s="162"/>
      <c r="AC993" s="162"/>
      <c r="AD993" s="162">
        <f t="shared" si="35"/>
        <v>0</v>
      </c>
      <c r="AE993" s="160">
        <v>991</v>
      </c>
    </row>
    <row r="994" spans="27:31" x14ac:dyDescent="0.25">
      <c r="AA994" s="160"/>
      <c r="AB994" s="162"/>
      <c r="AC994" s="162"/>
      <c r="AD994" s="162">
        <f t="shared" si="35"/>
        <v>0</v>
      </c>
      <c r="AE994" s="160">
        <v>992</v>
      </c>
    </row>
    <row r="995" spans="27:31" x14ac:dyDescent="0.25">
      <c r="AA995" s="160"/>
      <c r="AB995" s="162"/>
      <c r="AC995" s="162"/>
      <c r="AD995" s="162">
        <f t="shared" si="35"/>
        <v>0</v>
      </c>
      <c r="AE995" s="160">
        <v>993</v>
      </c>
    </row>
    <row r="996" spans="27:31" x14ac:dyDescent="0.25">
      <c r="AA996" s="160"/>
      <c r="AB996" s="162"/>
      <c r="AC996" s="162"/>
      <c r="AD996" s="162">
        <f t="shared" si="35"/>
        <v>0</v>
      </c>
      <c r="AE996" s="160">
        <v>994</v>
      </c>
    </row>
    <row r="997" spans="27:31" x14ac:dyDescent="0.25">
      <c r="AA997" s="160"/>
      <c r="AB997" s="162"/>
      <c r="AC997" s="162"/>
      <c r="AD997" s="162">
        <f t="shared" si="35"/>
        <v>0</v>
      </c>
      <c r="AE997" s="160">
        <v>995</v>
      </c>
    </row>
    <row r="998" spans="27:31" x14ac:dyDescent="0.25">
      <c r="AA998" s="160"/>
      <c r="AB998" s="162"/>
      <c r="AC998" s="162"/>
      <c r="AD998" s="162">
        <f t="shared" si="35"/>
        <v>0</v>
      </c>
      <c r="AE998" s="160">
        <v>996</v>
      </c>
    </row>
    <row r="999" spans="27:31" x14ac:dyDescent="0.25">
      <c r="AA999" s="160"/>
      <c r="AB999" s="162"/>
      <c r="AC999" s="162"/>
      <c r="AD999" s="162">
        <f t="shared" si="35"/>
        <v>0</v>
      </c>
      <c r="AE999" s="160">
        <v>997</v>
      </c>
    </row>
    <row r="1000" spans="27:31" x14ac:dyDescent="0.25">
      <c r="AA1000" s="160"/>
      <c r="AB1000" s="162"/>
      <c r="AC1000" s="162"/>
      <c r="AD1000" s="162">
        <f t="shared" si="35"/>
        <v>0</v>
      </c>
      <c r="AE1000" s="160">
        <v>998</v>
      </c>
    </row>
    <row r="1001" spans="27:31" x14ac:dyDescent="0.25">
      <c r="AA1001" s="160"/>
      <c r="AB1001" s="162"/>
      <c r="AC1001" s="162"/>
      <c r="AD1001" s="162">
        <f t="shared" si="35"/>
        <v>0</v>
      </c>
      <c r="AE1001" s="160">
        <v>999</v>
      </c>
    </row>
    <row r="1002" spans="27:31" x14ac:dyDescent="0.25">
      <c r="AA1002" s="160"/>
      <c r="AB1002" s="162"/>
      <c r="AC1002" s="162"/>
      <c r="AD1002" s="162">
        <f t="shared" si="35"/>
        <v>0</v>
      </c>
      <c r="AE1002" s="160">
        <v>1000</v>
      </c>
    </row>
    <row r="1003" spans="27:31" x14ac:dyDescent="0.25">
      <c r="AA1003" s="160"/>
      <c r="AB1003" s="162"/>
      <c r="AC1003" s="162"/>
      <c r="AD1003" s="162">
        <f t="shared" si="35"/>
        <v>0</v>
      </c>
      <c r="AE1003" s="160">
        <v>1001</v>
      </c>
    </row>
    <row r="1004" spans="27:31" x14ac:dyDescent="0.25">
      <c r="AA1004" s="160"/>
      <c r="AB1004" s="162"/>
      <c r="AC1004" s="162"/>
      <c r="AD1004" s="162">
        <f t="shared" si="35"/>
        <v>0</v>
      </c>
      <c r="AE1004" s="160">
        <v>1002</v>
      </c>
    </row>
    <row r="1005" spans="27:31" x14ac:dyDescent="0.25">
      <c r="AA1005" s="160"/>
      <c r="AB1005" s="162"/>
      <c r="AC1005" s="162"/>
      <c r="AD1005" s="162">
        <f t="shared" si="35"/>
        <v>0</v>
      </c>
      <c r="AE1005" s="160">
        <v>1003</v>
      </c>
    </row>
    <row r="1006" spans="27:31" x14ac:dyDescent="0.25">
      <c r="AA1006" s="160"/>
      <c r="AB1006" s="162"/>
      <c r="AC1006" s="162"/>
      <c r="AD1006" s="162">
        <f t="shared" si="35"/>
        <v>0</v>
      </c>
      <c r="AE1006" s="160">
        <v>1004</v>
      </c>
    </row>
    <row r="1007" spans="27:31" x14ac:dyDescent="0.25">
      <c r="AA1007" s="160"/>
      <c r="AB1007" s="162"/>
      <c r="AC1007" s="162"/>
      <c r="AD1007" s="162">
        <f t="shared" si="35"/>
        <v>0</v>
      </c>
      <c r="AE1007" s="160">
        <v>1005</v>
      </c>
    </row>
    <row r="1008" spans="27:31" x14ac:dyDescent="0.25">
      <c r="AA1008" s="160"/>
      <c r="AB1008" s="162"/>
      <c r="AC1008" s="162"/>
      <c r="AD1008" s="162">
        <f t="shared" si="35"/>
        <v>0</v>
      </c>
      <c r="AE1008" s="160">
        <v>1006</v>
      </c>
    </row>
    <row r="1009" spans="27:31" x14ac:dyDescent="0.25">
      <c r="AA1009" s="160"/>
      <c r="AB1009" s="162"/>
      <c r="AC1009" s="162"/>
      <c r="AD1009" s="162">
        <f t="shared" si="35"/>
        <v>0</v>
      </c>
      <c r="AE1009" s="160">
        <v>1007</v>
      </c>
    </row>
    <row r="1010" spans="27:31" x14ac:dyDescent="0.25">
      <c r="AA1010" s="160"/>
      <c r="AB1010" s="162"/>
      <c r="AC1010" s="162"/>
      <c r="AD1010" s="162">
        <f t="shared" si="35"/>
        <v>0</v>
      </c>
      <c r="AE1010" s="160">
        <v>1008</v>
      </c>
    </row>
    <row r="1011" spans="27:31" x14ac:dyDescent="0.25">
      <c r="AA1011" s="160"/>
      <c r="AB1011" s="162"/>
      <c r="AC1011" s="162"/>
      <c r="AD1011" s="162">
        <f t="shared" si="35"/>
        <v>0</v>
      </c>
      <c r="AE1011" s="160">
        <v>1009</v>
      </c>
    </row>
    <row r="1012" spans="27:31" x14ac:dyDescent="0.25">
      <c r="AA1012" s="160"/>
      <c r="AB1012" s="162"/>
      <c r="AC1012" s="162"/>
      <c r="AD1012" s="162">
        <f t="shared" si="35"/>
        <v>0</v>
      </c>
      <c r="AE1012" s="160">
        <v>1010</v>
      </c>
    </row>
    <row r="1013" spans="27:31" x14ac:dyDescent="0.25">
      <c r="AA1013" s="160"/>
      <c r="AB1013" s="162"/>
      <c r="AC1013" s="162"/>
      <c r="AD1013" s="162">
        <f t="shared" si="35"/>
        <v>0</v>
      </c>
      <c r="AE1013" s="160">
        <v>1011</v>
      </c>
    </row>
    <row r="1014" spans="27:31" x14ac:dyDescent="0.25">
      <c r="AA1014" s="160"/>
      <c r="AB1014" s="162"/>
      <c r="AC1014" s="162"/>
      <c r="AD1014" s="162">
        <f t="shared" si="35"/>
        <v>0</v>
      </c>
      <c r="AE1014" s="160">
        <v>1012</v>
      </c>
    </row>
    <row r="1015" spans="27:31" x14ac:dyDescent="0.25">
      <c r="AA1015" s="160"/>
      <c r="AB1015" s="162"/>
      <c r="AC1015" s="162"/>
      <c r="AD1015" s="162">
        <f t="shared" si="35"/>
        <v>0</v>
      </c>
      <c r="AE1015" s="160">
        <v>1013</v>
      </c>
    </row>
    <row r="1016" spans="27:31" x14ac:dyDescent="0.25">
      <c r="AA1016" s="160"/>
      <c r="AB1016" s="162"/>
      <c r="AC1016" s="162"/>
      <c r="AD1016" s="162">
        <f t="shared" si="35"/>
        <v>0</v>
      </c>
      <c r="AE1016" s="160">
        <v>1014</v>
      </c>
    </row>
    <row r="1017" spans="27:31" x14ac:dyDescent="0.25">
      <c r="AA1017" s="160"/>
      <c r="AB1017" s="162"/>
      <c r="AC1017" s="162"/>
      <c r="AD1017" s="162">
        <f t="shared" si="35"/>
        <v>0</v>
      </c>
      <c r="AE1017" s="160">
        <v>1015</v>
      </c>
    </row>
    <row r="1018" spans="27:31" x14ac:dyDescent="0.25">
      <c r="AA1018" s="160"/>
      <c r="AB1018" s="162"/>
      <c r="AC1018" s="162"/>
      <c r="AD1018" s="162">
        <f t="shared" si="35"/>
        <v>0</v>
      </c>
      <c r="AE1018" s="160">
        <v>1016</v>
      </c>
    </row>
    <row r="1019" spans="27:31" x14ac:dyDescent="0.25">
      <c r="AA1019" s="160"/>
      <c r="AB1019" s="162"/>
      <c r="AC1019" s="162"/>
      <c r="AD1019" s="162">
        <f t="shared" si="35"/>
        <v>0</v>
      </c>
      <c r="AE1019" s="160">
        <v>1017</v>
      </c>
    </row>
    <row r="1020" spans="27:31" x14ac:dyDescent="0.25">
      <c r="AA1020" s="160"/>
      <c r="AB1020" s="162"/>
      <c r="AC1020" s="162"/>
      <c r="AD1020" s="162">
        <f t="shared" si="35"/>
        <v>0</v>
      </c>
      <c r="AE1020" s="160">
        <v>1018</v>
      </c>
    </row>
    <row r="1021" spans="27:31" x14ac:dyDescent="0.25">
      <c r="AA1021" s="160"/>
      <c r="AB1021" s="162"/>
      <c r="AC1021" s="162"/>
      <c r="AD1021" s="162">
        <f t="shared" si="35"/>
        <v>0</v>
      </c>
      <c r="AE1021" s="160">
        <v>1019</v>
      </c>
    </row>
    <row r="1022" spans="27:31" x14ac:dyDescent="0.25">
      <c r="AA1022" s="160"/>
      <c r="AB1022" s="162"/>
      <c r="AC1022" s="162"/>
      <c r="AD1022" s="162">
        <f t="shared" si="35"/>
        <v>0</v>
      </c>
      <c r="AE1022" s="160">
        <v>1020</v>
      </c>
    </row>
    <row r="1023" spans="27:31" x14ac:dyDescent="0.25">
      <c r="AA1023" s="160"/>
      <c r="AB1023" s="162"/>
      <c r="AC1023" s="162"/>
      <c r="AD1023" s="162">
        <f t="shared" si="35"/>
        <v>0</v>
      </c>
      <c r="AE1023" s="160">
        <v>1021</v>
      </c>
    </row>
    <row r="1024" spans="27:31" x14ac:dyDescent="0.25">
      <c r="AA1024" s="160"/>
      <c r="AB1024" s="162"/>
      <c r="AC1024" s="162"/>
      <c r="AD1024" s="162">
        <f t="shared" si="35"/>
        <v>0</v>
      </c>
      <c r="AE1024" s="160">
        <v>1022</v>
      </c>
    </row>
    <row r="1025" spans="27:31" x14ac:dyDescent="0.25">
      <c r="AA1025" s="160"/>
      <c r="AB1025" s="162"/>
      <c r="AC1025" s="162"/>
      <c r="AD1025" s="162">
        <f t="shared" si="35"/>
        <v>0</v>
      </c>
      <c r="AE1025" s="160">
        <v>1023</v>
      </c>
    </row>
    <row r="1026" spans="27:31" x14ac:dyDescent="0.25">
      <c r="AA1026" s="160"/>
      <c r="AB1026" s="162"/>
      <c r="AC1026" s="162"/>
      <c r="AD1026" s="162">
        <f t="shared" si="35"/>
        <v>0</v>
      </c>
      <c r="AE1026" s="160">
        <v>1024</v>
      </c>
    </row>
    <row r="1027" spans="27:31" x14ac:dyDescent="0.25">
      <c r="AA1027" s="160"/>
      <c r="AB1027" s="162"/>
      <c r="AC1027" s="162"/>
      <c r="AD1027" s="162">
        <f t="shared" si="35"/>
        <v>0</v>
      </c>
      <c r="AE1027" s="160">
        <v>1025</v>
      </c>
    </row>
    <row r="1028" spans="27:31" x14ac:dyDescent="0.25">
      <c r="AA1028" s="160"/>
      <c r="AB1028" s="162"/>
      <c r="AC1028" s="162"/>
      <c r="AD1028" s="162">
        <f t="shared" ref="AD1028:AD1091" si="36">AB1028+AC1028</f>
        <v>0</v>
      </c>
      <c r="AE1028" s="160">
        <v>1026</v>
      </c>
    </row>
    <row r="1029" spans="27:31" x14ac:dyDescent="0.25">
      <c r="AA1029" s="160"/>
      <c r="AB1029" s="162"/>
      <c r="AC1029" s="162"/>
      <c r="AD1029" s="162">
        <f t="shared" si="36"/>
        <v>0</v>
      </c>
      <c r="AE1029" s="160">
        <v>1027</v>
      </c>
    </row>
    <row r="1030" spans="27:31" x14ac:dyDescent="0.25">
      <c r="AA1030" s="160"/>
      <c r="AB1030" s="162"/>
      <c r="AC1030" s="162"/>
      <c r="AD1030" s="162">
        <f t="shared" si="36"/>
        <v>0</v>
      </c>
      <c r="AE1030" s="160">
        <v>1028</v>
      </c>
    </row>
    <row r="1031" spans="27:31" x14ac:dyDescent="0.25">
      <c r="AA1031" s="160"/>
      <c r="AB1031" s="162"/>
      <c r="AC1031" s="162"/>
      <c r="AD1031" s="162">
        <f t="shared" si="36"/>
        <v>0</v>
      </c>
      <c r="AE1031" s="160">
        <v>1029</v>
      </c>
    </row>
    <row r="1032" spans="27:31" x14ac:dyDescent="0.25">
      <c r="AA1032" s="160"/>
      <c r="AB1032" s="162"/>
      <c r="AC1032" s="162"/>
      <c r="AD1032" s="162">
        <f t="shared" si="36"/>
        <v>0</v>
      </c>
      <c r="AE1032" s="160">
        <v>1030</v>
      </c>
    </row>
    <row r="1033" spans="27:31" x14ac:dyDescent="0.25">
      <c r="AA1033" s="160"/>
      <c r="AB1033" s="162"/>
      <c r="AC1033" s="162"/>
      <c r="AD1033" s="162">
        <f t="shared" si="36"/>
        <v>0</v>
      </c>
      <c r="AE1033" s="160">
        <v>1031</v>
      </c>
    </row>
    <row r="1034" spans="27:31" x14ac:dyDescent="0.25">
      <c r="AA1034" s="160"/>
      <c r="AB1034" s="162"/>
      <c r="AC1034" s="162"/>
      <c r="AD1034" s="162">
        <f t="shared" si="36"/>
        <v>0</v>
      </c>
      <c r="AE1034" s="160">
        <v>1032</v>
      </c>
    </row>
    <row r="1035" spans="27:31" x14ac:dyDescent="0.25">
      <c r="AA1035" s="160"/>
      <c r="AB1035" s="162"/>
      <c r="AC1035" s="162"/>
      <c r="AD1035" s="162">
        <f t="shared" si="36"/>
        <v>0</v>
      </c>
      <c r="AE1035" s="160">
        <v>1033</v>
      </c>
    </row>
    <row r="1036" spans="27:31" x14ac:dyDescent="0.25">
      <c r="AA1036" s="160"/>
      <c r="AB1036" s="162"/>
      <c r="AC1036" s="162"/>
      <c r="AD1036" s="162">
        <f t="shared" si="36"/>
        <v>0</v>
      </c>
      <c r="AE1036" s="160">
        <v>1034</v>
      </c>
    </row>
    <row r="1037" spans="27:31" x14ac:dyDescent="0.25">
      <c r="AA1037" s="160"/>
      <c r="AB1037" s="162"/>
      <c r="AC1037" s="162"/>
      <c r="AD1037" s="162">
        <f t="shared" si="36"/>
        <v>0</v>
      </c>
      <c r="AE1037" s="160">
        <v>1035</v>
      </c>
    </row>
    <row r="1038" spans="27:31" x14ac:dyDescent="0.25">
      <c r="AA1038" s="160"/>
      <c r="AB1038" s="162"/>
      <c r="AC1038" s="162"/>
      <c r="AD1038" s="162">
        <f t="shared" si="36"/>
        <v>0</v>
      </c>
      <c r="AE1038" s="160">
        <v>1036</v>
      </c>
    </row>
    <row r="1039" spans="27:31" x14ac:dyDescent="0.25">
      <c r="AA1039" s="160"/>
      <c r="AB1039" s="162"/>
      <c r="AC1039" s="162"/>
      <c r="AD1039" s="162">
        <f t="shared" si="36"/>
        <v>0</v>
      </c>
      <c r="AE1039" s="160">
        <v>1037</v>
      </c>
    </row>
    <row r="1040" spans="27:31" x14ac:dyDescent="0.25">
      <c r="AA1040" s="160"/>
      <c r="AB1040" s="162"/>
      <c r="AC1040" s="162"/>
      <c r="AD1040" s="162">
        <f t="shared" si="36"/>
        <v>0</v>
      </c>
      <c r="AE1040" s="160">
        <v>1038</v>
      </c>
    </row>
    <row r="1041" spans="27:31" x14ac:dyDescent="0.25">
      <c r="AA1041" s="160"/>
      <c r="AB1041" s="162"/>
      <c r="AC1041" s="162"/>
      <c r="AD1041" s="162">
        <f t="shared" si="36"/>
        <v>0</v>
      </c>
      <c r="AE1041" s="160">
        <v>1039</v>
      </c>
    </row>
    <row r="1042" spans="27:31" x14ac:dyDescent="0.25">
      <c r="AA1042" s="160"/>
      <c r="AB1042" s="162"/>
      <c r="AC1042" s="162"/>
      <c r="AD1042" s="162">
        <f t="shared" si="36"/>
        <v>0</v>
      </c>
      <c r="AE1042" s="160">
        <v>1040</v>
      </c>
    </row>
    <row r="1043" spans="27:31" x14ac:dyDescent="0.25">
      <c r="AA1043" s="160"/>
      <c r="AB1043" s="162"/>
      <c r="AC1043" s="162"/>
      <c r="AD1043" s="162">
        <f t="shared" si="36"/>
        <v>0</v>
      </c>
      <c r="AE1043" s="160">
        <v>1041</v>
      </c>
    </row>
    <row r="1044" spans="27:31" x14ac:dyDescent="0.25">
      <c r="AA1044" s="160"/>
      <c r="AB1044" s="162"/>
      <c r="AC1044" s="162"/>
      <c r="AD1044" s="162">
        <f t="shared" si="36"/>
        <v>0</v>
      </c>
      <c r="AE1044" s="160">
        <v>1042</v>
      </c>
    </row>
    <row r="1045" spans="27:31" x14ac:dyDescent="0.25">
      <c r="AA1045" s="160"/>
      <c r="AB1045" s="162"/>
      <c r="AC1045" s="162"/>
      <c r="AD1045" s="162">
        <f t="shared" si="36"/>
        <v>0</v>
      </c>
      <c r="AE1045" s="160">
        <v>1043</v>
      </c>
    </row>
    <row r="1046" spans="27:31" x14ac:dyDescent="0.25">
      <c r="AA1046" s="160"/>
      <c r="AB1046" s="162"/>
      <c r="AC1046" s="162"/>
      <c r="AD1046" s="162">
        <f t="shared" si="36"/>
        <v>0</v>
      </c>
      <c r="AE1046" s="160">
        <v>1044</v>
      </c>
    </row>
    <row r="1047" spans="27:31" x14ac:dyDescent="0.25">
      <c r="AA1047" s="160"/>
      <c r="AB1047" s="162"/>
      <c r="AC1047" s="162"/>
      <c r="AD1047" s="162">
        <f t="shared" si="36"/>
        <v>0</v>
      </c>
      <c r="AE1047" s="160">
        <v>1045</v>
      </c>
    </row>
    <row r="1048" spans="27:31" x14ac:dyDescent="0.25">
      <c r="AA1048" s="160"/>
      <c r="AB1048" s="162"/>
      <c r="AC1048" s="162"/>
      <c r="AD1048" s="162">
        <f t="shared" si="36"/>
        <v>0</v>
      </c>
      <c r="AE1048" s="160">
        <v>1046</v>
      </c>
    </row>
    <row r="1049" spans="27:31" x14ac:dyDescent="0.25">
      <c r="AA1049" s="160"/>
      <c r="AB1049" s="162"/>
      <c r="AC1049" s="162"/>
      <c r="AD1049" s="162">
        <f t="shared" si="36"/>
        <v>0</v>
      </c>
      <c r="AE1049" s="160">
        <v>1047</v>
      </c>
    </row>
    <row r="1050" spans="27:31" x14ac:dyDescent="0.25">
      <c r="AA1050" s="160"/>
      <c r="AB1050" s="162"/>
      <c r="AC1050" s="162"/>
      <c r="AD1050" s="162">
        <f t="shared" si="36"/>
        <v>0</v>
      </c>
      <c r="AE1050" s="160">
        <v>1048</v>
      </c>
    </row>
    <row r="1051" spans="27:31" x14ac:dyDescent="0.25">
      <c r="AA1051" s="160"/>
      <c r="AB1051" s="162"/>
      <c r="AC1051" s="162"/>
      <c r="AD1051" s="162">
        <f t="shared" si="36"/>
        <v>0</v>
      </c>
      <c r="AE1051" s="160">
        <v>1049</v>
      </c>
    </row>
    <row r="1052" spans="27:31" x14ac:dyDescent="0.25">
      <c r="AA1052" s="160"/>
      <c r="AB1052" s="162"/>
      <c r="AC1052" s="162"/>
      <c r="AD1052" s="162">
        <f t="shared" si="36"/>
        <v>0</v>
      </c>
      <c r="AE1052" s="160">
        <v>1050</v>
      </c>
    </row>
    <row r="1053" spans="27:31" x14ac:dyDescent="0.25">
      <c r="AA1053" s="160"/>
      <c r="AB1053" s="162"/>
      <c r="AC1053" s="162"/>
      <c r="AD1053" s="162">
        <f t="shared" si="36"/>
        <v>0</v>
      </c>
      <c r="AE1053" s="160">
        <v>1051</v>
      </c>
    </row>
    <row r="1054" spans="27:31" x14ac:dyDescent="0.25">
      <c r="AA1054" s="160"/>
      <c r="AB1054" s="162"/>
      <c r="AC1054" s="162"/>
      <c r="AD1054" s="162">
        <f t="shared" si="36"/>
        <v>0</v>
      </c>
      <c r="AE1054" s="160">
        <v>1052</v>
      </c>
    </row>
    <row r="1055" spans="27:31" x14ac:dyDescent="0.25">
      <c r="AA1055" s="160"/>
      <c r="AB1055" s="162"/>
      <c r="AC1055" s="162"/>
      <c r="AD1055" s="162">
        <f t="shared" si="36"/>
        <v>0</v>
      </c>
      <c r="AE1055" s="160">
        <v>1053</v>
      </c>
    </row>
    <row r="1056" spans="27:31" x14ac:dyDescent="0.25">
      <c r="AA1056" s="160"/>
      <c r="AB1056" s="162"/>
      <c r="AC1056" s="162"/>
      <c r="AD1056" s="162">
        <f t="shared" si="36"/>
        <v>0</v>
      </c>
      <c r="AE1056" s="160">
        <v>1054</v>
      </c>
    </row>
    <row r="1057" spans="27:31" x14ac:dyDescent="0.25">
      <c r="AA1057" s="160"/>
      <c r="AB1057" s="162"/>
      <c r="AC1057" s="162"/>
      <c r="AD1057" s="162">
        <f t="shared" si="36"/>
        <v>0</v>
      </c>
      <c r="AE1057" s="160">
        <v>1055</v>
      </c>
    </row>
    <row r="1058" spans="27:31" x14ac:dyDescent="0.25">
      <c r="AA1058" s="160"/>
      <c r="AB1058" s="162"/>
      <c r="AC1058" s="162"/>
      <c r="AD1058" s="162">
        <f t="shared" si="36"/>
        <v>0</v>
      </c>
      <c r="AE1058" s="160">
        <v>1056</v>
      </c>
    </row>
    <row r="1059" spans="27:31" x14ac:dyDescent="0.25">
      <c r="AA1059" s="160"/>
      <c r="AB1059" s="162"/>
      <c r="AC1059" s="162"/>
      <c r="AD1059" s="162">
        <f t="shared" si="36"/>
        <v>0</v>
      </c>
      <c r="AE1059" s="160">
        <v>1057</v>
      </c>
    </row>
    <row r="1060" spans="27:31" x14ac:dyDescent="0.25">
      <c r="AA1060" s="160"/>
      <c r="AB1060" s="162"/>
      <c r="AC1060" s="162"/>
      <c r="AD1060" s="162">
        <f t="shared" si="36"/>
        <v>0</v>
      </c>
      <c r="AE1060" s="160">
        <v>1058</v>
      </c>
    </row>
    <row r="1061" spans="27:31" x14ac:dyDescent="0.25">
      <c r="AA1061" s="160"/>
      <c r="AB1061" s="162"/>
      <c r="AC1061" s="162"/>
      <c r="AD1061" s="162">
        <f t="shared" si="36"/>
        <v>0</v>
      </c>
      <c r="AE1061" s="160">
        <v>1059</v>
      </c>
    </row>
    <row r="1062" spans="27:31" x14ac:dyDescent="0.25">
      <c r="AA1062" s="160"/>
      <c r="AB1062" s="162"/>
      <c r="AC1062" s="162"/>
      <c r="AD1062" s="162">
        <f t="shared" si="36"/>
        <v>0</v>
      </c>
      <c r="AE1062" s="160">
        <v>1060</v>
      </c>
    </row>
    <row r="1063" spans="27:31" x14ac:dyDescent="0.25">
      <c r="AA1063" s="160"/>
      <c r="AB1063" s="162"/>
      <c r="AC1063" s="162"/>
      <c r="AD1063" s="162">
        <f t="shared" si="36"/>
        <v>0</v>
      </c>
      <c r="AE1063" s="160">
        <v>1061</v>
      </c>
    </row>
    <row r="1064" spans="27:31" x14ac:dyDescent="0.25">
      <c r="AA1064" s="160"/>
      <c r="AB1064" s="162"/>
      <c r="AC1064" s="162"/>
      <c r="AD1064" s="162">
        <f t="shared" si="36"/>
        <v>0</v>
      </c>
      <c r="AE1064" s="160">
        <v>1062</v>
      </c>
    </row>
    <row r="1065" spans="27:31" x14ac:dyDescent="0.25">
      <c r="AA1065" s="160"/>
      <c r="AB1065" s="162"/>
      <c r="AC1065" s="162"/>
      <c r="AD1065" s="162">
        <f t="shared" si="36"/>
        <v>0</v>
      </c>
      <c r="AE1065" s="160">
        <v>1063</v>
      </c>
    </row>
    <row r="1066" spans="27:31" x14ac:dyDescent="0.25">
      <c r="AA1066" s="160"/>
      <c r="AB1066" s="162"/>
      <c r="AC1066" s="162"/>
      <c r="AD1066" s="162">
        <f t="shared" si="36"/>
        <v>0</v>
      </c>
      <c r="AE1066" s="160">
        <v>1064</v>
      </c>
    </row>
    <row r="1067" spans="27:31" x14ac:dyDescent="0.25">
      <c r="AA1067" s="160"/>
      <c r="AB1067" s="162"/>
      <c r="AC1067" s="162"/>
      <c r="AD1067" s="162">
        <f t="shared" si="36"/>
        <v>0</v>
      </c>
      <c r="AE1067" s="160">
        <v>1065</v>
      </c>
    </row>
    <row r="1068" spans="27:31" x14ac:dyDescent="0.25">
      <c r="AA1068" s="160"/>
      <c r="AB1068" s="162"/>
      <c r="AC1068" s="162"/>
      <c r="AD1068" s="162">
        <f t="shared" si="36"/>
        <v>0</v>
      </c>
      <c r="AE1068" s="160">
        <v>1066</v>
      </c>
    </row>
    <row r="1069" spans="27:31" x14ac:dyDescent="0.25">
      <c r="AA1069" s="160"/>
      <c r="AB1069" s="162"/>
      <c r="AC1069" s="162"/>
      <c r="AD1069" s="162">
        <f t="shared" si="36"/>
        <v>0</v>
      </c>
      <c r="AE1069" s="160">
        <v>1067</v>
      </c>
    </row>
    <row r="1070" spans="27:31" x14ac:dyDescent="0.25">
      <c r="AA1070" s="160"/>
      <c r="AB1070" s="162"/>
      <c r="AC1070" s="162"/>
      <c r="AD1070" s="162">
        <f t="shared" si="36"/>
        <v>0</v>
      </c>
      <c r="AE1070" s="160">
        <v>1068</v>
      </c>
    </row>
    <row r="1071" spans="27:31" x14ac:dyDescent="0.25">
      <c r="AA1071" s="160"/>
      <c r="AB1071" s="162"/>
      <c r="AC1071" s="162"/>
      <c r="AD1071" s="162">
        <f t="shared" si="36"/>
        <v>0</v>
      </c>
      <c r="AE1071" s="160">
        <v>1069</v>
      </c>
    </row>
    <row r="1072" spans="27:31" x14ac:dyDescent="0.25">
      <c r="AA1072" s="160"/>
      <c r="AB1072" s="162"/>
      <c r="AC1072" s="162"/>
      <c r="AD1072" s="162">
        <f t="shared" si="36"/>
        <v>0</v>
      </c>
      <c r="AE1072" s="160">
        <v>1070</v>
      </c>
    </row>
    <row r="1073" spans="27:31" x14ac:dyDescent="0.25">
      <c r="AA1073" s="160"/>
      <c r="AB1073" s="162"/>
      <c r="AC1073" s="162"/>
      <c r="AD1073" s="162">
        <f t="shared" si="36"/>
        <v>0</v>
      </c>
      <c r="AE1073" s="160">
        <v>1071</v>
      </c>
    </row>
    <row r="1074" spans="27:31" x14ac:dyDescent="0.25">
      <c r="AA1074" s="160"/>
      <c r="AB1074" s="162"/>
      <c r="AC1074" s="162"/>
      <c r="AD1074" s="162">
        <f t="shared" si="36"/>
        <v>0</v>
      </c>
      <c r="AE1074" s="160">
        <v>1072</v>
      </c>
    </row>
    <row r="1075" spans="27:31" x14ac:dyDescent="0.25">
      <c r="AA1075" s="160"/>
      <c r="AB1075" s="162"/>
      <c r="AC1075" s="162"/>
      <c r="AD1075" s="162">
        <f t="shared" si="36"/>
        <v>0</v>
      </c>
      <c r="AE1075" s="160">
        <v>1073</v>
      </c>
    </row>
    <row r="1076" spans="27:31" x14ac:dyDescent="0.25">
      <c r="AA1076" s="160"/>
      <c r="AB1076" s="162"/>
      <c r="AC1076" s="162"/>
      <c r="AD1076" s="162">
        <f t="shared" si="36"/>
        <v>0</v>
      </c>
      <c r="AE1076" s="160">
        <v>1074</v>
      </c>
    </row>
    <row r="1077" spans="27:31" x14ac:dyDescent="0.25">
      <c r="AA1077" s="160"/>
      <c r="AB1077" s="162"/>
      <c r="AC1077" s="162"/>
      <c r="AD1077" s="162">
        <f t="shared" si="36"/>
        <v>0</v>
      </c>
      <c r="AE1077" s="160">
        <v>1075</v>
      </c>
    </row>
    <row r="1078" spans="27:31" x14ac:dyDescent="0.25">
      <c r="AA1078" s="160"/>
      <c r="AB1078" s="162"/>
      <c r="AC1078" s="162"/>
      <c r="AD1078" s="162">
        <f t="shared" si="36"/>
        <v>0</v>
      </c>
      <c r="AE1078" s="160">
        <v>1076</v>
      </c>
    </row>
    <row r="1079" spans="27:31" x14ac:dyDescent="0.25">
      <c r="AA1079" s="160"/>
      <c r="AB1079" s="162"/>
      <c r="AC1079" s="162"/>
      <c r="AD1079" s="162">
        <f t="shared" si="36"/>
        <v>0</v>
      </c>
      <c r="AE1079" s="160">
        <v>1077</v>
      </c>
    </row>
    <row r="1080" spans="27:31" x14ac:dyDescent="0.25">
      <c r="AA1080" s="160"/>
      <c r="AB1080" s="162"/>
      <c r="AC1080" s="162"/>
      <c r="AD1080" s="162">
        <f t="shared" si="36"/>
        <v>0</v>
      </c>
      <c r="AE1080" s="160">
        <v>1078</v>
      </c>
    </row>
    <row r="1081" spans="27:31" x14ac:dyDescent="0.25">
      <c r="AA1081" s="160"/>
      <c r="AB1081" s="162"/>
      <c r="AC1081" s="162"/>
      <c r="AD1081" s="162">
        <f t="shared" si="36"/>
        <v>0</v>
      </c>
      <c r="AE1081" s="160">
        <v>1079</v>
      </c>
    </row>
    <row r="1082" spans="27:31" x14ac:dyDescent="0.25">
      <c r="AA1082" s="160"/>
      <c r="AB1082" s="162"/>
      <c r="AC1082" s="162"/>
      <c r="AD1082" s="162">
        <f t="shared" si="36"/>
        <v>0</v>
      </c>
      <c r="AE1082" s="160">
        <v>1080</v>
      </c>
    </row>
    <row r="1083" spans="27:31" x14ac:dyDescent="0.25">
      <c r="AA1083" s="160"/>
      <c r="AB1083" s="162"/>
      <c r="AC1083" s="162"/>
      <c r="AD1083" s="162">
        <f t="shared" si="36"/>
        <v>0</v>
      </c>
      <c r="AE1083" s="160">
        <v>1081</v>
      </c>
    </row>
    <row r="1084" spans="27:31" x14ac:dyDescent="0.25">
      <c r="AA1084" s="160"/>
      <c r="AB1084" s="162"/>
      <c r="AC1084" s="162"/>
      <c r="AD1084" s="162">
        <f t="shared" si="36"/>
        <v>0</v>
      </c>
      <c r="AE1084" s="160">
        <v>1082</v>
      </c>
    </row>
    <row r="1085" spans="27:31" x14ac:dyDescent="0.25">
      <c r="AA1085" s="160"/>
      <c r="AB1085" s="162"/>
      <c r="AC1085" s="162"/>
      <c r="AD1085" s="162">
        <f t="shared" si="36"/>
        <v>0</v>
      </c>
      <c r="AE1085" s="160">
        <v>1083</v>
      </c>
    </row>
    <row r="1086" spans="27:31" x14ac:dyDescent="0.25">
      <c r="AA1086" s="160"/>
      <c r="AB1086" s="162"/>
      <c r="AC1086" s="162"/>
      <c r="AD1086" s="162">
        <f t="shared" si="36"/>
        <v>0</v>
      </c>
      <c r="AE1086" s="160">
        <v>1084</v>
      </c>
    </row>
    <row r="1087" spans="27:31" x14ac:dyDescent="0.25">
      <c r="AA1087" s="160"/>
      <c r="AB1087" s="162"/>
      <c r="AC1087" s="162"/>
      <c r="AD1087" s="162">
        <f t="shared" si="36"/>
        <v>0</v>
      </c>
      <c r="AE1087" s="160">
        <v>1085</v>
      </c>
    </row>
    <row r="1088" spans="27:31" x14ac:dyDescent="0.25">
      <c r="AA1088" s="160"/>
      <c r="AB1088" s="162"/>
      <c r="AC1088" s="162"/>
      <c r="AD1088" s="162">
        <f t="shared" si="36"/>
        <v>0</v>
      </c>
      <c r="AE1088" s="160">
        <v>1086</v>
      </c>
    </row>
    <row r="1089" spans="27:31" x14ac:dyDescent="0.25">
      <c r="AA1089" s="160"/>
      <c r="AB1089" s="162"/>
      <c r="AC1089" s="162"/>
      <c r="AD1089" s="162">
        <f t="shared" si="36"/>
        <v>0</v>
      </c>
      <c r="AE1089" s="160">
        <v>1087</v>
      </c>
    </row>
    <row r="1090" spans="27:31" x14ac:dyDescent="0.25">
      <c r="AA1090" s="160"/>
      <c r="AB1090" s="162"/>
      <c r="AC1090" s="162"/>
      <c r="AD1090" s="162">
        <f t="shared" si="36"/>
        <v>0</v>
      </c>
      <c r="AE1090" s="160">
        <v>1088</v>
      </c>
    </row>
    <row r="1091" spans="27:31" x14ac:dyDescent="0.25">
      <c r="AA1091" s="160"/>
      <c r="AB1091" s="162"/>
      <c r="AC1091" s="162"/>
      <c r="AD1091" s="162">
        <f t="shared" si="36"/>
        <v>0</v>
      </c>
      <c r="AE1091" s="160">
        <v>1089</v>
      </c>
    </row>
    <row r="1092" spans="27:31" x14ac:dyDescent="0.25">
      <c r="AA1092" s="160"/>
      <c r="AB1092" s="162"/>
      <c r="AC1092" s="162"/>
      <c r="AD1092" s="162">
        <f t="shared" ref="AD1092:AD1155" si="37">AB1092+AC1092</f>
        <v>0</v>
      </c>
      <c r="AE1092" s="160">
        <v>1090</v>
      </c>
    </row>
    <row r="1093" spans="27:31" x14ac:dyDescent="0.25">
      <c r="AA1093" s="160"/>
      <c r="AB1093" s="162"/>
      <c r="AC1093" s="162"/>
      <c r="AD1093" s="162">
        <f t="shared" si="37"/>
        <v>0</v>
      </c>
      <c r="AE1093" s="160">
        <v>1091</v>
      </c>
    </row>
    <row r="1094" spans="27:31" x14ac:dyDescent="0.25">
      <c r="AA1094" s="160"/>
      <c r="AB1094" s="162"/>
      <c r="AC1094" s="162"/>
      <c r="AD1094" s="162">
        <f t="shared" si="37"/>
        <v>0</v>
      </c>
      <c r="AE1094" s="160">
        <v>1092</v>
      </c>
    </row>
    <row r="1095" spans="27:31" x14ac:dyDescent="0.25">
      <c r="AA1095" s="160"/>
      <c r="AB1095" s="162"/>
      <c r="AC1095" s="162"/>
      <c r="AD1095" s="162">
        <f t="shared" si="37"/>
        <v>0</v>
      </c>
      <c r="AE1095" s="160">
        <v>1093</v>
      </c>
    </row>
    <row r="1096" spans="27:31" x14ac:dyDescent="0.25">
      <c r="AA1096" s="160"/>
      <c r="AB1096" s="162"/>
      <c r="AC1096" s="162"/>
      <c r="AD1096" s="162">
        <f t="shared" si="37"/>
        <v>0</v>
      </c>
      <c r="AE1096" s="160">
        <v>1094</v>
      </c>
    </row>
    <row r="1097" spans="27:31" x14ac:dyDescent="0.25">
      <c r="AA1097" s="160"/>
      <c r="AB1097" s="162"/>
      <c r="AC1097" s="162"/>
      <c r="AD1097" s="162">
        <f t="shared" si="37"/>
        <v>0</v>
      </c>
      <c r="AE1097" s="160">
        <v>1095</v>
      </c>
    </row>
    <row r="1098" spans="27:31" x14ac:dyDescent="0.25">
      <c r="AA1098" s="160"/>
      <c r="AB1098" s="162"/>
      <c r="AC1098" s="162"/>
      <c r="AD1098" s="162">
        <f t="shared" si="37"/>
        <v>0</v>
      </c>
      <c r="AE1098" s="160">
        <v>1096</v>
      </c>
    </row>
    <row r="1099" spans="27:31" x14ac:dyDescent="0.25">
      <c r="AA1099" s="160"/>
      <c r="AB1099" s="162"/>
      <c r="AC1099" s="162"/>
      <c r="AD1099" s="162">
        <f t="shared" si="37"/>
        <v>0</v>
      </c>
      <c r="AE1099" s="160">
        <v>1097</v>
      </c>
    </row>
    <row r="1100" spans="27:31" x14ac:dyDescent="0.25">
      <c r="AA1100" s="160"/>
      <c r="AB1100" s="162"/>
      <c r="AC1100" s="162"/>
      <c r="AD1100" s="162">
        <f t="shared" si="37"/>
        <v>0</v>
      </c>
      <c r="AE1100" s="160">
        <v>1098</v>
      </c>
    </row>
    <row r="1101" spans="27:31" x14ac:dyDescent="0.25">
      <c r="AA1101" s="160"/>
      <c r="AB1101" s="162"/>
      <c r="AC1101" s="162"/>
      <c r="AD1101" s="162">
        <f t="shared" si="37"/>
        <v>0</v>
      </c>
      <c r="AE1101" s="160">
        <v>1099</v>
      </c>
    </row>
    <row r="1102" spans="27:31" x14ac:dyDescent="0.25">
      <c r="AA1102" s="160"/>
      <c r="AB1102" s="162"/>
      <c r="AC1102" s="162"/>
      <c r="AD1102" s="162">
        <f t="shared" si="37"/>
        <v>0</v>
      </c>
      <c r="AE1102" s="160">
        <v>1100</v>
      </c>
    </row>
    <row r="1103" spans="27:31" x14ac:dyDescent="0.25">
      <c r="AA1103" s="160"/>
      <c r="AB1103" s="162"/>
      <c r="AC1103" s="162"/>
      <c r="AD1103" s="162">
        <f t="shared" si="37"/>
        <v>0</v>
      </c>
      <c r="AE1103" s="160">
        <v>1101</v>
      </c>
    </row>
    <row r="1104" spans="27:31" x14ac:dyDescent="0.25">
      <c r="AA1104" s="160"/>
      <c r="AB1104" s="162"/>
      <c r="AC1104" s="162"/>
      <c r="AD1104" s="162">
        <f t="shared" si="37"/>
        <v>0</v>
      </c>
      <c r="AE1104" s="160">
        <v>1102</v>
      </c>
    </row>
    <row r="1105" spans="27:31" x14ac:dyDescent="0.25">
      <c r="AA1105" s="160"/>
      <c r="AB1105" s="162"/>
      <c r="AC1105" s="162"/>
      <c r="AD1105" s="162">
        <f t="shared" si="37"/>
        <v>0</v>
      </c>
      <c r="AE1105" s="160">
        <v>1103</v>
      </c>
    </row>
    <row r="1106" spans="27:31" x14ac:dyDescent="0.25">
      <c r="AA1106" s="160"/>
      <c r="AB1106" s="162"/>
      <c r="AC1106" s="162"/>
      <c r="AD1106" s="162">
        <f t="shared" si="37"/>
        <v>0</v>
      </c>
      <c r="AE1106" s="160">
        <v>1104</v>
      </c>
    </row>
    <row r="1107" spans="27:31" x14ac:dyDescent="0.25">
      <c r="AA1107" s="160"/>
      <c r="AB1107" s="162"/>
      <c r="AC1107" s="162"/>
      <c r="AD1107" s="162">
        <f t="shared" si="37"/>
        <v>0</v>
      </c>
      <c r="AE1107" s="160">
        <v>1105</v>
      </c>
    </row>
    <row r="1108" spans="27:31" x14ac:dyDescent="0.25">
      <c r="AA1108" s="160"/>
      <c r="AB1108" s="162"/>
      <c r="AC1108" s="162"/>
      <c r="AD1108" s="162">
        <f t="shared" si="37"/>
        <v>0</v>
      </c>
      <c r="AE1108" s="160">
        <v>1106</v>
      </c>
    </row>
    <row r="1109" spans="27:31" x14ac:dyDescent="0.25">
      <c r="AA1109" s="160"/>
      <c r="AB1109" s="162"/>
      <c r="AC1109" s="162"/>
      <c r="AD1109" s="162">
        <f t="shared" si="37"/>
        <v>0</v>
      </c>
      <c r="AE1109" s="160">
        <v>1107</v>
      </c>
    </row>
    <row r="1110" spans="27:31" x14ac:dyDescent="0.25">
      <c r="AA1110" s="160"/>
      <c r="AB1110" s="162"/>
      <c r="AC1110" s="162"/>
      <c r="AD1110" s="162">
        <f t="shared" si="37"/>
        <v>0</v>
      </c>
      <c r="AE1110" s="160">
        <v>1108</v>
      </c>
    </row>
    <row r="1111" spans="27:31" x14ac:dyDescent="0.25">
      <c r="AA1111" s="160"/>
      <c r="AB1111" s="162"/>
      <c r="AC1111" s="162"/>
      <c r="AD1111" s="162">
        <f t="shared" si="37"/>
        <v>0</v>
      </c>
      <c r="AE1111" s="160">
        <v>1109</v>
      </c>
    </row>
    <row r="1112" spans="27:31" x14ac:dyDescent="0.25">
      <c r="AA1112" s="160"/>
      <c r="AB1112" s="162"/>
      <c r="AC1112" s="162"/>
      <c r="AD1112" s="162">
        <f t="shared" si="37"/>
        <v>0</v>
      </c>
      <c r="AE1112" s="160">
        <v>1110</v>
      </c>
    </row>
    <row r="1113" spans="27:31" x14ac:dyDescent="0.25">
      <c r="AA1113" s="160"/>
      <c r="AB1113" s="162"/>
      <c r="AC1113" s="162"/>
      <c r="AD1113" s="162">
        <f t="shared" si="37"/>
        <v>0</v>
      </c>
      <c r="AE1113" s="160">
        <v>1111</v>
      </c>
    </row>
    <row r="1114" spans="27:31" x14ac:dyDescent="0.25">
      <c r="AA1114" s="160"/>
      <c r="AB1114" s="162"/>
      <c r="AC1114" s="162"/>
      <c r="AD1114" s="162">
        <f t="shared" si="37"/>
        <v>0</v>
      </c>
      <c r="AE1114" s="160">
        <v>1112</v>
      </c>
    </row>
    <row r="1115" spans="27:31" x14ac:dyDescent="0.25">
      <c r="AA1115" s="160"/>
      <c r="AB1115" s="162"/>
      <c r="AC1115" s="162"/>
      <c r="AD1115" s="162">
        <f t="shared" si="37"/>
        <v>0</v>
      </c>
      <c r="AE1115" s="160">
        <v>1113</v>
      </c>
    </row>
    <row r="1116" spans="27:31" x14ac:dyDescent="0.25">
      <c r="AA1116" s="160"/>
      <c r="AB1116" s="162"/>
      <c r="AC1116" s="162"/>
      <c r="AD1116" s="162">
        <f t="shared" si="37"/>
        <v>0</v>
      </c>
      <c r="AE1116" s="160">
        <v>1114</v>
      </c>
    </row>
    <row r="1117" spans="27:31" x14ac:dyDescent="0.25">
      <c r="AA1117" s="160"/>
      <c r="AB1117" s="162"/>
      <c r="AC1117" s="162"/>
      <c r="AD1117" s="162">
        <f t="shared" si="37"/>
        <v>0</v>
      </c>
      <c r="AE1117" s="160">
        <v>1115</v>
      </c>
    </row>
    <row r="1118" spans="27:31" x14ac:dyDescent="0.25">
      <c r="AA1118" s="160"/>
      <c r="AB1118" s="162"/>
      <c r="AC1118" s="162"/>
      <c r="AD1118" s="162">
        <f t="shared" si="37"/>
        <v>0</v>
      </c>
      <c r="AE1118" s="160">
        <v>1116</v>
      </c>
    </row>
    <row r="1119" spans="27:31" x14ac:dyDescent="0.25">
      <c r="AA1119" s="160"/>
      <c r="AB1119" s="162"/>
      <c r="AC1119" s="162"/>
      <c r="AD1119" s="162">
        <f t="shared" si="37"/>
        <v>0</v>
      </c>
      <c r="AE1119" s="160">
        <v>1117</v>
      </c>
    </row>
    <row r="1120" spans="27:31" x14ac:dyDescent="0.25">
      <c r="AA1120" s="160"/>
      <c r="AB1120" s="162"/>
      <c r="AC1120" s="162"/>
      <c r="AD1120" s="162">
        <f t="shared" si="37"/>
        <v>0</v>
      </c>
      <c r="AE1120" s="160">
        <v>1118</v>
      </c>
    </row>
    <row r="1121" spans="27:31" x14ac:dyDescent="0.25">
      <c r="AA1121" s="160"/>
      <c r="AB1121" s="162"/>
      <c r="AC1121" s="162"/>
      <c r="AD1121" s="162">
        <f t="shared" si="37"/>
        <v>0</v>
      </c>
      <c r="AE1121" s="160">
        <v>1119</v>
      </c>
    </row>
    <row r="1122" spans="27:31" x14ac:dyDescent="0.25">
      <c r="AA1122" s="160"/>
      <c r="AB1122" s="162"/>
      <c r="AC1122" s="162"/>
      <c r="AD1122" s="162">
        <f t="shared" si="37"/>
        <v>0</v>
      </c>
      <c r="AE1122" s="160">
        <v>1120</v>
      </c>
    </row>
    <row r="1123" spans="27:31" x14ac:dyDescent="0.25">
      <c r="AA1123" s="160"/>
      <c r="AB1123" s="162"/>
      <c r="AC1123" s="162"/>
      <c r="AD1123" s="162">
        <f t="shared" si="37"/>
        <v>0</v>
      </c>
      <c r="AE1123" s="160">
        <v>1121</v>
      </c>
    </row>
    <row r="1124" spans="27:31" x14ac:dyDescent="0.25">
      <c r="AA1124" s="160"/>
      <c r="AB1124" s="162"/>
      <c r="AC1124" s="162"/>
      <c r="AD1124" s="162">
        <f t="shared" si="37"/>
        <v>0</v>
      </c>
      <c r="AE1124" s="160">
        <v>1122</v>
      </c>
    </row>
    <row r="1125" spans="27:31" x14ac:dyDescent="0.25">
      <c r="AA1125" s="160"/>
      <c r="AB1125" s="162"/>
      <c r="AC1125" s="162"/>
      <c r="AD1125" s="162">
        <f t="shared" si="37"/>
        <v>0</v>
      </c>
      <c r="AE1125" s="160">
        <v>1123</v>
      </c>
    </row>
    <row r="1126" spans="27:31" x14ac:dyDescent="0.25">
      <c r="AA1126" s="160"/>
      <c r="AB1126" s="162"/>
      <c r="AC1126" s="162"/>
      <c r="AD1126" s="162">
        <f t="shared" si="37"/>
        <v>0</v>
      </c>
      <c r="AE1126" s="160">
        <v>1124</v>
      </c>
    </row>
    <row r="1127" spans="27:31" x14ac:dyDescent="0.25">
      <c r="AA1127" s="160"/>
      <c r="AB1127" s="162"/>
      <c r="AC1127" s="162"/>
      <c r="AD1127" s="162">
        <f t="shared" si="37"/>
        <v>0</v>
      </c>
      <c r="AE1127" s="160">
        <v>1125</v>
      </c>
    </row>
    <row r="1128" spans="27:31" x14ac:dyDescent="0.25">
      <c r="AA1128" s="160"/>
      <c r="AB1128" s="162"/>
      <c r="AC1128" s="162"/>
      <c r="AD1128" s="162">
        <f t="shared" si="37"/>
        <v>0</v>
      </c>
      <c r="AE1128" s="160">
        <v>1126</v>
      </c>
    </row>
    <row r="1129" spans="27:31" x14ac:dyDescent="0.25">
      <c r="AA1129" s="160"/>
      <c r="AB1129" s="162"/>
      <c r="AC1129" s="162"/>
      <c r="AD1129" s="162">
        <f t="shared" si="37"/>
        <v>0</v>
      </c>
      <c r="AE1129" s="160">
        <v>1127</v>
      </c>
    </row>
    <row r="1130" spans="27:31" x14ac:dyDescent="0.25">
      <c r="AA1130" s="160"/>
      <c r="AB1130" s="162"/>
      <c r="AC1130" s="162"/>
      <c r="AD1130" s="162">
        <f t="shared" si="37"/>
        <v>0</v>
      </c>
      <c r="AE1130" s="160">
        <v>1128</v>
      </c>
    </row>
    <row r="1131" spans="27:31" x14ac:dyDescent="0.25">
      <c r="AA1131" s="160"/>
      <c r="AB1131" s="162"/>
      <c r="AC1131" s="162"/>
      <c r="AD1131" s="162">
        <f t="shared" si="37"/>
        <v>0</v>
      </c>
      <c r="AE1131" s="160">
        <v>1129</v>
      </c>
    </row>
    <row r="1132" spans="27:31" x14ac:dyDescent="0.25">
      <c r="AA1132" s="160"/>
      <c r="AB1132" s="162"/>
      <c r="AC1132" s="162"/>
      <c r="AD1132" s="162">
        <f t="shared" si="37"/>
        <v>0</v>
      </c>
      <c r="AE1132" s="160">
        <v>1130</v>
      </c>
    </row>
    <row r="1133" spans="27:31" x14ac:dyDescent="0.25">
      <c r="AA1133" s="160"/>
      <c r="AB1133" s="162"/>
      <c r="AC1133" s="162"/>
      <c r="AD1133" s="162">
        <f t="shared" si="37"/>
        <v>0</v>
      </c>
      <c r="AE1133" s="160">
        <v>1131</v>
      </c>
    </row>
    <row r="1134" spans="27:31" x14ac:dyDescent="0.25">
      <c r="AA1134" s="160"/>
      <c r="AB1134" s="162"/>
      <c r="AC1134" s="162"/>
      <c r="AD1134" s="162">
        <f t="shared" si="37"/>
        <v>0</v>
      </c>
      <c r="AE1134" s="160">
        <v>1132</v>
      </c>
    </row>
    <row r="1135" spans="27:31" x14ac:dyDescent="0.25">
      <c r="AA1135" s="160"/>
      <c r="AB1135" s="162"/>
      <c r="AC1135" s="162"/>
      <c r="AD1135" s="162">
        <f t="shared" si="37"/>
        <v>0</v>
      </c>
      <c r="AE1135" s="160">
        <v>1133</v>
      </c>
    </row>
    <row r="1136" spans="27:31" x14ac:dyDescent="0.25">
      <c r="AA1136" s="160"/>
      <c r="AB1136" s="162"/>
      <c r="AC1136" s="162"/>
      <c r="AD1136" s="162">
        <f t="shared" si="37"/>
        <v>0</v>
      </c>
      <c r="AE1136" s="160">
        <v>1134</v>
      </c>
    </row>
    <row r="1137" spans="27:31" x14ac:dyDescent="0.25">
      <c r="AA1137" s="160"/>
      <c r="AB1137" s="162"/>
      <c r="AC1137" s="162"/>
      <c r="AD1137" s="162">
        <f t="shared" si="37"/>
        <v>0</v>
      </c>
      <c r="AE1137" s="160">
        <v>1135</v>
      </c>
    </row>
    <row r="1138" spans="27:31" x14ac:dyDescent="0.25">
      <c r="AA1138" s="160"/>
      <c r="AB1138" s="162"/>
      <c r="AC1138" s="162"/>
      <c r="AD1138" s="162">
        <f t="shared" si="37"/>
        <v>0</v>
      </c>
      <c r="AE1138" s="160">
        <v>1136</v>
      </c>
    </row>
    <row r="1139" spans="27:31" x14ac:dyDescent="0.25">
      <c r="AA1139" s="160"/>
      <c r="AB1139" s="162"/>
      <c r="AC1139" s="162"/>
      <c r="AD1139" s="162">
        <f t="shared" si="37"/>
        <v>0</v>
      </c>
      <c r="AE1139" s="160">
        <v>1137</v>
      </c>
    </row>
    <row r="1140" spans="27:31" x14ac:dyDescent="0.25">
      <c r="AA1140" s="160"/>
      <c r="AB1140" s="162"/>
      <c r="AC1140" s="162"/>
      <c r="AD1140" s="162">
        <f t="shared" si="37"/>
        <v>0</v>
      </c>
      <c r="AE1140" s="160">
        <v>1138</v>
      </c>
    </row>
    <row r="1141" spans="27:31" x14ac:dyDescent="0.25">
      <c r="AA1141" s="160"/>
      <c r="AB1141" s="162"/>
      <c r="AC1141" s="162"/>
      <c r="AD1141" s="162">
        <f t="shared" si="37"/>
        <v>0</v>
      </c>
      <c r="AE1141" s="160">
        <v>1139</v>
      </c>
    </row>
    <row r="1142" spans="27:31" x14ac:dyDescent="0.25">
      <c r="AA1142" s="160"/>
      <c r="AB1142" s="162"/>
      <c r="AC1142" s="162"/>
      <c r="AD1142" s="162">
        <f t="shared" si="37"/>
        <v>0</v>
      </c>
      <c r="AE1142" s="160">
        <v>1140</v>
      </c>
    </row>
    <row r="1143" spans="27:31" x14ac:dyDescent="0.25">
      <c r="AA1143" s="160"/>
      <c r="AB1143" s="162"/>
      <c r="AC1143" s="162"/>
      <c r="AD1143" s="162">
        <f t="shared" si="37"/>
        <v>0</v>
      </c>
      <c r="AE1143" s="160">
        <v>1141</v>
      </c>
    </row>
    <row r="1144" spans="27:31" x14ac:dyDescent="0.25">
      <c r="AA1144" s="160"/>
      <c r="AB1144" s="162"/>
      <c r="AC1144" s="162"/>
      <c r="AD1144" s="162">
        <f t="shared" si="37"/>
        <v>0</v>
      </c>
      <c r="AE1144" s="160">
        <v>1142</v>
      </c>
    </row>
    <row r="1145" spans="27:31" x14ac:dyDescent="0.25">
      <c r="AA1145" s="160"/>
      <c r="AB1145" s="162"/>
      <c r="AC1145" s="162"/>
      <c r="AD1145" s="162">
        <f t="shared" si="37"/>
        <v>0</v>
      </c>
      <c r="AE1145" s="160">
        <v>1143</v>
      </c>
    </row>
    <row r="1146" spans="27:31" x14ac:dyDescent="0.25">
      <c r="AA1146" s="160"/>
      <c r="AB1146" s="162"/>
      <c r="AC1146" s="162"/>
      <c r="AD1146" s="162">
        <f t="shared" si="37"/>
        <v>0</v>
      </c>
      <c r="AE1146" s="160">
        <v>1144</v>
      </c>
    </row>
    <row r="1147" spans="27:31" x14ac:dyDescent="0.25">
      <c r="AA1147" s="160"/>
      <c r="AB1147" s="162"/>
      <c r="AC1147" s="162"/>
      <c r="AD1147" s="162">
        <f t="shared" si="37"/>
        <v>0</v>
      </c>
      <c r="AE1147" s="160">
        <v>1145</v>
      </c>
    </row>
    <row r="1148" spans="27:31" x14ac:dyDescent="0.25">
      <c r="AA1148" s="160"/>
      <c r="AB1148" s="162"/>
      <c r="AC1148" s="162"/>
      <c r="AD1148" s="162">
        <f t="shared" si="37"/>
        <v>0</v>
      </c>
      <c r="AE1148" s="160">
        <v>1146</v>
      </c>
    </row>
    <row r="1149" spans="27:31" x14ac:dyDescent="0.25">
      <c r="AA1149" s="160"/>
      <c r="AB1149" s="162"/>
      <c r="AC1149" s="162"/>
      <c r="AD1149" s="162">
        <f t="shared" si="37"/>
        <v>0</v>
      </c>
      <c r="AE1149" s="160">
        <v>1147</v>
      </c>
    </row>
    <row r="1150" spans="27:31" x14ac:dyDescent="0.25">
      <c r="AA1150" s="160"/>
      <c r="AB1150" s="162"/>
      <c r="AC1150" s="162"/>
      <c r="AD1150" s="162">
        <f t="shared" si="37"/>
        <v>0</v>
      </c>
      <c r="AE1150" s="160">
        <v>1148</v>
      </c>
    </row>
    <row r="1151" spans="27:31" x14ac:dyDescent="0.25">
      <c r="AA1151" s="160"/>
      <c r="AB1151" s="162"/>
      <c r="AC1151" s="162"/>
      <c r="AD1151" s="162">
        <f t="shared" si="37"/>
        <v>0</v>
      </c>
      <c r="AE1151" s="160">
        <v>1149</v>
      </c>
    </row>
    <row r="1152" spans="27:31" x14ac:dyDescent="0.25">
      <c r="AA1152" s="160"/>
      <c r="AB1152" s="162"/>
      <c r="AC1152" s="162"/>
      <c r="AD1152" s="162">
        <f t="shared" si="37"/>
        <v>0</v>
      </c>
      <c r="AE1152" s="160">
        <v>1150</v>
      </c>
    </row>
    <row r="1153" spans="27:31" x14ac:dyDescent="0.25">
      <c r="AA1153" s="160"/>
      <c r="AB1153" s="162"/>
      <c r="AC1153" s="162"/>
      <c r="AD1153" s="162">
        <f t="shared" si="37"/>
        <v>0</v>
      </c>
      <c r="AE1153" s="160">
        <v>1151</v>
      </c>
    </row>
    <row r="1154" spans="27:31" x14ac:dyDescent="0.25">
      <c r="AA1154" s="160"/>
      <c r="AB1154" s="162"/>
      <c r="AC1154" s="162"/>
      <c r="AD1154" s="162">
        <f t="shared" si="37"/>
        <v>0</v>
      </c>
      <c r="AE1154" s="160">
        <v>1152</v>
      </c>
    </row>
    <row r="1155" spans="27:31" x14ac:dyDescent="0.25">
      <c r="AA1155" s="160"/>
      <c r="AB1155" s="162"/>
      <c r="AC1155" s="162"/>
      <c r="AD1155" s="162">
        <f t="shared" si="37"/>
        <v>0</v>
      </c>
      <c r="AE1155" s="160">
        <v>1153</v>
      </c>
    </row>
    <row r="1156" spans="27:31" x14ac:dyDescent="0.25">
      <c r="AA1156" s="160"/>
      <c r="AB1156" s="162"/>
      <c r="AC1156" s="162"/>
      <c r="AD1156" s="162">
        <f t="shared" ref="AD1156:AD1219" si="38">AB1156+AC1156</f>
        <v>0</v>
      </c>
      <c r="AE1156" s="160">
        <v>1154</v>
      </c>
    </row>
    <row r="1157" spans="27:31" x14ac:dyDescent="0.25">
      <c r="AA1157" s="160"/>
      <c r="AB1157" s="162"/>
      <c r="AC1157" s="162"/>
      <c r="AD1157" s="162">
        <f t="shared" si="38"/>
        <v>0</v>
      </c>
      <c r="AE1157" s="160">
        <v>1155</v>
      </c>
    </row>
    <row r="1158" spans="27:31" x14ac:dyDescent="0.25">
      <c r="AA1158" s="160"/>
      <c r="AB1158" s="162"/>
      <c r="AC1158" s="162"/>
      <c r="AD1158" s="162">
        <f t="shared" si="38"/>
        <v>0</v>
      </c>
      <c r="AE1158" s="160">
        <v>1156</v>
      </c>
    </row>
    <row r="1159" spans="27:31" x14ac:dyDescent="0.25">
      <c r="AA1159" s="160"/>
      <c r="AB1159" s="162"/>
      <c r="AC1159" s="162"/>
      <c r="AD1159" s="162">
        <f t="shared" si="38"/>
        <v>0</v>
      </c>
      <c r="AE1159" s="160">
        <v>1157</v>
      </c>
    </row>
    <row r="1160" spans="27:31" x14ac:dyDescent="0.25">
      <c r="AA1160" s="160"/>
      <c r="AB1160" s="162"/>
      <c r="AC1160" s="162"/>
      <c r="AD1160" s="162">
        <f t="shared" si="38"/>
        <v>0</v>
      </c>
      <c r="AE1160" s="160">
        <v>1158</v>
      </c>
    </row>
    <row r="1161" spans="27:31" x14ac:dyDescent="0.25">
      <c r="AA1161" s="160"/>
      <c r="AB1161" s="162"/>
      <c r="AC1161" s="162"/>
      <c r="AD1161" s="162">
        <f t="shared" si="38"/>
        <v>0</v>
      </c>
      <c r="AE1161" s="160">
        <v>1159</v>
      </c>
    </row>
    <row r="1162" spans="27:31" x14ac:dyDescent="0.25">
      <c r="AA1162" s="160"/>
      <c r="AB1162" s="162"/>
      <c r="AC1162" s="162"/>
      <c r="AD1162" s="162">
        <f t="shared" si="38"/>
        <v>0</v>
      </c>
      <c r="AE1162" s="160">
        <v>1160</v>
      </c>
    </row>
    <row r="1163" spans="27:31" x14ac:dyDescent="0.25">
      <c r="AA1163" s="160"/>
      <c r="AB1163" s="162"/>
      <c r="AC1163" s="162"/>
      <c r="AD1163" s="162">
        <f t="shared" si="38"/>
        <v>0</v>
      </c>
      <c r="AE1163" s="160">
        <v>1161</v>
      </c>
    </row>
    <row r="1164" spans="27:31" x14ac:dyDescent="0.25">
      <c r="AA1164" s="160"/>
      <c r="AB1164" s="162"/>
      <c r="AC1164" s="162"/>
      <c r="AD1164" s="162">
        <f t="shared" si="38"/>
        <v>0</v>
      </c>
      <c r="AE1164" s="160">
        <v>1162</v>
      </c>
    </row>
    <row r="1165" spans="27:31" x14ac:dyDescent="0.25">
      <c r="AA1165" s="160"/>
      <c r="AB1165" s="162"/>
      <c r="AC1165" s="162"/>
      <c r="AD1165" s="162">
        <f t="shared" si="38"/>
        <v>0</v>
      </c>
      <c r="AE1165" s="160">
        <v>1163</v>
      </c>
    </row>
    <row r="1166" spans="27:31" x14ac:dyDescent="0.25">
      <c r="AA1166" s="160"/>
      <c r="AB1166" s="162"/>
      <c r="AC1166" s="162"/>
      <c r="AD1166" s="162">
        <f t="shared" si="38"/>
        <v>0</v>
      </c>
      <c r="AE1166" s="160">
        <v>1164</v>
      </c>
    </row>
    <row r="1167" spans="27:31" x14ac:dyDescent="0.25">
      <c r="AA1167" s="160"/>
      <c r="AB1167" s="162"/>
      <c r="AC1167" s="162"/>
      <c r="AD1167" s="162">
        <f t="shared" si="38"/>
        <v>0</v>
      </c>
      <c r="AE1167" s="160">
        <v>1165</v>
      </c>
    </row>
    <row r="1168" spans="27:31" x14ac:dyDescent="0.25">
      <c r="AA1168" s="160"/>
      <c r="AB1168" s="162"/>
      <c r="AC1168" s="162"/>
      <c r="AD1168" s="162">
        <f t="shared" si="38"/>
        <v>0</v>
      </c>
      <c r="AE1168" s="160">
        <v>1166</v>
      </c>
    </row>
    <row r="1169" spans="27:31" x14ac:dyDescent="0.25">
      <c r="AA1169" s="160"/>
      <c r="AB1169" s="162"/>
      <c r="AC1169" s="162"/>
      <c r="AD1169" s="162">
        <f t="shared" si="38"/>
        <v>0</v>
      </c>
      <c r="AE1169" s="160">
        <v>1167</v>
      </c>
    </row>
    <row r="1170" spans="27:31" x14ac:dyDescent="0.25">
      <c r="AA1170" s="160"/>
      <c r="AB1170" s="162"/>
      <c r="AC1170" s="162"/>
      <c r="AD1170" s="162">
        <f t="shared" si="38"/>
        <v>0</v>
      </c>
      <c r="AE1170" s="160">
        <v>1168</v>
      </c>
    </row>
    <row r="1171" spans="27:31" x14ac:dyDescent="0.25">
      <c r="AA1171" s="160"/>
      <c r="AB1171" s="162"/>
      <c r="AC1171" s="162"/>
      <c r="AD1171" s="162">
        <f t="shared" si="38"/>
        <v>0</v>
      </c>
      <c r="AE1171" s="160">
        <v>1169</v>
      </c>
    </row>
    <row r="1172" spans="27:31" x14ac:dyDescent="0.25">
      <c r="AA1172" s="160"/>
      <c r="AB1172" s="162"/>
      <c r="AC1172" s="162"/>
      <c r="AD1172" s="162">
        <f t="shared" si="38"/>
        <v>0</v>
      </c>
      <c r="AE1172" s="160">
        <v>1170</v>
      </c>
    </row>
    <row r="1173" spans="27:31" x14ac:dyDescent="0.25">
      <c r="AA1173" s="160"/>
      <c r="AB1173" s="162"/>
      <c r="AC1173" s="162"/>
      <c r="AD1173" s="162">
        <f t="shared" si="38"/>
        <v>0</v>
      </c>
      <c r="AE1173" s="160">
        <v>1171</v>
      </c>
    </row>
    <row r="1174" spans="27:31" x14ac:dyDescent="0.25">
      <c r="AA1174" s="160"/>
      <c r="AB1174" s="162"/>
      <c r="AC1174" s="162"/>
      <c r="AD1174" s="162">
        <f t="shared" si="38"/>
        <v>0</v>
      </c>
      <c r="AE1174" s="160">
        <v>1172</v>
      </c>
    </row>
    <row r="1175" spans="27:31" x14ac:dyDescent="0.25">
      <c r="AA1175" s="160"/>
      <c r="AB1175" s="162"/>
      <c r="AC1175" s="162"/>
      <c r="AD1175" s="162">
        <f t="shared" si="38"/>
        <v>0</v>
      </c>
      <c r="AE1175" s="160">
        <v>1173</v>
      </c>
    </row>
    <row r="1176" spans="27:31" x14ac:dyDescent="0.25">
      <c r="AA1176" s="160"/>
      <c r="AB1176" s="162"/>
      <c r="AC1176" s="162"/>
      <c r="AD1176" s="162">
        <f t="shared" si="38"/>
        <v>0</v>
      </c>
      <c r="AE1176" s="160">
        <v>1174</v>
      </c>
    </row>
    <row r="1177" spans="27:31" x14ac:dyDescent="0.25">
      <c r="AA1177" s="160"/>
      <c r="AB1177" s="162"/>
      <c r="AC1177" s="162"/>
      <c r="AD1177" s="162">
        <f t="shared" si="38"/>
        <v>0</v>
      </c>
      <c r="AE1177" s="160">
        <v>1175</v>
      </c>
    </row>
    <row r="1178" spans="27:31" x14ac:dyDescent="0.25">
      <c r="AA1178" s="160"/>
      <c r="AB1178" s="162"/>
      <c r="AC1178" s="162"/>
      <c r="AD1178" s="162">
        <f t="shared" si="38"/>
        <v>0</v>
      </c>
      <c r="AE1178" s="160">
        <v>1176</v>
      </c>
    </row>
    <row r="1179" spans="27:31" x14ac:dyDescent="0.25">
      <c r="AA1179" s="160"/>
      <c r="AB1179" s="162"/>
      <c r="AC1179" s="162"/>
      <c r="AD1179" s="162">
        <f t="shared" si="38"/>
        <v>0</v>
      </c>
      <c r="AE1179" s="160">
        <v>1177</v>
      </c>
    </row>
    <row r="1180" spans="27:31" x14ac:dyDescent="0.25">
      <c r="AA1180" s="160"/>
      <c r="AB1180" s="162"/>
      <c r="AC1180" s="162"/>
      <c r="AD1180" s="162">
        <f t="shared" si="38"/>
        <v>0</v>
      </c>
      <c r="AE1180" s="160">
        <v>1178</v>
      </c>
    </row>
    <row r="1181" spans="27:31" x14ac:dyDescent="0.25">
      <c r="AA1181" s="160"/>
      <c r="AB1181" s="162"/>
      <c r="AC1181" s="162"/>
      <c r="AD1181" s="162">
        <f t="shared" si="38"/>
        <v>0</v>
      </c>
      <c r="AE1181" s="160">
        <v>1179</v>
      </c>
    </row>
    <row r="1182" spans="27:31" x14ac:dyDescent="0.25">
      <c r="AA1182" s="160"/>
      <c r="AB1182" s="162"/>
      <c r="AC1182" s="162"/>
      <c r="AD1182" s="162">
        <f t="shared" si="38"/>
        <v>0</v>
      </c>
      <c r="AE1182" s="160">
        <v>1180</v>
      </c>
    </row>
    <row r="1183" spans="27:31" x14ac:dyDescent="0.25">
      <c r="AA1183" s="160"/>
      <c r="AB1183" s="162"/>
      <c r="AC1183" s="162"/>
      <c r="AD1183" s="162">
        <f t="shared" si="38"/>
        <v>0</v>
      </c>
      <c r="AE1183" s="160">
        <v>1181</v>
      </c>
    </row>
    <row r="1184" spans="27:31" x14ac:dyDescent="0.25">
      <c r="AA1184" s="160"/>
      <c r="AB1184" s="162"/>
      <c r="AC1184" s="162"/>
      <c r="AD1184" s="162">
        <f t="shared" si="38"/>
        <v>0</v>
      </c>
      <c r="AE1184" s="160">
        <v>1182</v>
      </c>
    </row>
    <row r="1185" spans="27:31" x14ac:dyDescent="0.25">
      <c r="AA1185" s="160"/>
      <c r="AB1185" s="162"/>
      <c r="AC1185" s="162"/>
      <c r="AD1185" s="162">
        <f t="shared" si="38"/>
        <v>0</v>
      </c>
      <c r="AE1185" s="160">
        <v>1183</v>
      </c>
    </row>
    <row r="1186" spans="27:31" x14ac:dyDescent="0.25">
      <c r="AA1186" s="160"/>
      <c r="AB1186" s="162"/>
      <c r="AC1186" s="162"/>
      <c r="AD1186" s="162">
        <f t="shared" si="38"/>
        <v>0</v>
      </c>
      <c r="AE1186" s="160">
        <v>1184</v>
      </c>
    </row>
    <row r="1187" spans="27:31" x14ac:dyDescent="0.25">
      <c r="AA1187" s="160"/>
      <c r="AB1187" s="162"/>
      <c r="AC1187" s="162"/>
      <c r="AD1187" s="162">
        <f t="shared" si="38"/>
        <v>0</v>
      </c>
      <c r="AE1187" s="160">
        <v>1185</v>
      </c>
    </row>
    <row r="1188" spans="27:31" x14ac:dyDescent="0.25">
      <c r="AA1188" s="160"/>
      <c r="AB1188" s="162"/>
      <c r="AC1188" s="162"/>
      <c r="AD1188" s="162">
        <f t="shared" si="38"/>
        <v>0</v>
      </c>
      <c r="AE1188" s="160">
        <v>1186</v>
      </c>
    </row>
    <row r="1189" spans="27:31" x14ac:dyDescent="0.25">
      <c r="AA1189" s="160"/>
      <c r="AB1189" s="162"/>
      <c r="AC1189" s="162"/>
      <c r="AD1189" s="162">
        <f t="shared" si="38"/>
        <v>0</v>
      </c>
      <c r="AE1189" s="160">
        <v>1187</v>
      </c>
    </row>
    <row r="1190" spans="27:31" x14ac:dyDescent="0.25">
      <c r="AA1190" s="160"/>
      <c r="AB1190" s="162"/>
      <c r="AC1190" s="162"/>
      <c r="AD1190" s="162">
        <f t="shared" si="38"/>
        <v>0</v>
      </c>
      <c r="AE1190" s="160">
        <v>1188</v>
      </c>
    </row>
    <row r="1191" spans="27:31" x14ac:dyDescent="0.25">
      <c r="AA1191" s="160"/>
      <c r="AB1191" s="162"/>
      <c r="AC1191" s="162"/>
      <c r="AD1191" s="162">
        <f t="shared" si="38"/>
        <v>0</v>
      </c>
      <c r="AE1191" s="160">
        <v>1189</v>
      </c>
    </row>
    <row r="1192" spans="27:31" x14ac:dyDescent="0.25">
      <c r="AA1192" s="160"/>
      <c r="AB1192" s="162"/>
      <c r="AC1192" s="162"/>
      <c r="AD1192" s="162">
        <f t="shared" si="38"/>
        <v>0</v>
      </c>
      <c r="AE1192" s="160">
        <v>1190</v>
      </c>
    </row>
    <row r="1193" spans="27:31" x14ac:dyDescent="0.25">
      <c r="AA1193" s="160"/>
      <c r="AB1193" s="162"/>
      <c r="AC1193" s="162"/>
      <c r="AD1193" s="162">
        <f t="shared" si="38"/>
        <v>0</v>
      </c>
      <c r="AE1193" s="160">
        <v>1191</v>
      </c>
    </row>
    <row r="1194" spans="27:31" x14ac:dyDescent="0.25">
      <c r="AA1194" s="160"/>
      <c r="AB1194" s="162"/>
      <c r="AC1194" s="162"/>
      <c r="AD1194" s="162">
        <f t="shared" si="38"/>
        <v>0</v>
      </c>
      <c r="AE1194" s="160">
        <v>1192</v>
      </c>
    </row>
    <row r="1195" spans="27:31" x14ac:dyDescent="0.25">
      <c r="AA1195" s="160"/>
      <c r="AB1195" s="162"/>
      <c r="AC1195" s="162"/>
      <c r="AD1195" s="162">
        <f t="shared" si="38"/>
        <v>0</v>
      </c>
      <c r="AE1195" s="160">
        <v>1193</v>
      </c>
    </row>
    <row r="1196" spans="27:31" x14ac:dyDescent="0.25">
      <c r="AA1196" s="160"/>
      <c r="AB1196" s="162"/>
      <c r="AC1196" s="162"/>
      <c r="AD1196" s="162">
        <f t="shared" si="38"/>
        <v>0</v>
      </c>
      <c r="AE1196" s="160">
        <v>1194</v>
      </c>
    </row>
    <row r="1197" spans="27:31" x14ac:dyDescent="0.25">
      <c r="AA1197" s="160"/>
      <c r="AB1197" s="162"/>
      <c r="AC1197" s="162"/>
      <c r="AD1197" s="162">
        <f t="shared" si="38"/>
        <v>0</v>
      </c>
      <c r="AE1197" s="160">
        <v>1195</v>
      </c>
    </row>
    <row r="1198" spans="27:31" x14ac:dyDescent="0.25">
      <c r="AA1198" s="160"/>
      <c r="AB1198" s="162"/>
      <c r="AC1198" s="162"/>
      <c r="AD1198" s="162">
        <f t="shared" si="38"/>
        <v>0</v>
      </c>
      <c r="AE1198" s="160">
        <v>1196</v>
      </c>
    </row>
    <row r="1199" spans="27:31" x14ac:dyDescent="0.25">
      <c r="AA1199" s="160"/>
      <c r="AB1199" s="162"/>
      <c r="AC1199" s="162"/>
      <c r="AD1199" s="162">
        <f t="shared" si="38"/>
        <v>0</v>
      </c>
      <c r="AE1199" s="160">
        <v>1197</v>
      </c>
    </row>
    <row r="1200" spans="27:31" x14ac:dyDescent="0.25">
      <c r="AA1200" s="160"/>
      <c r="AB1200" s="162"/>
      <c r="AC1200" s="162"/>
      <c r="AD1200" s="162">
        <f t="shared" si="38"/>
        <v>0</v>
      </c>
      <c r="AE1200" s="160">
        <v>1198</v>
      </c>
    </row>
    <row r="1201" spans="27:31" x14ac:dyDescent="0.25">
      <c r="AA1201" s="160"/>
      <c r="AB1201" s="162"/>
      <c r="AC1201" s="162"/>
      <c r="AD1201" s="162">
        <f t="shared" si="38"/>
        <v>0</v>
      </c>
      <c r="AE1201" s="160">
        <v>1199</v>
      </c>
    </row>
    <row r="1202" spans="27:31" x14ac:dyDescent="0.25">
      <c r="AA1202" s="160"/>
      <c r="AB1202" s="162"/>
      <c r="AC1202" s="162"/>
      <c r="AD1202" s="162">
        <f t="shared" si="38"/>
        <v>0</v>
      </c>
      <c r="AE1202" s="160">
        <v>1200</v>
      </c>
    </row>
    <row r="1203" spans="27:31" x14ac:dyDescent="0.25">
      <c r="AA1203" s="160"/>
      <c r="AB1203" s="162"/>
      <c r="AC1203" s="162"/>
      <c r="AD1203" s="162">
        <f t="shared" si="38"/>
        <v>0</v>
      </c>
      <c r="AE1203" s="160">
        <v>1201</v>
      </c>
    </row>
    <row r="1204" spans="27:31" x14ac:dyDescent="0.25">
      <c r="AA1204" s="160"/>
      <c r="AB1204" s="162"/>
      <c r="AC1204" s="162"/>
      <c r="AD1204" s="162">
        <f t="shared" si="38"/>
        <v>0</v>
      </c>
      <c r="AE1204" s="160">
        <v>1202</v>
      </c>
    </row>
    <row r="1205" spans="27:31" x14ac:dyDescent="0.25">
      <c r="AA1205" s="160"/>
      <c r="AB1205" s="162"/>
      <c r="AC1205" s="162"/>
      <c r="AD1205" s="162">
        <f t="shared" si="38"/>
        <v>0</v>
      </c>
      <c r="AE1205" s="160">
        <v>1203</v>
      </c>
    </row>
    <row r="1206" spans="27:31" x14ac:dyDescent="0.25">
      <c r="AA1206" s="160"/>
      <c r="AB1206" s="162"/>
      <c r="AC1206" s="162"/>
      <c r="AD1206" s="162">
        <f t="shared" si="38"/>
        <v>0</v>
      </c>
      <c r="AE1206" s="160">
        <v>1204</v>
      </c>
    </row>
    <row r="1207" spans="27:31" x14ac:dyDescent="0.25">
      <c r="AA1207" s="160"/>
      <c r="AB1207" s="162"/>
      <c r="AC1207" s="162"/>
      <c r="AD1207" s="162">
        <f t="shared" si="38"/>
        <v>0</v>
      </c>
      <c r="AE1207" s="160">
        <v>1205</v>
      </c>
    </row>
    <row r="1208" spans="27:31" x14ac:dyDescent="0.25">
      <c r="AA1208" s="160"/>
      <c r="AB1208" s="162"/>
      <c r="AC1208" s="162"/>
      <c r="AD1208" s="162">
        <f t="shared" si="38"/>
        <v>0</v>
      </c>
      <c r="AE1208" s="160">
        <v>1206</v>
      </c>
    </row>
    <row r="1209" spans="27:31" x14ac:dyDescent="0.25">
      <c r="AA1209" s="160"/>
      <c r="AB1209" s="162"/>
      <c r="AC1209" s="162"/>
      <c r="AD1209" s="162">
        <f t="shared" si="38"/>
        <v>0</v>
      </c>
      <c r="AE1209" s="160">
        <v>1207</v>
      </c>
    </row>
    <row r="1210" spans="27:31" x14ac:dyDescent="0.25">
      <c r="AA1210" s="160"/>
      <c r="AB1210" s="162"/>
      <c r="AC1210" s="162"/>
      <c r="AD1210" s="162">
        <f t="shared" si="38"/>
        <v>0</v>
      </c>
      <c r="AE1210" s="160">
        <v>1208</v>
      </c>
    </row>
    <row r="1211" spans="27:31" x14ac:dyDescent="0.25">
      <c r="AA1211" s="160"/>
      <c r="AB1211" s="162"/>
      <c r="AC1211" s="162"/>
      <c r="AD1211" s="162">
        <f t="shared" si="38"/>
        <v>0</v>
      </c>
      <c r="AE1211" s="160">
        <v>1209</v>
      </c>
    </row>
    <row r="1212" spans="27:31" x14ac:dyDescent="0.25">
      <c r="AA1212" s="160"/>
      <c r="AB1212" s="162"/>
      <c r="AC1212" s="162"/>
      <c r="AD1212" s="162">
        <f t="shared" si="38"/>
        <v>0</v>
      </c>
      <c r="AE1212" s="160">
        <v>1210</v>
      </c>
    </row>
    <row r="1213" spans="27:31" x14ac:dyDescent="0.25">
      <c r="AA1213" s="160"/>
      <c r="AB1213" s="162"/>
      <c r="AC1213" s="162"/>
      <c r="AD1213" s="162">
        <f t="shared" si="38"/>
        <v>0</v>
      </c>
      <c r="AE1213" s="160">
        <v>1211</v>
      </c>
    </row>
    <row r="1214" spans="27:31" x14ac:dyDescent="0.25">
      <c r="AA1214" s="160"/>
      <c r="AB1214" s="162"/>
      <c r="AC1214" s="162"/>
      <c r="AD1214" s="162">
        <f t="shared" si="38"/>
        <v>0</v>
      </c>
      <c r="AE1214" s="160">
        <v>1212</v>
      </c>
    </row>
    <row r="1215" spans="27:31" x14ac:dyDescent="0.25">
      <c r="AA1215" s="160"/>
      <c r="AB1215" s="162"/>
      <c r="AC1215" s="162"/>
      <c r="AD1215" s="162">
        <f t="shared" si="38"/>
        <v>0</v>
      </c>
      <c r="AE1215" s="160">
        <v>1213</v>
      </c>
    </row>
    <row r="1216" spans="27:31" x14ac:dyDescent="0.25">
      <c r="AA1216" s="160"/>
      <c r="AB1216" s="162"/>
      <c r="AC1216" s="162"/>
      <c r="AD1216" s="162">
        <f t="shared" si="38"/>
        <v>0</v>
      </c>
      <c r="AE1216" s="160">
        <v>1214</v>
      </c>
    </row>
    <row r="1217" spans="27:31" x14ac:dyDescent="0.25">
      <c r="AA1217" s="160"/>
      <c r="AB1217" s="162"/>
      <c r="AC1217" s="162"/>
      <c r="AD1217" s="162">
        <f t="shared" si="38"/>
        <v>0</v>
      </c>
      <c r="AE1217" s="160">
        <v>1215</v>
      </c>
    </row>
    <row r="1218" spans="27:31" x14ac:dyDescent="0.25">
      <c r="AA1218" s="160"/>
      <c r="AB1218" s="162"/>
      <c r="AC1218" s="162"/>
      <c r="AD1218" s="162">
        <f t="shared" si="38"/>
        <v>0</v>
      </c>
      <c r="AE1218" s="160">
        <v>1216</v>
      </c>
    </row>
    <row r="1219" spans="27:31" x14ac:dyDescent="0.25">
      <c r="AA1219" s="160"/>
      <c r="AB1219" s="162"/>
      <c r="AC1219" s="162"/>
      <c r="AD1219" s="162">
        <f t="shared" si="38"/>
        <v>0</v>
      </c>
      <c r="AE1219" s="160">
        <v>1217</v>
      </c>
    </row>
    <row r="1220" spans="27:31" x14ac:dyDescent="0.25">
      <c r="AA1220" s="160"/>
      <c r="AB1220" s="162"/>
      <c r="AC1220" s="162"/>
      <c r="AD1220" s="162">
        <f t="shared" ref="AD1220:AD1283" si="39">AB1220+AC1220</f>
        <v>0</v>
      </c>
      <c r="AE1220" s="160">
        <v>1218</v>
      </c>
    </row>
    <row r="1221" spans="27:31" x14ac:dyDescent="0.25">
      <c r="AA1221" s="160"/>
      <c r="AB1221" s="162"/>
      <c r="AC1221" s="162"/>
      <c r="AD1221" s="162">
        <f t="shared" si="39"/>
        <v>0</v>
      </c>
      <c r="AE1221" s="160">
        <v>1219</v>
      </c>
    </row>
    <row r="1222" spans="27:31" x14ac:dyDescent="0.25">
      <c r="AA1222" s="160"/>
      <c r="AB1222" s="162"/>
      <c r="AC1222" s="162"/>
      <c r="AD1222" s="162">
        <f t="shared" si="39"/>
        <v>0</v>
      </c>
      <c r="AE1222" s="160">
        <v>1220</v>
      </c>
    </row>
    <row r="1223" spans="27:31" x14ac:dyDescent="0.25">
      <c r="AA1223" s="160"/>
      <c r="AB1223" s="162"/>
      <c r="AC1223" s="162"/>
      <c r="AD1223" s="162">
        <f t="shared" si="39"/>
        <v>0</v>
      </c>
      <c r="AE1223" s="160">
        <v>1221</v>
      </c>
    </row>
    <row r="1224" spans="27:31" x14ac:dyDescent="0.25">
      <c r="AA1224" s="160"/>
      <c r="AB1224" s="162"/>
      <c r="AC1224" s="162"/>
      <c r="AD1224" s="162">
        <f t="shared" si="39"/>
        <v>0</v>
      </c>
      <c r="AE1224" s="160">
        <v>1222</v>
      </c>
    </row>
    <row r="1225" spans="27:31" x14ac:dyDescent="0.25">
      <c r="AA1225" s="160"/>
      <c r="AB1225" s="162"/>
      <c r="AC1225" s="162"/>
      <c r="AD1225" s="162">
        <f t="shared" si="39"/>
        <v>0</v>
      </c>
      <c r="AE1225" s="160">
        <v>1223</v>
      </c>
    </row>
    <row r="1226" spans="27:31" x14ac:dyDescent="0.25">
      <c r="AA1226" s="160"/>
      <c r="AB1226" s="162"/>
      <c r="AC1226" s="162"/>
      <c r="AD1226" s="162">
        <f t="shared" si="39"/>
        <v>0</v>
      </c>
      <c r="AE1226" s="160">
        <v>1224</v>
      </c>
    </row>
    <row r="1227" spans="27:31" x14ac:dyDescent="0.25">
      <c r="AA1227" s="160"/>
      <c r="AB1227" s="162"/>
      <c r="AC1227" s="162"/>
      <c r="AD1227" s="162">
        <f t="shared" si="39"/>
        <v>0</v>
      </c>
      <c r="AE1227" s="160">
        <v>1225</v>
      </c>
    </row>
    <row r="1228" spans="27:31" x14ac:dyDescent="0.25">
      <c r="AA1228" s="160"/>
      <c r="AB1228" s="162"/>
      <c r="AC1228" s="162"/>
      <c r="AD1228" s="162">
        <f t="shared" si="39"/>
        <v>0</v>
      </c>
      <c r="AE1228" s="160">
        <v>1226</v>
      </c>
    </row>
    <row r="1229" spans="27:31" x14ac:dyDescent="0.25">
      <c r="AA1229" s="160"/>
      <c r="AB1229" s="162"/>
      <c r="AC1229" s="162"/>
      <c r="AD1229" s="162">
        <f t="shared" si="39"/>
        <v>0</v>
      </c>
      <c r="AE1229" s="160">
        <v>1227</v>
      </c>
    </row>
    <row r="1230" spans="27:31" x14ac:dyDescent="0.25">
      <c r="AA1230" s="160"/>
      <c r="AB1230" s="162"/>
      <c r="AC1230" s="162"/>
      <c r="AD1230" s="162">
        <f t="shared" si="39"/>
        <v>0</v>
      </c>
      <c r="AE1230" s="160">
        <v>1228</v>
      </c>
    </row>
    <row r="1231" spans="27:31" x14ac:dyDescent="0.25">
      <c r="AA1231" s="160"/>
      <c r="AB1231" s="162"/>
      <c r="AC1231" s="162"/>
      <c r="AD1231" s="162">
        <f t="shared" si="39"/>
        <v>0</v>
      </c>
      <c r="AE1231" s="160">
        <v>1229</v>
      </c>
    </row>
    <row r="1232" spans="27:31" x14ac:dyDescent="0.25">
      <c r="AA1232" s="160"/>
      <c r="AB1232" s="162"/>
      <c r="AC1232" s="162"/>
      <c r="AD1232" s="162">
        <f t="shared" si="39"/>
        <v>0</v>
      </c>
      <c r="AE1232" s="160">
        <v>1230</v>
      </c>
    </row>
    <row r="1233" spans="27:31" x14ac:dyDescent="0.25">
      <c r="AA1233" s="160"/>
      <c r="AB1233" s="162"/>
      <c r="AC1233" s="162"/>
      <c r="AD1233" s="162">
        <f t="shared" si="39"/>
        <v>0</v>
      </c>
      <c r="AE1233" s="160">
        <v>1231</v>
      </c>
    </row>
    <row r="1234" spans="27:31" x14ac:dyDescent="0.25">
      <c r="AA1234" s="160"/>
      <c r="AB1234" s="162"/>
      <c r="AC1234" s="162"/>
      <c r="AD1234" s="162">
        <f t="shared" si="39"/>
        <v>0</v>
      </c>
      <c r="AE1234" s="160">
        <v>1232</v>
      </c>
    </row>
    <row r="1235" spans="27:31" x14ac:dyDescent="0.25">
      <c r="AA1235" s="160"/>
      <c r="AB1235" s="162"/>
      <c r="AC1235" s="162"/>
      <c r="AD1235" s="162">
        <f t="shared" si="39"/>
        <v>0</v>
      </c>
      <c r="AE1235" s="160">
        <v>1233</v>
      </c>
    </row>
    <row r="1236" spans="27:31" x14ac:dyDescent="0.25">
      <c r="AA1236" s="160"/>
      <c r="AB1236" s="162"/>
      <c r="AC1236" s="162"/>
      <c r="AD1236" s="162">
        <f t="shared" si="39"/>
        <v>0</v>
      </c>
      <c r="AE1236" s="160">
        <v>1234</v>
      </c>
    </row>
    <row r="1237" spans="27:31" x14ac:dyDescent="0.25">
      <c r="AA1237" s="160"/>
      <c r="AB1237" s="162"/>
      <c r="AC1237" s="162"/>
      <c r="AD1237" s="162">
        <f t="shared" si="39"/>
        <v>0</v>
      </c>
      <c r="AE1237" s="160">
        <v>1235</v>
      </c>
    </row>
    <row r="1238" spans="27:31" x14ac:dyDescent="0.25">
      <c r="AA1238" s="160"/>
      <c r="AB1238" s="162"/>
      <c r="AC1238" s="162"/>
      <c r="AD1238" s="162">
        <f t="shared" si="39"/>
        <v>0</v>
      </c>
      <c r="AE1238" s="160">
        <v>1236</v>
      </c>
    </row>
    <row r="1239" spans="27:31" x14ac:dyDescent="0.25">
      <c r="AA1239" s="160"/>
      <c r="AB1239" s="162"/>
      <c r="AC1239" s="162"/>
      <c r="AD1239" s="162">
        <f t="shared" si="39"/>
        <v>0</v>
      </c>
      <c r="AE1239" s="160">
        <v>1237</v>
      </c>
    </row>
    <row r="1240" spans="27:31" x14ac:dyDescent="0.25">
      <c r="AA1240" s="160"/>
      <c r="AB1240" s="162"/>
      <c r="AC1240" s="162"/>
      <c r="AD1240" s="162">
        <f t="shared" si="39"/>
        <v>0</v>
      </c>
      <c r="AE1240" s="160">
        <v>1238</v>
      </c>
    </row>
    <row r="1241" spans="27:31" x14ac:dyDescent="0.25">
      <c r="AA1241" s="160"/>
      <c r="AB1241" s="162"/>
      <c r="AC1241" s="162"/>
      <c r="AD1241" s="162">
        <f t="shared" si="39"/>
        <v>0</v>
      </c>
      <c r="AE1241" s="160">
        <v>1239</v>
      </c>
    </row>
    <row r="1242" spans="27:31" x14ac:dyDescent="0.25">
      <c r="AA1242" s="160"/>
      <c r="AB1242" s="162"/>
      <c r="AC1242" s="162"/>
      <c r="AD1242" s="162">
        <f t="shared" si="39"/>
        <v>0</v>
      </c>
      <c r="AE1242" s="160">
        <v>1240</v>
      </c>
    </row>
    <row r="1243" spans="27:31" x14ac:dyDescent="0.25">
      <c r="AA1243" s="160"/>
      <c r="AB1243" s="162"/>
      <c r="AC1243" s="162"/>
      <c r="AD1243" s="162">
        <f t="shared" si="39"/>
        <v>0</v>
      </c>
      <c r="AE1243" s="160">
        <v>1241</v>
      </c>
    </row>
    <row r="1244" spans="27:31" x14ac:dyDescent="0.25">
      <c r="AA1244" s="160"/>
      <c r="AB1244" s="162"/>
      <c r="AC1244" s="162"/>
      <c r="AD1244" s="162">
        <f t="shared" si="39"/>
        <v>0</v>
      </c>
      <c r="AE1244" s="160">
        <v>1242</v>
      </c>
    </row>
    <row r="1245" spans="27:31" x14ac:dyDescent="0.25">
      <c r="AA1245" s="160"/>
      <c r="AB1245" s="162"/>
      <c r="AC1245" s="162"/>
      <c r="AD1245" s="162">
        <f t="shared" si="39"/>
        <v>0</v>
      </c>
      <c r="AE1245" s="160">
        <v>1243</v>
      </c>
    </row>
    <row r="1246" spans="27:31" x14ac:dyDescent="0.25">
      <c r="AA1246" s="160"/>
      <c r="AB1246" s="162"/>
      <c r="AC1246" s="162"/>
      <c r="AD1246" s="162">
        <f t="shared" si="39"/>
        <v>0</v>
      </c>
      <c r="AE1246" s="160">
        <v>1244</v>
      </c>
    </row>
    <row r="1247" spans="27:31" x14ac:dyDescent="0.25">
      <c r="AA1247" s="160"/>
      <c r="AB1247" s="162"/>
      <c r="AC1247" s="162"/>
      <c r="AD1247" s="162">
        <f t="shared" si="39"/>
        <v>0</v>
      </c>
      <c r="AE1247" s="160">
        <v>1245</v>
      </c>
    </row>
    <row r="1248" spans="27:31" x14ac:dyDescent="0.25">
      <c r="AA1248" s="160"/>
      <c r="AB1248" s="162"/>
      <c r="AC1248" s="162"/>
      <c r="AD1248" s="162">
        <f t="shared" si="39"/>
        <v>0</v>
      </c>
      <c r="AE1248" s="160">
        <v>1246</v>
      </c>
    </row>
    <row r="1249" spans="27:31" x14ac:dyDescent="0.25">
      <c r="AA1249" s="160"/>
      <c r="AB1249" s="162"/>
      <c r="AC1249" s="162"/>
      <c r="AD1249" s="162">
        <f t="shared" si="39"/>
        <v>0</v>
      </c>
      <c r="AE1249" s="160">
        <v>1247</v>
      </c>
    </row>
    <row r="1250" spans="27:31" x14ac:dyDescent="0.25">
      <c r="AA1250" s="160"/>
      <c r="AB1250" s="162"/>
      <c r="AC1250" s="162"/>
      <c r="AD1250" s="162">
        <f t="shared" si="39"/>
        <v>0</v>
      </c>
      <c r="AE1250" s="160">
        <v>1248</v>
      </c>
    </row>
    <row r="1251" spans="27:31" x14ac:dyDescent="0.25">
      <c r="AA1251" s="160"/>
      <c r="AB1251" s="162"/>
      <c r="AC1251" s="162"/>
      <c r="AD1251" s="162">
        <f t="shared" si="39"/>
        <v>0</v>
      </c>
      <c r="AE1251" s="160">
        <v>1249</v>
      </c>
    </row>
    <row r="1252" spans="27:31" x14ac:dyDescent="0.25">
      <c r="AA1252" s="160"/>
      <c r="AB1252" s="162"/>
      <c r="AC1252" s="162"/>
      <c r="AD1252" s="162">
        <f t="shared" si="39"/>
        <v>0</v>
      </c>
      <c r="AE1252" s="160">
        <v>1250</v>
      </c>
    </row>
    <row r="1253" spans="27:31" x14ac:dyDescent="0.25">
      <c r="AA1253" s="160"/>
      <c r="AB1253" s="162"/>
      <c r="AC1253" s="162"/>
      <c r="AD1253" s="162">
        <f t="shared" si="39"/>
        <v>0</v>
      </c>
      <c r="AE1253" s="160">
        <v>1251</v>
      </c>
    </row>
    <row r="1254" spans="27:31" x14ac:dyDescent="0.25">
      <c r="AA1254" s="160"/>
      <c r="AB1254" s="162"/>
      <c r="AC1254" s="162"/>
      <c r="AD1254" s="162">
        <f t="shared" si="39"/>
        <v>0</v>
      </c>
      <c r="AE1254" s="160">
        <v>1252</v>
      </c>
    </row>
    <row r="1255" spans="27:31" x14ac:dyDescent="0.25">
      <c r="AA1255" s="160"/>
      <c r="AB1255" s="162"/>
      <c r="AC1255" s="162"/>
      <c r="AD1255" s="162">
        <f t="shared" si="39"/>
        <v>0</v>
      </c>
      <c r="AE1255" s="160">
        <v>1253</v>
      </c>
    </row>
    <row r="1256" spans="27:31" x14ac:dyDescent="0.25">
      <c r="AA1256" s="160"/>
      <c r="AB1256" s="162"/>
      <c r="AC1256" s="162"/>
      <c r="AD1256" s="162">
        <f t="shared" si="39"/>
        <v>0</v>
      </c>
      <c r="AE1256" s="160">
        <v>1254</v>
      </c>
    </row>
    <row r="1257" spans="27:31" x14ac:dyDescent="0.25">
      <c r="AA1257" s="160"/>
      <c r="AB1257" s="162"/>
      <c r="AC1257" s="162"/>
      <c r="AD1257" s="162">
        <f t="shared" si="39"/>
        <v>0</v>
      </c>
      <c r="AE1257" s="160">
        <v>1255</v>
      </c>
    </row>
    <row r="1258" spans="27:31" x14ac:dyDescent="0.25">
      <c r="AA1258" s="160"/>
      <c r="AB1258" s="162"/>
      <c r="AC1258" s="162"/>
      <c r="AD1258" s="162">
        <f t="shared" si="39"/>
        <v>0</v>
      </c>
      <c r="AE1258" s="160">
        <v>1256</v>
      </c>
    </row>
    <row r="1259" spans="27:31" x14ac:dyDescent="0.25">
      <c r="AA1259" s="160"/>
      <c r="AB1259" s="162"/>
      <c r="AC1259" s="162"/>
      <c r="AD1259" s="162">
        <f t="shared" si="39"/>
        <v>0</v>
      </c>
      <c r="AE1259" s="160">
        <v>1257</v>
      </c>
    </row>
    <row r="1260" spans="27:31" x14ac:dyDescent="0.25">
      <c r="AA1260" s="160"/>
      <c r="AB1260" s="162"/>
      <c r="AC1260" s="162"/>
      <c r="AD1260" s="162">
        <f t="shared" si="39"/>
        <v>0</v>
      </c>
      <c r="AE1260" s="160">
        <v>1258</v>
      </c>
    </row>
    <row r="1261" spans="27:31" x14ac:dyDescent="0.25">
      <c r="AA1261" s="160"/>
      <c r="AB1261" s="162"/>
      <c r="AC1261" s="162"/>
      <c r="AD1261" s="162">
        <f t="shared" si="39"/>
        <v>0</v>
      </c>
      <c r="AE1261" s="160">
        <v>1259</v>
      </c>
    </row>
    <row r="1262" spans="27:31" x14ac:dyDescent="0.25">
      <c r="AA1262" s="160"/>
      <c r="AB1262" s="162"/>
      <c r="AC1262" s="162"/>
      <c r="AD1262" s="162">
        <f t="shared" si="39"/>
        <v>0</v>
      </c>
      <c r="AE1262" s="160">
        <v>1260</v>
      </c>
    </row>
    <row r="1263" spans="27:31" x14ac:dyDescent="0.25">
      <c r="AA1263" s="160"/>
      <c r="AB1263" s="162"/>
      <c r="AC1263" s="162"/>
      <c r="AD1263" s="162">
        <f t="shared" si="39"/>
        <v>0</v>
      </c>
      <c r="AE1263" s="160">
        <v>1261</v>
      </c>
    </row>
    <row r="1264" spans="27:31" x14ac:dyDescent="0.25">
      <c r="AA1264" s="160"/>
      <c r="AB1264" s="162"/>
      <c r="AC1264" s="162"/>
      <c r="AD1264" s="162">
        <f t="shared" si="39"/>
        <v>0</v>
      </c>
      <c r="AE1264" s="160">
        <v>1262</v>
      </c>
    </row>
    <row r="1265" spans="27:31" x14ac:dyDescent="0.25">
      <c r="AA1265" s="160"/>
      <c r="AB1265" s="162"/>
      <c r="AC1265" s="162"/>
      <c r="AD1265" s="162">
        <f t="shared" si="39"/>
        <v>0</v>
      </c>
      <c r="AE1265" s="160">
        <v>1263</v>
      </c>
    </row>
    <row r="1266" spans="27:31" x14ac:dyDescent="0.25">
      <c r="AA1266" s="160"/>
      <c r="AB1266" s="162"/>
      <c r="AC1266" s="162"/>
      <c r="AD1266" s="162">
        <f t="shared" si="39"/>
        <v>0</v>
      </c>
      <c r="AE1266" s="160">
        <v>1264</v>
      </c>
    </row>
    <row r="1267" spans="27:31" x14ac:dyDescent="0.25">
      <c r="AA1267" s="160"/>
      <c r="AB1267" s="162"/>
      <c r="AC1267" s="162"/>
      <c r="AD1267" s="162">
        <f t="shared" si="39"/>
        <v>0</v>
      </c>
      <c r="AE1267" s="160">
        <v>1265</v>
      </c>
    </row>
    <row r="1268" spans="27:31" x14ac:dyDescent="0.25">
      <c r="AA1268" s="160"/>
      <c r="AB1268" s="162"/>
      <c r="AC1268" s="162"/>
      <c r="AD1268" s="162">
        <f t="shared" si="39"/>
        <v>0</v>
      </c>
      <c r="AE1268" s="160">
        <v>1266</v>
      </c>
    </row>
    <row r="1269" spans="27:31" x14ac:dyDescent="0.25">
      <c r="AA1269" s="160"/>
      <c r="AB1269" s="162"/>
      <c r="AC1269" s="162"/>
      <c r="AD1269" s="162">
        <f t="shared" si="39"/>
        <v>0</v>
      </c>
      <c r="AE1269" s="160">
        <v>1267</v>
      </c>
    </row>
    <row r="1270" spans="27:31" x14ac:dyDescent="0.25">
      <c r="AA1270" s="160"/>
      <c r="AB1270" s="162"/>
      <c r="AC1270" s="162"/>
      <c r="AD1270" s="162">
        <f t="shared" si="39"/>
        <v>0</v>
      </c>
      <c r="AE1270" s="160">
        <v>1268</v>
      </c>
    </row>
    <row r="1271" spans="27:31" x14ac:dyDescent="0.25">
      <c r="AA1271" s="160"/>
      <c r="AB1271" s="162"/>
      <c r="AC1271" s="162"/>
      <c r="AD1271" s="162">
        <f t="shared" si="39"/>
        <v>0</v>
      </c>
      <c r="AE1271" s="160">
        <v>1269</v>
      </c>
    </row>
    <row r="1272" spans="27:31" x14ac:dyDescent="0.25">
      <c r="AA1272" s="160"/>
      <c r="AB1272" s="162"/>
      <c r="AC1272" s="162"/>
      <c r="AD1272" s="162">
        <f t="shared" si="39"/>
        <v>0</v>
      </c>
      <c r="AE1272" s="160">
        <v>1270</v>
      </c>
    </row>
    <row r="1273" spans="27:31" x14ac:dyDescent="0.25">
      <c r="AA1273" s="160"/>
      <c r="AB1273" s="162"/>
      <c r="AC1273" s="162"/>
      <c r="AD1273" s="162">
        <f t="shared" si="39"/>
        <v>0</v>
      </c>
      <c r="AE1273" s="160">
        <v>1271</v>
      </c>
    </row>
    <row r="1274" spans="27:31" x14ac:dyDescent="0.25">
      <c r="AA1274" s="160"/>
      <c r="AB1274" s="162"/>
      <c r="AC1274" s="162"/>
      <c r="AD1274" s="162">
        <f t="shared" si="39"/>
        <v>0</v>
      </c>
      <c r="AE1274" s="160">
        <v>1272</v>
      </c>
    </row>
    <row r="1275" spans="27:31" x14ac:dyDescent="0.25">
      <c r="AA1275" s="160"/>
      <c r="AB1275" s="162"/>
      <c r="AC1275" s="162"/>
      <c r="AD1275" s="162">
        <f t="shared" si="39"/>
        <v>0</v>
      </c>
      <c r="AE1275" s="160">
        <v>1273</v>
      </c>
    </row>
    <row r="1276" spans="27:31" x14ac:dyDescent="0.25">
      <c r="AA1276" s="160"/>
      <c r="AB1276" s="162"/>
      <c r="AC1276" s="162"/>
      <c r="AD1276" s="162">
        <f t="shared" si="39"/>
        <v>0</v>
      </c>
      <c r="AE1276" s="160">
        <v>1274</v>
      </c>
    </row>
    <row r="1277" spans="27:31" x14ac:dyDescent="0.25">
      <c r="AA1277" s="160"/>
      <c r="AB1277" s="162"/>
      <c r="AC1277" s="162"/>
      <c r="AD1277" s="162">
        <f t="shared" si="39"/>
        <v>0</v>
      </c>
      <c r="AE1277" s="160">
        <v>1275</v>
      </c>
    </row>
    <row r="1278" spans="27:31" x14ac:dyDescent="0.25">
      <c r="AA1278" s="160"/>
      <c r="AB1278" s="162"/>
      <c r="AC1278" s="162"/>
      <c r="AD1278" s="162">
        <f t="shared" si="39"/>
        <v>0</v>
      </c>
      <c r="AE1278" s="160">
        <v>1276</v>
      </c>
    </row>
    <row r="1279" spans="27:31" x14ac:dyDescent="0.25">
      <c r="AA1279" s="160"/>
      <c r="AB1279" s="162"/>
      <c r="AC1279" s="162"/>
      <c r="AD1279" s="162">
        <f t="shared" si="39"/>
        <v>0</v>
      </c>
      <c r="AE1279" s="160">
        <v>1277</v>
      </c>
    </row>
    <row r="1280" spans="27:31" x14ac:dyDescent="0.25">
      <c r="AA1280" s="160"/>
      <c r="AB1280" s="162"/>
      <c r="AC1280" s="162"/>
      <c r="AD1280" s="162">
        <f t="shared" si="39"/>
        <v>0</v>
      </c>
      <c r="AE1280" s="160">
        <v>1278</v>
      </c>
    </row>
    <row r="1281" spans="27:31" x14ac:dyDescent="0.25">
      <c r="AA1281" s="160"/>
      <c r="AB1281" s="162"/>
      <c r="AC1281" s="162"/>
      <c r="AD1281" s="162">
        <f t="shared" si="39"/>
        <v>0</v>
      </c>
      <c r="AE1281" s="160">
        <v>1279</v>
      </c>
    </row>
    <row r="1282" spans="27:31" x14ac:dyDescent="0.25">
      <c r="AA1282" s="160"/>
      <c r="AB1282" s="162"/>
      <c r="AC1282" s="162"/>
      <c r="AD1282" s="162">
        <f t="shared" si="39"/>
        <v>0</v>
      </c>
      <c r="AE1282" s="160">
        <v>1280</v>
      </c>
    </row>
    <row r="1283" spans="27:31" x14ac:dyDescent="0.25">
      <c r="AA1283" s="160"/>
      <c r="AB1283" s="162"/>
      <c r="AC1283" s="162"/>
      <c r="AD1283" s="162">
        <f t="shared" si="39"/>
        <v>0</v>
      </c>
      <c r="AE1283" s="160">
        <v>1281</v>
      </c>
    </row>
    <row r="1284" spans="27:31" x14ac:dyDescent="0.25">
      <c r="AA1284" s="160"/>
      <c r="AB1284" s="162"/>
      <c r="AC1284" s="162"/>
      <c r="AD1284" s="162">
        <f t="shared" ref="AD1284:AD1347" si="40">AB1284+AC1284</f>
        <v>0</v>
      </c>
      <c r="AE1284" s="160">
        <v>1282</v>
      </c>
    </row>
    <row r="1285" spans="27:31" x14ac:dyDescent="0.25">
      <c r="AA1285" s="160"/>
      <c r="AB1285" s="162"/>
      <c r="AC1285" s="162"/>
      <c r="AD1285" s="162">
        <f t="shared" si="40"/>
        <v>0</v>
      </c>
      <c r="AE1285" s="160">
        <v>1283</v>
      </c>
    </row>
    <row r="1286" spans="27:31" x14ac:dyDescent="0.25">
      <c r="AA1286" s="160"/>
      <c r="AB1286" s="162"/>
      <c r="AC1286" s="162"/>
      <c r="AD1286" s="162">
        <f t="shared" si="40"/>
        <v>0</v>
      </c>
      <c r="AE1286" s="160">
        <v>1284</v>
      </c>
    </row>
    <row r="1287" spans="27:31" x14ac:dyDescent="0.25">
      <c r="AA1287" s="160"/>
      <c r="AB1287" s="162"/>
      <c r="AC1287" s="162"/>
      <c r="AD1287" s="162">
        <f t="shared" si="40"/>
        <v>0</v>
      </c>
      <c r="AE1287" s="160">
        <v>1285</v>
      </c>
    </row>
    <row r="1288" spans="27:31" x14ac:dyDescent="0.25">
      <c r="AA1288" s="160"/>
      <c r="AB1288" s="162"/>
      <c r="AC1288" s="162"/>
      <c r="AD1288" s="162">
        <f t="shared" si="40"/>
        <v>0</v>
      </c>
      <c r="AE1288" s="160">
        <v>1286</v>
      </c>
    </row>
    <row r="1289" spans="27:31" x14ac:dyDescent="0.25">
      <c r="AA1289" s="160"/>
      <c r="AB1289" s="162"/>
      <c r="AC1289" s="162"/>
      <c r="AD1289" s="162">
        <f t="shared" si="40"/>
        <v>0</v>
      </c>
      <c r="AE1289" s="160">
        <v>1287</v>
      </c>
    </row>
    <row r="1290" spans="27:31" x14ac:dyDescent="0.25">
      <c r="AA1290" s="160"/>
      <c r="AB1290" s="162"/>
      <c r="AC1290" s="162"/>
      <c r="AD1290" s="162">
        <f t="shared" si="40"/>
        <v>0</v>
      </c>
      <c r="AE1290" s="160">
        <v>1288</v>
      </c>
    </row>
    <row r="1291" spans="27:31" x14ac:dyDescent="0.25">
      <c r="AA1291" s="160"/>
      <c r="AB1291" s="162"/>
      <c r="AC1291" s="162"/>
      <c r="AD1291" s="162">
        <f t="shared" si="40"/>
        <v>0</v>
      </c>
      <c r="AE1291" s="160">
        <v>1289</v>
      </c>
    </row>
    <row r="1292" spans="27:31" x14ac:dyDescent="0.25">
      <c r="AA1292" s="160"/>
      <c r="AB1292" s="162"/>
      <c r="AC1292" s="162"/>
      <c r="AD1292" s="162">
        <f t="shared" si="40"/>
        <v>0</v>
      </c>
      <c r="AE1292" s="160">
        <v>1290</v>
      </c>
    </row>
    <row r="1293" spans="27:31" x14ac:dyDescent="0.25">
      <c r="AA1293" s="160"/>
      <c r="AB1293" s="162"/>
      <c r="AC1293" s="162"/>
      <c r="AD1293" s="162">
        <f t="shared" si="40"/>
        <v>0</v>
      </c>
      <c r="AE1293" s="160">
        <v>1291</v>
      </c>
    </row>
    <row r="1294" spans="27:31" x14ac:dyDescent="0.25">
      <c r="AA1294" s="160"/>
      <c r="AB1294" s="162"/>
      <c r="AC1294" s="162"/>
      <c r="AD1294" s="162">
        <f t="shared" si="40"/>
        <v>0</v>
      </c>
      <c r="AE1294" s="160">
        <v>1292</v>
      </c>
    </row>
    <row r="1295" spans="27:31" x14ac:dyDescent="0.25">
      <c r="AA1295" s="160"/>
      <c r="AB1295" s="162"/>
      <c r="AC1295" s="162"/>
      <c r="AD1295" s="162">
        <f t="shared" si="40"/>
        <v>0</v>
      </c>
      <c r="AE1295" s="160">
        <v>1293</v>
      </c>
    </row>
    <row r="1296" spans="27:31" x14ac:dyDescent="0.25">
      <c r="AA1296" s="160"/>
      <c r="AB1296" s="162"/>
      <c r="AC1296" s="162"/>
      <c r="AD1296" s="162">
        <f t="shared" si="40"/>
        <v>0</v>
      </c>
      <c r="AE1296" s="160">
        <v>1294</v>
      </c>
    </row>
    <row r="1297" spans="27:31" x14ac:dyDescent="0.25">
      <c r="AA1297" s="160"/>
      <c r="AB1297" s="162"/>
      <c r="AC1297" s="162"/>
      <c r="AD1297" s="162">
        <f t="shared" si="40"/>
        <v>0</v>
      </c>
      <c r="AE1297" s="160">
        <v>1295</v>
      </c>
    </row>
    <row r="1298" spans="27:31" x14ac:dyDescent="0.25">
      <c r="AA1298" s="160"/>
      <c r="AB1298" s="162"/>
      <c r="AC1298" s="162"/>
      <c r="AD1298" s="162">
        <f t="shared" si="40"/>
        <v>0</v>
      </c>
      <c r="AE1298" s="160">
        <v>1296</v>
      </c>
    </row>
    <row r="1299" spans="27:31" x14ac:dyDescent="0.25">
      <c r="AA1299" s="160"/>
      <c r="AB1299" s="162"/>
      <c r="AC1299" s="162"/>
      <c r="AD1299" s="162">
        <f t="shared" si="40"/>
        <v>0</v>
      </c>
      <c r="AE1299" s="160">
        <v>1297</v>
      </c>
    </row>
    <row r="1300" spans="27:31" x14ac:dyDescent="0.25">
      <c r="AA1300" s="160"/>
      <c r="AB1300" s="162"/>
      <c r="AC1300" s="162"/>
      <c r="AD1300" s="162">
        <f t="shared" si="40"/>
        <v>0</v>
      </c>
      <c r="AE1300" s="160">
        <v>1298</v>
      </c>
    </row>
    <row r="1301" spans="27:31" x14ac:dyDescent="0.25">
      <c r="AA1301" s="160"/>
      <c r="AB1301" s="162"/>
      <c r="AC1301" s="162"/>
      <c r="AD1301" s="162">
        <f t="shared" si="40"/>
        <v>0</v>
      </c>
      <c r="AE1301" s="160">
        <v>1299</v>
      </c>
    </row>
    <row r="1302" spans="27:31" x14ac:dyDescent="0.25">
      <c r="AA1302" s="160"/>
      <c r="AB1302" s="162"/>
      <c r="AC1302" s="162"/>
      <c r="AD1302" s="162">
        <f t="shared" si="40"/>
        <v>0</v>
      </c>
      <c r="AE1302" s="160">
        <v>1300</v>
      </c>
    </row>
    <row r="1303" spans="27:31" x14ac:dyDescent="0.25">
      <c r="AA1303" s="160"/>
      <c r="AB1303" s="162"/>
      <c r="AC1303" s="162"/>
      <c r="AD1303" s="162">
        <f t="shared" si="40"/>
        <v>0</v>
      </c>
      <c r="AE1303" s="160">
        <v>1301</v>
      </c>
    </row>
    <row r="1304" spans="27:31" x14ac:dyDescent="0.25">
      <c r="AA1304" s="160"/>
      <c r="AB1304" s="162"/>
      <c r="AC1304" s="162"/>
      <c r="AD1304" s="162">
        <f t="shared" si="40"/>
        <v>0</v>
      </c>
      <c r="AE1304" s="160">
        <v>1302</v>
      </c>
    </row>
    <row r="1305" spans="27:31" x14ac:dyDescent="0.25">
      <c r="AA1305" s="160"/>
      <c r="AB1305" s="162"/>
      <c r="AC1305" s="162"/>
      <c r="AD1305" s="162">
        <f t="shared" si="40"/>
        <v>0</v>
      </c>
      <c r="AE1305" s="160">
        <v>1303</v>
      </c>
    </row>
    <row r="1306" spans="27:31" x14ac:dyDescent="0.25">
      <c r="AA1306" s="160"/>
      <c r="AB1306" s="162"/>
      <c r="AC1306" s="162"/>
      <c r="AD1306" s="162">
        <f t="shared" si="40"/>
        <v>0</v>
      </c>
      <c r="AE1306" s="160">
        <v>1304</v>
      </c>
    </row>
    <row r="1307" spans="27:31" x14ac:dyDescent="0.25">
      <c r="AA1307" s="160"/>
      <c r="AB1307" s="162"/>
      <c r="AC1307" s="162"/>
      <c r="AD1307" s="162">
        <f t="shared" si="40"/>
        <v>0</v>
      </c>
      <c r="AE1307" s="160">
        <v>1305</v>
      </c>
    </row>
    <row r="1308" spans="27:31" x14ac:dyDescent="0.25">
      <c r="AA1308" s="160"/>
      <c r="AB1308" s="162"/>
      <c r="AC1308" s="162"/>
      <c r="AD1308" s="162">
        <f t="shared" si="40"/>
        <v>0</v>
      </c>
      <c r="AE1308" s="160">
        <v>1306</v>
      </c>
    </row>
    <row r="1309" spans="27:31" x14ac:dyDescent="0.25">
      <c r="AA1309" s="160"/>
      <c r="AB1309" s="162"/>
      <c r="AC1309" s="162"/>
      <c r="AD1309" s="162">
        <f t="shared" si="40"/>
        <v>0</v>
      </c>
      <c r="AE1309" s="160">
        <v>1307</v>
      </c>
    </row>
    <row r="1310" spans="27:31" x14ac:dyDescent="0.25">
      <c r="AA1310" s="160"/>
      <c r="AB1310" s="162"/>
      <c r="AC1310" s="162"/>
      <c r="AD1310" s="162">
        <f t="shared" si="40"/>
        <v>0</v>
      </c>
      <c r="AE1310" s="160">
        <v>1308</v>
      </c>
    </row>
    <row r="1311" spans="27:31" x14ac:dyDescent="0.25">
      <c r="AA1311" s="160"/>
      <c r="AB1311" s="162"/>
      <c r="AC1311" s="162"/>
      <c r="AD1311" s="162">
        <f t="shared" si="40"/>
        <v>0</v>
      </c>
      <c r="AE1311" s="160">
        <v>1309</v>
      </c>
    </row>
    <row r="1312" spans="27:31" x14ac:dyDescent="0.25">
      <c r="AA1312" s="160"/>
      <c r="AB1312" s="162"/>
      <c r="AC1312" s="162"/>
      <c r="AD1312" s="162">
        <f t="shared" si="40"/>
        <v>0</v>
      </c>
      <c r="AE1312" s="160">
        <v>1310</v>
      </c>
    </row>
    <row r="1313" spans="27:31" x14ac:dyDescent="0.25">
      <c r="AA1313" s="160"/>
      <c r="AB1313" s="162"/>
      <c r="AC1313" s="162"/>
      <c r="AD1313" s="162">
        <f t="shared" si="40"/>
        <v>0</v>
      </c>
      <c r="AE1313" s="160">
        <v>1311</v>
      </c>
    </row>
    <row r="1314" spans="27:31" x14ac:dyDescent="0.25">
      <c r="AA1314" s="160"/>
      <c r="AB1314" s="162"/>
      <c r="AC1314" s="162"/>
      <c r="AD1314" s="162">
        <f t="shared" si="40"/>
        <v>0</v>
      </c>
      <c r="AE1314" s="160">
        <v>1312</v>
      </c>
    </row>
    <row r="1315" spans="27:31" x14ac:dyDescent="0.25">
      <c r="AA1315" s="160"/>
      <c r="AB1315" s="162"/>
      <c r="AC1315" s="162"/>
      <c r="AD1315" s="162">
        <f t="shared" si="40"/>
        <v>0</v>
      </c>
      <c r="AE1315" s="160">
        <v>1313</v>
      </c>
    </row>
    <row r="1316" spans="27:31" x14ac:dyDescent="0.25">
      <c r="AA1316" s="160"/>
      <c r="AB1316" s="162"/>
      <c r="AC1316" s="162"/>
      <c r="AD1316" s="162">
        <f t="shared" si="40"/>
        <v>0</v>
      </c>
      <c r="AE1316" s="160">
        <v>1314</v>
      </c>
    </row>
    <row r="1317" spans="27:31" x14ac:dyDescent="0.25">
      <c r="AA1317" s="160"/>
      <c r="AB1317" s="162"/>
      <c r="AC1317" s="162"/>
      <c r="AD1317" s="162">
        <f t="shared" si="40"/>
        <v>0</v>
      </c>
      <c r="AE1317" s="160">
        <v>1315</v>
      </c>
    </row>
    <row r="1318" spans="27:31" x14ac:dyDescent="0.25">
      <c r="AA1318" s="160"/>
      <c r="AB1318" s="162"/>
      <c r="AC1318" s="162"/>
      <c r="AD1318" s="162">
        <f t="shared" si="40"/>
        <v>0</v>
      </c>
      <c r="AE1318" s="160">
        <v>1316</v>
      </c>
    </row>
    <row r="1319" spans="27:31" x14ac:dyDescent="0.25">
      <c r="AA1319" s="160"/>
      <c r="AB1319" s="162"/>
      <c r="AC1319" s="162"/>
      <c r="AD1319" s="162">
        <f t="shared" si="40"/>
        <v>0</v>
      </c>
      <c r="AE1319" s="160">
        <v>1317</v>
      </c>
    </row>
    <row r="1320" spans="27:31" x14ac:dyDescent="0.25">
      <c r="AA1320" s="160"/>
      <c r="AB1320" s="162"/>
      <c r="AC1320" s="162"/>
      <c r="AD1320" s="162">
        <f t="shared" si="40"/>
        <v>0</v>
      </c>
      <c r="AE1320" s="160">
        <v>1318</v>
      </c>
    </row>
    <row r="1321" spans="27:31" x14ac:dyDescent="0.25">
      <c r="AA1321" s="160"/>
      <c r="AB1321" s="162"/>
      <c r="AC1321" s="162"/>
      <c r="AD1321" s="162">
        <f t="shared" si="40"/>
        <v>0</v>
      </c>
      <c r="AE1321" s="160">
        <v>1319</v>
      </c>
    </row>
    <row r="1322" spans="27:31" x14ac:dyDescent="0.25">
      <c r="AA1322" s="160"/>
      <c r="AB1322" s="162"/>
      <c r="AC1322" s="162"/>
      <c r="AD1322" s="162">
        <f t="shared" si="40"/>
        <v>0</v>
      </c>
      <c r="AE1322" s="160">
        <v>1320</v>
      </c>
    </row>
    <row r="1323" spans="27:31" x14ac:dyDescent="0.25">
      <c r="AA1323" s="160"/>
      <c r="AB1323" s="162"/>
      <c r="AC1323" s="162"/>
      <c r="AD1323" s="162">
        <f t="shared" si="40"/>
        <v>0</v>
      </c>
      <c r="AE1323" s="160">
        <v>1321</v>
      </c>
    </row>
    <row r="1324" spans="27:31" x14ac:dyDescent="0.25">
      <c r="AA1324" s="160"/>
      <c r="AB1324" s="162"/>
      <c r="AC1324" s="162"/>
      <c r="AD1324" s="162">
        <f t="shared" si="40"/>
        <v>0</v>
      </c>
      <c r="AE1324" s="160">
        <v>1322</v>
      </c>
    </row>
    <row r="1325" spans="27:31" x14ac:dyDescent="0.25">
      <c r="AA1325" s="160"/>
      <c r="AB1325" s="162"/>
      <c r="AC1325" s="162"/>
      <c r="AD1325" s="162">
        <f t="shared" si="40"/>
        <v>0</v>
      </c>
      <c r="AE1325" s="160">
        <v>1323</v>
      </c>
    </row>
    <row r="1326" spans="27:31" x14ac:dyDescent="0.25">
      <c r="AA1326" s="160"/>
      <c r="AB1326" s="162"/>
      <c r="AC1326" s="162"/>
      <c r="AD1326" s="162">
        <f t="shared" si="40"/>
        <v>0</v>
      </c>
      <c r="AE1326" s="160">
        <v>1324</v>
      </c>
    </row>
    <row r="1327" spans="27:31" x14ac:dyDescent="0.25">
      <c r="AA1327" s="160"/>
      <c r="AB1327" s="162"/>
      <c r="AC1327" s="162"/>
      <c r="AD1327" s="162">
        <f t="shared" si="40"/>
        <v>0</v>
      </c>
      <c r="AE1327" s="160">
        <v>1325</v>
      </c>
    </row>
    <row r="1328" spans="27:31" x14ac:dyDescent="0.25">
      <c r="AA1328" s="160"/>
      <c r="AB1328" s="162"/>
      <c r="AC1328" s="162"/>
      <c r="AD1328" s="162">
        <f t="shared" si="40"/>
        <v>0</v>
      </c>
      <c r="AE1328" s="160">
        <v>1326</v>
      </c>
    </row>
    <row r="1329" spans="27:31" x14ac:dyDescent="0.25">
      <c r="AA1329" s="160"/>
      <c r="AB1329" s="162"/>
      <c r="AC1329" s="162"/>
      <c r="AD1329" s="162">
        <f t="shared" si="40"/>
        <v>0</v>
      </c>
      <c r="AE1329" s="160">
        <v>1327</v>
      </c>
    </row>
    <row r="1330" spans="27:31" x14ac:dyDescent="0.25">
      <c r="AA1330" s="160"/>
      <c r="AB1330" s="162"/>
      <c r="AC1330" s="162"/>
      <c r="AD1330" s="162">
        <f t="shared" si="40"/>
        <v>0</v>
      </c>
      <c r="AE1330" s="160">
        <v>1328</v>
      </c>
    </row>
    <row r="1331" spans="27:31" x14ac:dyDescent="0.25">
      <c r="AA1331" s="160"/>
      <c r="AB1331" s="162"/>
      <c r="AC1331" s="162"/>
      <c r="AD1331" s="162">
        <f t="shared" si="40"/>
        <v>0</v>
      </c>
      <c r="AE1331" s="160">
        <v>1329</v>
      </c>
    </row>
    <row r="1332" spans="27:31" x14ac:dyDescent="0.25">
      <c r="AA1332" s="160"/>
      <c r="AB1332" s="162"/>
      <c r="AC1332" s="162"/>
      <c r="AD1332" s="162">
        <f t="shared" si="40"/>
        <v>0</v>
      </c>
      <c r="AE1332" s="160">
        <v>1330</v>
      </c>
    </row>
    <row r="1333" spans="27:31" x14ac:dyDescent="0.25">
      <c r="AA1333" s="160"/>
      <c r="AB1333" s="162"/>
      <c r="AC1333" s="162"/>
      <c r="AD1333" s="162">
        <f t="shared" si="40"/>
        <v>0</v>
      </c>
      <c r="AE1333" s="160">
        <v>1331</v>
      </c>
    </row>
    <row r="1334" spans="27:31" x14ac:dyDescent="0.25">
      <c r="AA1334" s="160"/>
      <c r="AB1334" s="162"/>
      <c r="AC1334" s="162"/>
      <c r="AD1334" s="162">
        <f t="shared" si="40"/>
        <v>0</v>
      </c>
      <c r="AE1334" s="160">
        <v>1332</v>
      </c>
    </row>
    <row r="1335" spans="27:31" x14ac:dyDescent="0.25">
      <c r="AA1335" s="160"/>
      <c r="AB1335" s="162"/>
      <c r="AC1335" s="162"/>
      <c r="AD1335" s="162">
        <f t="shared" si="40"/>
        <v>0</v>
      </c>
      <c r="AE1335" s="160">
        <v>1333</v>
      </c>
    </row>
    <row r="1336" spans="27:31" x14ac:dyDescent="0.25">
      <c r="AA1336" s="160"/>
      <c r="AB1336" s="162"/>
      <c r="AC1336" s="162"/>
      <c r="AD1336" s="162">
        <f t="shared" si="40"/>
        <v>0</v>
      </c>
      <c r="AE1336" s="160">
        <v>1334</v>
      </c>
    </row>
    <row r="1337" spans="27:31" x14ac:dyDescent="0.25">
      <c r="AA1337" s="160"/>
      <c r="AB1337" s="162"/>
      <c r="AC1337" s="162"/>
      <c r="AD1337" s="162">
        <f t="shared" si="40"/>
        <v>0</v>
      </c>
      <c r="AE1337" s="160">
        <v>1335</v>
      </c>
    </row>
    <row r="1338" spans="27:31" x14ac:dyDescent="0.25">
      <c r="AA1338" s="160"/>
      <c r="AB1338" s="162"/>
      <c r="AC1338" s="162"/>
      <c r="AD1338" s="162">
        <f t="shared" si="40"/>
        <v>0</v>
      </c>
      <c r="AE1338" s="160">
        <v>1336</v>
      </c>
    </row>
    <row r="1339" spans="27:31" x14ac:dyDescent="0.25">
      <c r="AA1339" s="160"/>
      <c r="AB1339" s="162"/>
      <c r="AC1339" s="162"/>
      <c r="AD1339" s="162">
        <f t="shared" si="40"/>
        <v>0</v>
      </c>
      <c r="AE1339" s="160">
        <v>1337</v>
      </c>
    </row>
    <row r="1340" spans="27:31" x14ac:dyDescent="0.25">
      <c r="AA1340" s="160"/>
      <c r="AB1340" s="162"/>
      <c r="AC1340" s="162"/>
      <c r="AD1340" s="162">
        <f t="shared" si="40"/>
        <v>0</v>
      </c>
      <c r="AE1340" s="160">
        <v>1338</v>
      </c>
    </row>
    <row r="1341" spans="27:31" x14ac:dyDescent="0.25">
      <c r="AA1341" s="160"/>
      <c r="AB1341" s="162"/>
      <c r="AC1341" s="162"/>
      <c r="AD1341" s="162">
        <f t="shared" si="40"/>
        <v>0</v>
      </c>
      <c r="AE1341" s="160">
        <v>1339</v>
      </c>
    </row>
    <row r="1342" spans="27:31" x14ac:dyDescent="0.25">
      <c r="AA1342" s="160"/>
      <c r="AB1342" s="162"/>
      <c r="AC1342" s="162"/>
      <c r="AD1342" s="162">
        <f t="shared" si="40"/>
        <v>0</v>
      </c>
      <c r="AE1342" s="160">
        <v>1340</v>
      </c>
    </row>
    <row r="1343" spans="27:31" x14ac:dyDescent="0.25">
      <c r="AA1343" s="160"/>
      <c r="AB1343" s="162"/>
      <c r="AC1343" s="162"/>
      <c r="AD1343" s="162">
        <f t="shared" si="40"/>
        <v>0</v>
      </c>
      <c r="AE1343" s="160">
        <v>1341</v>
      </c>
    </row>
    <row r="1344" spans="27:31" x14ac:dyDescent="0.25">
      <c r="AA1344" s="160"/>
      <c r="AB1344" s="162"/>
      <c r="AC1344" s="162"/>
      <c r="AD1344" s="162">
        <f t="shared" si="40"/>
        <v>0</v>
      </c>
      <c r="AE1344" s="160">
        <v>1342</v>
      </c>
    </row>
    <row r="1345" spans="27:31" x14ac:dyDescent="0.25">
      <c r="AA1345" s="160"/>
      <c r="AB1345" s="162"/>
      <c r="AC1345" s="162"/>
      <c r="AD1345" s="162">
        <f t="shared" si="40"/>
        <v>0</v>
      </c>
      <c r="AE1345" s="160">
        <v>1343</v>
      </c>
    </row>
    <row r="1346" spans="27:31" x14ac:dyDescent="0.25">
      <c r="AA1346" s="160"/>
      <c r="AB1346" s="162"/>
      <c r="AC1346" s="162"/>
      <c r="AD1346" s="162">
        <f t="shared" si="40"/>
        <v>0</v>
      </c>
      <c r="AE1346" s="160">
        <v>1344</v>
      </c>
    </row>
    <row r="1347" spans="27:31" x14ac:dyDescent="0.25">
      <c r="AA1347" s="160"/>
      <c r="AB1347" s="162"/>
      <c r="AC1347" s="162"/>
      <c r="AD1347" s="162">
        <f t="shared" si="40"/>
        <v>0</v>
      </c>
      <c r="AE1347" s="160">
        <v>1345</v>
      </c>
    </row>
    <row r="1348" spans="27:31" x14ac:dyDescent="0.25">
      <c r="AA1348" s="160"/>
      <c r="AB1348" s="162"/>
      <c r="AC1348" s="162"/>
      <c r="AD1348" s="162">
        <f t="shared" ref="AD1348:AD1411" si="41">AB1348+AC1348</f>
        <v>0</v>
      </c>
      <c r="AE1348" s="160">
        <v>1346</v>
      </c>
    </row>
    <row r="1349" spans="27:31" x14ac:dyDescent="0.25">
      <c r="AA1349" s="160"/>
      <c r="AB1349" s="162"/>
      <c r="AC1349" s="162"/>
      <c r="AD1349" s="162">
        <f t="shared" si="41"/>
        <v>0</v>
      </c>
      <c r="AE1349" s="160">
        <v>1347</v>
      </c>
    </row>
    <row r="1350" spans="27:31" x14ac:dyDescent="0.25">
      <c r="AA1350" s="160"/>
      <c r="AB1350" s="162"/>
      <c r="AC1350" s="162"/>
      <c r="AD1350" s="162">
        <f t="shared" si="41"/>
        <v>0</v>
      </c>
      <c r="AE1350" s="160">
        <v>1348</v>
      </c>
    </row>
    <row r="1351" spans="27:31" x14ac:dyDescent="0.25">
      <c r="AA1351" s="160"/>
      <c r="AB1351" s="162"/>
      <c r="AC1351" s="162"/>
      <c r="AD1351" s="162">
        <f t="shared" si="41"/>
        <v>0</v>
      </c>
      <c r="AE1351" s="160">
        <v>1349</v>
      </c>
    </row>
    <row r="1352" spans="27:31" x14ac:dyDescent="0.25">
      <c r="AA1352" s="160"/>
      <c r="AB1352" s="162"/>
      <c r="AC1352" s="162"/>
      <c r="AD1352" s="162">
        <f t="shared" si="41"/>
        <v>0</v>
      </c>
      <c r="AE1352" s="160">
        <v>1350</v>
      </c>
    </row>
    <row r="1353" spans="27:31" x14ac:dyDescent="0.25">
      <c r="AA1353" s="160"/>
      <c r="AB1353" s="162"/>
      <c r="AC1353" s="162"/>
      <c r="AD1353" s="162">
        <f t="shared" si="41"/>
        <v>0</v>
      </c>
      <c r="AE1353" s="160">
        <v>1351</v>
      </c>
    </row>
    <row r="1354" spans="27:31" x14ac:dyDescent="0.25">
      <c r="AA1354" s="160"/>
      <c r="AB1354" s="162"/>
      <c r="AC1354" s="162"/>
      <c r="AD1354" s="162">
        <f t="shared" si="41"/>
        <v>0</v>
      </c>
      <c r="AE1354" s="160">
        <v>1352</v>
      </c>
    </row>
    <row r="1355" spans="27:31" x14ac:dyDescent="0.25">
      <c r="AA1355" s="160"/>
      <c r="AB1355" s="162"/>
      <c r="AC1355" s="162"/>
      <c r="AD1355" s="162">
        <f t="shared" si="41"/>
        <v>0</v>
      </c>
      <c r="AE1355" s="160">
        <v>1353</v>
      </c>
    </row>
    <row r="1356" spans="27:31" x14ac:dyDescent="0.25">
      <c r="AA1356" s="160"/>
      <c r="AB1356" s="162"/>
      <c r="AC1356" s="162"/>
      <c r="AD1356" s="162">
        <f t="shared" si="41"/>
        <v>0</v>
      </c>
      <c r="AE1356" s="160">
        <v>1354</v>
      </c>
    </row>
    <row r="1357" spans="27:31" x14ac:dyDescent="0.25">
      <c r="AA1357" s="160"/>
      <c r="AB1357" s="162"/>
      <c r="AC1357" s="162"/>
      <c r="AD1357" s="162">
        <f t="shared" si="41"/>
        <v>0</v>
      </c>
      <c r="AE1357" s="160">
        <v>1355</v>
      </c>
    </row>
    <row r="1358" spans="27:31" x14ac:dyDescent="0.25">
      <c r="AA1358" s="160"/>
      <c r="AB1358" s="162"/>
      <c r="AC1358" s="162"/>
      <c r="AD1358" s="162">
        <f t="shared" si="41"/>
        <v>0</v>
      </c>
      <c r="AE1358" s="160">
        <v>1356</v>
      </c>
    </row>
    <row r="1359" spans="27:31" x14ac:dyDescent="0.25">
      <c r="AA1359" s="160"/>
      <c r="AB1359" s="162"/>
      <c r="AC1359" s="162"/>
      <c r="AD1359" s="162">
        <f t="shared" si="41"/>
        <v>0</v>
      </c>
      <c r="AE1359" s="160">
        <v>1357</v>
      </c>
    </row>
    <row r="1360" spans="27:31" x14ac:dyDescent="0.25">
      <c r="AA1360" s="160"/>
      <c r="AB1360" s="162"/>
      <c r="AC1360" s="162"/>
      <c r="AD1360" s="162">
        <f t="shared" si="41"/>
        <v>0</v>
      </c>
      <c r="AE1360" s="160">
        <v>1358</v>
      </c>
    </row>
    <row r="1361" spans="27:31" x14ac:dyDescent="0.25">
      <c r="AA1361" s="160"/>
      <c r="AB1361" s="162"/>
      <c r="AC1361" s="162"/>
      <c r="AD1361" s="162">
        <f t="shared" si="41"/>
        <v>0</v>
      </c>
      <c r="AE1361" s="160">
        <v>1359</v>
      </c>
    </row>
    <row r="1362" spans="27:31" x14ac:dyDescent="0.25">
      <c r="AA1362" s="160"/>
      <c r="AB1362" s="162"/>
      <c r="AC1362" s="162"/>
      <c r="AD1362" s="162">
        <f t="shared" si="41"/>
        <v>0</v>
      </c>
      <c r="AE1362" s="160">
        <v>1360</v>
      </c>
    </row>
    <row r="1363" spans="27:31" x14ac:dyDescent="0.25">
      <c r="AA1363" s="160"/>
      <c r="AB1363" s="162"/>
      <c r="AC1363" s="162"/>
      <c r="AD1363" s="162">
        <f t="shared" si="41"/>
        <v>0</v>
      </c>
      <c r="AE1363" s="160">
        <v>1361</v>
      </c>
    </row>
    <row r="1364" spans="27:31" x14ac:dyDescent="0.25">
      <c r="AA1364" s="160"/>
      <c r="AB1364" s="162"/>
      <c r="AC1364" s="162"/>
      <c r="AD1364" s="162">
        <f t="shared" si="41"/>
        <v>0</v>
      </c>
      <c r="AE1364" s="160">
        <v>1362</v>
      </c>
    </row>
    <row r="1365" spans="27:31" x14ac:dyDescent="0.25">
      <c r="AA1365" s="160"/>
      <c r="AB1365" s="162"/>
      <c r="AC1365" s="162"/>
      <c r="AD1365" s="162">
        <f t="shared" si="41"/>
        <v>0</v>
      </c>
      <c r="AE1365" s="160">
        <v>1363</v>
      </c>
    </row>
    <row r="1366" spans="27:31" x14ac:dyDescent="0.25">
      <c r="AA1366" s="160"/>
      <c r="AB1366" s="162"/>
      <c r="AC1366" s="162"/>
      <c r="AD1366" s="162">
        <f t="shared" si="41"/>
        <v>0</v>
      </c>
      <c r="AE1366" s="160">
        <v>1364</v>
      </c>
    </row>
    <row r="1367" spans="27:31" x14ac:dyDescent="0.25">
      <c r="AA1367" s="160"/>
      <c r="AB1367" s="162"/>
      <c r="AC1367" s="162"/>
      <c r="AD1367" s="162">
        <f t="shared" si="41"/>
        <v>0</v>
      </c>
      <c r="AE1367" s="160">
        <v>1365</v>
      </c>
    </row>
    <row r="1368" spans="27:31" x14ac:dyDescent="0.25">
      <c r="AA1368" s="160"/>
      <c r="AB1368" s="162"/>
      <c r="AC1368" s="162"/>
      <c r="AD1368" s="162">
        <f t="shared" si="41"/>
        <v>0</v>
      </c>
      <c r="AE1368" s="160">
        <v>1366</v>
      </c>
    </row>
    <row r="1369" spans="27:31" x14ac:dyDescent="0.25">
      <c r="AA1369" s="160"/>
      <c r="AB1369" s="162"/>
      <c r="AC1369" s="162"/>
      <c r="AD1369" s="162">
        <f t="shared" si="41"/>
        <v>0</v>
      </c>
      <c r="AE1369" s="160">
        <v>1367</v>
      </c>
    </row>
    <row r="1370" spans="27:31" x14ac:dyDescent="0.25">
      <c r="AA1370" s="160"/>
      <c r="AB1370" s="162"/>
      <c r="AC1370" s="162"/>
      <c r="AD1370" s="162">
        <f t="shared" si="41"/>
        <v>0</v>
      </c>
      <c r="AE1370" s="160">
        <v>1368</v>
      </c>
    </row>
    <row r="1371" spans="27:31" x14ac:dyDescent="0.25">
      <c r="AA1371" s="160"/>
      <c r="AB1371" s="162"/>
      <c r="AC1371" s="162"/>
      <c r="AD1371" s="162">
        <f t="shared" si="41"/>
        <v>0</v>
      </c>
      <c r="AE1371" s="160">
        <v>1369</v>
      </c>
    </row>
    <row r="1372" spans="27:31" x14ac:dyDescent="0.25">
      <c r="AA1372" s="160"/>
      <c r="AB1372" s="162"/>
      <c r="AC1372" s="162"/>
      <c r="AD1372" s="162">
        <f t="shared" si="41"/>
        <v>0</v>
      </c>
      <c r="AE1372" s="160">
        <v>1370</v>
      </c>
    </row>
    <row r="1373" spans="27:31" x14ac:dyDescent="0.25">
      <c r="AA1373" s="160"/>
      <c r="AB1373" s="162"/>
      <c r="AC1373" s="162"/>
      <c r="AD1373" s="162">
        <f t="shared" si="41"/>
        <v>0</v>
      </c>
      <c r="AE1373" s="160">
        <v>1371</v>
      </c>
    </row>
    <row r="1374" spans="27:31" x14ac:dyDescent="0.25">
      <c r="AA1374" s="160"/>
      <c r="AB1374" s="162"/>
      <c r="AC1374" s="162"/>
      <c r="AD1374" s="162">
        <f t="shared" si="41"/>
        <v>0</v>
      </c>
      <c r="AE1374" s="160">
        <v>1372</v>
      </c>
    </row>
    <row r="1375" spans="27:31" x14ac:dyDescent="0.25">
      <c r="AA1375" s="160"/>
      <c r="AB1375" s="162"/>
      <c r="AC1375" s="162"/>
      <c r="AD1375" s="162">
        <f t="shared" si="41"/>
        <v>0</v>
      </c>
      <c r="AE1375" s="160">
        <v>1373</v>
      </c>
    </row>
    <row r="1376" spans="27:31" x14ac:dyDescent="0.25">
      <c r="AA1376" s="160"/>
      <c r="AB1376" s="162"/>
      <c r="AC1376" s="162"/>
      <c r="AD1376" s="162">
        <f t="shared" si="41"/>
        <v>0</v>
      </c>
      <c r="AE1376" s="160">
        <v>1374</v>
      </c>
    </row>
    <row r="1377" spans="27:31" x14ac:dyDescent="0.25">
      <c r="AA1377" s="160"/>
      <c r="AB1377" s="162"/>
      <c r="AC1377" s="162"/>
      <c r="AD1377" s="162">
        <f t="shared" si="41"/>
        <v>0</v>
      </c>
      <c r="AE1377" s="160">
        <v>1375</v>
      </c>
    </row>
    <row r="1378" spans="27:31" x14ac:dyDescent="0.25">
      <c r="AA1378" s="160"/>
      <c r="AB1378" s="162"/>
      <c r="AC1378" s="162"/>
      <c r="AD1378" s="162">
        <f t="shared" si="41"/>
        <v>0</v>
      </c>
      <c r="AE1378" s="160">
        <v>1376</v>
      </c>
    </row>
    <row r="1379" spans="27:31" x14ac:dyDescent="0.25">
      <c r="AA1379" s="160"/>
      <c r="AB1379" s="162"/>
      <c r="AC1379" s="162"/>
      <c r="AD1379" s="162">
        <f t="shared" si="41"/>
        <v>0</v>
      </c>
      <c r="AE1379" s="160">
        <v>1377</v>
      </c>
    </row>
    <row r="1380" spans="27:31" x14ac:dyDescent="0.25">
      <c r="AA1380" s="160"/>
      <c r="AB1380" s="162"/>
      <c r="AC1380" s="162"/>
      <c r="AD1380" s="162">
        <f t="shared" si="41"/>
        <v>0</v>
      </c>
      <c r="AE1380" s="160">
        <v>1378</v>
      </c>
    </row>
    <row r="1381" spans="27:31" x14ac:dyDescent="0.25">
      <c r="AA1381" s="160"/>
      <c r="AB1381" s="162"/>
      <c r="AC1381" s="162"/>
      <c r="AD1381" s="162">
        <f t="shared" si="41"/>
        <v>0</v>
      </c>
      <c r="AE1381" s="160">
        <v>1379</v>
      </c>
    </row>
    <row r="1382" spans="27:31" x14ac:dyDescent="0.25">
      <c r="AA1382" s="160"/>
      <c r="AB1382" s="162"/>
      <c r="AC1382" s="162"/>
      <c r="AD1382" s="162">
        <f t="shared" si="41"/>
        <v>0</v>
      </c>
      <c r="AE1382" s="160">
        <v>1380</v>
      </c>
    </row>
    <row r="1383" spans="27:31" x14ac:dyDescent="0.25">
      <c r="AA1383" s="160"/>
      <c r="AB1383" s="162"/>
      <c r="AC1383" s="162"/>
      <c r="AD1383" s="162">
        <f t="shared" si="41"/>
        <v>0</v>
      </c>
      <c r="AE1383" s="160">
        <v>1381</v>
      </c>
    </row>
    <row r="1384" spans="27:31" x14ac:dyDescent="0.25">
      <c r="AA1384" s="160"/>
      <c r="AB1384" s="162"/>
      <c r="AC1384" s="162"/>
      <c r="AD1384" s="162">
        <f t="shared" si="41"/>
        <v>0</v>
      </c>
      <c r="AE1384" s="160">
        <v>1382</v>
      </c>
    </row>
    <row r="1385" spans="27:31" x14ac:dyDescent="0.25">
      <c r="AA1385" s="160"/>
      <c r="AB1385" s="162"/>
      <c r="AC1385" s="162"/>
      <c r="AD1385" s="162">
        <f t="shared" si="41"/>
        <v>0</v>
      </c>
      <c r="AE1385" s="160">
        <v>1383</v>
      </c>
    </row>
    <row r="1386" spans="27:31" x14ac:dyDescent="0.25">
      <c r="AA1386" s="160"/>
      <c r="AB1386" s="162"/>
      <c r="AC1386" s="162"/>
      <c r="AD1386" s="162">
        <f t="shared" si="41"/>
        <v>0</v>
      </c>
      <c r="AE1386" s="160">
        <v>1384</v>
      </c>
    </row>
    <row r="1387" spans="27:31" x14ac:dyDescent="0.25">
      <c r="AA1387" s="160"/>
      <c r="AB1387" s="162"/>
      <c r="AC1387" s="162"/>
      <c r="AD1387" s="162">
        <f t="shared" si="41"/>
        <v>0</v>
      </c>
      <c r="AE1387" s="160">
        <v>1385</v>
      </c>
    </row>
    <row r="1388" spans="27:31" x14ac:dyDescent="0.25">
      <c r="AA1388" s="160"/>
      <c r="AB1388" s="162"/>
      <c r="AC1388" s="162"/>
      <c r="AD1388" s="162">
        <f t="shared" si="41"/>
        <v>0</v>
      </c>
      <c r="AE1388" s="160">
        <v>1386</v>
      </c>
    </row>
    <row r="1389" spans="27:31" x14ac:dyDescent="0.25">
      <c r="AA1389" s="160"/>
      <c r="AB1389" s="162"/>
      <c r="AC1389" s="162"/>
      <c r="AD1389" s="162">
        <f t="shared" si="41"/>
        <v>0</v>
      </c>
      <c r="AE1389" s="160">
        <v>1387</v>
      </c>
    </row>
    <row r="1390" spans="27:31" x14ac:dyDescent="0.25">
      <c r="AA1390" s="160"/>
      <c r="AB1390" s="162"/>
      <c r="AC1390" s="162"/>
      <c r="AD1390" s="162">
        <f t="shared" si="41"/>
        <v>0</v>
      </c>
      <c r="AE1390" s="160">
        <v>1388</v>
      </c>
    </row>
    <row r="1391" spans="27:31" x14ac:dyDescent="0.25">
      <c r="AA1391" s="160"/>
      <c r="AB1391" s="162"/>
      <c r="AC1391" s="162"/>
      <c r="AD1391" s="162">
        <f t="shared" si="41"/>
        <v>0</v>
      </c>
      <c r="AE1391" s="160">
        <v>1389</v>
      </c>
    </row>
    <row r="1392" spans="27:31" x14ac:dyDescent="0.25">
      <c r="AA1392" s="160"/>
      <c r="AB1392" s="162"/>
      <c r="AC1392" s="162"/>
      <c r="AD1392" s="162">
        <f t="shared" si="41"/>
        <v>0</v>
      </c>
      <c r="AE1392" s="160">
        <v>1390</v>
      </c>
    </row>
    <row r="1393" spans="27:31" x14ac:dyDescent="0.25">
      <c r="AA1393" s="160"/>
      <c r="AB1393" s="162"/>
      <c r="AC1393" s="162"/>
      <c r="AD1393" s="162">
        <f t="shared" si="41"/>
        <v>0</v>
      </c>
      <c r="AE1393" s="160">
        <v>1391</v>
      </c>
    </row>
    <row r="1394" spans="27:31" x14ac:dyDescent="0.25">
      <c r="AA1394" s="160"/>
      <c r="AB1394" s="162"/>
      <c r="AC1394" s="162"/>
      <c r="AD1394" s="162">
        <f t="shared" si="41"/>
        <v>0</v>
      </c>
      <c r="AE1394" s="160">
        <v>1392</v>
      </c>
    </row>
    <row r="1395" spans="27:31" x14ac:dyDescent="0.25">
      <c r="AA1395" s="160"/>
      <c r="AB1395" s="162"/>
      <c r="AC1395" s="162"/>
      <c r="AD1395" s="162">
        <f t="shared" si="41"/>
        <v>0</v>
      </c>
      <c r="AE1395" s="160">
        <v>1393</v>
      </c>
    </row>
    <row r="1396" spans="27:31" x14ac:dyDescent="0.25">
      <c r="AA1396" s="160"/>
      <c r="AB1396" s="162"/>
      <c r="AC1396" s="162"/>
      <c r="AD1396" s="162">
        <f t="shared" si="41"/>
        <v>0</v>
      </c>
      <c r="AE1396" s="160">
        <v>1394</v>
      </c>
    </row>
    <row r="1397" spans="27:31" x14ac:dyDescent="0.25">
      <c r="AA1397" s="160"/>
      <c r="AB1397" s="162"/>
      <c r="AC1397" s="162"/>
      <c r="AD1397" s="162">
        <f t="shared" si="41"/>
        <v>0</v>
      </c>
      <c r="AE1397" s="160">
        <v>1395</v>
      </c>
    </row>
    <row r="1398" spans="27:31" x14ac:dyDescent="0.25">
      <c r="AA1398" s="160"/>
      <c r="AB1398" s="162"/>
      <c r="AC1398" s="162"/>
      <c r="AD1398" s="162">
        <f t="shared" si="41"/>
        <v>0</v>
      </c>
      <c r="AE1398" s="160">
        <v>1396</v>
      </c>
    </row>
    <row r="1399" spans="27:31" x14ac:dyDescent="0.25">
      <c r="AA1399" s="160"/>
      <c r="AB1399" s="162"/>
      <c r="AC1399" s="162"/>
      <c r="AD1399" s="162">
        <f t="shared" si="41"/>
        <v>0</v>
      </c>
      <c r="AE1399" s="160">
        <v>1397</v>
      </c>
    </row>
    <row r="1400" spans="27:31" x14ac:dyDescent="0.25">
      <c r="AA1400" s="160"/>
      <c r="AB1400" s="162"/>
      <c r="AC1400" s="162"/>
      <c r="AD1400" s="162">
        <f t="shared" si="41"/>
        <v>0</v>
      </c>
      <c r="AE1400" s="160">
        <v>1398</v>
      </c>
    </row>
    <row r="1401" spans="27:31" x14ac:dyDescent="0.25">
      <c r="AA1401" s="160"/>
      <c r="AB1401" s="162"/>
      <c r="AC1401" s="162"/>
      <c r="AD1401" s="162">
        <f t="shared" si="41"/>
        <v>0</v>
      </c>
      <c r="AE1401" s="160">
        <v>1399</v>
      </c>
    </row>
    <row r="1402" spans="27:31" x14ac:dyDescent="0.25">
      <c r="AA1402" s="160"/>
      <c r="AB1402" s="162"/>
      <c r="AC1402" s="162"/>
      <c r="AD1402" s="162">
        <f t="shared" si="41"/>
        <v>0</v>
      </c>
      <c r="AE1402" s="160">
        <v>1400</v>
      </c>
    </row>
    <row r="1403" spans="27:31" x14ac:dyDescent="0.25">
      <c r="AA1403" s="160"/>
      <c r="AB1403" s="162"/>
      <c r="AC1403" s="162"/>
      <c r="AD1403" s="162">
        <f t="shared" si="41"/>
        <v>0</v>
      </c>
      <c r="AE1403" s="160">
        <v>1401</v>
      </c>
    </row>
    <row r="1404" spans="27:31" x14ac:dyDescent="0.25">
      <c r="AA1404" s="160"/>
      <c r="AB1404" s="162"/>
      <c r="AC1404" s="162"/>
      <c r="AD1404" s="162">
        <f t="shared" si="41"/>
        <v>0</v>
      </c>
      <c r="AE1404" s="160">
        <v>1402</v>
      </c>
    </row>
    <row r="1405" spans="27:31" x14ac:dyDescent="0.25">
      <c r="AA1405" s="160"/>
      <c r="AB1405" s="162"/>
      <c r="AC1405" s="162"/>
      <c r="AD1405" s="162">
        <f t="shared" si="41"/>
        <v>0</v>
      </c>
      <c r="AE1405" s="160">
        <v>1403</v>
      </c>
    </row>
    <row r="1406" spans="27:31" x14ac:dyDescent="0.25">
      <c r="AA1406" s="160"/>
      <c r="AB1406" s="162"/>
      <c r="AC1406" s="162"/>
      <c r="AD1406" s="162">
        <f t="shared" si="41"/>
        <v>0</v>
      </c>
      <c r="AE1406" s="160">
        <v>1404</v>
      </c>
    </row>
    <row r="1407" spans="27:31" x14ac:dyDescent="0.25">
      <c r="AA1407" s="160"/>
      <c r="AB1407" s="162"/>
      <c r="AC1407" s="162"/>
      <c r="AD1407" s="162">
        <f t="shared" si="41"/>
        <v>0</v>
      </c>
      <c r="AE1407" s="160">
        <v>1405</v>
      </c>
    </row>
    <row r="1408" spans="27:31" x14ac:dyDescent="0.25">
      <c r="AA1408" s="160"/>
      <c r="AB1408" s="162"/>
      <c r="AC1408" s="162"/>
      <c r="AD1408" s="162">
        <f t="shared" si="41"/>
        <v>0</v>
      </c>
      <c r="AE1408" s="160">
        <v>1406</v>
      </c>
    </row>
    <row r="1409" spans="27:31" x14ac:dyDescent="0.25">
      <c r="AA1409" s="160"/>
      <c r="AB1409" s="162"/>
      <c r="AC1409" s="162"/>
      <c r="AD1409" s="162">
        <f t="shared" si="41"/>
        <v>0</v>
      </c>
      <c r="AE1409" s="160">
        <v>1407</v>
      </c>
    </row>
    <row r="1410" spans="27:31" x14ac:dyDescent="0.25">
      <c r="AA1410" s="160"/>
      <c r="AB1410" s="162"/>
      <c r="AC1410" s="162"/>
      <c r="AD1410" s="162">
        <f t="shared" si="41"/>
        <v>0</v>
      </c>
      <c r="AE1410" s="160">
        <v>1408</v>
      </c>
    </row>
    <row r="1411" spans="27:31" x14ac:dyDescent="0.25">
      <c r="AA1411" s="160"/>
      <c r="AB1411" s="162"/>
      <c r="AC1411" s="162"/>
      <c r="AD1411" s="162">
        <f t="shared" si="41"/>
        <v>0</v>
      </c>
      <c r="AE1411" s="160">
        <v>1409</v>
      </c>
    </row>
    <row r="1412" spans="27:31" x14ac:dyDescent="0.25">
      <c r="AA1412" s="160"/>
      <c r="AB1412" s="162"/>
      <c r="AC1412" s="162"/>
      <c r="AD1412" s="162">
        <f t="shared" ref="AD1412:AD1475" si="42">AB1412+AC1412</f>
        <v>0</v>
      </c>
      <c r="AE1412" s="160">
        <v>1410</v>
      </c>
    </row>
    <row r="1413" spans="27:31" x14ac:dyDescent="0.25">
      <c r="AA1413" s="160"/>
      <c r="AB1413" s="162"/>
      <c r="AC1413" s="162"/>
      <c r="AD1413" s="162">
        <f t="shared" si="42"/>
        <v>0</v>
      </c>
      <c r="AE1413" s="160">
        <v>1411</v>
      </c>
    </row>
    <row r="1414" spans="27:31" x14ac:dyDescent="0.25">
      <c r="AA1414" s="160"/>
      <c r="AB1414" s="162"/>
      <c r="AC1414" s="162"/>
      <c r="AD1414" s="162">
        <f t="shared" si="42"/>
        <v>0</v>
      </c>
      <c r="AE1414" s="160">
        <v>1412</v>
      </c>
    </row>
    <row r="1415" spans="27:31" x14ac:dyDescent="0.25">
      <c r="AA1415" s="160"/>
      <c r="AB1415" s="162"/>
      <c r="AC1415" s="162"/>
      <c r="AD1415" s="162">
        <f t="shared" si="42"/>
        <v>0</v>
      </c>
      <c r="AE1415" s="160">
        <v>1413</v>
      </c>
    </row>
    <row r="1416" spans="27:31" x14ac:dyDescent="0.25">
      <c r="AA1416" s="160"/>
      <c r="AB1416" s="162"/>
      <c r="AC1416" s="162"/>
      <c r="AD1416" s="162">
        <f t="shared" si="42"/>
        <v>0</v>
      </c>
      <c r="AE1416" s="160">
        <v>1414</v>
      </c>
    </row>
    <row r="1417" spans="27:31" x14ac:dyDescent="0.25">
      <c r="AA1417" s="160"/>
      <c r="AB1417" s="162"/>
      <c r="AC1417" s="162"/>
      <c r="AD1417" s="162">
        <f t="shared" si="42"/>
        <v>0</v>
      </c>
      <c r="AE1417" s="160">
        <v>1415</v>
      </c>
    </row>
    <row r="1418" spans="27:31" x14ac:dyDescent="0.25">
      <c r="AA1418" s="160"/>
      <c r="AB1418" s="162"/>
      <c r="AC1418" s="162"/>
      <c r="AD1418" s="162">
        <f t="shared" si="42"/>
        <v>0</v>
      </c>
      <c r="AE1418" s="160">
        <v>1416</v>
      </c>
    </row>
    <row r="1419" spans="27:31" x14ac:dyDescent="0.25">
      <c r="AA1419" s="160"/>
      <c r="AB1419" s="162"/>
      <c r="AC1419" s="162"/>
      <c r="AD1419" s="162">
        <f t="shared" si="42"/>
        <v>0</v>
      </c>
      <c r="AE1419" s="160">
        <v>1417</v>
      </c>
    </row>
    <row r="1420" spans="27:31" x14ac:dyDescent="0.25">
      <c r="AA1420" s="160"/>
      <c r="AB1420" s="162"/>
      <c r="AC1420" s="162"/>
      <c r="AD1420" s="162">
        <f t="shared" si="42"/>
        <v>0</v>
      </c>
      <c r="AE1420" s="160">
        <v>1418</v>
      </c>
    </row>
    <row r="1421" spans="27:31" x14ac:dyDescent="0.25">
      <c r="AA1421" s="160"/>
      <c r="AB1421" s="162"/>
      <c r="AC1421" s="162"/>
      <c r="AD1421" s="162">
        <f t="shared" si="42"/>
        <v>0</v>
      </c>
      <c r="AE1421" s="160">
        <v>1419</v>
      </c>
    </row>
    <row r="1422" spans="27:31" x14ac:dyDescent="0.25">
      <c r="AA1422" s="160"/>
      <c r="AB1422" s="162"/>
      <c r="AC1422" s="162"/>
      <c r="AD1422" s="162">
        <f t="shared" si="42"/>
        <v>0</v>
      </c>
      <c r="AE1422" s="160">
        <v>1420</v>
      </c>
    </row>
    <row r="1423" spans="27:31" x14ac:dyDescent="0.25">
      <c r="AA1423" s="160"/>
      <c r="AB1423" s="162"/>
      <c r="AC1423" s="162"/>
      <c r="AD1423" s="162">
        <f t="shared" si="42"/>
        <v>0</v>
      </c>
      <c r="AE1423" s="160">
        <v>1421</v>
      </c>
    </row>
    <row r="1424" spans="27:31" x14ac:dyDescent="0.25">
      <c r="AA1424" s="160"/>
      <c r="AB1424" s="162"/>
      <c r="AC1424" s="162"/>
      <c r="AD1424" s="162">
        <f t="shared" si="42"/>
        <v>0</v>
      </c>
      <c r="AE1424" s="160">
        <v>1422</v>
      </c>
    </row>
    <row r="1425" spans="27:31" x14ac:dyDescent="0.25">
      <c r="AA1425" s="160"/>
      <c r="AB1425" s="162"/>
      <c r="AC1425" s="162"/>
      <c r="AD1425" s="162">
        <f t="shared" si="42"/>
        <v>0</v>
      </c>
      <c r="AE1425" s="160">
        <v>1423</v>
      </c>
    </row>
    <row r="1426" spans="27:31" x14ac:dyDescent="0.25">
      <c r="AA1426" s="160"/>
      <c r="AB1426" s="162"/>
      <c r="AC1426" s="162"/>
      <c r="AD1426" s="162">
        <f t="shared" si="42"/>
        <v>0</v>
      </c>
      <c r="AE1426" s="160">
        <v>1424</v>
      </c>
    </row>
    <row r="1427" spans="27:31" x14ac:dyDescent="0.25">
      <c r="AA1427" s="160"/>
      <c r="AB1427" s="162"/>
      <c r="AC1427" s="162"/>
      <c r="AD1427" s="162">
        <f t="shared" si="42"/>
        <v>0</v>
      </c>
      <c r="AE1427" s="160">
        <v>1425</v>
      </c>
    </row>
    <row r="1428" spans="27:31" x14ac:dyDescent="0.25">
      <c r="AA1428" s="160"/>
      <c r="AB1428" s="162"/>
      <c r="AC1428" s="162"/>
      <c r="AD1428" s="162">
        <f t="shared" si="42"/>
        <v>0</v>
      </c>
      <c r="AE1428" s="160">
        <v>1426</v>
      </c>
    </row>
    <row r="1429" spans="27:31" x14ac:dyDescent="0.25">
      <c r="AA1429" s="160"/>
      <c r="AB1429" s="162"/>
      <c r="AC1429" s="162"/>
      <c r="AD1429" s="162">
        <f t="shared" si="42"/>
        <v>0</v>
      </c>
      <c r="AE1429" s="160">
        <v>1427</v>
      </c>
    </row>
    <row r="1430" spans="27:31" x14ac:dyDescent="0.25">
      <c r="AA1430" s="160"/>
      <c r="AB1430" s="162"/>
      <c r="AC1430" s="162"/>
      <c r="AD1430" s="162">
        <f t="shared" si="42"/>
        <v>0</v>
      </c>
      <c r="AE1430" s="160">
        <v>1428</v>
      </c>
    </row>
    <row r="1431" spans="27:31" x14ac:dyDescent="0.25">
      <c r="AA1431" s="160"/>
      <c r="AB1431" s="162"/>
      <c r="AC1431" s="162"/>
      <c r="AD1431" s="162">
        <f t="shared" si="42"/>
        <v>0</v>
      </c>
      <c r="AE1431" s="160">
        <v>1429</v>
      </c>
    </row>
    <row r="1432" spans="27:31" x14ac:dyDescent="0.25">
      <c r="AA1432" s="160"/>
      <c r="AB1432" s="162"/>
      <c r="AC1432" s="162"/>
      <c r="AD1432" s="162">
        <f t="shared" si="42"/>
        <v>0</v>
      </c>
      <c r="AE1432" s="160">
        <v>1430</v>
      </c>
    </row>
    <row r="1433" spans="27:31" x14ac:dyDescent="0.25">
      <c r="AA1433" s="160"/>
      <c r="AB1433" s="162"/>
      <c r="AC1433" s="162"/>
      <c r="AD1433" s="162">
        <f t="shared" si="42"/>
        <v>0</v>
      </c>
      <c r="AE1433" s="160">
        <v>1431</v>
      </c>
    </row>
    <row r="1434" spans="27:31" x14ac:dyDescent="0.25">
      <c r="AA1434" s="160"/>
      <c r="AB1434" s="162"/>
      <c r="AC1434" s="162"/>
      <c r="AD1434" s="162">
        <f t="shared" si="42"/>
        <v>0</v>
      </c>
      <c r="AE1434" s="160">
        <v>1432</v>
      </c>
    </row>
    <row r="1435" spans="27:31" x14ac:dyDescent="0.25">
      <c r="AA1435" s="160"/>
      <c r="AB1435" s="162"/>
      <c r="AC1435" s="162"/>
      <c r="AD1435" s="162">
        <f t="shared" si="42"/>
        <v>0</v>
      </c>
      <c r="AE1435" s="160">
        <v>1433</v>
      </c>
    </row>
    <row r="1436" spans="27:31" x14ac:dyDescent="0.25">
      <c r="AA1436" s="160"/>
      <c r="AB1436" s="162"/>
      <c r="AC1436" s="162"/>
      <c r="AD1436" s="162">
        <f t="shared" si="42"/>
        <v>0</v>
      </c>
      <c r="AE1436" s="160">
        <v>1434</v>
      </c>
    </row>
    <row r="1437" spans="27:31" x14ac:dyDescent="0.25">
      <c r="AA1437" s="160"/>
      <c r="AB1437" s="162"/>
      <c r="AC1437" s="162"/>
      <c r="AD1437" s="162">
        <f t="shared" si="42"/>
        <v>0</v>
      </c>
      <c r="AE1437" s="160">
        <v>1435</v>
      </c>
    </row>
    <row r="1438" spans="27:31" x14ac:dyDescent="0.25">
      <c r="AA1438" s="160"/>
      <c r="AB1438" s="162"/>
      <c r="AC1438" s="162"/>
      <c r="AD1438" s="162">
        <f t="shared" si="42"/>
        <v>0</v>
      </c>
      <c r="AE1438" s="160">
        <v>1436</v>
      </c>
    </row>
    <row r="1439" spans="27:31" x14ac:dyDescent="0.25">
      <c r="AA1439" s="160"/>
      <c r="AB1439" s="162"/>
      <c r="AC1439" s="162"/>
      <c r="AD1439" s="162">
        <f t="shared" si="42"/>
        <v>0</v>
      </c>
      <c r="AE1439" s="160">
        <v>1437</v>
      </c>
    </row>
    <row r="1440" spans="27:31" x14ac:dyDescent="0.25">
      <c r="AA1440" s="160"/>
      <c r="AB1440" s="162"/>
      <c r="AC1440" s="162"/>
      <c r="AD1440" s="162">
        <f t="shared" si="42"/>
        <v>0</v>
      </c>
      <c r="AE1440" s="160">
        <v>1438</v>
      </c>
    </row>
    <row r="1441" spans="27:31" x14ac:dyDescent="0.25">
      <c r="AA1441" s="160"/>
      <c r="AB1441" s="162"/>
      <c r="AC1441" s="162"/>
      <c r="AD1441" s="162">
        <f t="shared" si="42"/>
        <v>0</v>
      </c>
      <c r="AE1441" s="160">
        <v>1439</v>
      </c>
    </row>
    <row r="1442" spans="27:31" x14ac:dyDescent="0.25">
      <c r="AA1442" s="160"/>
      <c r="AB1442" s="162"/>
      <c r="AC1442" s="162"/>
      <c r="AD1442" s="162">
        <f t="shared" si="42"/>
        <v>0</v>
      </c>
      <c r="AE1442" s="160">
        <v>1440</v>
      </c>
    </row>
    <row r="1443" spans="27:31" x14ac:dyDescent="0.25">
      <c r="AA1443" s="160"/>
      <c r="AB1443" s="162"/>
      <c r="AC1443" s="162"/>
      <c r="AD1443" s="162">
        <f t="shared" si="42"/>
        <v>0</v>
      </c>
      <c r="AE1443" s="160">
        <v>1441</v>
      </c>
    </row>
    <row r="1444" spans="27:31" x14ac:dyDescent="0.25">
      <c r="AA1444" s="160"/>
      <c r="AB1444" s="162"/>
      <c r="AC1444" s="162"/>
      <c r="AD1444" s="162">
        <f t="shared" si="42"/>
        <v>0</v>
      </c>
      <c r="AE1444" s="160">
        <v>1442</v>
      </c>
    </row>
    <row r="1445" spans="27:31" x14ac:dyDescent="0.25">
      <c r="AA1445" s="160"/>
      <c r="AB1445" s="162"/>
      <c r="AC1445" s="162"/>
      <c r="AD1445" s="162">
        <f t="shared" si="42"/>
        <v>0</v>
      </c>
      <c r="AE1445" s="160">
        <v>1443</v>
      </c>
    </row>
    <row r="1446" spans="27:31" x14ac:dyDescent="0.25">
      <c r="AA1446" s="160"/>
      <c r="AB1446" s="162"/>
      <c r="AC1446" s="162"/>
      <c r="AD1446" s="162">
        <f t="shared" si="42"/>
        <v>0</v>
      </c>
      <c r="AE1446" s="160">
        <v>1444</v>
      </c>
    </row>
    <row r="1447" spans="27:31" x14ac:dyDescent="0.25">
      <c r="AA1447" s="160"/>
      <c r="AB1447" s="162"/>
      <c r="AC1447" s="162"/>
      <c r="AD1447" s="162">
        <f t="shared" si="42"/>
        <v>0</v>
      </c>
      <c r="AE1447" s="160">
        <v>1445</v>
      </c>
    </row>
    <row r="1448" spans="27:31" x14ac:dyDescent="0.25">
      <c r="AA1448" s="160"/>
      <c r="AB1448" s="162"/>
      <c r="AC1448" s="162"/>
      <c r="AD1448" s="162">
        <f t="shared" si="42"/>
        <v>0</v>
      </c>
      <c r="AE1448" s="160">
        <v>1446</v>
      </c>
    </row>
    <row r="1449" spans="27:31" x14ac:dyDescent="0.25">
      <c r="AA1449" s="160"/>
      <c r="AB1449" s="162"/>
      <c r="AC1449" s="162"/>
      <c r="AD1449" s="162">
        <f t="shared" si="42"/>
        <v>0</v>
      </c>
      <c r="AE1449" s="160">
        <v>1447</v>
      </c>
    </row>
    <row r="1450" spans="27:31" x14ac:dyDescent="0.25">
      <c r="AA1450" s="160"/>
      <c r="AB1450" s="162"/>
      <c r="AC1450" s="162"/>
      <c r="AD1450" s="162">
        <f t="shared" si="42"/>
        <v>0</v>
      </c>
      <c r="AE1450" s="160">
        <v>1448</v>
      </c>
    </row>
    <row r="1451" spans="27:31" x14ac:dyDescent="0.25">
      <c r="AA1451" s="160"/>
      <c r="AB1451" s="162"/>
      <c r="AC1451" s="162"/>
      <c r="AD1451" s="162">
        <f t="shared" si="42"/>
        <v>0</v>
      </c>
      <c r="AE1451" s="160">
        <v>1449</v>
      </c>
    </row>
    <row r="1452" spans="27:31" x14ac:dyDescent="0.25">
      <c r="AA1452" s="160"/>
      <c r="AB1452" s="162"/>
      <c r="AC1452" s="162"/>
      <c r="AD1452" s="162">
        <f t="shared" si="42"/>
        <v>0</v>
      </c>
      <c r="AE1452" s="160">
        <v>1450</v>
      </c>
    </row>
    <row r="1453" spans="27:31" x14ac:dyDescent="0.25">
      <c r="AA1453" s="160"/>
      <c r="AB1453" s="162"/>
      <c r="AC1453" s="162"/>
      <c r="AD1453" s="162">
        <f t="shared" si="42"/>
        <v>0</v>
      </c>
      <c r="AE1453" s="160">
        <v>1451</v>
      </c>
    </row>
    <row r="1454" spans="27:31" x14ac:dyDescent="0.25">
      <c r="AA1454" s="160"/>
      <c r="AB1454" s="162"/>
      <c r="AC1454" s="162"/>
      <c r="AD1454" s="162">
        <f t="shared" si="42"/>
        <v>0</v>
      </c>
      <c r="AE1454" s="160">
        <v>1452</v>
      </c>
    </row>
    <row r="1455" spans="27:31" x14ac:dyDescent="0.25">
      <c r="AA1455" s="160"/>
      <c r="AB1455" s="162"/>
      <c r="AC1455" s="162"/>
      <c r="AD1455" s="162">
        <f t="shared" si="42"/>
        <v>0</v>
      </c>
      <c r="AE1455" s="160">
        <v>1453</v>
      </c>
    </row>
    <row r="1456" spans="27:31" x14ac:dyDescent="0.25">
      <c r="AA1456" s="160"/>
      <c r="AB1456" s="162"/>
      <c r="AC1456" s="162"/>
      <c r="AD1456" s="162">
        <f t="shared" si="42"/>
        <v>0</v>
      </c>
      <c r="AE1456" s="160">
        <v>1454</v>
      </c>
    </row>
    <row r="1457" spans="27:31" x14ac:dyDescent="0.25">
      <c r="AA1457" s="160"/>
      <c r="AB1457" s="162"/>
      <c r="AC1457" s="162"/>
      <c r="AD1457" s="162">
        <f t="shared" si="42"/>
        <v>0</v>
      </c>
      <c r="AE1457" s="160">
        <v>1455</v>
      </c>
    </row>
    <row r="1458" spans="27:31" x14ac:dyDescent="0.25">
      <c r="AA1458" s="160"/>
      <c r="AB1458" s="162"/>
      <c r="AC1458" s="162"/>
      <c r="AD1458" s="162">
        <f t="shared" si="42"/>
        <v>0</v>
      </c>
      <c r="AE1458" s="160">
        <v>1456</v>
      </c>
    </row>
    <row r="1459" spans="27:31" x14ac:dyDescent="0.25">
      <c r="AA1459" s="160"/>
      <c r="AB1459" s="162"/>
      <c r="AC1459" s="162"/>
      <c r="AD1459" s="162">
        <f t="shared" si="42"/>
        <v>0</v>
      </c>
      <c r="AE1459" s="160">
        <v>1457</v>
      </c>
    </row>
    <row r="1460" spans="27:31" x14ac:dyDescent="0.25">
      <c r="AA1460" s="160"/>
      <c r="AB1460" s="162"/>
      <c r="AC1460" s="162"/>
      <c r="AD1460" s="162">
        <f t="shared" si="42"/>
        <v>0</v>
      </c>
      <c r="AE1460" s="160">
        <v>1458</v>
      </c>
    </row>
    <row r="1461" spans="27:31" x14ac:dyDescent="0.25">
      <c r="AA1461" s="160"/>
      <c r="AB1461" s="162"/>
      <c r="AC1461" s="162"/>
      <c r="AD1461" s="162">
        <f t="shared" si="42"/>
        <v>0</v>
      </c>
      <c r="AE1461" s="160">
        <v>1459</v>
      </c>
    </row>
    <row r="1462" spans="27:31" x14ac:dyDescent="0.25">
      <c r="AA1462" s="160"/>
      <c r="AB1462" s="162"/>
      <c r="AC1462" s="162"/>
      <c r="AD1462" s="162">
        <f t="shared" si="42"/>
        <v>0</v>
      </c>
      <c r="AE1462" s="160">
        <v>1460</v>
      </c>
    </row>
    <row r="1463" spans="27:31" x14ac:dyDescent="0.25">
      <c r="AA1463" s="160"/>
      <c r="AB1463" s="162"/>
      <c r="AC1463" s="162"/>
      <c r="AD1463" s="162">
        <f t="shared" si="42"/>
        <v>0</v>
      </c>
      <c r="AE1463" s="160">
        <v>1461</v>
      </c>
    </row>
    <row r="1464" spans="27:31" x14ac:dyDescent="0.25">
      <c r="AA1464" s="160"/>
      <c r="AB1464" s="162"/>
      <c r="AC1464" s="162"/>
      <c r="AD1464" s="162">
        <f t="shared" si="42"/>
        <v>0</v>
      </c>
      <c r="AE1464" s="160">
        <v>1462</v>
      </c>
    </row>
    <row r="1465" spans="27:31" x14ac:dyDescent="0.25">
      <c r="AA1465" s="160"/>
      <c r="AB1465" s="162"/>
      <c r="AC1465" s="162"/>
      <c r="AD1465" s="162">
        <f t="shared" si="42"/>
        <v>0</v>
      </c>
      <c r="AE1465" s="160">
        <v>1463</v>
      </c>
    </row>
    <row r="1466" spans="27:31" x14ac:dyDescent="0.25">
      <c r="AA1466" s="160"/>
      <c r="AB1466" s="162"/>
      <c r="AC1466" s="162"/>
      <c r="AD1466" s="162">
        <f t="shared" si="42"/>
        <v>0</v>
      </c>
      <c r="AE1466" s="160">
        <v>1464</v>
      </c>
    </row>
    <row r="1467" spans="27:31" x14ac:dyDescent="0.25">
      <c r="AA1467" s="160"/>
      <c r="AB1467" s="162"/>
      <c r="AC1467" s="162"/>
      <c r="AD1467" s="162">
        <f t="shared" si="42"/>
        <v>0</v>
      </c>
      <c r="AE1467" s="160">
        <v>1465</v>
      </c>
    </row>
    <row r="1468" spans="27:31" x14ac:dyDescent="0.25">
      <c r="AA1468" s="160"/>
      <c r="AB1468" s="162"/>
      <c r="AC1468" s="162"/>
      <c r="AD1468" s="162">
        <f t="shared" si="42"/>
        <v>0</v>
      </c>
      <c r="AE1468" s="160">
        <v>1466</v>
      </c>
    </row>
    <row r="1469" spans="27:31" x14ac:dyDescent="0.25">
      <c r="AA1469" s="160"/>
      <c r="AB1469" s="162"/>
      <c r="AC1469" s="162"/>
      <c r="AD1469" s="162">
        <f t="shared" si="42"/>
        <v>0</v>
      </c>
      <c r="AE1469" s="160">
        <v>1467</v>
      </c>
    </row>
    <row r="1470" spans="27:31" x14ac:dyDescent="0.25">
      <c r="AA1470" s="160"/>
      <c r="AB1470" s="162"/>
      <c r="AC1470" s="162"/>
      <c r="AD1470" s="162">
        <f t="shared" si="42"/>
        <v>0</v>
      </c>
      <c r="AE1470" s="160">
        <v>1468</v>
      </c>
    </row>
    <row r="1471" spans="27:31" x14ac:dyDescent="0.25">
      <c r="AA1471" s="160"/>
      <c r="AB1471" s="162"/>
      <c r="AC1471" s="162"/>
      <c r="AD1471" s="162">
        <f t="shared" si="42"/>
        <v>0</v>
      </c>
      <c r="AE1471" s="160">
        <v>1469</v>
      </c>
    </row>
    <row r="1472" spans="27:31" x14ac:dyDescent="0.25">
      <c r="AA1472" s="160"/>
      <c r="AB1472" s="162"/>
      <c r="AC1472" s="162"/>
      <c r="AD1472" s="162">
        <f t="shared" si="42"/>
        <v>0</v>
      </c>
      <c r="AE1472" s="160">
        <v>1470</v>
      </c>
    </row>
    <row r="1473" spans="27:31" x14ac:dyDescent="0.25">
      <c r="AA1473" s="160"/>
      <c r="AB1473" s="162"/>
      <c r="AC1473" s="162"/>
      <c r="AD1473" s="162">
        <f t="shared" si="42"/>
        <v>0</v>
      </c>
      <c r="AE1473" s="160">
        <v>1471</v>
      </c>
    </row>
    <row r="1474" spans="27:31" x14ac:dyDescent="0.25">
      <c r="AA1474" s="160"/>
      <c r="AB1474" s="162"/>
      <c r="AC1474" s="162"/>
      <c r="AD1474" s="162">
        <f t="shared" si="42"/>
        <v>0</v>
      </c>
      <c r="AE1474" s="160">
        <v>1472</v>
      </c>
    </row>
    <row r="1475" spans="27:31" x14ac:dyDescent="0.25">
      <c r="AA1475" s="160"/>
      <c r="AB1475" s="162"/>
      <c r="AC1475" s="162"/>
      <c r="AD1475" s="162">
        <f t="shared" si="42"/>
        <v>0</v>
      </c>
      <c r="AE1475" s="160">
        <v>1473</v>
      </c>
    </row>
    <row r="1476" spans="27:31" x14ac:dyDescent="0.25">
      <c r="AA1476" s="160"/>
      <c r="AB1476" s="162"/>
      <c r="AC1476" s="162"/>
      <c r="AD1476" s="162">
        <f t="shared" ref="AD1476:AD1539" si="43">AB1476+AC1476</f>
        <v>0</v>
      </c>
      <c r="AE1476" s="160">
        <v>1474</v>
      </c>
    </row>
    <row r="1477" spans="27:31" x14ac:dyDescent="0.25">
      <c r="AA1477" s="160"/>
      <c r="AB1477" s="162"/>
      <c r="AC1477" s="162"/>
      <c r="AD1477" s="162">
        <f t="shared" si="43"/>
        <v>0</v>
      </c>
      <c r="AE1477" s="160">
        <v>1475</v>
      </c>
    </row>
    <row r="1478" spans="27:31" x14ac:dyDescent="0.25">
      <c r="AA1478" s="160"/>
      <c r="AB1478" s="162"/>
      <c r="AC1478" s="162"/>
      <c r="AD1478" s="162">
        <f t="shared" si="43"/>
        <v>0</v>
      </c>
      <c r="AE1478" s="160">
        <v>1476</v>
      </c>
    </row>
    <row r="1479" spans="27:31" x14ac:dyDescent="0.25">
      <c r="AA1479" s="160"/>
      <c r="AB1479" s="162"/>
      <c r="AC1479" s="162"/>
      <c r="AD1479" s="162">
        <f t="shared" si="43"/>
        <v>0</v>
      </c>
      <c r="AE1479" s="160">
        <v>1477</v>
      </c>
    </row>
    <row r="1480" spans="27:31" x14ac:dyDescent="0.25">
      <c r="AA1480" s="160"/>
      <c r="AB1480" s="162"/>
      <c r="AC1480" s="162"/>
      <c r="AD1480" s="162">
        <f t="shared" si="43"/>
        <v>0</v>
      </c>
      <c r="AE1480" s="160">
        <v>1478</v>
      </c>
    </row>
    <row r="1481" spans="27:31" x14ac:dyDescent="0.25">
      <c r="AA1481" s="160"/>
      <c r="AB1481" s="162"/>
      <c r="AC1481" s="162"/>
      <c r="AD1481" s="162">
        <f t="shared" si="43"/>
        <v>0</v>
      </c>
      <c r="AE1481" s="160">
        <v>1479</v>
      </c>
    </row>
    <row r="1482" spans="27:31" x14ac:dyDescent="0.25">
      <c r="AA1482" s="160"/>
      <c r="AB1482" s="162"/>
      <c r="AC1482" s="162"/>
      <c r="AD1482" s="162">
        <f t="shared" si="43"/>
        <v>0</v>
      </c>
      <c r="AE1482" s="160">
        <v>1480</v>
      </c>
    </row>
    <row r="1483" spans="27:31" x14ac:dyDescent="0.25">
      <c r="AA1483" s="160"/>
      <c r="AB1483" s="162"/>
      <c r="AC1483" s="162"/>
      <c r="AD1483" s="162">
        <f t="shared" si="43"/>
        <v>0</v>
      </c>
      <c r="AE1483" s="160">
        <v>1481</v>
      </c>
    </row>
    <row r="1484" spans="27:31" x14ac:dyDescent="0.25">
      <c r="AA1484" s="160"/>
      <c r="AB1484" s="162"/>
      <c r="AC1484" s="162"/>
      <c r="AD1484" s="162">
        <f t="shared" si="43"/>
        <v>0</v>
      </c>
      <c r="AE1484" s="160">
        <v>1482</v>
      </c>
    </row>
    <row r="1485" spans="27:31" x14ac:dyDescent="0.25">
      <c r="AA1485" s="160"/>
      <c r="AB1485" s="162"/>
      <c r="AC1485" s="162"/>
      <c r="AD1485" s="162">
        <f t="shared" si="43"/>
        <v>0</v>
      </c>
      <c r="AE1485" s="160">
        <v>1483</v>
      </c>
    </row>
    <row r="1486" spans="27:31" x14ac:dyDescent="0.25">
      <c r="AA1486" s="160"/>
      <c r="AB1486" s="162"/>
      <c r="AC1486" s="162"/>
      <c r="AD1486" s="162">
        <f t="shared" si="43"/>
        <v>0</v>
      </c>
      <c r="AE1486" s="160">
        <v>1484</v>
      </c>
    </row>
    <row r="1487" spans="27:31" x14ac:dyDescent="0.25">
      <c r="AA1487" s="160"/>
      <c r="AB1487" s="162"/>
      <c r="AC1487" s="162"/>
      <c r="AD1487" s="162">
        <f t="shared" si="43"/>
        <v>0</v>
      </c>
      <c r="AE1487" s="160">
        <v>1485</v>
      </c>
    </row>
    <row r="1488" spans="27:31" x14ac:dyDescent="0.25">
      <c r="AA1488" s="160"/>
      <c r="AB1488" s="162"/>
      <c r="AC1488" s="162"/>
      <c r="AD1488" s="162">
        <f t="shared" si="43"/>
        <v>0</v>
      </c>
      <c r="AE1488" s="160">
        <v>1486</v>
      </c>
    </row>
    <row r="1489" spans="27:31" x14ac:dyDescent="0.25">
      <c r="AA1489" s="160"/>
      <c r="AB1489" s="162"/>
      <c r="AC1489" s="162"/>
      <c r="AD1489" s="162">
        <f t="shared" si="43"/>
        <v>0</v>
      </c>
      <c r="AE1489" s="160">
        <v>1487</v>
      </c>
    </row>
    <row r="1490" spans="27:31" x14ac:dyDescent="0.25">
      <c r="AA1490" s="160"/>
      <c r="AB1490" s="162"/>
      <c r="AC1490" s="162"/>
      <c r="AD1490" s="162">
        <f t="shared" si="43"/>
        <v>0</v>
      </c>
      <c r="AE1490" s="160">
        <v>1488</v>
      </c>
    </row>
    <row r="1491" spans="27:31" x14ac:dyDescent="0.25">
      <c r="AA1491" s="160"/>
      <c r="AB1491" s="162"/>
      <c r="AC1491" s="162"/>
      <c r="AD1491" s="162">
        <f t="shared" si="43"/>
        <v>0</v>
      </c>
      <c r="AE1491" s="160">
        <v>1489</v>
      </c>
    </row>
    <row r="1492" spans="27:31" x14ac:dyDescent="0.25">
      <c r="AA1492" s="160"/>
      <c r="AB1492" s="162"/>
      <c r="AC1492" s="162"/>
      <c r="AD1492" s="162">
        <f t="shared" si="43"/>
        <v>0</v>
      </c>
      <c r="AE1492" s="160">
        <v>1490</v>
      </c>
    </row>
    <row r="1493" spans="27:31" x14ac:dyDescent="0.25">
      <c r="AA1493" s="160"/>
      <c r="AB1493" s="162"/>
      <c r="AC1493" s="162"/>
      <c r="AD1493" s="162">
        <f t="shared" si="43"/>
        <v>0</v>
      </c>
      <c r="AE1493" s="160">
        <v>1491</v>
      </c>
    </row>
    <row r="1494" spans="27:31" x14ac:dyDescent="0.25">
      <c r="AA1494" s="160"/>
      <c r="AB1494" s="162"/>
      <c r="AC1494" s="162"/>
      <c r="AD1494" s="162">
        <f t="shared" si="43"/>
        <v>0</v>
      </c>
      <c r="AE1494" s="160">
        <v>1492</v>
      </c>
    </row>
    <row r="1495" spans="27:31" x14ac:dyDescent="0.25">
      <c r="AA1495" s="160"/>
      <c r="AB1495" s="162"/>
      <c r="AC1495" s="162"/>
      <c r="AD1495" s="162">
        <f t="shared" si="43"/>
        <v>0</v>
      </c>
      <c r="AE1495" s="160">
        <v>1493</v>
      </c>
    </row>
    <row r="1496" spans="27:31" x14ac:dyDescent="0.25">
      <c r="AA1496" s="160"/>
      <c r="AB1496" s="162"/>
      <c r="AC1496" s="162"/>
      <c r="AD1496" s="162">
        <f t="shared" si="43"/>
        <v>0</v>
      </c>
      <c r="AE1496" s="160">
        <v>1494</v>
      </c>
    </row>
    <row r="1497" spans="27:31" x14ac:dyDescent="0.25">
      <c r="AA1497" s="160"/>
      <c r="AB1497" s="162"/>
      <c r="AC1497" s="162"/>
      <c r="AD1497" s="162">
        <f t="shared" si="43"/>
        <v>0</v>
      </c>
      <c r="AE1497" s="160">
        <v>1495</v>
      </c>
    </row>
    <row r="1498" spans="27:31" x14ac:dyDescent="0.25">
      <c r="AA1498" s="160"/>
      <c r="AB1498" s="162"/>
      <c r="AC1498" s="162"/>
      <c r="AD1498" s="162">
        <f t="shared" si="43"/>
        <v>0</v>
      </c>
      <c r="AE1498" s="160">
        <v>1496</v>
      </c>
    </row>
    <row r="1499" spans="27:31" x14ac:dyDescent="0.25">
      <c r="AA1499" s="160"/>
      <c r="AB1499" s="162"/>
      <c r="AC1499" s="162"/>
      <c r="AD1499" s="162">
        <f t="shared" si="43"/>
        <v>0</v>
      </c>
      <c r="AE1499" s="160">
        <v>1497</v>
      </c>
    </row>
    <row r="1500" spans="27:31" x14ac:dyDescent="0.25">
      <c r="AA1500" s="160"/>
      <c r="AB1500" s="162"/>
      <c r="AC1500" s="162"/>
      <c r="AD1500" s="162">
        <f t="shared" si="43"/>
        <v>0</v>
      </c>
      <c r="AE1500" s="160">
        <v>1498</v>
      </c>
    </row>
    <row r="1501" spans="27:31" x14ac:dyDescent="0.25">
      <c r="AA1501" s="160"/>
      <c r="AB1501" s="162"/>
      <c r="AC1501" s="162"/>
      <c r="AD1501" s="162">
        <f t="shared" si="43"/>
        <v>0</v>
      </c>
      <c r="AE1501" s="160">
        <v>1499</v>
      </c>
    </row>
    <row r="1502" spans="27:31" x14ac:dyDescent="0.25">
      <c r="AA1502" s="160"/>
      <c r="AB1502" s="162"/>
      <c r="AC1502" s="162"/>
      <c r="AD1502" s="162">
        <f t="shared" si="43"/>
        <v>0</v>
      </c>
      <c r="AE1502" s="160">
        <v>1500</v>
      </c>
    </row>
    <row r="1503" spans="27:31" x14ac:dyDescent="0.25">
      <c r="AA1503" s="160"/>
      <c r="AB1503" s="162"/>
      <c r="AC1503" s="162"/>
      <c r="AD1503" s="162">
        <f t="shared" si="43"/>
        <v>0</v>
      </c>
      <c r="AE1503" s="160">
        <v>1501</v>
      </c>
    </row>
    <row r="1504" spans="27:31" x14ac:dyDescent="0.25">
      <c r="AA1504" s="160"/>
      <c r="AB1504" s="162"/>
      <c r="AC1504" s="162"/>
      <c r="AD1504" s="162">
        <f t="shared" si="43"/>
        <v>0</v>
      </c>
      <c r="AE1504" s="160">
        <v>1502</v>
      </c>
    </row>
    <row r="1505" spans="27:31" x14ac:dyDescent="0.25">
      <c r="AA1505" s="160"/>
      <c r="AB1505" s="162"/>
      <c r="AC1505" s="162"/>
      <c r="AD1505" s="162">
        <f t="shared" si="43"/>
        <v>0</v>
      </c>
      <c r="AE1505" s="160">
        <v>1503</v>
      </c>
    </row>
    <row r="1506" spans="27:31" x14ac:dyDescent="0.25">
      <c r="AA1506" s="160"/>
      <c r="AB1506" s="162"/>
      <c r="AC1506" s="162"/>
      <c r="AD1506" s="162">
        <f t="shared" si="43"/>
        <v>0</v>
      </c>
      <c r="AE1506" s="160">
        <v>1504</v>
      </c>
    </row>
    <row r="1507" spans="27:31" x14ac:dyDescent="0.25">
      <c r="AA1507" s="160"/>
      <c r="AB1507" s="162"/>
      <c r="AC1507" s="162"/>
      <c r="AD1507" s="162">
        <f t="shared" si="43"/>
        <v>0</v>
      </c>
      <c r="AE1507" s="160">
        <v>1505</v>
      </c>
    </row>
    <row r="1508" spans="27:31" x14ac:dyDescent="0.25">
      <c r="AA1508" s="160"/>
      <c r="AB1508" s="162"/>
      <c r="AC1508" s="162"/>
      <c r="AD1508" s="162">
        <f t="shared" si="43"/>
        <v>0</v>
      </c>
      <c r="AE1508" s="160">
        <v>1506</v>
      </c>
    </row>
    <row r="1509" spans="27:31" x14ac:dyDescent="0.25">
      <c r="AA1509" s="160"/>
      <c r="AB1509" s="162"/>
      <c r="AC1509" s="162"/>
      <c r="AD1509" s="162">
        <f t="shared" si="43"/>
        <v>0</v>
      </c>
      <c r="AE1509" s="160">
        <v>1507</v>
      </c>
    </row>
    <row r="1510" spans="27:31" x14ac:dyDescent="0.25">
      <c r="AA1510" s="160"/>
      <c r="AB1510" s="162"/>
      <c r="AC1510" s="162"/>
      <c r="AD1510" s="162">
        <f t="shared" si="43"/>
        <v>0</v>
      </c>
      <c r="AE1510" s="160">
        <v>1508</v>
      </c>
    </row>
    <row r="1511" spans="27:31" x14ac:dyDescent="0.25">
      <c r="AA1511" s="160"/>
      <c r="AB1511" s="162"/>
      <c r="AC1511" s="162"/>
      <c r="AD1511" s="162">
        <f t="shared" si="43"/>
        <v>0</v>
      </c>
      <c r="AE1511" s="160">
        <v>1509</v>
      </c>
    </row>
    <row r="1512" spans="27:31" x14ac:dyDescent="0.25">
      <c r="AA1512" s="160"/>
      <c r="AB1512" s="162"/>
      <c r="AC1512" s="162"/>
      <c r="AD1512" s="162">
        <f t="shared" si="43"/>
        <v>0</v>
      </c>
      <c r="AE1512" s="160">
        <v>1510</v>
      </c>
    </row>
    <row r="1513" spans="27:31" x14ac:dyDescent="0.25">
      <c r="AA1513" s="160"/>
      <c r="AB1513" s="162"/>
      <c r="AC1513" s="162"/>
      <c r="AD1513" s="162">
        <f t="shared" si="43"/>
        <v>0</v>
      </c>
      <c r="AE1513" s="160">
        <v>1511</v>
      </c>
    </row>
    <row r="1514" spans="27:31" x14ac:dyDescent="0.25">
      <c r="AA1514" s="160"/>
      <c r="AB1514" s="162"/>
      <c r="AC1514" s="162"/>
      <c r="AD1514" s="162">
        <f t="shared" si="43"/>
        <v>0</v>
      </c>
      <c r="AE1514" s="160">
        <v>1512</v>
      </c>
    </row>
    <row r="1515" spans="27:31" x14ac:dyDescent="0.25">
      <c r="AA1515" s="160"/>
      <c r="AB1515" s="162"/>
      <c r="AC1515" s="162"/>
      <c r="AD1515" s="162">
        <f t="shared" si="43"/>
        <v>0</v>
      </c>
      <c r="AE1515" s="160">
        <v>1513</v>
      </c>
    </row>
    <row r="1516" spans="27:31" x14ac:dyDescent="0.25">
      <c r="AA1516" s="160"/>
      <c r="AB1516" s="162"/>
      <c r="AC1516" s="162"/>
      <c r="AD1516" s="162">
        <f t="shared" si="43"/>
        <v>0</v>
      </c>
      <c r="AE1516" s="160">
        <v>1514</v>
      </c>
    </row>
    <row r="1517" spans="27:31" x14ac:dyDescent="0.25">
      <c r="AA1517" s="160"/>
      <c r="AB1517" s="162"/>
      <c r="AC1517" s="162"/>
      <c r="AD1517" s="162">
        <f t="shared" si="43"/>
        <v>0</v>
      </c>
      <c r="AE1517" s="160">
        <v>1515</v>
      </c>
    </row>
    <row r="1518" spans="27:31" x14ac:dyDescent="0.25">
      <c r="AA1518" s="160"/>
      <c r="AB1518" s="162"/>
      <c r="AC1518" s="162"/>
      <c r="AD1518" s="162">
        <f t="shared" si="43"/>
        <v>0</v>
      </c>
      <c r="AE1518" s="160">
        <v>1516</v>
      </c>
    </row>
    <row r="1519" spans="27:31" x14ac:dyDescent="0.25">
      <c r="AA1519" s="160"/>
      <c r="AB1519" s="162"/>
      <c r="AC1519" s="162"/>
      <c r="AD1519" s="162">
        <f t="shared" si="43"/>
        <v>0</v>
      </c>
      <c r="AE1519" s="160">
        <v>1517</v>
      </c>
    </row>
    <row r="1520" spans="27:31" x14ac:dyDescent="0.25">
      <c r="AA1520" s="160"/>
      <c r="AB1520" s="162"/>
      <c r="AC1520" s="162"/>
      <c r="AD1520" s="162">
        <f t="shared" si="43"/>
        <v>0</v>
      </c>
      <c r="AE1520" s="160">
        <v>1518</v>
      </c>
    </row>
    <row r="1521" spans="27:31" x14ac:dyDescent="0.25">
      <c r="AA1521" s="160"/>
      <c r="AB1521" s="162"/>
      <c r="AC1521" s="162"/>
      <c r="AD1521" s="162">
        <f t="shared" si="43"/>
        <v>0</v>
      </c>
      <c r="AE1521" s="160">
        <v>1519</v>
      </c>
    </row>
    <row r="1522" spans="27:31" x14ac:dyDescent="0.25">
      <c r="AA1522" s="160"/>
      <c r="AB1522" s="162"/>
      <c r="AC1522" s="162"/>
      <c r="AD1522" s="162">
        <f t="shared" si="43"/>
        <v>0</v>
      </c>
      <c r="AE1522" s="160">
        <v>1520</v>
      </c>
    </row>
    <row r="1523" spans="27:31" x14ac:dyDescent="0.25">
      <c r="AA1523" s="160"/>
      <c r="AB1523" s="162"/>
      <c r="AC1523" s="162"/>
      <c r="AD1523" s="162">
        <f t="shared" si="43"/>
        <v>0</v>
      </c>
      <c r="AE1523" s="160">
        <v>1521</v>
      </c>
    </row>
    <row r="1524" spans="27:31" x14ac:dyDescent="0.25">
      <c r="AA1524" s="160"/>
      <c r="AB1524" s="162"/>
      <c r="AC1524" s="162"/>
      <c r="AD1524" s="162">
        <f t="shared" si="43"/>
        <v>0</v>
      </c>
      <c r="AE1524" s="160">
        <v>1522</v>
      </c>
    </row>
    <row r="1525" spans="27:31" x14ac:dyDescent="0.25">
      <c r="AA1525" s="160"/>
      <c r="AB1525" s="162"/>
      <c r="AC1525" s="162"/>
      <c r="AD1525" s="162">
        <f t="shared" si="43"/>
        <v>0</v>
      </c>
      <c r="AE1525" s="160">
        <v>1523</v>
      </c>
    </row>
    <row r="1526" spans="27:31" x14ac:dyDescent="0.25">
      <c r="AA1526" s="160"/>
      <c r="AB1526" s="162"/>
      <c r="AC1526" s="162"/>
      <c r="AD1526" s="162">
        <f t="shared" si="43"/>
        <v>0</v>
      </c>
      <c r="AE1526" s="160">
        <v>1524</v>
      </c>
    </row>
    <row r="1527" spans="27:31" x14ac:dyDescent="0.25">
      <c r="AA1527" s="160"/>
      <c r="AB1527" s="162"/>
      <c r="AC1527" s="162"/>
      <c r="AD1527" s="162">
        <f t="shared" si="43"/>
        <v>0</v>
      </c>
      <c r="AE1527" s="160">
        <v>1525</v>
      </c>
    </row>
    <row r="1528" spans="27:31" x14ac:dyDescent="0.25">
      <c r="AA1528" s="160"/>
      <c r="AB1528" s="162"/>
      <c r="AC1528" s="162"/>
      <c r="AD1528" s="162">
        <f t="shared" si="43"/>
        <v>0</v>
      </c>
      <c r="AE1528" s="160">
        <v>1526</v>
      </c>
    </row>
    <row r="1529" spans="27:31" x14ac:dyDescent="0.25">
      <c r="AA1529" s="160"/>
      <c r="AB1529" s="162"/>
      <c r="AC1529" s="162"/>
      <c r="AD1529" s="162">
        <f t="shared" si="43"/>
        <v>0</v>
      </c>
      <c r="AE1529" s="160">
        <v>1527</v>
      </c>
    </row>
    <row r="1530" spans="27:31" x14ac:dyDescent="0.25">
      <c r="AA1530" s="160"/>
      <c r="AB1530" s="162"/>
      <c r="AC1530" s="162"/>
      <c r="AD1530" s="162">
        <f t="shared" si="43"/>
        <v>0</v>
      </c>
      <c r="AE1530" s="160">
        <v>1528</v>
      </c>
    </row>
    <row r="1531" spans="27:31" x14ac:dyDescent="0.25">
      <c r="AA1531" s="160"/>
      <c r="AB1531" s="162"/>
      <c r="AC1531" s="162"/>
      <c r="AD1531" s="162">
        <f t="shared" si="43"/>
        <v>0</v>
      </c>
      <c r="AE1531" s="160">
        <v>1529</v>
      </c>
    </row>
    <row r="1532" spans="27:31" x14ac:dyDescent="0.25">
      <c r="AA1532" s="160"/>
      <c r="AB1532" s="162"/>
      <c r="AC1532" s="162"/>
      <c r="AD1532" s="162">
        <f t="shared" si="43"/>
        <v>0</v>
      </c>
      <c r="AE1532" s="160">
        <v>1530</v>
      </c>
    </row>
    <row r="1533" spans="27:31" x14ac:dyDescent="0.25">
      <c r="AA1533" s="160"/>
      <c r="AB1533" s="162"/>
      <c r="AC1533" s="162"/>
      <c r="AD1533" s="162">
        <f t="shared" si="43"/>
        <v>0</v>
      </c>
      <c r="AE1533" s="160">
        <v>1531</v>
      </c>
    </row>
    <row r="1534" spans="27:31" x14ac:dyDescent="0.25">
      <c r="AA1534" s="160"/>
      <c r="AB1534" s="162"/>
      <c r="AC1534" s="162"/>
      <c r="AD1534" s="162">
        <f t="shared" si="43"/>
        <v>0</v>
      </c>
      <c r="AE1534" s="160">
        <v>1532</v>
      </c>
    </row>
    <row r="1535" spans="27:31" x14ac:dyDescent="0.25">
      <c r="AA1535" s="160"/>
      <c r="AB1535" s="162"/>
      <c r="AC1535" s="162"/>
      <c r="AD1535" s="162">
        <f t="shared" si="43"/>
        <v>0</v>
      </c>
      <c r="AE1535" s="160">
        <v>1533</v>
      </c>
    </row>
    <row r="1536" spans="27:31" x14ac:dyDescent="0.25">
      <c r="AA1536" s="160"/>
      <c r="AB1536" s="162"/>
      <c r="AC1536" s="162"/>
      <c r="AD1536" s="162">
        <f t="shared" si="43"/>
        <v>0</v>
      </c>
      <c r="AE1536" s="160">
        <v>1534</v>
      </c>
    </row>
    <row r="1537" spans="27:31" x14ac:dyDescent="0.25">
      <c r="AA1537" s="160"/>
      <c r="AB1537" s="162"/>
      <c r="AC1537" s="162"/>
      <c r="AD1537" s="162">
        <f t="shared" si="43"/>
        <v>0</v>
      </c>
      <c r="AE1537" s="160">
        <v>1535</v>
      </c>
    </row>
    <row r="1538" spans="27:31" x14ac:dyDescent="0.25">
      <c r="AA1538" s="160"/>
      <c r="AB1538" s="162"/>
      <c r="AC1538" s="162"/>
      <c r="AD1538" s="162">
        <f t="shared" si="43"/>
        <v>0</v>
      </c>
      <c r="AE1538" s="160">
        <v>1536</v>
      </c>
    </row>
    <row r="1539" spans="27:31" x14ac:dyDescent="0.25">
      <c r="AA1539" s="160"/>
      <c r="AB1539" s="162"/>
      <c r="AC1539" s="162"/>
      <c r="AD1539" s="162">
        <f t="shared" si="43"/>
        <v>0</v>
      </c>
      <c r="AE1539" s="160">
        <v>1537</v>
      </c>
    </row>
    <row r="1540" spans="27:31" x14ac:dyDescent="0.25">
      <c r="AA1540" s="160"/>
      <c r="AB1540" s="162"/>
      <c r="AC1540" s="162"/>
      <c r="AD1540" s="162">
        <f t="shared" ref="AD1540:AD1603" si="44">AB1540+AC1540</f>
        <v>0</v>
      </c>
      <c r="AE1540" s="160">
        <v>1538</v>
      </c>
    </row>
    <row r="1541" spans="27:31" x14ac:dyDescent="0.25">
      <c r="AA1541" s="160"/>
      <c r="AB1541" s="162"/>
      <c r="AC1541" s="162"/>
      <c r="AD1541" s="162">
        <f t="shared" si="44"/>
        <v>0</v>
      </c>
      <c r="AE1541" s="160">
        <v>1539</v>
      </c>
    </row>
    <row r="1542" spans="27:31" x14ac:dyDescent="0.25">
      <c r="AA1542" s="160"/>
      <c r="AB1542" s="162"/>
      <c r="AC1542" s="162"/>
      <c r="AD1542" s="162">
        <f t="shared" si="44"/>
        <v>0</v>
      </c>
      <c r="AE1542" s="160">
        <v>1540</v>
      </c>
    </row>
    <row r="1543" spans="27:31" x14ac:dyDescent="0.25">
      <c r="AA1543" s="160"/>
      <c r="AB1543" s="162"/>
      <c r="AC1543" s="162"/>
      <c r="AD1543" s="162">
        <f t="shared" si="44"/>
        <v>0</v>
      </c>
      <c r="AE1543" s="160">
        <v>1541</v>
      </c>
    </row>
    <row r="1544" spans="27:31" x14ac:dyDescent="0.25">
      <c r="AA1544" s="160"/>
      <c r="AB1544" s="162"/>
      <c r="AC1544" s="162"/>
      <c r="AD1544" s="162">
        <f t="shared" si="44"/>
        <v>0</v>
      </c>
      <c r="AE1544" s="160">
        <v>1542</v>
      </c>
    </row>
    <row r="1545" spans="27:31" x14ac:dyDescent="0.25">
      <c r="AA1545" s="160"/>
      <c r="AB1545" s="162"/>
      <c r="AC1545" s="162"/>
      <c r="AD1545" s="162">
        <f t="shared" si="44"/>
        <v>0</v>
      </c>
      <c r="AE1545" s="160">
        <v>1543</v>
      </c>
    </row>
    <row r="1546" spans="27:31" x14ac:dyDescent="0.25">
      <c r="AA1546" s="160"/>
      <c r="AB1546" s="162"/>
      <c r="AC1546" s="162"/>
      <c r="AD1546" s="162">
        <f t="shared" si="44"/>
        <v>0</v>
      </c>
      <c r="AE1546" s="160">
        <v>1544</v>
      </c>
    </row>
    <row r="1547" spans="27:31" x14ac:dyDescent="0.25">
      <c r="AA1547" s="160"/>
      <c r="AB1547" s="162"/>
      <c r="AC1547" s="162"/>
      <c r="AD1547" s="162">
        <f t="shared" si="44"/>
        <v>0</v>
      </c>
      <c r="AE1547" s="160">
        <v>1545</v>
      </c>
    </row>
    <row r="1548" spans="27:31" x14ac:dyDescent="0.25">
      <c r="AA1548" s="160"/>
      <c r="AB1548" s="162"/>
      <c r="AC1548" s="162"/>
      <c r="AD1548" s="162">
        <f t="shared" si="44"/>
        <v>0</v>
      </c>
      <c r="AE1548" s="160">
        <v>1546</v>
      </c>
    </row>
    <row r="1549" spans="27:31" x14ac:dyDescent="0.25">
      <c r="AA1549" s="160"/>
      <c r="AB1549" s="162"/>
      <c r="AC1549" s="162"/>
      <c r="AD1549" s="162">
        <f t="shared" si="44"/>
        <v>0</v>
      </c>
      <c r="AE1549" s="160">
        <v>1547</v>
      </c>
    </row>
    <row r="1550" spans="27:31" x14ac:dyDescent="0.25">
      <c r="AA1550" s="160"/>
      <c r="AB1550" s="162"/>
      <c r="AC1550" s="162"/>
      <c r="AD1550" s="162">
        <f t="shared" si="44"/>
        <v>0</v>
      </c>
      <c r="AE1550" s="160">
        <v>1548</v>
      </c>
    </row>
    <row r="1551" spans="27:31" x14ac:dyDescent="0.25">
      <c r="AA1551" s="160"/>
      <c r="AB1551" s="162"/>
      <c r="AC1551" s="162"/>
      <c r="AD1551" s="162">
        <f t="shared" si="44"/>
        <v>0</v>
      </c>
      <c r="AE1551" s="160">
        <v>1549</v>
      </c>
    </row>
    <row r="1552" spans="27:31" x14ac:dyDescent="0.25">
      <c r="AA1552" s="160"/>
      <c r="AB1552" s="162"/>
      <c r="AC1552" s="162"/>
      <c r="AD1552" s="162">
        <f t="shared" si="44"/>
        <v>0</v>
      </c>
      <c r="AE1552" s="160">
        <v>1550</v>
      </c>
    </row>
    <row r="1553" spans="27:31" x14ac:dyDescent="0.25">
      <c r="AA1553" s="160"/>
      <c r="AB1553" s="162"/>
      <c r="AC1553" s="162"/>
      <c r="AD1553" s="162">
        <f t="shared" si="44"/>
        <v>0</v>
      </c>
      <c r="AE1553" s="160">
        <v>1551</v>
      </c>
    </row>
    <row r="1554" spans="27:31" x14ac:dyDescent="0.25">
      <c r="AA1554" s="160"/>
      <c r="AB1554" s="162"/>
      <c r="AC1554" s="162"/>
      <c r="AD1554" s="162">
        <f t="shared" si="44"/>
        <v>0</v>
      </c>
      <c r="AE1554" s="160">
        <v>1552</v>
      </c>
    </row>
    <row r="1555" spans="27:31" x14ac:dyDescent="0.25">
      <c r="AA1555" s="160"/>
      <c r="AB1555" s="162"/>
      <c r="AC1555" s="162"/>
      <c r="AD1555" s="162">
        <f t="shared" si="44"/>
        <v>0</v>
      </c>
      <c r="AE1555" s="160">
        <v>1553</v>
      </c>
    </row>
    <row r="1556" spans="27:31" x14ac:dyDescent="0.25">
      <c r="AA1556" s="160"/>
      <c r="AB1556" s="162"/>
      <c r="AC1556" s="162"/>
      <c r="AD1556" s="162">
        <f t="shared" si="44"/>
        <v>0</v>
      </c>
      <c r="AE1556" s="160">
        <v>1554</v>
      </c>
    </row>
    <row r="1557" spans="27:31" x14ac:dyDescent="0.25">
      <c r="AA1557" s="160"/>
      <c r="AB1557" s="162"/>
      <c r="AC1557" s="162"/>
      <c r="AD1557" s="162">
        <f t="shared" si="44"/>
        <v>0</v>
      </c>
      <c r="AE1557" s="160">
        <v>1555</v>
      </c>
    </row>
    <row r="1558" spans="27:31" x14ac:dyDescent="0.25">
      <c r="AA1558" s="160"/>
      <c r="AB1558" s="162"/>
      <c r="AC1558" s="162"/>
      <c r="AD1558" s="162">
        <f t="shared" si="44"/>
        <v>0</v>
      </c>
      <c r="AE1558" s="160">
        <v>1556</v>
      </c>
    </row>
    <row r="1559" spans="27:31" x14ac:dyDescent="0.25">
      <c r="AA1559" s="160"/>
      <c r="AB1559" s="162"/>
      <c r="AC1559" s="162"/>
      <c r="AD1559" s="162">
        <f t="shared" si="44"/>
        <v>0</v>
      </c>
      <c r="AE1559" s="160">
        <v>1557</v>
      </c>
    </row>
    <row r="1560" spans="27:31" x14ac:dyDescent="0.25">
      <c r="AA1560" s="160"/>
      <c r="AB1560" s="162"/>
      <c r="AC1560" s="162"/>
      <c r="AD1560" s="162">
        <f t="shared" si="44"/>
        <v>0</v>
      </c>
      <c r="AE1560" s="160">
        <v>1558</v>
      </c>
    </row>
    <row r="1561" spans="27:31" x14ac:dyDescent="0.25">
      <c r="AA1561" s="160"/>
      <c r="AB1561" s="162"/>
      <c r="AC1561" s="162"/>
      <c r="AD1561" s="162">
        <f t="shared" si="44"/>
        <v>0</v>
      </c>
      <c r="AE1561" s="160">
        <v>1559</v>
      </c>
    </row>
    <row r="1562" spans="27:31" x14ac:dyDescent="0.25">
      <c r="AA1562" s="160"/>
      <c r="AB1562" s="162"/>
      <c r="AC1562" s="162"/>
      <c r="AD1562" s="162">
        <f t="shared" si="44"/>
        <v>0</v>
      </c>
      <c r="AE1562" s="160">
        <v>1560</v>
      </c>
    </row>
    <row r="1563" spans="27:31" x14ac:dyDescent="0.25">
      <c r="AA1563" s="160"/>
      <c r="AB1563" s="162"/>
      <c r="AC1563" s="162"/>
      <c r="AD1563" s="162">
        <f t="shared" si="44"/>
        <v>0</v>
      </c>
      <c r="AE1563" s="160">
        <v>1561</v>
      </c>
    </row>
    <row r="1564" spans="27:31" x14ac:dyDescent="0.25">
      <c r="AA1564" s="160"/>
      <c r="AB1564" s="162"/>
      <c r="AC1564" s="162"/>
      <c r="AD1564" s="162">
        <f t="shared" si="44"/>
        <v>0</v>
      </c>
      <c r="AE1564" s="160">
        <v>1562</v>
      </c>
    </row>
    <row r="1565" spans="27:31" x14ac:dyDescent="0.25">
      <c r="AA1565" s="160"/>
      <c r="AB1565" s="162"/>
      <c r="AC1565" s="162"/>
      <c r="AD1565" s="162">
        <f t="shared" si="44"/>
        <v>0</v>
      </c>
      <c r="AE1565" s="160">
        <v>1563</v>
      </c>
    </row>
    <row r="1566" spans="27:31" x14ac:dyDescent="0.25">
      <c r="AA1566" s="160"/>
      <c r="AB1566" s="162"/>
      <c r="AC1566" s="162"/>
      <c r="AD1566" s="162">
        <f t="shared" si="44"/>
        <v>0</v>
      </c>
      <c r="AE1566" s="160">
        <v>1564</v>
      </c>
    </row>
    <row r="1567" spans="27:31" x14ac:dyDescent="0.25">
      <c r="AA1567" s="160"/>
      <c r="AB1567" s="162"/>
      <c r="AC1567" s="162"/>
      <c r="AD1567" s="162">
        <f t="shared" si="44"/>
        <v>0</v>
      </c>
      <c r="AE1567" s="160">
        <v>1565</v>
      </c>
    </row>
    <row r="1568" spans="27:31" x14ac:dyDescent="0.25">
      <c r="AA1568" s="160"/>
      <c r="AB1568" s="162"/>
      <c r="AC1568" s="162"/>
      <c r="AD1568" s="162">
        <f t="shared" si="44"/>
        <v>0</v>
      </c>
      <c r="AE1568" s="160">
        <v>1566</v>
      </c>
    </row>
    <row r="1569" spans="27:31" x14ac:dyDescent="0.25">
      <c r="AA1569" s="160"/>
      <c r="AB1569" s="162"/>
      <c r="AC1569" s="162"/>
      <c r="AD1569" s="162">
        <f t="shared" si="44"/>
        <v>0</v>
      </c>
      <c r="AE1569" s="160">
        <v>1567</v>
      </c>
    </row>
    <row r="1570" spans="27:31" x14ac:dyDescent="0.25">
      <c r="AA1570" s="160"/>
      <c r="AB1570" s="162"/>
      <c r="AC1570" s="162"/>
      <c r="AD1570" s="162">
        <f t="shared" si="44"/>
        <v>0</v>
      </c>
      <c r="AE1570" s="160">
        <v>1568</v>
      </c>
    </row>
    <row r="1571" spans="27:31" x14ac:dyDescent="0.25">
      <c r="AA1571" s="160"/>
      <c r="AB1571" s="162"/>
      <c r="AC1571" s="162"/>
      <c r="AD1571" s="162">
        <f t="shared" si="44"/>
        <v>0</v>
      </c>
      <c r="AE1571" s="160">
        <v>1569</v>
      </c>
    </row>
    <row r="1572" spans="27:31" x14ac:dyDescent="0.25">
      <c r="AA1572" s="160"/>
      <c r="AB1572" s="162"/>
      <c r="AC1572" s="162"/>
      <c r="AD1572" s="162">
        <f t="shared" si="44"/>
        <v>0</v>
      </c>
      <c r="AE1572" s="160">
        <v>1570</v>
      </c>
    </row>
    <row r="1573" spans="27:31" x14ac:dyDescent="0.25">
      <c r="AA1573" s="160"/>
      <c r="AB1573" s="162"/>
      <c r="AC1573" s="162"/>
      <c r="AD1573" s="162">
        <f t="shared" si="44"/>
        <v>0</v>
      </c>
      <c r="AE1573" s="160">
        <v>1571</v>
      </c>
    </row>
    <row r="1574" spans="27:31" x14ac:dyDescent="0.25">
      <c r="AA1574" s="160"/>
      <c r="AB1574" s="162"/>
      <c r="AC1574" s="162"/>
      <c r="AD1574" s="162">
        <f t="shared" si="44"/>
        <v>0</v>
      </c>
      <c r="AE1574" s="160">
        <v>1572</v>
      </c>
    </row>
    <row r="1575" spans="27:31" x14ac:dyDescent="0.25">
      <c r="AA1575" s="160"/>
      <c r="AB1575" s="162"/>
      <c r="AC1575" s="162"/>
      <c r="AD1575" s="162">
        <f t="shared" si="44"/>
        <v>0</v>
      </c>
      <c r="AE1575" s="160">
        <v>1573</v>
      </c>
    </row>
    <row r="1576" spans="27:31" x14ac:dyDescent="0.25">
      <c r="AA1576" s="160"/>
      <c r="AB1576" s="162"/>
      <c r="AC1576" s="162"/>
      <c r="AD1576" s="162">
        <f t="shared" si="44"/>
        <v>0</v>
      </c>
      <c r="AE1576" s="160">
        <v>1574</v>
      </c>
    </row>
    <row r="1577" spans="27:31" x14ac:dyDescent="0.25">
      <c r="AA1577" s="160"/>
      <c r="AB1577" s="162"/>
      <c r="AC1577" s="162"/>
      <c r="AD1577" s="162">
        <f t="shared" si="44"/>
        <v>0</v>
      </c>
      <c r="AE1577" s="160">
        <v>1575</v>
      </c>
    </row>
    <row r="1578" spans="27:31" x14ac:dyDescent="0.25">
      <c r="AA1578" s="160"/>
      <c r="AB1578" s="162"/>
      <c r="AC1578" s="162"/>
      <c r="AD1578" s="162">
        <f t="shared" si="44"/>
        <v>0</v>
      </c>
      <c r="AE1578" s="160">
        <v>1576</v>
      </c>
    </row>
    <row r="1579" spans="27:31" x14ac:dyDescent="0.25">
      <c r="AA1579" s="160"/>
      <c r="AB1579" s="162"/>
      <c r="AC1579" s="162"/>
      <c r="AD1579" s="162">
        <f t="shared" si="44"/>
        <v>0</v>
      </c>
      <c r="AE1579" s="160">
        <v>1577</v>
      </c>
    </row>
    <row r="1580" spans="27:31" x14ac:dyDescent="0.25">
      <c r="AA1580" s="160"/>
      <c r="AB1580" s="162"/>
      <c r="AC1580" s="162"/>
      <c r="AD1580" s="162">
        <f t="shared" si="44"/>
        <v>0</v>
      </c>
      <c r="AE1580" s="160">
        <v>1578</v>
      </c>
    </row>
    <row r="1581" spans="27:31" x14ac:dyDescent="0.25">
      <c r="AA1581" s="160"/>
      <c r="AB1581" s="162"/>
      <c r="AC1581" s="162"/>
      <c r="AD1581" s="162">
        <f t="shared" si="44"/>
        <v>0</v>
      </c>
      <c r="AE1581" s="160">
        <v>1579</v>
      </c>
    </row>
    <row r="1582" spans="27:31" x14ac:dyDescent="0.25">
      <c r="AA1582" s="160"/>
      <c r="AB1582" s="162"/>
      <c r="AC1582" s="162"/>
      <c r="AD1582" s="162">
        <f t="shared" si="44"/>
        <v>0</v>
      </c>
      <c r="AE1582" s="160">
        <v>1580</v>
      </c>
    </row>
    <row r="1583" spans="27:31" x14ac:dyDescent="0.25">
      <c r="AA1583" s="160"/>
      <c r="AB1583" s="162"/>
      <c r="AC1583" s="162"/>
      <c r="AD1583" s="162">
        <f t="shared" si="44"/>
        <v>0</v>
      </c>
      <c r="AE1583" s="160">
        <v>1581</v>
      </c>
    </row>
    <row r="1584" spans="27:31" x14ac:dyDescent="0.25">
      <c r="AA1584" s="160"/>
      <c r="AB1584" s="162"/>
      <c r="AC1584" s="162"/>
      <c r="AD1584" s="162">
        <f t="shared" si="44"/>
        <v>0</v>
      </c>
      <c r="AE1584" s="160">
        <v>1582</v>
      </c>
    </row>
    <row r="1585" spans="27:31" x14ac:dyDescent="0.25">
      <c r="AA1585" s="160"/>
      <c r="AB1585" s="162"/>
      <c r="AC1585" s="162"/>
      <c r="AD1585" s="162">
        <f t="shared" si="44"/>
        <v>0</v>
      </c>
      <c r="AE1585" s="160">
        <v>1583</v>
      </c>
    </row>
    <row r="1586" spans="27:31" x14ac:dyDescent="0.25">
      <c r="AA1586" s="160"/>
      <c r="AB1586" s="162"/>
      <c r="AC1586" s="162"/>
      <c r="AD1586" s="162">
        <f t="shared" si="44"/>
        <v>0</v>
      </c>
      <c r="AE1586" s="160">
        <v>1584</v>
      </c>
    </row>
    <row r="1587" spans="27:31" x14ac:dyDescent="0.25">
      <c r="AA1587" s="160"/>
      <c r="AB1587" s="162"/>
      <c r="AC1587" s="162"/>
      <c r="AD1587" s="162">
        <f t="shared" si="44"/>
        <v>0</v>
      </c>
      <c r="AE1587" s="160">
        <v>1585</v>
      </c>
    </row>
    <row r="1588" spans="27:31" x14ac:dyDescent="0.25">
      <c r="AA1588" s="160"/>
      <c r="AB1588" s="162"/>
      <c r="AC1588" s="162"/>
      <c r="AD1588" s="162">
        <f t="shared" si="44"/>
        <v>0</v>
      </c>
      <c r="AE1588" s="160">
        <v>1586</v>
      </c>
    </row>
    <row r="1589" spans="27:31" x14ac:dyDescent="0.25">
      <c r="AA1589" s="160"/>
      <c r="AB1589" s="162"/>
      <c r="AC1589" s="162"/>
      <c r="AD1589" s="162">
        <f t="shared" si="44"/>
        <v>0</v>
      </c>
      <c r="AE1589" s="160">
        <v>1587</v>
      </c>
    </row>
    <row r="1590" spans="27:31" x14ac:dyDescent="0.25">
      <c r="AA1590" s="160"/>
      <c r="AB1590" s="162"/>
      <c r="AC1590" s="162"/>
      <c r="AD1590" s="162">
        <f t="shared" si="44"/>
        <v>0</v>
      </c>
      <c r="AE1590" s="160">
        <v>1588</v>
      </c>
    </row>
    <row r="1591" spans="27:31" x14ac:dyDescent="0.25">
      <c r="AA1591" s="160"/>
      <c r="AB1591" s="162"/>
      <c r="AC1591" s="162"/>
      <c r="AD1591" s="162">
        <f t="shared" si="44"/>
        <v>0</v>
      </c>
      <c r="AE1591" s="160">
        <v>1589</v>
      </c>
    </row>
    <row r="1592" spans="27:31" x14ac:dyDescent="0.25">
      <c r="AA1592" s="160"/>
      <c r="AB1592" s="162"/>
      <c r="AC1592" s="162"/>
      <c r="AD1592" s="162">
        <f t="shared" si="44"/>
        <v>0</v>
      </c>
      <c r="AE1592" s="160">
        <v>1590</v>
      </c>
    </row>
    <row r="1593" spans="27:31" x14ac:dyDescent="0.25">
      <c r="AA1593" s="160"/>
      <c r="AB1593" s="162"/>
      <c r="AC1593" s="162"/>
      <c r="AD1593" s="162">
        <f t="shared" si="44"/>
        <v>0</v>
      </c>
      <c r="AE1593" s="160">
        <v>1591</v>
      </c>
    </row>
    <row r="1594" spans="27:31" x14ac:dyDescent="0.25">
      <c r="AA1594" s="160"/>
      <c r="AB1594" s="162"/>
      <c r="AC1594" s="162"/>
      <c r="AD1594" s="162">
        <f t="shared" si="44"/>
        <v>0</v>
      </c>
      <c r="AE1594" s="160">
        <v>1592</v>
      </c>
    </row>
    <row r="1595" spans="27:31" x14ac:dyDescent="0.25">
      <c r="AA1595" s="160"/>
      <c r="AB1595" s="162"/>
      <c r="AC1595" s="162"/>
      <c r="AD1595" s="162">
        <f t="shared" si="44"/>
        <v>0</v>
      </c>
      <c r="AE1595" s="160">
        <v>1593</v>
      </c>
    </row>
    <row r="1596" spans="27:31" x14ac:dyDescent="0.25">
      <c r="AA1596" s="160"/>
      <c r="AB1596" s="162"/>
      <c r="AC1596" s="162"/>
      <c r="AD1596" s="162">
        <f t="shared" si="44"/>
        <v>0</v>
      </c>
      <c r="AE1596" s="160">
        <v>1594</v>
      </c>
    </row>
    <row r="1597" spans="27:31" x14ac:dyDescent="0.25">
      <c r="AA1597" s="160"/>
      <c r="AB1597" s="162"/>
      <c r="AC1597" s="162"/>
      <c r="AD1597" s="162">
        <f t="shared" si="44"/>
        <v>0</v>
      </c>
      <c r="AE1597" s="160">
        <v>1595</v>
      </c>
    </row>
    <row r="1598" spans="27:31" x14ac:dyDescent="0.25">
      <c r="AA1598" s="160"/>
      <c r="AB1598" s="162"/>
      <c r="AC1598" s="162"/>
      <c r="AD1598" s="162">
        <f t="shared" si="44"/>
        <v>0</v>
      </c>
      <c r="AE1598" s="160">
        <v>1596</v>
      </c>
    </row>
    <row r="1599" spans="27:31" x14ac:dyDescent="0.25">
      <c r="AA1599" s="160"/>
      <c r="AB1599" s="162"/>
      <c r="AC1599" s="162"/>
      <c r="AD1599" s="162">
        <f t="shared" si="44"/>
        <v>0</v>
      </c>
      <c r="AE1599" s="160">
        <v>1597</v>
      </c>
    </row>
    <row r="1600" spans="27:31" x14ac:dyDescent="0.25">
      <c r="AA1600" s="160"/>
      <c r="AB1600" s="162"/>
      <c r="AC1600" s="162"/>
      <c r="AD1600" s="162">
        <f t="shared" si="44"/>
        <v>0</v>
      </c>
      <c r="AE1600" s="160">
        <v>1598</v>
      </c>
    </row>
    <row r="1601" spans="27:31" x14ac:dyDescent="0.25">
      <c r="AA1601" s="160"/>
      <c r="AB1601" s="162"/>
      <c r="AC1601" s="162"/>
      <c r="AD1601" s="162">
        <f t="shared" si="44"/>
        <v>0</v>
      </c>
      <c r="AE1601" s="160">
        <v>1599</v>
      </c>
    </row>
    <row r="1602" spans="27:31" x14ac:dyDescent="0.25">
      <c r="AA1602" s="160"/>
      <c r="AB1602" s="162"/>
      <c r="AC1602" s="162"/>
      <c r="AD1602" s="162">
        <f t="shared" si="44"/>
        <v>0</v>
      </c>
      <c r="AE1602" s="160">
        <v>1600</v>
      </c>
    </row>
    <row r="1603" spans="27:31" x14ac:dyDescent="0.25">
      <c r="AA1603" s="160"/>
      <c r="AB1603" s="162"/>
      <c r="AC1603" s="162"/>
      <c r="AD1603" s="162">
        <f t="shared" si="44"/>
        <v>0</v>
      </c>
      <c r="AE1603" s="160">
        <v>1601</v>
      </c>
    </row>
    <row r="1604" spans="27:31" x14ac:dyDescent="0.25">
      <c r="AA1604" s="160"/>
      <c r="AB1604" s="162"/>
      <c r="AC1604" s="162"/>
      <c r="AD1604" s="162">
        <f t="shared" ref="AD1604:AD1667" si="45">AB1604+AC1604</f>
        <v>0</v>
      </c>
      <c r="AE1604" s="160">
        <v>1602</v>
      </c>
    </row>
    <row r="1605" spans="27:31" x14ac:dyDescent="0.25">
      <c r="AA1605" s="160"/>
      <c r="AB1605" s="162"/>
      <c r="AC1605" s="162"/>
      <c r="AD1605" s="162">
        <f t="shared" si="45"/>
        <v>0</v>
      </c>
      <c r="AE1605" s="160">
        <v>1603</v>
      </c>
    </row>
    <row r="1606" spans="27:31" x14ac:dyDescent="0.25">
      <c r="AA1606" s="160"/>
      <c r="AB1606" s="162"/>
      <c r="AC1606" s="162"/>
      <c r="AD1606" s="162">
        <f t="shared" si="45"/>
        <v>0</v>
      </c>
      <c r="AE1606" s="160">
        <v>1604</v>
      </c>
    </row>
    <row r="1607" spans="27:31" x14ac:dyDescent="0.25">
      <c r="AA1607" s="160"/>
      <c r="AB1607" s="162"/>
      <c r="AC1607" s="162"/>
      <c r="AD1607" s="162">
        <f t="shared" si="45"/>
        <v>0</v>
      </c>
      <c r="AE1607" s="160">
        <v>1605</v>
      </c>
    </row>
    <row r="1608" spans="27:31" x14ac:dyDescent="0.25">
      <c r="AA1608" s="160"/>
      <c r="AB1608" s="162"/>
      <c r="AC1608" s="162"/>
      <c r="AD1608" s="162">
        <f t="shared" si="45"/>
        <v>0</v>
      </c>
      <c r="AE1608" s="160">
        <v>1606</v>
      </c>
    </row>
    <row r="1609" spans="27:31" x14ac:dyDescent="0.25">
      <c r="AA1609" s="160"/>
      <c r="AB1609" s="162"/>
      <c r="AC1609" s="162"/>
      <c r="AD1609" s="162">
        <f t="shared" si="45"/>
        <v>0</v>
      </c>
      <c r="AE1609" s="160">
        <v>1607</v>
      </c>
    </row>
    <row r="1610" spans="27:31" x14ac:dyDescent="0.25">
      <c r="AA1610" s="160"/>
      <c r="AB1610" s="162"/>
      <c r="AC1610" s="162"/>
      <c r="AD1610" s="162">
        <f t="shared" si="45"/>
        <v>0</v>
      </c>
      <c r="AE1610" s="160">
        <v>1608</v>
      </c>
    </row>
    <row r="1611" spans="27:31" x14ac:dyDescent="0.25">
      <c r="AA1611" s="160"/>
      <c r="AB1611" s="162"/>
      <c r="AC1611" s="162"/>
      <c r="AD1611" s="162">
        <f t="shared" si="45"/>
        <v>0</v>
      </c>
      <c r="AE1611" s="160">
        <v>1609</v>
      </c>
    </row>
    <row r="1612" spans="27:31" x14ac:dyDescent="0.25">
      <c r="AA1612" s="160"/>
      <c r="AB1612" s="162"/>
      <c r="AC1612" s="162"/>
      <c r="AD1612" s="162">
        <f t="shared" si="45"/>
        <v>0</v>
      </c>
      <c r="AE1612" s="160">
        <v>1610</v>
      </c>
    </row>
    <row r="1613" spans="27:31" x14ac:dyDescent="0.25">
      <c r="AA1613" s="160"/>
      <c r="AB1613" s="162"/>
      <c r="AC1613" s="162"/>
      <c r="AD1613" s="162">
        <f t="shared" si="45"/>
        <v>0</v>
      </c>
      <c r="AE1613" s="160">
        <v>1611</v>
      </c>
    </row>
    <row r="1614" spans="27:31" x14ac:dyDescent="0.25">
      <c r="AA1614" s="160"/>
      <c r="AB1614" s="162"/>
      <c r="AC1614" s="162"/>
      <c r="AD1614" s="162">
        <f t="shared" si="45"/>
        <v>0</v>
      </c>
      <c r="AE1614" s="160">
        <v>1612</v>
      </c>
    </row>
    <row r="1615" spans="27:31" x14ac:dyDescent="0.25">
      <c r="AA1615" s="160"/>
      <c r="AB1615" s="162"/>
      <c r="AC1615" s="162"/>
      <c r="AD1615" s="162">
        <f t="shared" si="45"/>
        <v>0</v>
      </c>
      <c r="AE1615" s="160">
        <v>1613</v>
      </c>
    </row>
    <row r="1616" spans="27:31" x14ac:dyDescent="0.25">
      <c r="AA1616" s="160"/>
      <c r="AB1616" s="162"/>
      <c r="AC1616" s="162"/>
      <c r="AD1616" s="162">
        <f t="shared" si="45"/>
        <v>0</v>
      </c>
      <c r="AE1616" s="160">
        <v>1614</v>
      </c>
    </row>
    <row r="1617" spans="27:31" x14ac:dyDescent="0.25">
      <c r="AA1617" s="160"/>
      <c r="AB1617" s="162"/>
      <c r="AC1617" s="162"/>
      <c r="AD1617" s="162">
        <f t="shared" si="45"/>
        <v>0</v>
      </c>
      <c r="AE1617" s="160">
        <v>1615</v>
      </c>
    </row>
    <row r="1618" spans="27:31" x14ac:dyDescent="0.25">
      <c r="AA1618" s="160"/>
      <c r="AB1618" s="162"/>
      <c r="AC1618" s="162"/>
      <c r="AD1618" s="162">
        <f t="shared" si="45"/>
        <v>0</v>
      </c>
      <c r="AE1618" s="160">
        <v>1616</v>
      </c>
    </row>
    <row r="1619" spans="27:31" x14ac:dyDescent="0.25">
      <c r="AA1619" s="160"/>
      <c r="AB1619" s="162"/>
      <c r="AC1619" s="162"/>
      <c r="AD1619" s="162">
        <f t="shared" si="45"/>
        <v>0</v>
      </c>
      <c r="AE1619" s="160">
        <v>1617</v>
      </c>
    </row>
    <row r="1620" spans="27:31" x14ac:dyDescent="0.25">
      <c r="AA1620" s="160"/>
      <c r="AB1620" s="162"/>
      <c r="AC1620" s="162"/>
      <c r="AD1620" s="162">
        <f t="shared" si="45"/>
        <v>0</v>
      </c>
      <c r="AE1620" s="160">
        <v>1618</v>
      </c>
    </row>
    <row r="1621" spans="27:31" x14ac:dyDescent="0.25">
      <c r="AA1621" s="160"/>
      <c r="AB1621" s="162"/>
      <c r="AC1621" s="162"/>
      <c r="AD1621" s="162">
        <f t="shared" si="45"/>
        <v>0</v>
      </c>
      <c r="AE1621" s="160">
        <v>1619</v>
      </c>
    </row>
    <row r="1622" spans="27:31" x14ac:dyDescent="0.25">
      <c r="AA1622" s="160"/>
      <c r="AB1622" s="162"/>
      <c r="AC1622" s="162"/>
      <c r="AD1622" s="162">
        <f t="shared" si="45"/>
        <v>0</v>
      </c>
      <c r="AE1622" s="160">
        <v>1620</v>
      </c>
    </row>
    <row r="1623" spans="27:31" x14ac:dyDescent="0.25">
      <c r="AA1623" s="160"/>
      <c r="AB1623" s="162"/>
      <c r="AC1623" s="162"/>
      <c r="AD1623" s="162">
        <f t="shared" si="45"/>
        <v>0</v>
      </c>
      <c r="AE1623" s="160">
        <v>1621</v>
      </c>
    </row>
    <row r="1624" spans="27:31" x14ac:dyDescent="0.25">
      <c r="AA1624" s="160"/>
      <c r="AB1624" s="162"/>
      <c r="AC1624" s="162"/>
      <c r="AD1624" s="162">
        <f t="shared" si="45"/>
        <v>0</v>
      </c>
      <c r="AE1624" s="160">
        <v>1622</v>
      </c>
    </row>
    <row r="1625" spans="27:31" x14ac:dyDescent="0.25">
      <c r="AA1625" s="160"/>
      <c r="AB1625" s="162"/>
      <c r="AC1625" s="162"/>
      <c r="AD1625" s="162">
        <f t="shared" si="45"/>
        <v>0</v>
      </c>
      <c r="AE1625" s="160">
        <v>1623</v>
      </c>
    </row>
    <row r="1626" spans="27:31" x14ac:dyDescent="0.25">
      <c r="AA1626" s="160"/>
      <c r="AB1626" s="162"/>
      <c r="AC1626" s="162"/>
      <c r="AD1626" s="162">
        <f t="shared" si="45"/>
        <v>0</v>
      </c>
      <c r="AE1626" s="160">
        <v>1624</v>
      </c>
    </row>
    <row r="1627" spans="27:31" x14ac:dyDescent="0.25">
      <c r="AA1627" s="160"/>
      <c r="AB1627" s="162"/>
      <c r="AC1627" s="162"/>
      <c r="AD1627" s="162">
        <f t="shared" si="45"/>
        <v>0</v>
      </c>
      <c r="AE1627" s="160">
        <v>1625</v>
      </c>
    </row>
    <row r="1628" spans="27:31" x14ac:dyDescent="0.25">
      <c r="AA1628" s="160"/>
      <c r="AB1628" s="162"/>
      <c r="AC1628" s="162"/>
      <c r="AD1628" s="162">
        <f t="shared" si="45"/>
        <v>0</v>
      </c>
      <c r="AE1628" s="160">
        <v>1626</v>
      </c>
    </row>
    <row r="1629" spans="27:31" x14ac:dyDescent="0.25">
      <c r="AA1629" s="160"/>
      <c r="AB1629" s="162"/>
      <c r="AC1629" s="162"/>
      <c r="AD1629" s="162">
        <f t="shared" si="45"/>
        <v>0</v>
      </c>
      <c r="AE1629" s="160">
        <v>1627</v>
      </c>
    </row>
    <row r="1630" spans="27:31" x14ac:dyDescent="0.25">
      <c r="AA1630" s="160"/>
      <c r="AB1630" s="162"/>
      <c r="AC1630" s="162"/>
      <c r="AD1630" s="162">
        <f t="shared" si="45"/>
        <v>0</v>
      </c>
      <c r="AE1630" s="160">
        <v>1628</v>
      </c>
    </row>
    <row r="1631" spans="27:31" x14ac:dyDescent="0.25">
      <c r="AA1631" s="160"/>
      <c r="AB1631" s="162"/>
      <c r="AC1631" s="162"/>
      <c r="AD1631" s="162">
        <f t="shared" si="45"/>
        <v>0</v>
      </c>
      <c r="AE1631" s="160">
        <v>1629</v>
      </c>
    </row>
    <row r="1632" spans="27:31" x14ac:dyDescent="0.25">
      <c r="AA1632" s="160"/>
      <c r="AB1632" s="162"/>
      <c r="AC1632" s="162"/>
      <c r="AD1632" s="162">
        <f t="shared" si="45"/>
        <v>0</v>
      </c>
      <c r="AE1632" s="160">
        <v>1630</v>
      </c>
    </row>
    <row r="1633" spans="27:31" x14ac:dyDescent="0.25">
      <c r="AA1633" s="160"/>
      <c r="AB1633" s="162"/>
      <c r="AC1633" s="162"/>
      <c r="AD1633" s="162">
        <f t="shared" si="45"/>
        <v>0</v>
      </c>
      <c r="AE1633" s="160">
        <v>1631</v>
      </c>
    </row>
    <row r="1634" spans="27:31" x14ac:dyDescent="0.25">
      <c r="AA1634" s="160"/>
      <c r="AB1634" s="162"/>
      <c r="AC1634" s="162"/>
      <c r="AD1634" s="162">
        <f t="shared" si="45"/>
        <v>0</v>
      </c>
      <c r="AE1634" s="160">
        <v>1632</v>
      </c>
    </row>
    <row r="1635" spans="27:31" x14ac:dyDescent="0.25">
      <c r="AA1635" s="160"/>
      <c r="AB1635" s="162"/>
      <c r="AC1635" s="162"/>
      <c r="AD1635" s="162">
        <f t="shared" si="45"/>
        <v>0</v>
      </c>
      <c r="AE1635" s="160">
        <v>1633</v>
      </c>
    </row>
    <row r="1636" spans="27:31" x14ac:dyDescent="0.25">
      <c r="AA1636" s="160"/>
      <c r="AB1636" s="162"/>
      <c r="AC1636" s="162"/>
      <c r="AD1636" s="162">
        <f t="shared" si="45"/>
        <v>0</v>
      </c>
      <c r="AE1636" s="160">
        <v>1634</v>
      </c>
    </row>
    <row r="1637" spans="27:31" x14ac:dyDescent="0.25">
      <c r="AA1637" s="160"/>
      <c r="AB1637" s="162"/>
      <c r="AC1637" s="162"/>
      <c r="AD1637" s="162">
        <f t="shared" si="45"/>
        <v>0</v>
      </c>
      <c r="AE1637" s="160">
        <v>1635</v>
      </c>
    </row>
    <row r="1638" spans="27:31" x14ac:dyDescent="0.25">
      <c r="AA1638" s="160"/>
      <c r="AB1638" s="162"/>
      <c r="AC1638" s="162"/>
      <c r="AD1638" s="162">
        <f t="shared" si="45"/>
        <v>0</v>
      </c>
      <c r="AE1638" s="160">
        <v>1636</v>
      </c>
    </row>
    <row r="1639" spans="27:31" x14ac:dyDescent="0.25">
      <c r="AA1639" s="160"/>
      <c r="AB1639" s="162"/>
      <c r="AC1639" s="162"/>
      <c r="AD1639" s="162">
        <f t="shared" si="45"/>
        <v>0</v>
      </c>
      <c r="AE1639" s="160">
        <v>1637</v>
      </c>
    </row>
    <row r="1640" spans="27:31" x14ac:dyDescent="0.25">
      <c r="AA1640" s="160"/>
      <c r="AB1640" s="162"/>
      <c r="AC1640" s="162"/>
      <c r="AD1640" s="162">
        <f t="shared" si="45"/>
        <v>0</v>
      </c>
      <c r="AE1640" s="160">
        <v>1638</v>
      </c>
    </row>
    <row r="1641" spans="27:31" x14ac:dyDescent="0.25">
      <c r="AA1641" s="160"/>
      <c r="AB1641" s="162"/>
      <c r="AC1641" s="162"/>
      <c r="AD1641" s="162">
        <f t="shared" si="45"/>
        <v>0</v>
      </c>
      <c r="AE1641" s="160">
        <v>1639</v>
      </c>
    </row>
    <row r="1642" spans="27:31" x14ac:dyDescent="0.25">
      <c r="AA1642" s="160"/>
      <c r="AB1642" s="162"/>
      <c r="AC1642" s="162"/>
      <c r="AD1642" s="162">
        <f t="shared" si="45"/>
        <v>0</v>
      </c>
      <c r="AE1642" s="160">
        <v>1640</v>
      </c>
    </row>
    <row r="1643" spans="27:31" x14ac:dyDescent="0.25">
      <c r="AA1643" s="160"/>
      <c r="AB1643" s="162"/>
      <c r="AC1643" s="162"/>
      <c r="AD1643" s="162">
        <f t="shared" si="45"/>
        <v>0</v>
      </c>
      <c r="AE1643" s="160">
        <v>1641</v>
      </c>
    </row>
    <row r="1644" spans="27:31" x14ac:dyDescent="0.25">
      <c r="AA1644" s="160"/>
      <c r="AB1644" s="162"/>
      <c r="AC1644" s="162"/>
      <c r="AD1644" s="162">
        <f t="shared" si="45"/>
        <v>0</v>
      </c>
      <c r="AE1644" s="160">
        <v>1642</v>
      </c>
    </row>
    <row r="1645" spans="27:31" x14ac:dyDescent="0.25">
      <c r="AA1645" s="160"/>
      <c r="AB1645" s="162"/>
      <c r="AC1645" s="162"/>
      <c r="AD1645" s="162">
        <f t="shared" si="45"/>
        <v>0</v>
      </c>
      <c r="AE1645" s="160">
        <v>1643</v>
      </c>
    </row>
    <row r="1646" spans="27:31" x14ac:dyDescent="0.25">
      <c r="AA1646" s="160"/>
      <c r="AB1646" s="162"/>
      <c r="AC1646" s="162"/>
      <c r="AD1646" s="162">
        <f t="shared" si="45"/>
        <v>0</v>
      </c>
      <c r="AE1646" s="160">
        <v>1644</v>
      </c>
    </row>
    <row r="1647" spans="27:31" x14ac:dyDescent="0.25">
      <c r="AA1647" s="160"/>
      <c r="AB1647" s="162"/>
      <c r="AC1647" s="162"/>
      <c r="AD1647" s="162">
        <f t="shared" si="45"/>
        <v>0</v>
      </c>
      <c r="AE1647" s="160">
        <v>1645</v>
      </c>
    </row>
    <row r="1648" spans="27:31" x14ac:dyDescent="0.25">
      <c r="AA1648" s="160"/>
      <c r="AB1648" s="162"/>
      <c r="AC1648" s="162"/>
      <c r="AD1648" s="162">
        <f t="shared" si="45"/>
        <v>0</v>
      </c>
      <c r="AE1648" s="160">
        <v>1646</v>
      </c>
    </row>
    <row r="1649" spans="27:31" x14ac:dyDescent="0.25">
      <c r="AA1649" s="160"/>
      <c r="AB1649" s="162"/>
      <c r="AC1649" s="162"/>
      <c r="AD1649" s="162">
        <f t="shared" si="45"/>
        <v>0</v>
      </c>
      <c r="AE1649" s="160">
        <v>1647</v>
      </c>
    </row>
    <row r="1650" spans="27:31" x14ac:dyDescent="0.25">
      <c r="AA1650" s="160"/>
      <c r="AB1650" s="162"/>
      <c r="AC1650" s="162"/>
      <c r="AD1650" s="162">
        <f t="shared" si="45"/>
        <v>0</v>
      </c>
      <c r="AE1650" s="160">
        <v>1648</v>
      </c>
    </row>
    <row r="1651" spans="27:31" x14ac:dyDescent="0.25">
      <c r="AA1651" s="160"/>
      <c r="AB1651" s="162"/>
      <c r="AC1651" s="162"/>
      <c r="AD1651" s="162">
        <f t="shared" si="45"/>
        <v>0</v>
      </c>
      <c r="AE1651" s="160">
        <v>1649</v>
      </c>
    </row>
    <row r="1652" spans="27:31" x14ac:dyDescent="0.25">
      <c r="AA1652" s="160"/>
      <c r="AB1652" s="162"/>
      <c r="AC1652" s="162"/>
      <c r="AD1652" s="162">
        <f t="shared" si="45"/>
        <v>0</v>
      </c>
      <c r="AE1652" s="160">
        <v>1650</v>
      </c>
    </row>
    <row r="1653" spans="27:31" x14ac:dyDescent="0.25">
      <c r="AA1653" s="160"/>
      <c r="AB1653" s="162"/>
      <c r="AC1653" s="162"/>
      <c r="AD1653" s="162">
        <f t="shared" si="45"/>
        <v>0</v>
      </c>
      <c r="AE1653" s="160">
        <v>1651</v>
      </c>
    </row>
    <row r="1654" spans="27:31" x14ac:dyDescent="0.25">
      <c r="AA1654" s="160"/>
      <c r="AB1654" s="162"/>
      <c r="AC1654" s="162"/>
      <c r="AD1654" s="162">
        <f t="shared" si="45"/>
        <v>0</v>
      </c>
      <c r="AE1654" s="160">
        <v>1652</v>
      </c>
    </row>
    <row r="1655" spans="27:31" x14ac:dyDescent="0.25">
      <c r="AA1655" s="160"/>
      <c r="AB1655" s="162"/>
      <c r="AC1655" s="162"/>
      <c r="AD1655" s="162">
        <f t="shared" si="45"/>
        <v>0</v>
      </c>
      <c r="AE1655" s="160">
        <v>1653</v>
      </c>
    </row>
    <row r="1656" spans="27:31" x14ac:dyDescent="0.25">
      <c r="AA1656" s="160"/>
      <c r="AB1656" s="162"/>
      <c r="AC1656" s="162"/>
      <c r="AD1656" s="162">
        <f t="shared" si="45"/>
        <v>0</v>
      </c>
      <c r="AE1656" s="160">
        <v>1654</v>
      </c>
    </row>
    <row r="1657" spans="27:31" x14ac:dyDescent="0.25">
      <c r="AA1657" s="160"/>
      <c r="AB1657" s="162"/>
      <c r="AC1657" s="162"/>
      <c r="AD1657" s="162">
        <f t="shared" si="45"/>
        <v>0</v>
      </c>
      <c r="AE1657" s="160">
        <v>1655</v>
      </c>
    </row>
    <row r="1658" spans="27:31" x14ac:dyDescent="0.25">
      <c r="AA1658" s="160"/>
      <c r="AB1658" s="162"/>
      <c r="AC1658" s="162"/>
      <c r="AD1658" s="162">
        <f t="shared" si="45"/>
        <v>0</v>
      </c>
      <c r="AE1658" s="160">
        <v>1656</v>
      </c>
    </row>
    <row r="1659" spans="27:31" x14ac:dyDescent="0.25">
      <c r="AA1659" s="160"/>
      <c r="AB1659" s="162"/>
      <c r="AC1659" s="162"/>
      <c r="AD1659" s="162">
        <f t="shared" si="45"/>
        <v>0</v>
      </c>
      <c r="AE1659" s="160">
        <v>1657</v>
      </c>
    </row>
    <row r="1660" spans="27:31" x14ac:dyDescent="0.25">
      <c r="AA1660" s="160"/>
      <c r="AB1660" s="162"/>
      <c r="AC1660" s="162"/>
      <c r="AD1660" s="162">
        <f t="shared" si="45"/>
        <v>0</v>
      </c>
      <c r="AE1660" s="160">
        <v>1658</v>
      </c>
    </row>
    <row r="1661" spans="27:31" x14ac:dyDescent="0.25">
      <c r="AA1661" s="160"/>
      <c r="AB1661" s="162"/>
      <c r="AC1661" s="162"/>
      <c r="AD1661" s="162">
        <f t="shared" si="45"/>
        <v>0</v>
      </c>
      <c r="AE1661" s="160">
        <v>1659</v>
      </c>
    </row>
    <row r="1662" spans="27:31" x14ac:dyDescent="0.25">
      <c r="AA1662" s="160"/>
      <c r="AB1662" s="162"/>
      <c r="AC1662" s="162"/>
      <c r="AD1662" s="162">
        <f t="shared" si="45"/>
        <v>0</v>
      </c>
      <c r="AE1662" s="160">
        <v>1660</v>
      </c>
    </row>
    <row r="1663" spans="27:31" x14ac:dyDescent="0.25">
      <c r="AA1663" s="160"/>
      <c r="AB1663" s="162"/>
      <c r="AC1663" s="162"/>
      <c r="AD1663" s="162">
        <f t="shared" si="45"/>
        <v>0</v>
      </c>
      <c r="AE1663" s="160">
        <v>1661</v>
      </c>
    </row>
    <row r="1664" spans="27:31" x14ac:dyDescent="0.25">
      <c r="AA1664" s="160"/>
      <c r="AB1664" s="162"/>
      <c r="AC1664" s="162"/>
      <c r="AD1664" s="162">
        <f t="shared" si="45"/>
        <v>0</v>
      </c>
      <c r="AE1664" s="160">
        <v>1662</v>
      </c>
    </row>
    <row r="1665" spans="27:31" x14ac:dyDescent="0.25">
      <c r="AA1665" s="160"/>
      <c r="AB1665" s="162"/>
      <c r="AC1665" s="162"/>
      <c r="AD1665" s="162">
        <f t="shared" si="45"/>
        <v>0</v>
      </c>
      <c r="AE1665" s="160">
        <v>1663</v>
      </c>
    </row>
    <row r="1666" spans="27:31" x14ac:dyDescent="0.25">
      <c r="AA1666" s="160"/>
      <c r="AB1666" s="162"/>
      <c r="AC1666" s="162"/>
      <c r="AD1666" s="162">
        <f t="shared" si="45"/>
        <v>0</v>
      </c>
      <c r="AE1666" s="160">
        <v>1664</v>
      </c>
    </row>
    <row r="1667" spans="27:31" x14ac:dyDescent="0.25">
      <c r="AA1667" s="160"/>
      <c r="AB1667" s="162"/>
      <c r="AC1667" s="162"/>
      <c r="AD1667" s="162">
        <f t="shared" si="45"/>
        <v>0</v>
      </c>
      <c r="AE1667" s="160">
        <v>1665</v>
      </c>
    </row>
    <row r="1668" spans="27:31" x14ac:dyDescent="0.25">
      <c r="AA1668" s="160"/>
      <c r="AB1668" s="162"/>
      <c r="AC1668" s="162"/>
      <c r="AD1668" s="162">
        <f t="shared" ref="AD1668:AD1731" si="46">AB1668+AC1668</f>
        <v>0</v>
      </c>
      <c r="AE1668" s="160">
        <v>1666</v>
      </c>
    </row>
    <row r="1669" spans="27:31" x14ac:dyDescent="0.25">
      <c r="AA1669" s="160"/>
      <c r="AB1669" s="162"/>
      <c r="AC1669" s="162"/>
      <c r="AD1669" s="162">
        <f t="shared" si="46"/>
        <v>0</v>
      </c>
      <c r="AE1669" s="160">
        <v>1667</v>
      </c>
    </row>
    <row r="1670" spans="27:31" x14ac:dyDescent="0.25">
      <c r="AA1670" s="160"/>
      <c r="AB1670" s="162"/>
      <c r="AC1670" s="162"/>
      <c r="AD1670" s="162">
        <f t="shared" si="46"/>
        <v>0</v>
      </c>
      <c r="AE1670" s="160">
        <v>1668</v>
      </c>
    </row>
    <row r="1671" spans="27:31" x14ac:dyDescent="0.25">
      <c r="AA1671" s="160"/>
      <c r="AB1671" s="162"/>
      <c r="AC1671" s="162"/>
      <c r="AD1671" s="162">
        <f t="shared" si="46"/>
        <v>0</v>
      </c>
      <c r="AE1671" s="160">
        <v>1669</v>
      </c>
    </row>
    <row r="1672" spans="27:31" x14ac:dyDescent="0.25">
      <c r="AA1672" s="160"/>
      <c r="AB1672" s="162"/>
      <c r="AC1672" s="162"/>
      <c r="AD1672" s="162">
        <f t="shared" si="46"/>
        <v>0</v>
      </c>
      <c r="AE1672" s="160">
        <v>1670</v>
      </c>
    </row>
    <row r="1673" spans="27:31" x14ac:dyDescent="0.25">
      <c r="AA1673" s="160"/>
      <c r="AB1673" s="162"/>
      <c r="AC1673" s="162"/>
      <c r="AD1673" s="162">
        <f t="shared" si="46"/>
        <v>0</v>
      </c>
      <c r="AE1673" s="160">
        <v>1671</v>
      </c>
    </row>
    <row r="1674" spans="27:31" x14ac:dyDescent="0.25">
      <c r="AA1674" s="160"/>
      <c r="AB1674" s="162"/>
      <c r="AC1674" s="162"/>
      <c r="AD1674" s="162">
        <f t="shared" si="46"/>
        <v>0</v>
      </c>
      <c r="AE1674" s="160">
        <v>1672</v>
      </c>
    </row>
    <row r="1675" spans="27:31" x14ac:dyDescent="0.25">
      <c r="AA1675" s="160"/>
      <c r="AB1675" s="162"/>
      <c r="AC1675" s="162"/>
      <c r="AD1675" s="162">
        <f t="shared" si="46"/>
        <v>0</v>
      </c>
      <c r="AE1675" s="160">
        <v>1673</v>
      </c>
    </row>
    <row r="1676" spans="27:31" x14ac:dyDescent="0.25">
      <c r="AA1676" s="160"/>
      <c r="AB1676" s="162"/>
      <c r="AC1676" s="162"/>
      <c r="AD1676" s="162">
        <f t="shared" si="46"/>
        <v>0</v>
      </c>
      <c r="AE1676" s="160">
        <v>1674</v>
      </c>
    </row>
    <row r="1677" spans="27:31" x14ac:dyDescent="0.25">
      <c r="AA1677" s="160"/>
      <c r="AB1677" s="162"/>
      <c r="AC1677" s="162"/>
      <c r="AD1677" s="162">
        <f t="shared" si="46"/>
        <v>0</v>
      </c>
      <c r="AE1677" s="160">
        <v>1675</v>
      </c>
    </row>
    <row r="1678" spans="27:31" x14ac:dyDescent="0.25">
      <c r="AA1678" s="160"/>
      <c r="AB1678" s="162"/>
      <c r="AC1678" s="162"/>
      <c r="AD1678" s="162">
        <f t="shared" si="46"/>
        <v>0</v>
      </c>
      <c r="AE1678" s="160">
        <v>1676</v>
      </c>
    </row>
    <row r="1679" spans="27:31" x14ac:dyDescent="0.25">
      <c r="AA1679" s="160"/>
      <c r="AB1679" s="162"/>
      <c r="AC1679" s="162"/>
      <c r="AD1679" s="162">
        <f t="shared" si="46"/>
        <v>0</v>
      </c>
      <c r="AE1679" s="160">
        <v>1677</v>
      </c>
    </row>
    <row r="1680" spans="27:31" x14ac:dyDescent="0.25">
      <c r="AA1680" s="160"/>
      <c r="AB1680" s="162"/>
      <c r="AC1680" s="162"/>
      <c r="AD1680" s="162">
        <f t="shared" si="46"/>
        <v>0</v>
      </c>
      <c r="AE1680" s="160">
        <v>1678</v>
      </c>
    </row>
    <row r="1681" spans="27:31" x14ac:dyDescent="0.25">
      <c r="AA1681" s="160"/>
      <c r="AB1681" s="162"/>
      <c r="AC1681" s="162"/>
      <c r="AD1681" s="162">
        <f t="shared" si="46"/>
        <v>0</v>
      </c>
      <c r="AE1681" s="160">
        <v>1679</v>
      </c>
    </row>
    <row r="1682" spans="27:31" x14ac:dyDescent="0.25">
      <c r="AA1682" s="160"/>
      <c r="AB1682" s="162"/>
      <c r="AC1682" s="162"/>
      <c r="AD1682" s="162">
        <f t="shared" si="46"/>
        <v>0</v>
      </c>
      <c r="AE1682" s="160">
        <v>1680</v>
      </c>
    </row>
    <row r="1683" spans="27:31" x14ac:dyDescent="0.25">
      <c r="AA1683" s="160"/>
      <c r="AB1683" s="162"/>
      <c r="AC1683" s="162"/>
      <c r="AD1683" s="162">
        <f t="shared" si="46"/>
        <v>0</v>
      </c>
      <c r="AE1683" s="160">
        <v>1681</v>
      </c>
    </row>
    <row r="1684" spans="27:31" x14ac:dyDescent="0.25">
      <c r="AA1684" s="160"/>
      <c r="AB1684" s="162"/>
      <c r="AC1684" s="162"/>
      <c r="AD1684" s="162">
        <f t="shared" si="46"/>
        <v>0</v>
      </c>
      <c r="AE1684" s="160">
        <v>1682</v>
      </c>
    </row>
    <row r="1685" spans="27:31" x14ac:dyDescent="0.25">
      <c r="AA1685" s="160"/>
      <c r="AB1685" s="162"/>
      <c r="AC1685" s="162"/>
      <c r="AD1685" s="162">
        <f t="shared" si="46"/>
        <v>0</v>
      </c>
      <c r="AE1685" s="160">
        <v>1683</v>
      </c>
    </row>
    <row r="1686" spans="27:31" x14ac:dyDescent="0.25">
      <c r="AA1686" s="160"/>
      <c r="AB1686" s="162"/>
      <c r="AC1686" s="162"/>
      <c r="AD1686" s="162">
        <f t="shared" si="46"/>
        <v>0</v>
      </c>
      <c r="AE1686" s="160">
        <v>1684</v>
      </c>
    </row>
    <row r="1687" spans="27:31" x14ac:dyDescent="0.25">
      <c r="AA1687" s="160"/>
      <c r="AB1687" s="162"/>
      <c r="AC1687" s="162"/>
      <c r="AD1687" s="162">
        <f t="shared" si="46"/>
        <v>0</v>
      </c>
      <c r="AE1687" s="160">
        <v>1685</v>
      </c>
    </row>
    <row r="1688" spans="27:31" x14ac:dyDescent="0.25">
      <c r="AA1688" s="160"/>
      <c r="AB1688" s="162"/>
      <c r="AC1688" s="162"/>
      <c r="AD1688" s="162">
        <f t="shared" si="46"/>
        <v>0</v>
      </c>
      <c r="AE1688" s="160">
        <v>1686</v>
      </c>
    </row>
    <row r="1689" spans="27:31" x14ac:dyDescent="0.25">
      <c r="AA1689" s="160"/>
      <c r="AB1689" s="162"/>
      <c r="AC1689" s="162"/>
      <c r="AD1689" s="162">
        <f t="shared" si="46"/>
        <v>0</v>
      </c>
      <c r="AE1689" s="160">
        <v>1687</v>
      </c>
    </row>
    <row r="1690" spans="27:31" x14ac:dyDescent="0.25">
      <c r="AA1690" s="160"/>
      <c r="AB1690" s="162"/>
      <c r="AC1690" s="162"/>
      <c r="AD1690" s="162">
        <f t="shared" si="46"/>
        <v>0</v>
      </c>
      <c r="AE1690" s="160">
        <v>1688</v>
      </c>
    </row>
    <row r="1691" spans="27:31" x14ac:dyDescent="0.25">
      <c r="AA1691" s="160"/>
      <c r="AB1691" s="162"/>
      <c r="AC1691" s="162"/>
      <c r="AD1691" s="162">
        <f t="shared" si="46"/>
        <v>0</v>
      </c>
      <c r="AE1691" s="160">
        <v>1689</v>
      </c>
    </row>
    <row r="1692" spans="27:31" x14ac:dyDescent="0.25">
      <c r="AA1692" s="160"/>
      <c r="AB1692" s="162"/>
      <c r="AC1692" s="162"/>
      <c r="AD1692" s="162">
        <f t="shared" si="46"/>
        <v>0</v>
      </c>
      <c r="AE1692" s="160">
        <v>1690</v>
      </c>
    </row>
    <row r="1693" spans="27:31" x14ac:dyDescent="0.25">
      <c r="AA1693" s="160"/>
      <c r="AB1693" s="162"/>
      <c r="AC1693" s="162"/>
      <c r="AD1693" s="162">
        <f t="shared" si="46"/>
        <v>0</v>
      </c>
      <c r="AE1693" s="160">
        <v>1691</v>
      </c>
    </row>
    <row r="1694" spans="27:31" x14ac:dyDescent="0.25">
      <c r="AA1694" s="160"/>
      <c r="AB1694" s="162"/>
      <c r="AC1694" s="162"/>
      <c r="AD1694" s="162">
        <f t="shared" si="46"/>
        <v>0</v>
      </c>
      <c r="AE1694" s="160">
        <v>1692</v>
      </c>
    </row>
    <row r="1695" spans="27:31" x14ac:dyDescent="0.25">
      <c r="AA1695" s="160"/>
      <c r="AB1695" s="162"/>
      <c r="AC1695" s="162"/>
      <c r="AD1695" s="162">
        <f t="shared" si="46"/>
        <v>0</v>
      </c>
      <c r="AE1695" s="160">
        <v>1693</v>
      </c>
    </row>
    <row r="1696" spans="27:31" x14ac:dyDescent="0.25">
      <c r="AA1696" s="160"/>
      <c r="AB1696" s="162"/>
      <c r="AC1696" s="162"/>
      <c r="AD1696" s="162">
        <f t="shared" si="46"/>
        <v>0</v>
      </c>
      <c r="AE1696" s="160">
        <v>1694</v>
      </c>
    </row>
    <row r="1697" spans="27:31" x14ac:dyDescent="0.25">
      <c r="AA1697" s="160"/>
      <c r="AB1697" s="162"/>
      <c r="AC1697" s="162"/>
      <c r="AD1697" s="162">
        <f t="shared" si="46"/>
        <v>0</v>
      </c>
      <c r="AE1697" s="160">
        <v>1695</v>
      </c>
    </row>
    <row r="1698" spans="27:31" x14ac:dyDescent="0.25">
      <c r="AA1698" s="160"/>
      <c r="AB1698" s="162"/>
      <c r="AC1698" s="162"/>
      <c r="AD1698" s="162">
        <f t="shared" si="46"/>
        <v>0</v>
      </c>
      <c r="AE1698" s="160">
        <v>1696</v>
      </c>
    </row>
    <row r="1699" spans="27:31" x14ac:dyDescent="0.25">
      <c r="AA1699" s="160"/>
      <c r="AB1699" s="162"/>
      <c r="AC1699" s="162"/>
      <c r="AD1699" s="162">
        <f t="shared" si="46"/>
        <v>0</v>
      </c>
      <c r="AE1699" s="160">
        <v>1697</v>
      </c>
    </row>
    <row r="1700" spans="27:31" x14ac:dyDescent="0.25">
      <c r="AA1700" s="160"/>
      <c r="AB1700" s="162"/>
      <c r="AC1700" s="162"/>
      <c r="AD1700" s="162">
        <f t="shared" si="46"/>
        <v>0</v>
      </c>
      <c r="AE1700" s="160">
        <v>1698</v>
      </c>
    </row>
    <row r="1701" spans="27:31" x14ac:dyDescent="0.25">
      <c r="AA1701" s="160"/>
      <c r="AB1701" s="162"/>
      <c r="AC1701" s="162"/>
      <c r="AD1701" s="162">
        <f t="shared" si="46"/>
        <v>0</v>
      </c>
      <c r="AE1701" s="160">
        <v>1699</v>
      </c>
    </row>
    <row r="1702" spans="27:31" x14ac:dyDescent="0.25">
      <c r="AA1702" s="160"/>
      <c r="AB1702" s="162"/>
      <c r="AC1702" s="162"/>
      <c r="AD1702" s="162">
        <f t="shared" si="46"/>
        <v>0</v>
      </c>
      <c r="AE1702" s="160">
        <v>1700</v>
      </c>
    </row>
    <row r="1703" spans="27:31" x14ac:dyDescent="0.25">
      <c r="AA1703" s="160"/>
      <c r="AB1703" s="162"/>
      <c r="AC1703" s="162"/>
      <c r="AD1703" s="162">
        <f t="shared" si="46"/>
        <v>0</v>
      </c>
      <c r="AE1703" s="160">
        <v>1701</v>
      </c>
    </row>
    <row r="1704" spans="27:31" x14ac:dyDescent="0.25">
      <c r="AA1704" s="160"/>
      <c r="AB1704" s="162"/>
      <c r="AC1704" s="162"/>
      <c r="AD1704" s="162">
        <f t="shared" si="46"/>
        <v>0</v>
      </c>
      <c r="AE1704" s="160">
        <v>1702</v>
      </c>
    </row>
    <row r="1705" spans="27:31" x14ac:dyDescent="0.25">
      <c r="AA1705" s="160"/>
      <c r="AB1705" s="162"/>
      <c r="AC1705" s="162"/>
      <c r="AD1705" s="162">
        <f t="shared" si="46"/>
        <v>0</v>
      </c>
      <c r="AE1705" s="160">
        <v>1703</v>
      </c>
    </row>
    <row r="1706" spans="27:31" x14ac:dyDescent="0.25">
      <c r="AA1706" s="160"/>
      <c r="AB1706" s="162"/>
      <c r="AC1706" s="162"/>
      <c r="AD1706" s="162">
        <f t="shared" si="46"/>
        <v>0</v>
      </c>
      <c r="AE1706" s="160">
        <v>1704</v>
      </c>
    </row>
    <row r="1707" spans="27:31" x14ac:dyDescent="0.25">
      <c r="AA1707" s="160"/>
      <c r="AB1707" s="162"/>
      <c r="AC1707" s="162"/>
      <c r="AD1707" s="162">
        <f t="shared" si="46"/>
        <v>0</v>
      </c>
      <c r="AE1707" s="160">
        <v>1705</v>
      </c>
    </row>
    <row r="1708" spans="27:31" x14ac:dyDescent="0.25">
      <c r="AA1708" s="160"/>
      <c r="AB1708" s="162"/>
      <c r="AC1708" s="162"/>
      <c r="AD1708" s="162">
        <f t="shared" si="46"/>
        <v>0</v>
      </c>
      <c r="AE1708" s="160">
        <v>1706</v>
      </c>
    </row>
    <row r="1709" spans="27:31" x14ac:dyDescent="0.25">
      <c r="AA1709" s="160"/>
      <c r="AB1709" s="162"/>
      <c r="AC1709" s="162"/>
      <c r="AD1709" s="162">
        <f t="shared" si="46"/>
        <v>0</v>
      </c>
      <c r="AE1709" s="160">
        <v>1707</v>
      </c>
    </row>
    <row r="1710" spans="27:31" x14ac:dyDescent="0.25">
      <c r="AA1710" s="160"/>
      <c r="AB1710" s="162"/>
      <c r="AC1710" s="162"/>
      <c r="AD1710" s="162">
        <f t="shared" si="46"/>
        <v>0</v>
      </c>
      <c r="AE1710" s="160">
        <v>1708</v>
      </c>
    </row>
    <row r="1711" spans="27:31" x14ac:dyDescent="0.25">
      <c r="AA1711" s="160"/>
      <c r="AB1711" s="162"/>
      <c r="AC1711" s="162"/>
      <c r="AD1711" s="162">
        <f t="shared" si="46"/>
        <v>0</v>
      </c>
      <c r="AE1711" s="160">
        <v>1709</v>
      </c>
    </row>
    <row r="1712" spans="27:31" x14ac:dyDescent="0.25">
      <c r="AA1712" s="160"/>
      <c r="AB1712" s="162"/>
      <c r="AC1712" s="162"/>
      <c r="AD1712" s="162">
        <f t="shared" si="46"/>
        <v>0</v>
      </c>
      <c r="AE1712" s="160">
        <v>1710</v>
      </c>
    </row>
    <row r="1713" spans="27:31" x14ac:dyDescent="0.25">
      <c r="AA1713" s="160"/>
      <c r="AB1713" s="162"/>
      <c r="AC1713" s="162"/>
      <c r="AD1713" s="162">
        <f t="shared" si="46"/>
        <v>0</v>
      </c>
      <c r="AE1713" s="160">
        <v>1711</v>
      </c>
    </row>
    <row r="1714" spans="27:31" x14ac:dyDescent="0.25">
      <c r="AA1714" s="160"/>
      <c r="AB1714" s="162"/>
      <c r="AC1714" s="162"/>
      <c r="AD1714" s="162">
        <f t="shared" si="46"/>
        <v>0</v>
      </c>
      <c r="AE1714" s="160">
        <v>1712</v>
      </c>
    </row>
    <row r="1715" spans="27:31" x14ac:dyDescent="0.25">
      <c r="AA1715" s="160"/>
      <c r="AB1715" s="162"/>
      <c r="AC1715" s="162"/>
      <c r="AD1715" s="162">
        <f t="shared" si="46"/>
        <v>0</v>
      </c>
      <c r="AE1715" s="160">
        <v>1713</v>
      </c>
    </row>
    <row r="1716" spans="27:31" x14ac:dyDescent="0.25">
      <c r="AA1716" s="160"/>
      <c r="AB1716" s="162"/>
      <c r="AC1716" s="162"/>
      <c r="AD1716" s="162">
        <f t="shared" si="46"/>
        <v>0</v>
      </c>
      <c r="AE1716" s="160">
        <v>1714</v>
      </c>
    </row>
    <row r="1717" spans="27:31" x14ac:dyDescent="0.25">
      <c r="AA1717" s="160"/>
      <c r="AB1717" s="162"/>
      <c r="AC1717" s="162"/>
      <c r="AD1717" s="162">
        <f t="shared" si="46"/>
        <v>0</v>
      </c>
      <c r="AE1717" s="160">
        <v>1715</v>
      </c>
    </row>
    <row r="1718" spans="27:31" x14ac:dyDescent="0.25">
      <c r="AA1718" s="160"/>
      <c r="AB1718" s="162"/>
      <c r="AC1718" s="162"/>
      <c r="AD1718" s="162">
        <f t="shared" si="46"/>
        <v>0</v>
      </c>
      <c r="AE1718" s="160">
        <v>1716</v>
      </c>
    </row>
    <row r="1719" spans="27:31" x14ac:dyDescent="0.25">
      <c r="AA1719" s="160"/>
      <c r="AB1719" s="162"/>
      <c r="AC1719" s="162"/>
      <c r="AD1719" s="162">
        <f t="shared" si="46"/>
        <v>0</v>
      </c>
      <c r="AE1719" s="160">
        <v>1717</v>
      </c>
    </row>
    <row r="1720" spans="27:31" x14ac:dyDescent="0.25">
      <c r="AA1720" s="160"/>
      <c r="AB1720" s="162"/>
      <c r="AC1720" s="162"/>
      <c r="AD1720" s="162">
        <f t="shared" si="46"/>
        <v>0</v>
      </c>
      <c r="AE1720" s="160">
        <v>1718</v>
      </c>
    </row>
    <row r="1721" spans="27:31" x14ac:dyDescent="0.25">
      <c r="AA1721" s="160"/>
      <c r="AB1721" s="162"/>
      <c r="AC1721" s="162"/>
      <c r="AD1721" s="162">
        <f t="shared" si="46"/>
        <v>0</v>
      </c>
      <c r="AE1721" s="160">
        <v>1719</v>
      </c>
    </row>
    <row r="1722" spans="27:31" x14ac:dyDescent="0.25">
      <c r="AA1722" s="160"/>
      <c r="AB1722" s="162"/>
      <c r="AC1722" s="162"/>
      <c r="AD1722" s="162">
        <f t="shared" si="46"/>
        <v>0</v>
      </c>
      <c r="AE1722" s="160">
        <v>1720</v>
      </c>
    </row>
    <row r="1723" spans="27:31" x14ac:dyDescent="0.25">
      <c r="AA1723" s="160"/>
      <c r="AB1723" s="162"/>
      <c r="AC1723" s="162"/>
      <c r="AD1723" s="162">
        <f t="shared" si="46"/>
        <v>0</v>
      </c>
      <c r="AE1723" s="160">
        <v>1721</v>
      </c>
    </row>
    <row r="1724" spans="27:31" x14ac:dyDescent="0.25">
      <c r="AA1724" s="160"/>
      <c r="AB1724" s="162"/>
      <c r="AC1724" s="162"/>
      <c r="AD1724" s="162">
        <f t="shared" si="46"/>
        <v>0</v>
      </c>
      <c r="AE1724" s="160">
        <v>1722</v>
      </c>
    </row>
    <row r="1725" spans="27:31" x14ac:dyDescent="0.25">
      <c r="AA1725" s="160"/>
      <c r="AB1725" s="162"/>
      <c r="AC1725" s="162"/>
      <c r="AD1725" s="162">
        <f t="shared" si="46"/>
        <v>0</v>
      </c>
      <c r="AE1725" s="160">
        <v>1723</v>
      </c>
    </row>
    <row r="1726" spans="27:31" x14ac:dyDescent="0.25">
      <c r="AA1726" s="160"/>
      <c r="AB1726" s="162"/>
      <c r="AC1726" s="162"/>
      <c r="AD1726" s="162">
        <f t="shared" si="46"/>
        <v>0</v>
      </c>
      <c r="AE1726" s="160">
        <v>1724</v>
      </c>
    </row>
    <row r="1727" spans="27:31" x14ac:dyDescent="0.25">
      <c r="AA1727" s="160"/>
      <c r="AB1727" s="162"/>
      <c r="AC1727" s="162"/>
      <c r="AD1727" s="162">
        <f t="shared" si="46"/>
        <v>0</v>
      </c>
      <c r="AE1727" s="160">
        <v>1725</v>
      </c>
    </row>
    <row r="1728" spans="27:31" x14ac:dyDescent="0.25">
      <c r="AA1728" s="160"/>
      <c r="AB1728" s="162"/>
      <c r="AC1728" s="162"/>
      <c r="AD1728" s="162">
        <f t="shared" si="46"/>
        <v>0</v>
      </c>
      <c r="AE1728" s="160">
        <v>1726</v>
      </c>
    </row>
    <row r="1729" spans="27:31" x14ac:dyDescent="0.25">
      <c r="AA1729" s="160"/>
      <c r="AB1729" s="162"/>
      <c r="AC1729" s="162"/>
      <c r="AD1729" s="162">
        <f t="shared" si="46"/>
        <v>0</v>
      </c>
      <c r="AE1729" s="160">
        <v>1727</v>
      </c>
    </row>
    <row r="1730" spans="27:31" x14ac:dyDescent="0.25">
      <c r="AA1730" s="160"/>
      <c r="AB1730" s="162"/>
      <c r="AC1730" s="162"/>
      <c r="AD1730" s="162">
        <f t="shared" si="46"/>
        <v>0</v>
      </c>
      <c r="AE1730" s="160">
        <v>1728</v>
      </c>
    </row>
    <row r="1731" spans="27:31" x14ac:dyDescent="0.25">
      <c r="AA1731" s="160"/>
      <c r="AB1731" s="162"/>
      <c r="AC1731" s="162"/>
      <c r="AD1731" s="162">
        <f t="shared" si="46"/>
        <v>0</v>
      </c>
      <c r="AE1731" s="160">
        <v>1729</v>
      </c>
    </row>
    <row r="1732" spans="27:31" x14ac:dyDescent="0.25">
      <c r="AA1732" s="160"/>
      <c r="AB1732" s="162"/>
      <c r="AC1732" s="162"/>
      <c r="AD1732" s="162">
        <f t="shared" ref="AD1732:AD1795" si="47">AB1732+AC1732</f>
        <v>0</v>
      </c>
      <c r="AE1732" s="160">
        <v>1730</v>
      </c>
    </row>
    <row r="1733" spans="27:31" x14ac:dyDescent="0.25">
      <c r="AA1733" s="160"/>
      <c r="AB1733" s="162"/>
      <c r="AC1733" s="162"/>
      <c r="AD1733" s="162">
        <f t="shared" si="47"/>
        <v>0</v>
      </c>
      <c r="AE1733" s="160">
        <v>1731</v>
      </c>
    </row>
    <row r="1734" spans="27:31" x14ac:dyDescent="0.25">
      <c r="AA1734" s="160"/>
      <c r="AB1734" s="162"/>
      <c r="AC1734" s="162"/>
      <c r="AD1734" s="162">
        <f t="shared" si="47"/>
        <v>0</v>
      </c>
      <c r="AE1734" s="160">
        <v>1732</v>
      </c>
    </row>
    <row r="1735" spans="27:31" x14ac:dyDescent="0.25">
      <c r="AA1735" s="160"/>
      <c r="AB1735" s="162"/>
      <c r="AC1735" s="162"/>
      <c r="AD1735" s="162">
        <f t="shared" si="47"/>
        <v>0</v>
      </c>
      <c r="AE1735" s="160">
        <v>1733</v>
      </c>
    </row>
    <row r="1736" spans="27:31" x14ac:dyDescent="0.25">
      <c r="AA1736" s="160"/>
      <c r="AB1736" s="162"/>
      <c r="AC1736" s="162"/>
      <c r="AD1736" s="162">
        <f t="shared" si="47"/>
        <v>0</v>
      </c>
      <c r="AE1736" s="160">
        <v>1734</v>
      </c>
    </row>
    <row r="1737" spans="27:31" x14ac:dyDescent="0.25">
      <c r="AA1737" s="160"/>
      <c r="AB1737" s="162"/>
      <c r="AC1737" s="162"/>
      <c r="AD1737" s="162">
        <f t="shared" si="47"/>
        <v>0</v>
      </c>
      <c r="AE1737" s="160">
        <v>1735</v>
      </c>
    </row>
    <row r="1738" spans="27:31" x14ac:dyDescent="0.25">
      <c r="AA1738" s="160"/>
      <c r="AB1738" s="162"/>
      <c r="AC1738" s="162"/>
      <c r="AD1738" s="162">
        <f t="shared" si="47"/>
        <v>0</v>
      </c>
      <c r="AE1738" s="160">
        <v>1736</v>
      </c>
    </row>
    <row r="1739" spans="27:31" x14ac:dyDescent="0.25">
      <c r="AA1739" s="160"/>
      <c r="AB1739" s="162"/>
      <c r="AC1739" s="162"/>
      <c r="AD1739" s="162">
        <f t="shared" si="47"/>
        <v>0</v>
      </c>
      <c r="AE1739" s="160">
        <v>1737</v>
      </c>
    </row>
    <row r="1740" spans="27:31" x14ac:dyDescent="0.25">
      <c r="AA1740" s="160"/>
      <c r="AB1740" s="162"/>
      <c r="AC1740" s="162"/>
      <c r="AD1740" s="162">
        <f t="shared" si="47"/>
        <v>0</v>
      </c>
      <c r="AE1740" s="160">
        <v>1738</v>
      </c>
    </row>
    <row r="1741" spans="27:31" x14ac:dyDescent="0.25">
      <c r="AA1741" s="160"/>
      <c r="AB1741" s="162"/>
      <c r="AC1741" s="162"/>
      <c r="AD1741" s="162">
        <f t="shared" si="47"/>
        <v>0</v>
      </c>
      <c r="AE1741" s="160">
        <v>1739</v>
      </c>
    </row>
    <row r="1742" spans="27:31" x14ac:dyDescent="0.25">
      <c r="AA1742" s="160"/>
      <c r="AB1742" s="162"/>
      <c r="AC1742" s="162"/>
      <c r="AD1742" s="162">
        <f t="shared" si="47"/>
        <v>0</v>
      </c>
      <c r="AE1742" s="160">
        <v>1740</v>
      </c>
    </row>
    <row r="1743" spans="27:31" x14ac:dyDescent="0.25">
      <c r="AA1743" s="160"/>
      <c r="AB1743" s="162"/>
      <c r="AC1743" s="162"/>
      <c r="AD1743" s="162">
        <f t="shared" si="47"/>
        <v>0</v>
      </c>
      <c r="AE1743" s="160">
        <v>1741</v>
      </c>
    </row>
    <row r="1744" spans="27:31" x14ac:dyDescent="0.25">
      <c r="AA1744" s="160"/>
      <c r="AB1744" s="162"/>
      <c r="AC1744" s="162"/>
      <c r="AD1744" s="162">
        <f t="shared" si="47"/>
        <v>0</v>
      </c>
      <c r="AE1744" s="160">
        <v>1742</v>
      </c>
    </row>
    <row r="1745" spans="27:31" x14ac:dyDescent="0.25">
      <c r="AA1745" s="160"/>
      <c r="AB1745" s="162"/>
      <c r="AC1745" s="162"/>
      <c r="AD1745" s="162">
        <f t="shared" si="47"/>
        <v>0</v>
      </c>
      <c r="AE1745" s="160">
        <v>1743</v>
      </c>
    </row>
    <row r="1746" spans="27:31" x14ac:dyDescent="0.25">
      <c r="AA1746" s="160"/>
      <c r="AB1746" s="162"/>
      <c r="AC1746" s="162"/>
      <c r="AD1746" s="162">
        <f t="shared" si="47"/>
        <v>0</v>
      </c>
      <c r="AE1746" s="160">
        <v>1744</v>
      </c>
    </row>
    <row r="1747" spans="27:31" x14ac:dyDescent="0.25">
      <c r="AA1747" s="160"/>
      <c r="AB1747" s="162"/>
      <c r="AC1747" s="162"/>
      <c r="AD1747" s="162">
        <f t="shared" si="47"/>
        <v>0</v>
      </c>
      <c r="AE1747" s="160">
        <v>1745</v>
      </c>
    </row>
    <row r="1748" spans="27:31" x14ac:dyDescent="0.25">
      <c r="AA1748" s="160"/>
      <c r="AB1748" s="162"/>
      <c r="AC1748" s="162"/>
      <c r="AD1748" s="162">
        <f t="shared" si="47"/>
        <v>0</v>
      </c>
      <c r="AE1748" s="160">
        <v>1746</v>
      </c>
    </row>
    <row r="1749" spans="27:31" x14ac:dyDescent="0.25">
      <c r="AA1749" s="160"/>
      <c r="AB1749" s="162"/>
      <c r="AC1749" s="162"/>
      <c r="AD1749" s="162">
        <f t="shared" si="47"/>
        <v>0</v>
      </c>
      <c r="AE1749" s="160">
        <v>1747</v>
      </c>
    </row>
    <row r="1750" spans="27:31" x14ac:dyDescent="0.25">
      <c r="AA1750" s="160"/>
      <c r="AB1750" s="162"/>
      <c r="AC1750" s="162"/>
      <c r="AD1750" s="162">
        <f t="shared" si="47"/>
        <v>0</v>
      </c>
      <c r="AE1750" s="160">
        <v>1748</v>
      </c>
    </row>
    <row r="1751" spans="27:31" x14ac:dyDescent="0.25">
      <c r="AA1751" s="160"/>
      <c r="AB1751" s="162"/>
      <c r="AC1751" s="162"/>
      <c r="AD1751" s="162">
        <f t="shared" si="47"/>
        <v>0</v>
      </c>
      <c r="AE1751" s="160">
        <v>1749</v>
      </c>
    </row>
    <row r="1752" spans="27:31" x14ac:dyDescent="0.25">
      <c r="AA1752" s="160"/>
      <c r="AB1752" s="162"/>
      <c r="AC1752" s="162"/>
      <c r="AD1752" s="162">
        <f t="shared" si="47"/>
        <v>0</v>
      </c>
      <c r="AE1752" s="160">
        <v>1750</v>
      </c>
    </row>
    <row r="1753" spans="27:31" x14ac:dyDescent="0.25">
      <c r="AA1753" s="160"/>
      <c r="AB1753" s="162"/>
      <c r="AC1753" s="162"/>
      <c r="AD1753" s="162">
        <f t="shared" si="47"/>
        <v>0</v>
      </c>
      <c r="AE1753" s="160">
        <v>1751</v>
      </c>
    </row>
    <row r="1754" spans="27:31" x14ac:dyDescent="0.25">
      <c r="AA1754" s="160"/>
      <c r="AB1754" s="162"/>
      <c r="AC1754" s="162"/>
      <c r="AD1754" s="162">
        <f t="shared" si="47"/>
        <v>0</v>
      </c>
      <c r="AE1754" s="160">
        <v>1752</v>
      </c>
    </row>
    <row r="1755" spans="27:31" x14ac:dyDescent="0.25">
      <c r="AA1755" s="160"/>
      <c r="AB1755" s="162"/>
      <c r="AC1755" s="162"/>
      <c r="AD1755" s="162">
        <f t="shared" si="47"/>
        <v>0</v>
      </c>
      <c r="AE1755" s="160">
        <v>1753</v>
      </c>
    </row>
    <row r="1756" spans="27:31" x14ac:dyDescent="0.25">
      <c r="AA1756" s="160"/>
      <c r="AB1756" s="162"/>
      <c r="AC1756" s="162"/>
      <c r="AD1756" s="162">
        <f t="shared" si="47"/>
        <v>0</v>
      </c>
      <c r="AE1756" s="160">
        <v>1754</v>
      </c>
    </row>
    <row r="1757" spans="27:31" x14ac:dyDescent="0.25">
      <c r="AA1757" s="160"/>
      <c r="AB1757" s="162"/>
      <c r="AC1757" s="162"/>
      <c r="AD1757" s="162">
        <f t="shared" si="47"/>
        <v>0</v>
      </c>
      <c r="AE1757" s="160">
        <v>1755</v>
      </c>
    </row>
    <row r="1758" spans="27:31" x14ac:dyDescent="0.25">
      <c r="AA1758" s="160"/>
      <c r="AB1758" s="162"/>
      <c r="AC1758" s="162"/>
      <c r="AD1758" s="162">
        <f t="shared" si="47"/>
        <v>0</v>
      </c>
      <c r="AE1758" s="160">
        <v>1756</v>
      </c>
    </row>
    <row r="1759" spans="27:31" x14ac:dyDescent="0.25">
      <c r="AA1759" s="160"/>
      <c r="AB1759" s="162"/>
      <c r="AC1759" s="162"/>
      <c r="AD1759" s="162">
        <f t="shared" si="47"/>
        <v>0</v>
      </c>
      <c r="AE1759" s="160">
        <v>1757</v>
      </c>
    </row>
    <row r="1760" spans="27:31" x14ac:dyDescent="0.25">
      <c r="AA1760" s="160"/>
      <c r="AB1760" s="162"/>
      <c r="AC1760" s="162"/>
      <c r="AD1760" s="162">
        <f t="shared" si="47"/>
        <v>0</v>
      </c>
      <c r="AE1760" s="160">
        <v>1758</v>
      </c>
    </row>
    <row r="1761" spans="27:31" x14ac:dyDescent="0.25">
      <c r="AA1761" s="160"/>
      <c r="AB1761" s="162"/>
      <c r="AC1761" s="162"/>
      <c r="AD1761" s="162">
        <f t="shared" si="47"/>
        <v>0</v>
      </c>
      <c r="AE1761" s="160">
        <v>1759</v>
      </c>
    </row>
    <row r="1762" spans="27:31" x14ac:dyDescent="0.25">
      <c r="AA1762" s="160"/>
      <c r="AB1762" s="162"/>
      <c r="AC1762" s="162"/>
      <c r="AD1762" s="162">
        <f t="shared" si="47"/>
        <v>0</v>
      </c>
      <c r="AE1762" s="160">
        <v>1760</v>
      </c>
    </row>
    <row r="1763" spans="27:31" x14ac:dyDescent="0.25">
      <c r="AA1763" s="160"/>
      <c r="AB1763" s="162"/>
      <c r="AC1763" s="162"/>
      <c r="AD1763" s="162">
        <f t="shared" si="47"/>
        <v>0</v>
      </c>
      <c r="AE1763" s="160">
        <v>1761</v>
      </c>
    </row>
    <row r="1764" spans="27:31" x14ac:dyDescent="0.25">
      <c r="AA1764" s="160"/>
      <c r="AB1764" s="162"/>
      <c r="AC1764" s="162"/>
      <c r="AD1764" s="162">
        <f t="shared" si="47"/>
        <v>0</v>
      </c>
      <c r="AE1764" s="160">
        <v>1762</v>
      </c>
    </row>
    <row r="1765" spans="27:31" x14ac:dyDescent="0.25">
      <c r="AA1765" s="160"/>
      <c r="AB1765" s="162"/>
      <c r="AC1765" s="162"/>
      <c r="AD1765" s="162">
        <f t="shared" si="47"/>
        <v>0</v>
      </c>
      <c r="AE1765" s="160">
        <v>1763</v>
      </c>
    </row>
    <row r="1766" spans="27:31" x14ac:dyDescent="0.25">
      <c r="AA1766" s="160"/>
      <c r="AB1766" s="162"/>
      <c r="AC1766" s="162"/>
      <c r="AD1766" s="162">
        <f t="shared" si="47"/>
        <v>0</v>
      </c>
      <c r="AE1766" s="160">
        <v>1764</v>
      </c>
    </row>
    <row r="1767" spans="27:31" x14ac:dyDescent="0.25">
      <c r="AA1767" s="160"/>
      <c r="AB1767" s="162"/>
      <c r="AC1767" s="162"/>
      <c r="AD1767" s="162">
        <f t="shared" si="47"/>
        <v>0</v>
      </c>
      <c r="AE1767" s="160">
        <v>1765</v>
      </c>
    </row>
    <row r="1768" spans="27:31" x14ac:dyDescent="0.25">
      <c r="AA1768" s="160"/>
      <c r="AB1768" s="162"/>
      <c r="AC1768" s="162"/>
      <c r="AD1768" s="162">
        <f t="shared" si="47"/>
        <v>0</v>
      </c>
      <c r="AE1768" s="160">
        <v>1766</v>
      </c>
    </row>
    <row r="1769" spans="27:31" x14ac:dyDescent="0.25">
      <c r="AA1769" s="160"/>
      <c r="AB1769" s="162"/>
      <c r="AC1769" s="162"/>
      <c r="AD1769" s="162">
        <f t="shared" si="47"/>
        <v>0</v>
      </c>
      <c r="AE1769" s="160">
        <v>1767</v>
      </c>
    </row>
    <row r="1770" spans="27:31" x14ac:dyDescent="0.25">
      <c r="AA1770" s="160"/>
      <c r="AB1770" s="162"/>
      <c r="AC1770" s="162"/>
      <c r="AD1770" s="162">
        <f t="shared" si="47"/>
        <v>0</v>
      </c>
      <c r="AE1770" s="160">
        <v>1768</v>
      </c>
    </row>
    <row r="1771" spans="27:31" x14ac:dyDescent="0.25">
      <c r="AA1771" s="160"/>
      <c r="AB1771" s="162"/>
      <c r="AC1771" s="162"/>
      <c r="AD1771" s="162">
        <f t="shared" si="47"/>
        <v>0</v>
      </c>
      <c r="AE1771" s="160">
        <v>1769</v>
      </c>
    </row>
    <row r="1772" spans="27:31" x14ac:dyDescent="0.25">
      <c r="AA1772" s="160"/>
      <c r="AB1772" s="162"/>
      <c r="AC1772" s="162"/>
      <c r="AD1772" s="162">
        <f t="shared" si="47"/>
        <v>0</v>
      </c>
      <c r="AE1772" s="160">
        <v>1770</v>
      </c>
    </row>
    <row r="1773" spans="27:31" x14ac:dyDescent="0.25">
      <c r="AA1773" s="160"/>
      <c r="AB1773" s="162"/>
      <c r="AC1773" s="162"/>
      <c r="AD1773" s="162">
        <f t="shared" si="47"/>
        <v>0</v>
      </c>
      <c r="AE1773" s="160">
        <v>1771</v>
      </c>
    </row>
    <row r="1774" spans="27:31" x14ac:dyDescent="0.25">
      <c r="AA1774" s="160"/>
      <c r="AB1774" s="162"/>
      <c r="AC1774" s="162"/>
      <c r="AD1774" s="162">
        <f t="shared" si="47"/>
        <v>0</v>
      </c>
      <c r="AE1774" s="160">
        <v>1772</v>
      </c>
    </row>
    <row r="1775" spans="27:31" x14ac:dyDescent="0.25">
      <c r="AA1775" s="160"/>
      <c r="AB1775" s="162"/>
      <c r="AC1775" s="162"/>
      <c r="AD1775" s="162">
        <f t="shared" si="47"/>
        <v>0</v>
      </c>
      <c r="AE1775" s="160">
        <v>1773</v>
      </c>
    </row>
    <row r="1776" spans="27:31" x14ac:dyDescent="0.25">
      <c r="AA1776" s="160"/>
      <c r="AB1776" s="162"/>
      <c r="AC1776" s="162"/>
      <c r="AD1776" s="162">
        <f t="shared" si="47"/>
        <v>0</v>
      </c>
      <c r="AE1776" s="160">
        <v>1774</v>
      </c>
    </row>
    <row r="1777" spans="27:31" x14ac:dyDescent="0.25">
      <c r="AA1777" s="160"/>
      <c r="AB1777" s="162"/>
      <c r="AC1777" s="162"/>
      <c r="AD1777" s="162">
        <f t="shared" si="47"/>
        <v>0</v>
      </c>
      <c r="AE1777" s="160">
        <v>1775</v>
      </c>
    </row>
    <row r="1778" spans="27:31" x14ac:dyDescent="0.25">
      <c r="AA1778" s="160"/>
      <c r="AB1778" s="162"/>
      <c r="AC1778" s="162"/>
      <c r="AD1778" s="162">
        <f t="shared" si="47"/>
        <v>0</v>
      </c>
      <c r="AE1778" s="160">
        <v>1776</v>
      </c>
    </row>
    <row r="1779" spans="27:31" x14ac:dyDescent="0.25">
      <c r="AA1779" s="160"/>
      <c r="AB1779" s="162"/>
      <c r="AC1779" s="162"/>
      <c r="AD1779" s="162">
        <f t="shared" si="47"/>
        <v>0</v>
      </c>
      <c r="AE1779" s="160">
        <v>1777</v>
      </c>
    </row>
    <row r="1780" spans="27:31" x14ac:dyDescent="0.25">
      <c r="AA1780" s="160"/>
      <c r="AB1780" s="162"/>
      <c r="AC1780" s="162"/>
      <c r="AD1780" s="162">
        <f t="shared" si="47"/>
        <v>0</v>
      </c>
      <c r="AE1780" s="160">
        <v>1778</v>
      </c>
    </row>
    <row r="1781" spans="27:31" x14ac:dyDescent="0.25">
      <c r="AA1781" s="160"/>
      <c r="AB1781" s="162"/>
      <c r="AC1781" s="162"/>
      <c r="AD1781" s="162">
        <f t="shared" si="47"/>
        <v>0</v>
      </c>
      <c r="AE1781" s="160">
        <v>1779</v>
      </c>
    </row>
    <row r="1782" spans="27:31" x14ac:dyDescent="0.25">
      <c r="AA1782" s="160"/>
      <c r="AB1782" s="162"/>
      <c r="AC1782" s="162"/>
      <c r="AD1782" s="162">
        <f t="shared" si="47"/>
        <v>0</v>
      </c>
      <c r="AE1782" s="160">
        <v>1780</v>
      </c>
    </row>
    <row r="1783" spans="27:31" x14ac:dyDescent="0.25">
      <c r="AA1783" s="160"/>
      <c r="AB1783" s="162"/>
      <c r="AC1783" s="162"/>
      <c r="AD1783" s="162">
        <f t="shared" si="47"/>
        <v>0</v>
      </c>
      <c r="AE1783" s="160">
        <v>1781</v>
      </c>
    </row>
    <row r="1784" spans="27:31" x14ac:dyDescent="0.25">
      <c r="AA1784" s="160"/>
      <c r="AB1784" s="162"/>
      <c r="AC1784" s="162"/>
      <c r="AD1784" s="162">
        <f t="shared" si="47"/>
        <v>0</v>
      </c>
      <c r="AE1784" s="160">
        <v>1782</v>
      </c>
    </row>
    <row r="1785" spans="27:31" x14ac:dyDescent="0.25">
      <c r="AA1785" s="160"/>
      <c r="AB1785" s="162"/>
      <c r="AC1785" s="162"/>
      <c r="AD1785" s="162">
        <f t="shared" si="47"/>
        <v>0</v>
      </c>
      <c r="AE1785" s="160">
        <v>1783</v>
      </c>
    </row>
    <row r="1786" spans="27:31" x14ac:dyDescent="0.25">
      <c r="AA1786" s="160"/>
      <c r="AB1786" s="162"/>
      <c r="AC1786" s="162"/>
      <c r="AD1786" s="162">
        <f t="shared" si="47"/>
        <v>0</v>
      </c>
      <c r="AE1786" s="160">
        <v>1784</v>
      </c>
    </row>
    <row r="1787" spans="27:31" x14ac:dyDescent="0.25">
      <c r="AA1787" s="160"/>
      <c r="AB1787" s="162"/>
      <c r="AC1787" s="162"/>
      <c r="AD1787" s="162">
        <f t="shared" si="47"/>
        <v>0</v>
      </c>
      <c r="AE1787" s="160">
        <v>1785</v>
      </c>
    </row>
    <row r="1788" spans="27:31" x14ac:dyDescent="0.25">
      <c r="AA1788" s="160"/>
      <c r="AB1788" s="162"/>
      <c r="AC1788" s="162"/>
      <c r="AD1788" s="162">
        <f t="shared" si="47"/>
        <v>0</v>
      </c>
      <c r="AE1788" s="160">
        <v>1786</v>
      </c>
    </row>
    <row r="1789" spans="27:31" x14ac:dyDescent="0.25">
      <c r="AA1789" s="160"/>
      <c r="AB1789" s="162"/>
      <c r="AC1789" s="162"/>
      <c r="AD1789" s="162">
        <f t="shared" si="47"/>
        <v>0</v>
      </c>
      <c r="AE1789" s="160">
        <v>1787</v>
      </c>
    </row>
    <row r="1790" spans="27:31" x14ac:dyDescent="0.25">
      <c r="AA1790" s="160"/>
      <c r="AB1790" s="162"/>
      <c r="AC1790" s="162"/>
      <c r="AD1790" s="162">
        <f t="shared" si="47"/>
        <v>0</v>
      </c>
      <c r="AE1790" s="160">
        <v>1788</v>
      </c>
    </row>
    <row r="1791" spans="27:31" x14ac:dyDescent="0.25">
      <c r="AA1791" s="160"/>
      <c r="AB1791" s="162"/>
      <c r="AC1791" s="162"/>
      <c r="AD1791" s="162">
        <f t="shared" si="47"/>
        <v>0</v>
      </c>
      <c r="AE1791" s="160">
        <v>1789</v>
      </c>
    </row>
    <row r="1792" spans="27:31" x14ac:dyDescent="0.25">
      <c r="AA1792" s="160"/>
      <c r="AB1792" s="162"/>
      <c r="AC1792" s="162"/>
      <c r="AD1792" s="162">
        <f t="shared" si="47"/>
        <v>0</v>
      </c>
      <c r="AE1792" s="160">
        <v>1790</v>
      </c>
    </row>
    <row r="1793" spans="27:31" x14ac:dyDescent="0.25">
      <c r="AA1793" s="160"/>
      <c r="AB1793" s="162"/>
      <c r="AC1793" s="162"/>
      <c r="AD1793" s="162">
        <f t="shared" si="47"/>
        <v>0</v>
      </c>
      <c r="AE1793" s="160">
        <v>1791</v>
      </c>
    </row>
    <row r="1794" spans="27:31" x14ac:dyDescent="0.25">
      <c r="AA1794" s="160"/>
      <c r="AB1794" s="162"/>
      <c r="AC1794" s="162"/>
      <c r="AD1794" s="162">
        <f t="shared" si="47"/>
        <v>0</v>
      </c>
      <c r="AE1794" s="160">
        <v>1792</v>
      </c>
    </row>
    <row r="1795" spans="27:31" x14ac:dyDescent="0.25">
      <c r="AA1795" s="160"/>
      <c r="AB1795" s="162"/>
      <c r="AC1795" s="162"/>
      <c r="AD1795" s="162">
        <f t="shared" si="47"/>
        <v>0</v>
      </c>
      <c r="AE1795" s="160">
        <v>1793</v>
      </c>
    </row>
    <row r="1796" spans="27:31" x14ac:dyDescent="0.25">
      <c r="AA1796" s="160"/>
      <c r="AB1796" s="162"/>
      <c r="AC1796" s="162"/>
      <c r="AD1796" s="162">
        <f t="shared" ref="AD1796:AD1859" si="48">AB1796+AC1796</f>
        <v>0</v>
      </c>
      <c r="AE1796" s="160">
        <v>1794</v>
      </c>
    </row>
    <row r="1797" spans="27:31" x14ac:dyDescent="0.25">
      <c r="AA1797" s="160"/>
      <c r="AB1797" s="162"/>
      <c r="AC1797" s="162"/>
      <c r="AD1797" s="162">
        <f t="shared" si="48"/>
        <v>0</v>
      </c>
      <c r="AE1797" s="160">
        <v>1795</v>
      </c>
    </row>
    <row r="1798" spans="27:31" x14ac:dyDescent="0.25">
      <c r="AA1798" s="160"/>
      <c r="AB1798" s="162"/>
      <c r="AC1798" s="162"/>
      <c r="AD1798" s="162">
        <f t="shared" si="48"/>
        <v>0</v>
      </c>
      <c r="AE1798" s="160">
        <v>1796</v>
      </c>
    </row>
    <row r="1799" spans="27:31" x14ac:dyDescent="0.25">
      <c r="AA1799" s="160"/>
      <c r="AB1799" s="162"/>
      <c r="AC1799" s="162"/>
      <c r="AD1799" s="162">
        <f t="shared" si="48"/>
        <v>0</v>
      </c>
      <c r="AE1799" s="160">
        <v>1797</v>
      </c>
    </row>
    <row r="1800" spans="27:31" x14ac:dyDescent="0.25">
      <c r="AA1800" s="160"/>
      <c r="AB1800" s="162"/>
      <c r="AC1800" s="162"/>
      <c r="AD1800" s="162">
        <f t="shared" si="48"/>
        <v>0</v>
      </c>
      <c r="AE1800" s="160">
        <v>1798</v>
      </c>
    </row>
    <row r="1801" spans="27:31" x14ac:dyDescent="0.25">
      <c r="AA1801" s="160"/>
      <c r="AB1801" s="162"/>
      <c r="AC1801" s="162"/>
      <c r="AD1801" s="162">
        <f t="shared" si="48"/>
        <v>0</v>
      </c>
      <c r="AE1801" s="160">
        <v>1799</v>
      </c>
    </row>
    <row r="1802" spans="27:31" x14ac:dyDescent="0.25">
      <c r="AA1802" s="160"/>
      <c r="AB1802" s="162"/>
      <c r="AC1802" s="162"/>
      <c r="AD1802" s="162">
        <f t="shared" si="48"/>
        <v>0</v>
      </c>
      <c r="AE1802" s="160">
        <v>1800</v>
      </c>
    </row>
    <row r="1803" spans="27:31" x14ac:dyDescent="0.25">
      <c r="AA1803" s="160"/>
      <c r="AB1803" s="162"/>
      <c r="AC1803" s="162"/>
      <c r="AD1803" s="162">
        <f t="shared" si="48"/>
        <v>0</v>
      </c>
      <c r="AE1803" s="160">
        <v>1801</v>
      </c>
    </row>
    <row r="1804" spans="27:31" x14ac:dyDescent="0.25">
      <c r="AA1804" s="160"/>
      <c r="AB1804" s="162"/>
      <c r="AC1804" s="162"/>
      <c r="AD1804" s="162">
        <f t="shared" si="48"/>
        <v>0</v>
      </c>
      <c r="AE1804" s="160">
        <v>1802</v>
      </c>
    </row>
    <row r="1805" spans="27:31" x14ac:dyDescent="0.25">
      <c r="AA1805" s="160"/>
      <c r="AB1805" s="162"/>
      <c r="AC1805" s="162"/>
      <c r="AD1805" s="162">
        <f t="shared" si="48"/>
        <v>0</v>
      </c>
      <c r="AE1805" s="160">
        <v>1803</v>
      </c>
    </row>
    <row r="1806" spans="27:31" x14ac:dyDescent="0.25">
      <c r="AA1806" s="160"/>
      <c r="AB1806" s="162"/>
      <c r="AC1806" s="162"/>
      <c r="AD1806" s="162">
        <f t="shared" si="48"/>
        <v>0</v>
      </c>
      <c r="AE1806" s="160">
        <v>1804</v>
      </c>
    </row>
    <row r="1807" spans="27:31" x14ac:dyDescent="0.25">
      <c r="AA1807" s="160"/>
      <c r="AB1807" s="162"/>
      <c r="AC1807" s="162"/>
      <c r="AD1807" s="162">
        <f t="shared" si="48"/>
        <v>0</v>
      </c>
      <c r="AE1807" s="160">
        <v>1805</v>
      </c>
    </row>
    <row r="1808" spans="27:31" x14ac:dyDescent="0.25">
      <c r="AA1808" s="160"/>
      <c r="AB1808" s="162"/>
      <c r="AC1808" s="162"/>
      <c r="AD1808" s="162">
        <f t="shared" si="48"/>
        <v>0</v>
      </c>
      <c r="AE1808" s="160">
        <v>1806</v>
      </c>
    </row>
    <row r="1809" spans="27:31" x14ac:dyDescent="0.25">
      <c r="AA1809" s="160"/>
      <c r="AB1809" s="162"/>
      <c r="AC1809" s="162"/>
      <c r="AD1809" s="162">
        <f t="shared" si="48"/>
        <v>0</v>
      </c>
      <c r="AE1809" s="160">
        <v>1807</v>
      </c>
    </row>
    <row r="1810" spans="27:31" x14ac:dyDescent="0.25">
      <c r="AA1810" s="160"/>
      <c r="AB1810" s="162"/>
      <c r="AC1810" s="162"/>
      <c r="AD1810" s="162">
        <f t="shared" si="48"/>
        <v>0</v>
      </c>
      <c r="AE1810" s="160">
        <v>1808</v>
      </c>
    </row>
    <row r="1811" spans="27:31" x14ac:dyDescent="0.25">
      <c r="AA1811" s="160"/>
      <c r="AB1811" s="162"/>
      <c r="AC1811" s="162"/>
      <c r="AD1811" s="162">
        <f t="shared" si="48"/>
        <v>0</v>
      </c>
      <c r="AE1811" s="160">
        <v>1809</v>
      </c>
    </row>
    <row r="1812" spans="27:31" x14ac:dyDescent="0.25">
      <c r="AA1812" s="160"/>
      <c r="AB1812" s="162"/>
      <c r="AC1812" s="162"/>
      <c r="AD1812" s="162">
        <f t="shared" si="48"/>
        <v>0</v>
      </c>
      <c r="AE1812" s="160">
        <v>1810</v>
      </c>
    </row>
    <row r="1813" spans="27:31" x14ac:dyDescent="0.25">
      <c r="AA1813" s="160"/>
      <c r="AB1813" s="162"/>
      <c r="AC1813" s="162"/>
      <c r="AD1813" s="162">
        <f t="shared" si="48"/>
        <v>0</v>
      </c>
      <c r="AE1813" s="160">
        <v>1811</v>
      </c>
    </row>
    <row r="1814" spans="27:31" x14ac:dyDescent="0.25">
      <c r="AA1814" s="160"/>
      <c r="AB1814" s="162"/>
      <c r="AC1814" s="162"/>
      <c r="AD1814" s="162">
        <f t="shared" si="48"/>
        <v>0</v>
      </c>
      <c r="AE1814" s="160">
        <v>1812</v>
      </c>
    </row>
    <row r="1815" spans="27:31" x14ac:dyDescent="0.25">
      <c r="AA1815" s="160"/>
      <c r="AB1815" s="162"/>
      <c r="AC1815" s="162"/>
      <c r="AD1815" s="162">
        <f t="shared" si="48"/>
        <v>0</v>
      </c>
      <c r="AE1815" s="160">
        <v>1813</v>
      </c>
    </row>
    <row r="1816" spans="27:31" x14ac:dyDescent="0.25">
      <c r="AA1816" s="160"/>
      <c r="AB1816" s="162"/>
      <c r="AC1816" s="162"/>
      <c r="AD1816" s="162">
        <f t="shared" si="48"/>
        <v>0</v>
      </c>
      <c r="AE1816" s="160">
        <v>1814</v>
      </c>
    </row>
    <row r="1817" spans="27:31" x14ac:dyDescent="0.25">
      <c r="AA1817" s="160"/>
      <c r="AB1817" s="162"/>
      <c r="AC1817" s="162"/>
      <c r="AD1817" s="162">
        <f t="shared" si="48"/>
        <v>0</v>
      </c>
      <c r="AE1817" s="160">
        <v>1815</v>
      </c>
    </row>
    <row r="1818" spans="27:31" x14ac:dyDescent="0.25">
      <c r="AA1818" s="160"/>
      <c r="AB1818" s="162"/>
      <c r="AC1818" s="162"/>
      <c r="AD1818" s="162">
        <f t="shared" si="48"/>
        <v>0</v>
      </c>
      <c r="AE1818" s="160">
        <v>1816</v>
      </c>
    </row>
    <row r="1819" spans="27:31" x14ac:dyDescent="0.25">
      <c r="AA1819" s="160"/>
      <c r="AB1819" s="162"/>
      <c r="AC1819" s="162"/>
      <c r="AD1819" s="162">
        <f t="shared" si="48"/>
        <v>0</v>
      </c>
      <c r="AE1819" s="160">
        <v>1817</v>
      </c>
    </row>
    <row r="1820" spans="27:31" x14ac:dyDescent="0.25">
      <c r="AA1820" s="160"/>
      <c r="AB1820" s="162"/>
      <c r="AC1820" s="162"/>
      <c r="AD1820" s="162">
        <f t="shared" si="48"/>
        <v>0</v>
      </c>
      <c r="AE1820" s="160">
        <v>1818</v>
      </c>
    </row>
    <row r="1821" spans="27:31" x14ac:dyDescent="0.25">
      <c r="AA1821" s="160"/>
      <c r="AB1821" s="162"/>
      <c r="AC1821" s="162"/>
      <c r="AD1821" s="162">
        <f t="shared" si="48"/>
        <v>0</v>
      </c>
      <c r="AE1821" s="160">
        <v>1819</v>
      </c>
    </row>
    <row r="1822" spans="27:31" x14ac:dyDescent="0.25">
      <c r="AA1822" s="160"/>
      <c r="AB1822" s="162"/>
      <c r="AC1822" s="162"/>
      <c r="AD1822" s="162">
        <f t="shared" si="48"/>
        <v>0</v>
      </c>
      <c r="AE1822" s="160">
        <v>1820</v>
      </c>
    </row>
    <row r="1823" spans="27:31" x14ac:dyDescent="0.25">
      <c r="AA1823" s="160"/>
      <c r="AB1823" s="162"/>
      <c r="AC1823" s="162"/>
      <c r="AD1823" s="162">
        <f t="shared" si="48"/>
        <v>0</v>
      </c>
      <c r="AE1823" s="160">
        <v>1821</v>
      </c>
    </row>
    <row r="1824" spans="27:31" x14ac:dyDescent="0.25">
      <c r="AA1824" s="160"/>
      <c r="AB1824" s="162"/>
      <c r="AC1824" s="162"/>
      <c r="AD1824" s="162">
        <f t="shared" si="48"/>
        <v>0</v>
      </c>
      <c r="AE1824" s="160">
        <v>1822</v>
      </c>
    </row>
    <row r="1825" spans="27:31" x14ac:dyDescent="0.25">
      <c r="AA1825" s="160"/>
      <c r="AB1825" s="162"/>
      <c r="AC1825" s="162"/>
      <c r="AD1825" s="162">
        <f t="shared" si="48"/>
        <v>0</v>
      </c>
      <c r="AE1825" s="160">
        <v>1823</v>
      </c>
    </row>
    <row r="1826" spans="27:31" x14ac:dyDescent="0.25">
      <c r="AA1826" s="160"/>
      <c r="AB1826" s="162"/>
      <c r="AC1826" s="162"/>
      <c r="AD1826" s="162">
        <f t="shared" si="48"/>
        <v>0</v>
      </c>
      <c r="AE1826" s="160">
        <v>1824</v>
      </c>
    </row>
    <row r="1827" spans="27:31" x14ac:dyDescent="0.25">
      <c r="AA1827" s="160"/>
      <c r="AB1827" s="162"/>
      <c r="AC1827" s="162"/>
      <c r="AD1827" s="162">
        <f t="shared" si="48"/>
        <v>0</v>
      </c>
      <c r="AE1827" s="160">
        <v>1825</v>
      </c>
    </row>
    <row r="1828" spans="27:31" x14ac:dyDescent="0.25">
      <c r="AA1828" s="160"/>
      <c r="AB1828" s="162"/>
      <c r="AC1828" s="162"/>
      <c r="AD1828" s="162">
        <f t="shared" si="48"/>
        <v>0</v>
      </c>
      <c r="AE1828" s="160">
        <v>1826</v>
      </c>
    </row>
    <row r="1829" spans="27:31" x14ac:dyDescent="0.25">
      <c r="AA1829" s="160"/>
      <c r="AB1829" s="162"/>
      <c r="AC1829" s="162"/>
      <c r="AD1829" s="162">
        <f t="shared" si="48"/>
        <v>0</v>
      </c>
      <c r="AE1829" s="160">
        <v>1827</v>
      </c>
    </row>
    <row r="1830" spans="27:31" x14ac:dyDescent="0.25">
      <c r="AA1830" s="160"/>
      <c r="AB1830" s="162"/>
      <c r="AC1830" s="162"/>
      <c r="AD1830" s="162">
        <f t="shared" si="48"/>
        <v>0</v>
      </c>
      <c r="AE1830" s="160">
        <v>1828</v>
      </c>
    </row>
    <row r="1831" spans="27:31" x14ac:dyDescent="0.25">
      <c r="AA1831" s="160"/>
      <c r="AB1831" s="162"/>
      <c r="AC1831" s="162"/>
      <c r="AD1831" s="162">
        <f t="shared" si="48"/>
        <v>0</v>
      </c>
      <c r="AE1831" s="160">
        <v>1829</v>
      </c>
    </row>
    <row r="1832" spans="27:31" x14ac:dyDescent="0.25">
      <c r="AA1832" s="160"/>
      <c r="AB1832" s="162"/>
      <c r="AC1832" s="162"/>
      <c r="AD1832" s="162">
        <f t="shared" si="48"/>
        <v>0</v>
      </c>
      <c r="AE1832" s="160">
        <v>1830</v>
      </c>
    </row>
    <row r="1833" spans="27:31" x14ac:dyDescent="0.25">
      <c r="AA1833" s="160"/>
      <c r="AB1833" s="162"/>
      <c r="AC1833" s="162"/>
      <c r="AD1833" s="162">
        <f t="shared" si="48"/>
        <v>0</v>
      </c>
      <c r="AE1833" s="160">
        <v>1831</v>
      </c>
    </row>
    <row r="1834" spans="27:31" x14ac:dyDescent="0.25">
      <c r="AA1834" s="160"/>
      <c r="AB1834" s="162"/>
      <c r="AC1834" s="162"/>
      <c r="AD1834" s="162">
        <f t="shared" si="48"/>
        <v>0</v>
      </c>
      <c r="AE1834" s="160">
        <v>1832</v>
      </c>
    </row>
    <row r="1835" spans="27:31" x14ac:dyDescent="0.25">
      <c r="AA1835" s="160"/>
      <c r="AB1835" s="162"/>
      <c r="AC1835" s="162"/>
      <c r="AD1835" s="162">
        <f t="shared" si="48"/>
        <v>0</v>
      </c>
      <c r="AE1835" s="160">
        <v>1833</v>
      </c>
    </row>
    <row r="1836" spans="27:31" x14ac:dyDescent="0.25">
      <c r="AA1836" s="160"/>
      <c r="AB1836" s="162"/>
      <c r="AC1836" s="162"/>
      <c r="AD1836" s="162">
        <f t="shared" si="48"/>
        <v>0</v>
      </c>
      <c r="AE1836" s="160">
        <v>1834</v>
      </c>
    </row>
    <row r="1837" spans="27:31" x14ac:dyDescent="0.25">
      <c r="AA1837" s="160"/>
      <c r="AB1837" s="162"/>
      <c r="AC1837" s="162"/>
      <c r="AD1837" s="162">
        <f t="shared" si="48"/>
        <v>0</v>
      </c>
      <c r="AE1837" s="160">
        <v>1835</v>
      </c>
    </row>
    <row r="1838" spans="27:31" x14ac:dyDescent="0.25">
      <c r="AA1838" s="160"/>
      <c r="AB1838" s="162"/>
      <c r="AC1838" s="162"/>
      <c r="AD1838" s="162">
        <f t="shared" si="48"/>
        <v>0</v>
      </c>
      <c r="AE1838" s="160">
        <v>1836</v>
      </c>
    </row>
    <row r="1839" spans="27:31" x14ac:dyDescent="0.25">
      <c r="AA1839" s="160"/>
      <c r="AB1839" s="162"/>
      <c r="AC1839" s="162"/>
      <c r="AD1839" s="162">
        <f t="shared" si="48"/>
        <v>0</v>
      </c>
      <c r="AE1839" s="160">
        <v>1837</v>
      </c>
    </row>
    <row r="1840" spans="27:31" x14ac:dyDescent="0.25">
      <c r="AA1840" s="160"/>
      <c r="AB1840" s="162"/>
      <c r="AC1840" s="162"/>
      <c r="AD1840" s="162">
        <f t="shared" si="48"/>
        <v>0</v>
      </c>
      <c r="AE1840" s="160">
        <v>1838</v>
      </c>
    </row>
    <row r="1841" spans="27:31" x14ac:dyDescent="0.25">
      <c r="AA1841" s="160"/>
      <c r="AB1841" s="162"/>
      <c r="AC1841" s="162"/>
      <c r="AD1841" s="162">
        <f t="shared" si="48"/>
        <v>0</v>
      </c>
      <c r="AE1841" s="160">
        <v>1839</v>
      </c>
    </row>
    <row r="1842" spans="27:31" x14ac:dyDescent="0.25">
      <c r="AA1842" s="160"/>
      <c r="AB1842" s="162"/>
      <c r="AC1842" s="162"/>
      <c r="AD1842" s="162">
        <f t="shared" si="48"/>
        <v>0</v>
      </c>
      <c r="AE1842" s="160">
        <v>1840</v>
      </c>
    </row>
    <row r="1843" spans="27:31" x14ac:dyDescent="0.25">
      <c r="AA1843" s="160"/>
      <c r="AB1843" s="162"/>
      <c r="AC1843" s="162"/>
      <c r="AD1843" s="162">
        <f t="shared" si="48"/>
        <v>0</v>
      </c>
      <c r="AE1843" s="160">
        <v>1841</v>
      </c>
    </row>
    <row r="1844" spans="27:31" x14ac:dyDescent="0.25">
      <c r="AA1844" s="160"/>
      <c r="AB1844" s="162"/>
      <c r="AC1844" s="162"/>
      <c r="AD1844" s="162">
        <f t="shared" si="48"/>
        <v>0</v>
      </c>
      <c r="AE1844" s="160">
        <v>1842</v>
      </c>
    </row>
    <row r="1845" spans="27:31" x14ac:dyDescent="0.25">
      <c r="AA1845" s="160"/>
      <c r="AB1845" s="162"/>
      <c r="AC1845" s="162"/>
      <c r="AD1845" s="162">
        <f t="shared" si="48"/>
        <v>0</v>
      </c>
      <c r="AE1845" s="160">
        <v>1843</v>
      </c>
    </row>
    <row r="1846" spans="27:31" x14ac:dyDescent="0.25">
      <c r="AA1846" s="160"/>
      <c r="AB1846" s="162"/>
      <c r="AC1846" s="162"/>
      <c r="AD1846" s="162">
        <f t="shared" si="48"/>
        <v>0</v>
      </c>
      <c r="AE1846" s="160">
        <v>1844</v>
      </c>
    </row>
    <row r="1847" spans="27:31" x14ac:dyDescent="0.25">
      <c r="AA1847" s="160"/>
      <c r="AB1847" s="162"/>
      <c r="AC1847" s="162"/>
      <c r="AD1847" s="162">
        <f t="shared" si="48"/>
        <v>0</v>
      </c>
      <c r="AE1847" s="160">
        <v>1845</v>
      </c>
    </row>
    <row r="1848" spans="27:31" x14ac:dyDescent="0.25">
      <c r="AA1848" s="160"/>
      <c r="AB1848" s="162"/>
      <c r="AC1848" s="162"/>
      <c r="AD1848" s="162">
        <f t="shared" si="48"/>
        <v>0</v>
      </c>
      <c r="AE1848" s="160">
        <v>1846</v>
      </c>
    </row>
    <row r="1849" spans="27:31" x14ac:dyDescent="0.25">
      <c r="AA1849" s="160"/>
      <c r="AB1849" s="162"/>
      <c r="AC1849" s="162"/>
      <c r="AD1849" s="162">
        <f t="shared" si="48"/>
        <v>0</v>
      </c>
      <c r="AE1849" s="160">
        <v>1847</v>
      </c>
    </row>
    <row r="1850" spans="27:31" x14ac:dyDescent="0.25">
      <c r="AA1850" s="160"/>
      <c r="AB1850" s="162"/>
      <c r="AC1850" s="162"/>
      <c r="AD1850" s="162">
        <f t="shared" si="48"/>
        <v>0</v>
      </c>
      <c r="AE1850" s="160">
        <v>1848</v>
      </c>
    </row>
    <row r="1851" spans="27:31" x14ac:dyDescent="0.25">
      <c r="AA1851" s="160"/>
      <c r="AB1851" s="162"/>
      <c r="AC1851" s="162"/>
      <c r="AD1851" s="162">
        <f t="shared" si="48"/>
        <v>0</v>
      </c>
      <c r="AE1851" s="160">
        <v>1849</v>
      </c>
    </row>
    <row r="1852" spans="27:31" x14ac:dyDescent="0.25">
      <c r="AA1852" s="160"/>
      <c r="AB1852" s="162"/>
      <c r="AC1852" s="162"/>
      <c r="AD1852" s="162">
        <f t="shared" si="48"/>
        <v>0</v>
      </c>
      <c r="AE1852" s="160">
        <v>1850</v>
      </c>
    </row>
    <row r="1853" spans="27:31" x14ac:dyDescent="0.25">
      <c r="AA1853" s="160"/>
      <c r="AB1853" s="162"/>
      <c r="AC1853" s="162"/>
      <c r="AD1853" s="162">
        <f t="shared" si="48"/>
        <v>0</v>
      </c>
      <c r="AE1853" s="160">
        <v>1851</v>
      </c>
    </row>
    <row r="1854" spans="27:31" x14ac:dyDescent="0.25">
      <c r="AA1854" s="160"/>
      <c r="AB1854" s="162"/>
      <c r="AC1854" s="162"/>
      <c r="AD1854" s="162">
        <f t="shared" si="48"/>
        <v>0</v>
      </c>
      <c r="AE1854" s="160">
        <v>1852</v>
      </c>
    </row>
    <row r="1855" spans="27:31" x14ac:dyDescent="0.25">
      <c r="AA1855" s="160"/>
      <c r="AB1855" s="162"/>
      <c r="AC1855" s="162"/>
      <c r="AD1855" s="162">
        <f t="shared" si="48"/>
        <v>0</v>
      </c>
      <c r="AE1855" s="160">
        <v>1853</v>
      </c>
    </row>
    <row r="1856" spans="27:31" x14ac:dyDescent="0.25">
      <c r="AA1856" s="160"/>
      <c r="AB1856" s="162"/>
      <c r="AC1856" s="162"/>
      <c r="AD1856" s="162">
        <f t="shared" si="48"/>
        <v>0</v>
      </c>
      <c r="AE1856" s="160">
        <v>1854</v>
      </c>
    </row>
    <row r="1857" spans="27:31" x14ac:dyDescent="0.25">
      <c r="AA1857" s="160"/>
      <c r="AB1857" s="162"/>
      <c r="AC1857" s="162"/>
      <c r="AD1857" s="162">
        <f t="shared" si="48"/>
        <v>0</v>
      </c>
      <c r="AE1857" s="160">
        <v>1855</v>
      </c>
    </row>
    <row r="1858" spans="27:31" x14ac:dyDescent="0.25">
      <c r="AA1858" s="160"/>
      <c r="AB1858" s="162"/>
      <c r="AC1858" s="162"/>
      <c r="AD1858" s="162">
        <f t="shared" si="48"/>
        <v>0</v>
      </c>
      <c r="AE1858" s="160">
        <v>1856</v>
      </c>
    </row>
    <row r="1859" spans="27:31" x14ac:dyDescent="0.25">
      <c r="AA1859" s="160"/>
      <c r="AB1859" s="162"/>
      <c r="AC1859" s="162"/>
      <c r="AD1859" s="162">
        <f t="shared" si="48"/>
        <v>0</v>
      </c>
      <c r="AE1859" s="160">
        <v>1857</v>
      </c>
    </row>
    <row r="1860" spans="27:31" x14ac:dyDescent="0.25">
      <c r="AA1860" s="160"/>
      <c r="AB1860" s="162"/>
      <c r="AC1860" s="162"/>
      <c r="AD1860" s="162">
        <f t="shared" ref="AD1860:AD1923" si="49">AB1860+AC1860</f>
        <v>0</v>
      </c>
      <c r="AE1860" s="160">
        <v>1858</v>
      </c>
    </row>
    <row r="1861" spans="27:31" x14ac:dyDescent="0.25">
      <c r="AA1861" s="160"/>
      <c r="AB1861" s="162"/>
      <c r="AC1861" s="162"/>
      <c r="AD1861" s="162">
        <f t="shared" si="49"/>
        <v>0</v>
      </c>
      <c r="AE1861" s="160">
        <v>1859</v>
      </c>
    </row>
    <row r="1862" spans="27:31" x14ac:dyDescent="0.25">
      <c r="AA1862" s="160"/>
      <c r="AB1862" s="162"/>
      <c r="AC1862" s="162"/>
      <c r="AD1862" s="162">
        <f t="shared" si="49"/>
        <v>0</v>
      </c>
      <c r="AE1862" s="160">
        <v>1860</v>
      </c>
    </row>
    <row r="1863" spans="27:31" x14ac:dyDescent="0.25">
      <c r="AA1863" s="160"/>
      <c r="AB1863" s="162"/>
      <c r="AC1863" s="162"/>
      <c r="AD1863" s="162">
        <f t="shared" si="49"/>
        <v>0</v>
      </c>
      <c r="AE1863" s="160">
        <v>1861</v>
      </c>
    </row>
    <row r="1864" spans="27:31" x14ac:dyDescent="0.25">
      <c r="AA1864" s="160"/>
      <c r="AB1864" s="162"/>
      <c r="AC1864" s="162"/>
      <c r="AD1864" s="162">
        <f t="shared" si="49"/>
        <v>0</v>
      </c>
      <c r="AE1864" s="160">
        <v>1862</v>
      </c>
    </row>
    <row r="1865" spans="27:31" x14ac:dyDescent="0.25">
      <c r="AA1865" s="160"/>
      <c r="AB1865" s="162"/>
      <c r="AC1865" s="162"/>
      <c r="AD1865" s="162">
        <f t="shared" si="49"/>
        <v>0</v>
      </c>
      <c r="AE1865" s="160">
        <v>1863</v>
      </c>
    </row>
    <row r="1866" spans="27:31" x14ac:dyDescent="0.25">
      <c r="AA1866" s="160"/>
      <c r="AB1866" s="162"/>
      <c r="AC1866" s="162"/>
      <c r="AD1866" s="162">
        <f t="shared" si="49"/>
        <v>0</v>
      </c>
      <c r="AE1866" s="160">
        <v>1864</v>
      </c>
    </row>
    <row r="1867" spans="27:31" x14ac:dyDescent="0.25">
      <c r="AA1867" s="160"/>
      <c r="AB1867" s="162"/>
      <c r="AC1867" s="162"/>
      <c r="AD1867" s="162">
        <f t="shared" si="49"/>
        <v>0</v>
      </c>
      <c r="AE1867" s="160">
        <v>1865</v>
      </c>
    </row>
    <row r="1868" spans="27:31" x14ac:dyDescent="0.25">
      <c r="AA1868" s="160"/>
      <c r="AB1868" s="162"/>
      <c r="AC1868" s="162"/>
      <c r="AD1868" s="162">
        <f t="shared" si="49"/>
        <v>0</v>
      </c>
      <c r="AE1868" s="160">
        <v>1866</v>
      </c>
    </row>
    <row r="1869" spans="27:31" x14ac:dyDescent="0.25">
      <c r="AA1869" s="160"/>
      <c r="AB1869" s="162"/>
      <c r="AC1869" s="162"/>
      <c r="AD1869" s="162">
        <f t="shared" si="49"/>
        <v>0</v>
      </c>
      <c r="AE1869" s="160">
        <v>1867</v>
      </c>
    </row>
    <row r="1870" spans="27:31" x14ac:dyDescent="0.25">
      <c r="AA1870" s="160"/>
      <c r="AB1870" s="162"/>
      <c r="AC1870" s="162"/>
      <c r="AD1870" s="162">
        <f t="shared" si="49"/>
        <v>0</v>
      </c>
      <c r="AE1870" s="160">
        <v>1868</v>
      </c>
    </row>
    <row r="1871" spans="27:31" x14ac:dyDescent="0.25">
      <c r="AA1871" s="160"/>
      <c r="AB1871" s="162"/>
      <c r="AC1871" s="162"/>
      <c r="AD1871" s="162">
        <f t="shared" si="49"/>
        <v>0</v>
      </c>
      <c r="AE1871" s="160">
        <v>1869</v>
      </c>
    </row>
    <row r="1872" spans="27:31" x14ac:dyDescent="0.25">
      <c r="AA1872" s="160"/>
      <c r="AB1872" s="162"/>
      <c r="AC1872" s="162"/>
      <c r="AD1872" s="162">
        <f t="shared" si="49"/>
        <v>0</v>
      </c>
      <c r="AE1872" s="160">
        <v>1870</v>
      </c>
    </row>
    <row r="1873" spans="27:31" x14ac:dyDescent="0.25">
      <c r="AA1873" s="160"/>
      <c r="AB1873" s="162"/>
      <c r="AC1873" s="162"/>
      <c r="AD1873" s="162">
        <f t="shared" si="49"/>
        <v>0</v>
      </c>
      <c r="AE1873" s="160">
        <v>1871</v>
      </c>
    </row>
    <row r="1874" spans="27:31" x14ac:dyDescent="0.25">
      <c r="AA1874" s="160"/>
      <c r="AB1874" s="162"/>
      <c r="AC1874" s="162"/>
      <c r="AD1874" s="162">
        <f t="shared" si="49"/>
        <v>0</v>
      </c>
      <c r="AE1874" s="160">
        <v>1872</v>
      </c>
    </row>
    <row r="1875" spans="27:31" x14ac:dyDescent="0.25">
      <c r="AA1875" s="160"/>
      <c r="AB1875" s="162"/>
      <c r="AC1875" s="162"/>
      <c r="AD1875" s="162">
        <f t="shared" si="49"/>
        <v>0</v>
      </c>
      <c r="AE1875" s="160">
        <v>1873</v>
      </c>
    </row>
    <row r="1876" spans="27:31" x14ac:dyDescent="0.25">
      <c r="AA1876" s="160"/>
      <c r="AB1876" s="162"/>
      <c r="AC1876" s="162"/>
      <c r="AD1876" s="162">
        <f t="shared" si="49"/>
        <v>0</v>
      </c>
      <c r="AE1876" s="160">
        <v>1874</v>
      </c>
    </row>
    <row r="1877" spans="27:31" x14ac:dyDescent="0.25">
      <c r="AA1877" s="160"/>
      <c r="AB1877" s="162"/>
      <c r="AC1877" s="162"/>
      <c r="AD1877" s="162">
        <f t="shared" si="49"/>
        <v>0</v>
      </c>
      <c r="AE1877" s="160">
        <v>1875</v>
      </c>
    </row>
    <row r="1878" spans="27:31" x14ac:dyDescent="0.25">
      <c r="AA1878" s="160"/>
      <c r="AB1878" s="162"/>
      <c r="AC1878" s="162"/>
      <c r="AD1878" s="162">
        <f t="shared" si="49"/>
        <v>0</v>
      </c>
      <c r="AE1878" s="160">
        <v>1876</v>
      </c>
    </row>
    <row r="1879" spans="27:31" x14ac:dyDescent="0.25">
      <c r="AA1879" s="160"/>
      <c r="AB1879" s="162"/>
      <c r="AC1879" s="162"/>
      <c r="AD1879" s="162">
        <f t="shared" si="49"/>
        <v>0</v>
      </c>
      <c r="AE1879" s="160">
        <v>1877</v>
      </c>
    </row>
    <row r="1880" spans="27:31" x14ac:dyDescent="0.25">
      <c r="AA1880" s="160"/>
      <c r="AB1880" s="162"/>
      <c r="AC1880" s="162"/>
      <c r="AD1880" s="162">
        <f t="shared" si="49"/>
        <v>0</v>
      </c>
      <c r="AE1880" s="160">
        <v>1878</v>
      </c>
    </row>
    <row r="1881" spans="27:31" x14ac:dyDescent="0.25">
      <c r="AA1881" s="160"/>
      <c r="AB1881" s="162"/>
      <c r="AC1881" s="162"/>
      <c r="AD1881" s="162">
        <f t="shared" si="49"/>
        <v>0</v>
      </c>
      <c r="AE1881" s="160">
        <v>1879</v>
      </c>
    </row>
    <row r="1882" spans="27:31" x14ac:dyDescent="0.25">
      <c r="AA1882" s="160"/>
      <c r="AB1882" s="162"/>
      <c r="AC1882" s="162"/>
      <c r="AD1882" s="162">
        <f t="shared" si="49"/>
        <v>0</v>
      </c>
      <c r="AE1882" s="160">
        <v>1880</v>
      </c>
    </row>
    <row r="1883" spans="27:31" x14ac:dyDescent="0.25">
      <c r="AA1883" s="160"/>
      <c r="AB1883" s="162"/>
      <c r="AC1883" s="162"/>
      <c r="AD1883" s="162">
        <f t="shared" si="49"/>
        <v>0</v>
      </c>
      <c r="AE1883" s="160">
        <v>1881</v>
      </c>
    </row>
    <row r="1884" spans="27:31" x14ac:dyDescent="0.25">
      <c r="AA1884" s="160"/>
      <c r="AB1884" s="162"/>
      <c r="AC1884" s="162"/>
      <c r="AD1884" s="162">
        <f t="shared" si="49"/>
        <v>0</v>
      </c>
      <c r="AE1884" s="160">
        <v>1882</v>
      </c>
    </row>
    <row r="1885" spans="27:31" x14ac:dyDescent="0.25">
      <c r="AA1885" s="160"/>
      <c r="AB1885" s="162"/>
      <c r="AC1885" s="162"/>
      <c r="AD1885" s="162">
        <f t="shared" si="49"/>
        <v>0</v>
      </c>
      <c r="AE1885" s="160">
        <v>1883</v>
      </c>
    </row>
    <row r="1886" spans="27:31" x14ac:dyDescent="0.25">
      <c r="AA1886" s="160"/>
      <c r="AB1886" s="162"/>
      <c r="AC1886" s="162"/>
      <c r="AD1886" s="162">
        <f t="shared" si="49"/>
        <v>0</v>
      </c>
      <c r="AE1886" s="160">
        <v>1884</v>
      </c>
    </row>
    <row r="1887" spans="27:31" x14ac:dyDescent="0.25">
      <c r="AA1887" s="160"/>
      <c r="AB1887" s="162"/>
      <c r="AC1887" s="162"/>
      <c r="AD1887" s="162">
        <f t="shared" si="49"/>
        <v>0</v>
      </c>
      <c r="AE1887" s="160">
        <v>1885</v>
      </c>
    </row>
    <row r="1888" spans="27:31" x14ac:dyDescent="0.25">
      <c r="AA1888" s="160"/>
      <c r="AB1888" s="162"/>
      <c r="AC1888" s="162"/>
      <c r="AD1888" s="162">
        <f t="shared" si="49"/>
        <v>0</v>
      </c>
      <c r="AE1888" s="160">
        <v>1886</v>
      </c>
    </row>
    <row r="1889" spans="27:31" x14ac:dyDescent="0.25">
      <c r="AA1889" s="160"/>
      <c r="AB1889" s="162"/>
      <c r="AC1889" s="162"/>
      <c r="AD1889" s="162">
        <f t="shared" si="49"/>
        <v>0</v>
      </c>
      <c r="AE1889" s="160">
        <v>1887</v>
      </c>
    </row>
    <row r="1890" spans="27:31" x14ac:dyDescent="0.25">
      <c r="AA1890" s="160"/>
      <c r="AB1890" s="162"/>
      <c r="AC1890" s="162"/>
      <c r="AD1890" s="162">
        <f t="shared" si="49"/>
        <v>0</v>
      </c>
      <c r="AE1890" s="160">
        <v>1888</v>
      </c>
    </row>
    <row r="1891" spans="27:31" x14ac:dyDescent="0.25">
      <c r="AA1891" s="160"/>
      <c r="AB1891" s="162"/>
      <c r="AC1891" s="162"/>
      <c r="AD1891" s="162">
        <f t="shared" si="49"/>
        <v>0</v>
      </c>
      <c r="AE1891" s="160">
        <v>1889</v>
      </c>
    </row>
    <row r="1892" spans="27:31" x14ac:dyDescent="0.25">
      <c r="AA1892" s="160"/>
      <c r="AB1892" s="162"/>
      <c r="AC1892" s="162"/>
      <c r="AD1892" s="162">
        <f t="shared" si="49"/>
        <v>0</v>
      </c>
      <c r="AE1892" s="160">
        <v>1890</v>
      </c>
    </row>
    <row r="1893" spans="27:31" x14ac:dyDescent="0.25">
      <c r="AA1893" s="160"/>
      <c r="AB1893" s="162"/>
      <c r="AC1893" s="162"/>
      <c r="AD1893" s="162">
        <f t="shared" si="49"/>
        <v>0</v>
      </c>
      <c r="AE1893" s="160">
        <v>1891</v>
      </c>
    </row>
    <row r="1894" spans="27:31" x14ac:dyDescent="0.25">
      <c r="AA1894" s="160"/>
      <c r="AB1894" s="162"/>
      <c r="AC1894" s="162"/>
      <c r="AD1894" s="162">
        <f t="shared" si="49"/>
        <v>0</v>
      </c>
      <c r="AE1894" s="160">
        <v>1892</v>
      </c>
    </row>
    <row r="1895" spans="27:31" x14ac:dyDescent="0.25">
      <c r="AA1895" s="160"/>
      <c r="AB1895" s="162"/>
      <c r="AC1895" s="162"/>
      <c r="AD1895" s="162">
        <f t="shared" si="49"/>
        <v>0</v>
      </c>
      <c r="AE1895" s="160">
        <v>1893</v>
      </c>
    </row>
    <row r="1896" spans="27:31" x14ac:dyDescent="0.25">
      <c r="AA1896" s="160"/>
      <c r="AB1896" s="162"/>
      <c r="AC1896" s="162"/>
      <c r="AD1896" s="162">
        <f t="shared" si="49"/>
        <v>0</v>
      </c>
      <c r="AE1896" s="160">
        <v>1894</v>
      </c>
    </row>
    <row r="1897" spans="27:31" x14ac:dyDescent="0.25">
      <c r="AA1897" s="160"/>
      <c r="AB1897" s="162"/>
      <c r="AC1897" s="162"/>
      <c r="AD1897" s="162">
        <f t="shared" si="49"/>
        <v>0</v>
      </c>
      <c r="AE1897" s="160">
        <v>1895</v>
      </c>
    </row>
    <row r="1898" spans="27:31" x14ac:dyDescent="0.25">
      <c r="AA1898" s="160"/>
      <c r="AB1898" s="162"/>
      <c r="AC1898" s="162"/>
      <c r="AD1898" s="162">
        <f t="shared" si="49"/>
        <v>0</v>
      </c>
      <c r="AE1898" s="160">
        <v>1896</v>
      </c>
    </row>
    <row r="1899" spans="27:31" x14ac:dyDescent="0.25">
      <c r="AA1899" s="160"/>
      <c r="AB1899" s="162"/>
      <c r="AC1899" s="162"/>
      <c r="AD1899" s="162">
        <f t="shared" si="49"/>
        <v>0</v>
      </c>
      <c r="AE1899" s="160">
        <v>1897</v>
      </c>
    </row>
    <row r="1900" spans="27:31" x14ac:dyDescent="0.25">
      <c r="AA1900" s="160"/>
      <c r="AB1900" s="162"/>
      <c r="AC1900" s="162"/>
      <c r="AD1900" s="162">
        <f t="shared" si="49"/>
        <v>0</v>
      </c>
      <c r="AE1900" s="160">
        <v>1898</v>
      </c>
    </row>
    <row r="1901" spans="27:31" x14ac:dyDescent="0.25">
      <c r="AA1901" s="160"/>
      <c r="AB1901" s="162"/>
      <c r="AC1901" s="162"/>
      <c r="AD1901" s="162">
        <f t="shared" si="49"/>
        <v>0</v>
      </c>
      <c r="AE1901" s="160">
        <v>1899</v>
      </c>
    </row>
    <row r="1902" spans="27:31" x14ac:dyDescent="0.25">
      <c r="AA1902" s="160"/>
      <c r="AB1902" s="162"/>
      <c r="AC1902" s="162"/>
      <c r="AD1902" s="162">
        <f t="shared" si="49"/>
        <v>0</v>
      </c>
      <c r="AE1902" s="160">
        <v>1900</v>
      </c>
    </row>
    <row r="1903" spans="27:31" x14ac:dyDescent="0.25">
      <c r="AA1903" s="160"/>
      <c r="AB1903" s="162"/>
      <c r="AC1903" s="162"/>
      <c r="AD1903" s="162">
        <f t="shared" si="49"/>
        <v>0</v>
      </c>
      <c r="AE1903" s="160">
        <v>1901</v>
      </c>
    </row>
    <row r="1904" spans="27:31" x14ac:dyDescent="0.25">
      <c r="AA1904" s="160"/>
      <c r="AB1904" s="162"/>
      <c r="AC1904" s="162"/>
      <c r="AD1904" s="162">
        <f t="shared" si="49"/>
        <v>0</v>
      </c>
      <c r="AE1904" s="160">
        <v>1902</v>
      </c>
    </row>
    <row r="1905" spans="27:31" x14ac:dyDescent="0.25">
      <c r="AA1905" s="160"/>
      <c r="AB1905" s="162"/>
      <c r="AC1905" s="162"/>
      <c r="AD1905" s="162">
        <f t="shared" si="49"/>
        <v>0</v>
      </c>
      <c r="AE1905" s="160">
        <v>1903</v>
      </c>
    </row>
    <row r="1906" spans="27:31" x14ac:dyDescent="0.25">
      <c r="AA1906" s="160"/>
      <c r="AB1906" s="162"/>
      <c r="AC1906" s="162"/>
      <c r="AD1906" s="162">
        <f t="shared" si="49"/>
        <v>0</v>
      </c>
      <c r="AE1906" s="160">
        <v>1904</v>
      </c>
    </row>
    <row r="1907" spans="27:31" x14ac:dyDescent="0.25">
      <c r="AA1907" s="160"/>
      <c r="AB1907" s="162"/>
      <c r="AC1907" s="162"/>
      <c r="AD1907" s="162">
        <f t="shared" si="49"/>
        <v>0</v>
      </c>
      <c r="AE1907" s="160">
        <v>1905</v>
      </c>
    </row>
    <row r="1908" spans="27:31" x14ac:dyDescent="0.25">
      <c r="AA1908" s="160"/>
      <c r="AB1908" s="162"/>
      <c r="AC1908" s="162"/>
      <c r="AD1908" s="162">
        <f t="shared" si="49"/>
        <v>0</v>
      </c>
      <c r="AE1908" s="160">
        <v>1906</v>
      </c>
    </row>
    <row r="1909" spans="27:31" x14ac:dyDescent="0.25">
      <c r="AA1909" s="160"/>
      <c r="AB1909" s="162"/>
      <c r="AC1909" s="162"/>
      <c r="AD1909" s="162">
        <f t="shared" si="49"/>
        <v>0</v>
      </c>
      <c r="AE1909" s="160">
        <v>1907</v>
      </c>
    </row>
    <row r="1910" spans="27:31" x14ac:dyDescent="0.25">
      <c r="AA1910" s="160"/>
      <c r="AB1910" s="162"/>
      <c r="AC1910" s="162"/>
      <c r="AD1910" s="162">
        <f t="shared" si="49"/>
        <v>0</v>
      </c>
      <c r="AE1910" s="160">
        <v>1908</v>
      </c>
    </row>
    <row r="1911" spans="27:31" x14ac:dyDescent="0.25">
      <c r="AA1911" s="160"/>
      <c r="AB1911" s="162"/>
      <c r="AC1911" s="162"/>
      <c r="AD1911" s="162">
        <f t="shared" si="49"/>
        <v>0</v>
      </c>
      <c r="AE1911" s="160">
        <v>1909</v>
      </c>
    </row>
    <row r="1912" spans="27:31" x14ac:dyDescent="0.25">
      <c r="AA1912" s="160"/>
      <c r="AB1912" s="162"/>
      <c r="AC1912" s="162"/>
      <c r="AD1912" s="162">
        <f t="shared" si="49"/>
        <v>0</v>
      </c>
      <c r="AE1912" s="160">
        <v>1910</v>
      </c>
    </row>
    <row r="1913" spans="27:31" x14ac:dyDescent="0.25">
      <c r="AA1913" s="160"/>
      <c r="AB1913" s="162"/>
      <c r="AC1913" s="162"/>
      <c r="AD1913" s="162">
        <f t="shared" si="49"/>
        <v>0</v>
      </c>
      <c r="AE1913" s="160">
        <v>1911</v>
      </c>
    </row>
    <row r="1914" spans="27:31" x14ac:dyDescent="0.25">
      <c r="AA1914" s="160"/>
      <c r="AB1914" s="162"/>
      <c r="AC1914" s="162"/>
      <c r="AD1914" s="162">
        <f t="shared" si="49"/>
        <v>0</v>
      </c>
      <c r="AE1914" s="160">
        <v>1912</v>
      </c>
    </row>
    <row r="1915" spans="27:31" x14ac:dyDescent="0.25">
      <c r="AA1915" s="160"/>
      <c r="AB1915" s="162"/>
      <c r="AC1915" s="162"/>
      <c r="AD1915" s="162">
        <f t="shared" si="49"/>
        <v>0</v>
      </c>
      <c r="AE1915" s="160">
        <v>1913</v>
      </c>
    </row>
    <row r="1916" spans="27:31" x14ac:dyDescent="0.25">
      <c r="AA1916" s="160"/>
      <c r="AB1916" s="162"/>
      <c r="AC1916" s="162"/>
      <c r="AD1916" s="162">
        <f t="shared" si="49"/>
        <v>0</v>
      </c>
      <c r="AE1916" s="160">
        <v>1914</v>
      </c>
    </row>
    <row r="1917" spans="27:31" x14ac:dyDescent="0.25">
      <c r="AA1917" s="160"/>
      <c r="AB1917" s="162"/>
      <c r="AC1917" s="162"/>
      <c r="AD1917" s="162">
        <f t="shared" si="49"/>
        <v>0</v>
      </c>
      <c r="AE1917" s="160">
        <v>1915</v>
      </c>
    </row>
    <row r="1918" spans="27:31" x14ac:dyDescent="0.25">
      <c r="AA1918" s="160"/>
      <c r="AB1918" s="162"/>
      <c r="AC1918" s="162"/>
      <c r="AD1918" s="162">
        <f t="shared" si="49"/>
        <v>0</v>
      </c>
      <c r="AE1918" s="160">
        <v>1916</v>
      </c>
    </row>
    <row r="1919" spans="27:31" x14ac:dyDescent="0.25">
      <c r="AA1919" s="160"/>
      <c r="AB1919" s="162"/>
      <c r="AC1919" s="162"/>
      <c r="AD1919" s="162">
        <f t="shared" si="49"/>
        <v>0</v>
      </c>
      <c r="AE1919" s="160">
        <v>1917</v>
      </c>
    </row>
    <row r="1920" spans="27:31" x14ac:dyDescent="0.25">
      <c r="AA1920" s="160"/>
      <c r="AB1920" s="162"/>
      <c r="AC1920" s="162"/>
      <c r="AD1920" s="162">
        <f t="shared" si="49"/>
        <v>0</v>
      </c>
      <c r="AE1920" s="160">
        <v>1918</v>
      </c>
    </row>
    <row r="1921" spans="27:31" x14ac:dyDescent="0.25">
      <c r="AA1921" s="160"/>
      <c r="AB1921" s="162"/>
      <c r="AC1921" s="162"/>
      <c r="AD1921" s="162">
        <f t="shared" si="49"/>
        <v>0</v>
      </c>
      <c r="AE1921" s="160">
        <v>1919</v>
      </c>
    </row>
    <row r="1922" spans="27:31" x14ac:dyDescent="0.25">
      <c r="AA1922" s="160"/>
      <c r="AB1922" s="162"/>
      <c r="AC1922" s="162"/>
      <c r="AD1922" s="162">
        <f t="shared" si="49"/>
        <v>0</v>
      </c>
      <c r="AE1922" s="160">
        <v>1920</v>
      </c>
    </row>
    <row r="1923" spans="27:31" x14ac:dyDescent="0.25">
      <c r="AA1923" s="160"/>
      <c r="AB1923" s="162"/>
      <c r="AC1923" s="162"/>
      <c r="AD1923" s="162">
        <f t="shared" si="49"/>
        <v>0</v>
      </c>
      <c r="AE1923" s="160">
        <v>1921</v>
      </c>
    </row>
    <row r="1924" spans="27:31" x14ac:dyDescent="0.25">
      <c r="AA1924" s="160"/>
      <c r="AB1924" s="162"/>
      <c r="AC1924" s="162"/>
      <c r="AD1924" s="162">
        <f t="shared" ref="AD1924:AD1987" si="50">AB1924+AC1924</f>
        <v>0</v>
      </c>
      <c r="AE1924" s="160">
        <v>1922</v>
      </c>
    </row>
    <row r="1925" spans="27:31" x14ac:dyDescent="0.25">
      <c r="AA1925" s="160"/>
      <c r="AB1925" s="162"/>
      <c r="AC1925" s="162"/>
      <c r="AD1925" s="162">
        <f t="shared" si="50"/>
        <v>0</v>
      </c>
      <c r="AE1925" s="160">
        <v>1923</v>
      </c>
    </row>
    <row r="1926" spans="27:31" x14ac:dyDescent="0.25">
      <c r="AA1926" s="160"/>
      <c r="AB1926" s="162"/>
      <c r="AC1926" s="162"/>
      <c r="AD1926" s="162">
        <f t="shared" si="50"/>
        <v>0</v>
      </c>
      <c r="AE1926" s="160">
        <v>1924</v>
      </c>
    </row>
    <row r="1927" spans="27:31" x14ac:dyDescent="0.25">
      <c r="AA1927" s="160"/>
      <c r="AB1927" s="162"/>
      <c r="AC1927" s="162"/>
      <c r="AD1927" s="162">
        <f t="shared" si="50"/>
        <v>0</v>
      </c>
      <c r="AE1927" s="160">
        <v>1925</v>
      </c>
    </row>
    <row r="1928" spans="27:31" x14ac:dyDescent="0.25">
      <c r="AA1928" s="160"/>
      <c r="AB1928" s="162"/>
      <c r="AC1928" s="162"/>
      <c r="AD1928" s="162">
        <f t="shared" si="50"/>
        <v>0</v>
      </c>
      <c r="AE1928" s="160">
        <v>1926</v>
      </c>
    </row>
    <row r="1929" spans="27:31" x14ac:dyDescent="0.25">
      <c r="AA1929" s="160"/>
      <c r="AB1929" s="162"/>
      <c r="AC1929" s="162"/>
      <c r="AD1929" s="162">
        <f t="shared" si="50"/>
        <v>0</v>
      </c>
      <c r="AE1929" s="160">
        <v>1927</v>
      </c>
    </row>
    <row r="1930" spans="27:31" x14ac:dyDescent="0.25">
      <c r="AA1930" s="160"/>
      <c r="AB1930" s="162"/>
      <c r="AC1930" s="162"/>
      <c r="AD1930" s="162">
        <f t="shared" si="50"/>
        <v>0</v>
      </c>
      <c r="AE1930" s="160">
        <v>1928</v>
      </c>
    </row>
    <row r="1931" spans="27:31" x14ac:dyDescent="0.25">
      <c r="AA1931" s="160"/>
      <c r="AB1931" s="162"/>
      <c r="AC1931" s="162"/>
      <c r="AD1931" s="162">
        <f t="shared" si="50"/>
        <v>0</v>
      </c>
      <c r="AE1931" s="160">
        <v>1929</v>
      </c>
    </row>
    <row r="1932" spans="27:31" x14ac:dyDescent="0.25">
      <c r="AA1932" s="160"/>
      <c r="AB1932" s="162"/>
      <c r="AC1932" s="162"/>
      <c r="AD1932" s="162">
        <f t="shared" si="50"/>
        <v>0</v>
      </c>
      <c r="AE1932" s="160">
        <v>1930</v>
      </c>
    </row>
    <row r="1933" spans="27:31" x14ac:dyDescent="0.25">
      <c r="AA1933" s="160"/>
      <c r="AB1933" s="162"/>
      <c r="AC1933" s="162"/>
      <c r="AD1933" s="162">
        <f t="shared" si="50"/>
        <v>0</v>
      </c>
      <c r="AE1933" s="160">
        <v>1931</v>
      </c>
    </row>
    <row r="1934" spans="27:31" x14ac:dyDescent="0.25">
      <c r="AA1934" s="160"/>
      <c r="AB1934" s="162"/>
      <c r="AC1934" s="162"/>
      <c r="AD1934" s="162">
        <f t="shared" si="50"/>
        <v>0</v>
      </c>
      <c r="AE1934" s="160">
        <v>1932</v>
      </c>
    </row>
    <row r="1935" spans="27:31" x14ac:dyDescent="0.25">
      <c r="AA1935" s="160"/>
      <c r="AB1935" s="162"/>
      <c r="AC1935" s="162"/>
      <c r="AD1935" s="162">
        <f t="shared" si="50"/>
        <v>0</v>
      </c>
      <c r="AE1935" s="160">
        <v>1933</v>
      </c>
    </row>
    <row r="1936" spans="27:31" x14ac:dyDescent="0.25">
      <c r="AA1936" s="160"/>
      <c r="AB1936" s="162"/>
      <c r="AC1936" s="162"/>
      <c r="AD1936" s="162">
        <f t="shared" si="50"/>
        <v>0</v>
      </c>
      <c r="AE1936" s="160">
        <v>1934</v>
      </c>
    </row>
    <row r="1937" spans="27:31" x14ac:dyDescent="0.25">
      <c r="AA1937" s="160"/>
      <c r="AB1937" s="162"/>
      <c r="AC1937" s="162"/>
      <c r="AD1937" s="162">
        <f t="shared" si="50"/>
        <v>0</v>
      </c>
      <c r="AE1937" s="160">
        <v>1935</v>
      </c>
    </row>
    <row r="1938" spans="27:31" x14ac:dyDescent="0.25">
      <c r="AA1938" s="160"/>
      <c r="AB1938" s="162"/>
      <c r="AC1938" s="162"/>
      <c r="AD1938" s="162">
        <f t="shared" si="50"/>
        <v>0</v>
      </c>
      <c r="AE1938" s="160">
        <v>1936</v>
      </c>
    </row>
    <row r="1939" spans="27:31" x14ac:dyDescent="0.25">
      <c r="AA1939" s="160"/>
      <c r="AB1939" s="162"/>
      <c r="AC1939" s="162"/>
      <c r="AD1939" s="162">
        <f t="shared" si="50"/>
        <v>0</v>
      </c>
      <c r="AE1939" s="160">
        <v>1937</v>
      </c>
    </row>
    <row r="1940" spans="27:31" x14ac:dyDescent="0.25">
      <c r="AA1940" s="160"/>
      <c r="AB1940" s="162"/>
      <c r="AC1940" s="162"/>
      <c r="AD1940" s="162">
        <f t="shared" si="50"/>
        <v>0</v>
      </c>
      <c r="AE1940" s="160">
        <v>1938</v>
      </c>
    </row>
    <row r="1941" spans="27:31" x14ac:dyDescent="0.25">
      <c r="AA1941" s="160"/>
      <c r="AB1941" s="162"/>
      <c r="AC1941" s="162"/>
      <c r="AD1941" s="162">
        <f t="shared" si="50"/>
        <v>0</v>
      </c>
      <c r="AE1941" s="160">
        <v>1939</v>
      </c>
    </row>
    <row r="1942" spans="27:31" x14ac:dyDescent="0.25">
      <c r="AA1942" s="160"/>
      <c r="AB1942" s="162"/>
      <c r="AC1942" s="162"/>
      <c r="AD1942" s="162">
        <f t="shared" si="50"/>
        <v>0</v>
      </c>
      <c r="AE1942" s="160">
        <v>1940</v>
      </c>
    </row>
    <row r="1943" spans="27:31" x14ac:dyDescent="0.25">
      <c r="AA1943" s="160"/>
      <c r="AB1943" s="162"/>
      <c r="AC1943" s="162"/>
      <c r="AD1943" s="162">
        <f t="shared" si="50"/>
        <v>0</v>
      </c>
      <c r="AE1943" s="160">
        <v>1941</v>
      </c>
    </row>
    <row r="1944" spans="27:31" x14ac:dyDescent="0.25">
      <c r="AA1944" s="160"/>
      <c r="AB1944" s="162"/>
      <c r="AC1944" s="162"/>
      <c r="AD1944" s="162">
        <f t="shared" si="50"/>
        <v>0</v>
      </c>
      <c r="AE1944" s="160">
        <v>1942</v>
      </c>
    </row>
    <row r="1945" spans="27:31" x14ac:dyDescent="0.25">
      <c r="AA1945" s="160"/>
      <c r="AB1945" s="162"/>
      <c r="AC1945" s="162"/>
      <c r="AD1945" s="162">
        <f t="shared" si="50"/>
        <v>0</v>
      </c>
      <c r="AE1945" s="160">
        <v>1943</v>
      </c>
    </row>
    <row r="1946" spans="27:31" x14ac:dyDescent="0.25">
      <c r="AA1946" s="160"/>
      <c r="AB1946" s="162"/>
      <c r="AC1946" s="162"/>
      <c r="AD1946" s="162">
        <f t="shared" si="50"/>
        <v>0</v>
      </c>
      <c r="AE1946" s="160">
        <v>1944</v>
      </c>
    </row>
    <row r="1947" spans="27:31" x14ac:dyDescent="0.25">
      <c r="AA1947" s="160"/>
      <c r="AB1947" s="162"/>
      <c r="AC1947" s="162"/>
      <c r="AD1947" s="162">
        <f t="shared" si="50"/>
        <v>0</v>
      </c>
      <c r="AE1947" s="160">
        <v>1945</v>
      </c>
    </row>
    <row r="1948" spans="27:31" x14ac:dyDescent="0.25">
      <c r="AA1948" s="160"/>
      <c r="AB1948" s="162"/>
      <c r="AC1948" s="162"/>
      <c r="AD1948" s="162">
        <f t="shared" si="50"/>
        <v>0</v>
      </c>
      <c r="AE1948" s="160">
        <v>1946</v>
      </c>
    </row>
    <row r="1949" spans="27:31" x14ac:dyDescent="0.25">
      <c r="AA1949" s="160"/>
      <c r="AB1949" s="162"/>
      <c r="AC1949" s="162"/>
      <c r="AD1949" s="162">
        <f t="shared" si="50"/>
        <v>0</v>
      </c>
      <c r="AE1949" s="160">
        <v>1947</v>
      </c>
    </row>
    <row r="1950" spans="27:31" x14ac:dyDescent="0.25">
      <c r="AA1950" s="160"/>
      <c r="AB1950" s="162"/>
      <c r="AC1950" s="162"/>
      <c r="AD1950" s="162">
        <f t="shared" si="50"/>
        <v>0</v>
      </c>
      <c r="AE1950" s="160">
        <v>1948</v>
      </c>
    </row>
    <row r="1951" spans="27:31" x14ac:dyDescent="0.25">
      <c r="AA1951" s="160"/>
      <c r="AB1951" s="162"/>
      <c r="AC1951" s="162"/>
      <c r="AD1951" s="162">
        <f t="shared" si="50"/>
        <v>0</v>
      </c>
      <c r="AE1951" s="160">
        <v>1949</v>
      </c>
    </row>
    <row r="1952" spans="27:31" x14ac:dyDescent="0.25">
      <c r="AA1952" s="160"/>
      <c r="AB1952" s="162"/>
      <c r="AC1952" s="162"/>
      <c r="AD1952" s="162">
        <f t="shared" si="50"/>
        <v>0</v>
      </c>
      <c r="AE1952" s="160">
        <v>1950</v>
      </c>
    </row>
    <row r="1953" spans="27:31" x14ac:dyDescent="0.25">
      <c r="AA1953" s="160"/>
      <c r="AB1953" s="162"/>
      <c r="AC1953" s="162"/>
      <c r="AD1953" s="162">
        <f t="shared" si="50"/>
        <v>0</v>
      </c>
      <c r="AE1953" s="160">
        <v>1951</v>
      </c>
    </row>
    <row r="1954" spans="27:31" x14ac:dyDescent="0.25">
      <c r="AA1954" s="160"/>
      <c r="AB1954" s="162"/>
      <c r="AC1954" s="162"/>
      <c r="AD1954" s="162">
        <f t="shared" si="50"/>
        <v>0</v>
      </c>
      <c r="AE1954" s="160">
        <v>1952</v>
      </c>
    </row>
    <row r="1955" spans="27:31" x14ac:dyDescent="0.25">
      <c r="AA1955" s="160"/>
      <c r="AB1955" s="162"/>
      <c r="AC1955" s="162"/>
      <c r="AD1955" s="162">
        <f t="shared" si="50"/>
        <v>0</v>
      </c>
      <c r="AE1955" s="160">
        <v>1953</v>
      </c>
    </row>
    <row r="1956" spans="27:31" x14ac:dyDescent="0.25">
      <c r="AA1956" s="160"/>
      <c r="AB1956" s="162"/>
      <c r="AC1956" s="162"/>
      <c r="AD1956" s="162">
        <f t="shared" si="50"/>
        <v>0</v>
      </c>
      <c r="AE1956" s="160">
        <v>1954</v>
      </c>
    </row>
    <row r="1957" spans="27:31" x14ac:dyDescent="0.25">
      <c r="AA1957" s="160"/>
      <c r="AB1957" s="162"/>
      <c r="AC1957" s="162"/>
      <c r="AD1957" s="162">
        <f t="shared" si="50"/>
        <v>0</v>
      </c>
      <c r="AE1957" s="160">
        <v>1955</v>
      </c>
    </row>
    <row r="1958" spans="27:31" x14ac:dyDescent="0.25">
      <c r="AA1958" s="160"/>
      <c r="AB1958" s="162"/>
      <c r="AC1958" s="162"/>
      <c r="AD1958" s="162">
        <f t="shared" si="50"/>
        <v>0</v>
      </c>
      <c r="AE1958" s="160">
        <v>1956</v>
      </c>
    </row>
    <row r="1959" spans="27:31" x14ac:dyDescent="0.25">
      <c r="AA1959" s="160"/>
      <c r="AB1959" s="162"/>
      <c r="AC1959" s="162"/>
      <c r="AD1959" s="162">
        <f t="shared" si="50"/>
        <v>0</v>
      </c>
      <c r="AE1959" s="160">
        <v>1957</v>
      </c>
    </row>
    <row r="1960" spans="27:31" x14ac:dyDescent="0.25">
      <c r="AA1960" s="160"/>
      <c r="AB1960" s="162"/>
      <c r="AC1960" s="162"/>
      <c r="AD1960" s="162">
        <f t="shared" si="50"/>
        <v>0</v>
      </c>
      <c r="AE1960" s="160">
        <v>1958</v>
      </c>
    </row>
    <row r="1961" spans="27:31" x14ac:dyDescent="0.25">
      <c r="AA1961" s="160"/>
      <c r="AB1961" s="162"/>
      <c r="AC1961" s="162"/>
      <c r="AD1961" s="162">
        <f t="shared" si="50"/>
        <v>0</v>
      </c>
      <c r="AE1961" s="160">
        <v>1959</v>
      </c>
    </row>
    <row r="1962" spans="27:31" x14ac:dyDescent="0.25">
      <c r="AA1962" s="160"/>
      <c r="AB1962" s="162"/>
      <c r="AC1962" s="162"/>
      <c r="AD1962" s="162">
        <f t="shared" si="50"/>
        <v>0</v>
      </c>
      <c r="AE1962" s="160">
        <v>1960</v>
      </c>
    </row>
    <row r="1963" spans="27:31" x14ac:dyDescent="0.25">
      <c r="AA1963" s="160"/>
      <c r="AB1963" s="162"/>
      <c r="AC1963" s="162"/>
      <c r="AD1963" s="162">
        <f t="shared" si="50"/>
        <v>0</v>
      </c>
      <c r="AE1963" s="160">
        <v>1961</v>
      </c>
    </row>
    <row r="1964" spans="27:31" x14ac:dyDescent="0.25">
      <c r="AA1964" s="160"/>
      <c r="AB1964" s="162"/>
      <c r="AC1964" s="162"/>
      <c r="AD1964" s="162">
        <f t="shared" si="50"/>
        <v>0</v>
      </c>
      <c r="AE1964" s="160">
        <v>1962</v>
      </c>
    </row>
    <row r="1965" spans="27:31" x14ac:dyDescent="0.25">
      <c r="AA1965" s="160"/>
      <c r="AB1965" s="162"/>
      <c r="AC1965" s="162"/>
      <c r="AD1965" s="162">
        <f t="shared" si="50"/>
        <v>0</v>
      </c>
      <c r="AE1965" s="160">
        <v>1963</v>
      </c>
    </row>
    <row r="1966" spans="27:31" x14ac:dyDescent="0.25">
      <c r="AA1966" s="160"/>
      <c r="AB1966" s="162"/>
      <c r="AC1966" s="162"/>
      <c r="AD1966" s="162">
        <f t="shared" si="50"/>
        <v>0</v>
      </c>
      <c r="AE1966" s="160">
        <v>1964</v>
      </c>
    </row>
    <row r="1967" spans="27:31" x14ac:dyDescent="0.25">
      <c r="AA1967" s="160"/>
      <c r="AB1967" s="162"/>
      <c r="AC1967" s="162"/>
      <c r="AD1967" s="162">
        <f t="shared" si="50"/>
        <v>0</v>
      </c>
      <c r="AE1967" s="160">
        <v>1965</v>
      </c>
    </row>
    <row r="1968" spans="27:31" x14ac:dyDescent="0.25">
      <c r="AA1968" s="160"/>
      <c r="AB1968" s="162"/>
      <c r="AC1968" s="162"/>
      <c r="AD1968" s="162">
        <f t="shared" si="50"/>
        <v>0</v>
      </c>
      <c r="AE1968" s="160">
        <v>1966</v>
      </c>
    </row>
    <row r="1969" spans="27:31" x14ac:dyDescent="0.25">
      <c r="AA1969" s="160"/>
      <c r="AB1969" s="162"/>
      <c r="AC1969" s="162"/>
      <c r="AD1969" s="162">
        <f t="shared" si="50"/>
        <v>0</v>
      </c>
      <c r="AE1969" s="160">
        <v>1967</v>
      </c>
    </row>
    <row r="1970" spans="27:31" x14ac:dyDescent="0.25">
      <c r="AA1970" s="160"/>
      <c r="AB1970" s="162"/>
      <c r="AC1970" s="162"/>
      <c r="AD1970" s="162">
        <f t="shared" si="50"/>
        <v>0</v>
      </c>
      <c r="AE1970" s="160">
        <v>1968</v>
      </c>
    </row>
    <row r="1971" spans="27:31" x14ac:dyDescent="0.25">
      <c r="AA1971" s="160"/>
      <c r="AB1971" s="162"/>
      <c r="AC1971" s="162"/>
      <c r="AD1971" s="162">
        <f t="shared" si="50"/>
        <v>0</v>
      </c>
      <c r="AE1971" s="160">
        <v>1969</v>
      </c>
    </row>
    <row r="1972" spans="27:31" x14ac:dyDescent="0.25">
      <c r="AA1972" s="160"/>
      <c r="AB1972" s="162"/>
      <c r="AC1972" s="162"/>
      <c r="AD1972" s="162">
        <f t="shared" si="50"/>
        <v>0</v>
      </c>
      <c r="AE1972" s="160">
        <v>1970</v>
      </c>
    </row>
    <row r="1973" spans="27:31" x14ac:dyDescent="0.25">
      <c r="AA1973" s="160"/>
      <c r="AB1973" s="162"/>
      <c r="AC1973" s="162"/>
      <c r="AD1973" s="162">
        <f t="shared" si="50"/>
        <v>0</v>
      </c>
      <c r="AE1973" s="160">
        <v>1971</v>
      </c>
    </row>
    <row r="1974" spans="27:31" x14ac:dyDescent="0.25">
      <c r="AA1974" s="160"/>
      <c r="AB1974" s="162"/>
      <c r="AC1974" s="162"/>
      <c r="AD1974" s="162">
        <f t="shared" si="50"/>
        <v>0</v>
      </c>
      <c r="AE1974" s="160">
        <v>1972</v>
      </c>
    </row>
    <row r="1975" spans="27:31" x14ac:dyDescent="0.25">
      <c r="AA1975" s="160"/>
      <c r="AB1975" s="162"/>
      <c r="AC1975" s="162"/>
      <c r="AD1975" s="162">
        <f t="shared" si="50"/>
        <v>0</v>
      </c>
      <c r="AE1975" s="160">
        <v>1973</v>
      </c>
    </row>
    <row r="1976" spans="27:31" x14ac:dyDescent="0.25">
      <c r="AA1976" s="160"/>
      <c r="AB1976" s="162"/>
      <c r="AC1976" s="162"/>
      <c r="AD1976" s="162">
        <f t="shared" si="50"/>
        <v>0</v>
      </c>
      <c r="AE1976" s="160">
        <v>1974</v>
      </c>
    </row>
    <row r="1977" spans="27:31" x14ac:dyDescent="0.25">
      <c r="AA1977" s="160"/>
      <c r="AB1977" s="162"/>
      <c r="AC1977" s="162"/>
      <c r="AD1977" s="162">
        <f t="shared" si="50"/>
        <v>0</v>
      </c>
      <c r="AE1977" s="160">
        <v>1975</v>
      </c>
    </row>
    <row r="1978" spans="27:31" x14ac:dyDescent="0.25">
      <c r="AA1978" s="160"/>
      <c r="AB1978" s="162"/>
      <c r="AC1978" s="162"/>
      <c r="AD1978" s="162">
        <f t="shared" si="50"/>
        <v>0</v>
      </c>
      <c r="AE1978" s="160">
        <v>1976</v>
      </c>
    </row>
    <row r="1979" spans="27:31" x14ac:dyDescent="0.25">
      <c r="AA1979" s="160"/>
      <c r="AB1979" s="162"/>
      <c r="AC1979" s="162"/>
      <c r="AD1979" s="162">
        <f t="shared" si="50"/>
        <v>0</v>
      </c>
      <c r="AE1979" s="160">
        <v>1977</v>
      </c>
    </row>
    <row r="1980" spans="27:31" x14ac:dyDescent="0.25">
      <c r="AA1980" s="160"/>
      <c r="AB1980" s="162"/>
      <c r="AC1980" s="162"/>
      <c r="AD1980" s="162">
        <f t="shared" si="50"/>
        <v>0</v>
      </c>
      <c r="AE1980" s="160">
        <v>1978</v>
      </c>
    </row>
    <row r="1981" spans="27:31" x14ac:dyDescent="0.25">
      <c r="AA1981" s="160"/>
      <c r="AB1981" s="162"/>
      <c r="AC1981" s="162"/>
      <c r="AD1981" s="162">
        <f t="shared" si="50"/>
        <v>0</v>
      </c>
      <c r="AE1981" s="160">
        <v>1979</v>
      </c>
    </row>
    <row r="1982" spans="27:31" x14ac:dyDescent="0.25">
      <c r="AA1982" s="160"/>
      <c r="AB1982" s="162"/>
      <c r="AC1982" s="162"/>
      <c r="AD1982" s="162">
        <f t="shared" si="50"/>
        <v>0</v>
      </c>
      <c r="AE1982" s="160">
        <v>1980</v>
      </c>
    </row>
    <row r="1983" spans="27:31" x14ac:dyDescent="0.25">
      <c r="AA1983" s="160"/>
      <c r="AB1983" s="162"/>
      <c r="AC1983" s="162"/>
      <c r="AD1983" s="162">
        <f t="shared" si="50"/>
        <v>0</v>
      </c>
      <c r="AE1983" s="160">
        <v>1981</v>
      </c>
    </row>
    <row r="1984" spans="27:31" x14ac:dyDescent="0.25">
      <c r="AA1984" s="160"/>
      <c r="AB1984" s="162"/>
      <c r="AC1984" s="162"/>
      <c r="AD1984" s="162">
        <f t="shared" si="50"/>
        <v>0</v>
      </c>
      <c r="AE1984" s="160">
        <v>1982</v>
      </c>
    </row>
    <row r="1985" spans="27:31" x14ac:dyDescent="0.25">
      <c r="AA1985" s="160"/>
      <c r="AB1985" s="162"/>
      <c r="AC1985" s="162"/>
      <c r="AD1985" s="162">
        <f t="shared" si="50"/>
        <v>0</v>
      </c>
      <c r="AE1985" s="160">
        <v>1983</v>
      </c>
    </row>
    <row r="1986" spans="27:31" x14ac:dyDescent="0.25">
      <c r="AA1986" s="160"/>
      <c r="AB1986" s="162"/>
      <c r="AC1986" s="162"/>
      <c r="AD1986" s="162">
        <f t="shared" si="50"/>
        <v>0</v>
      </c>
      <c r="AE1986" s="160">
        <v>1984</v>
      </c>
    </row>
    <row r="1987" spans="27:31" x14ac:dyDescent="0.25">
      <c r="AA1987" s="160"/>
      <c r="AB1987" s="162"/>
      <c r="AC1987" s="162"/>
      <c r="AD1987" s="162">
        <f t="shared" si="50"/>
        <v>0</v>
      </c>
      <c r="AE1987" s="160">
        <v>1985</v>
      </c>
    </row>
    <row r="1988" spans="27:31" x14ac:dyDescent="0.25">
      <c r="AA1988" s="160"/>
      <c r="AB1988" s="162"/>
      <c r="AC1988" s="162"/>
      <c r="AD1988" s="162">
        <f t="shared" ref="AD1988:AD2051" si="51">AB1988+AC1988</f>
        <v>0</v>
      </c>
      <c r="AE1988" s="160">
        <v>1986</v>
      </c>
    </row>
    <row r="1989" spans="27:31" x14ac:dyDescent="0.25">
      <c r="AA1989" s="160"/>
      <c r="AB1989" s="162"/>
      <c r="AC1989" s="162"/>
      <c r="AD1989" s="162">
        <f t="shared" si="51"/>
        <v>0</v>
      </c>
      <c r="AE1989" s="160">
        <v>1987</v>
      </c>
    </row>
    <row r="1990" spans="27:31" x14ac:dyDescent="0.25">
      <c r="AA1990" s="160"/>
      <c r="AB1990" s="162"/>
      <c r="AC1990" s="162"/>
      <c r="AD1990" s="162">
        <f t="shared" si="51"/>
        <v>0</v>
      </c>
      <c r="AE1990" s="160">
        <v>1988</v>
      </c>
    </row>
    <row r="1991" spans="27:31" x14ac:dyDescent="0.25">
      <c r="AA1991" s="160"/>
      <c r="AB1991" s="162"/>
      <c r="AC1991" s="162"/>
      <c r="AD1991" s="162">
        <f t="shared" si="51"/>
        <v>0</v>
      </c>
      <c r="AE1991" s="160">
        <v>1989</v>
      </c>
    </row>
    <row r="1992" spans="27:31" x14ac:dyDescent="0.25">
      <c r="AA1992" s="160"/>
      <c r="AB1992" s="162"/>
      <c r="AC1992" s="162"/>
      <c r="AD1992" s="162">
        <f t="shared" si="51"/>
        <v>0</v>
      </c>
      <c r="AE1992" s="160">
        <v>1990</v>
      </c>
    </row>
    <row r="1993" spans="27:31" x14ac:dyDescent="0.25">
      <c r="AA1993" s="160"/>
      <c r="AB1993" s="162"/>
      <c r="AC1993" s="162"/>
      <c r="AD1993" s="162">
        <f t="shared" si="51"/>
        <v>0</v>
      </c>
      <c r="AE1993" s="160">
        <v>1991</v>
      </c>
    </row>
    <row r="1994" spans="27:31" x14ac:dyDescent="0.25">
      <c r="AA1994" s="160"/>
      <c r="AB1994" s="162"/>
      <c r="AC1994" s="162"/>
      <c r="AD1994" s="162">
        <f t="shared" si="51"/>
        <v>0</v>
      </c>
      <c r="AE1994" s="160">
        <v>1992</v>
      </c>
    </row>
    <row r="1995" spans="27:31" x14ac:dyDescent="0.25">
      <c r="AA1995" s="160"/>
      <c r="AB1995" s="162"/>
      <c r="AC1995" s="162"/>
      <c r="AD1995" s="162">
        <f t="shared" si="51"/>
        <v>0</v>
      </c>
      <c r="AE1995" s="160">
        <v>1993</v>
      </c>
    </row>
    <row r="1996" spans="27:31" x14ac:dyDescent="0.25">
      <c r="AA1996" s="160"/>
      <c r="AB1996" s="162"/>
      <c r="AC1996" s="162"/>
      <c r="AD1996" s="162">
        <f t="shared" si="51"/>
        <v>0</v>
      </c>
      <c r="AE1996" s="160">
        <v>1994</v>
      </c>
    </row>
    <row r="1997" spans="27:31" x14ac:dyDescent="0.25">
      <c r="AA1997" s="160"/>
      <c r="AB1997" s="162"/>
      <c r="AC1997" s="162"/>
      <c r="AD1997" s="162">
        <f t="shared" si="51"/>
        <v>0</v>
      </c>
      <c r="AE1997" s="160">
        <v>1995</v>
      </c>
    </row>
    <row r="1998" spans="27:31" x14ac:dyDescent="0.25">
      <c r="AA1998" s="160"/>
      <c r="AB1998" s="162"/>
      <c r="AC1998" s="162"/>
      <c r="AD1998" s="162">
        <f t="shared" si="51"/>
        <v>0</v>
      </c>
      <c r="AE1998" s="160">
        <v>1996</v>
      </c>
    </row>
    <row r="1999" spans="27:31" x14ac:dyDescent="0.25">
      <c r="AA1999" s="160"/>
      <c r="AB1999" s="162"/>
      <c r="AC1999" s="162"/>
      <c r="AD1999" s="162">
        <f t="shared" si="51"/>
        <v>0</v>
      </c>
      <c r="AE1999" s="160">
        <v>1997</v>
      </c>
    </row>
    <row r="2000" spans="27:31" x14ac:dyDescent="0.25">
      <c r="AA2000" s="160"/>
      <c r="AB2000" s="162"/>
      <c r="AC2000" s="162"/>
      <c r="AD2000" s="162">
        <f t="shared" si="51"/>
        <v>0</v>
      </c>
      <c r="AE2000" s="160">
        <v>1998</v>
      </c>
    </row>
    <row r="2001" spans="27:31" x14ac:dyDescent="0.25">
      <c r="AA2001" s="160"/>
      <c r="AB2001" s="162"/>
      <c r="AC2001" s="162"/>
      <c r="AD2001" s="162">
        <f t="shared" si="51"/>
        <v>0</v>
      </c>
      <c r="AE2001" s="160">
        <v>1999</v>
      </c>
    </row>
    <row r="2002" spans="27:31" x14ac:dyDescent="0.25">
      <c r="AA2002" s="160"/>
      <c r="AB2002" s="162"/>
      <c r="AC2002" s="162"/>
      <c r="AD2002" s="162">
        <f t="shared" si="51"/>
        <v>0</v>
      </c>
      <c r="AE2002" s="160">
        <v>2000</v>
      </c>
    </row>
    <row r="2003" spans="27:31" x14ac:dyDescent="0.25">
      <c r="AA2003" s="160"/>
      <c r="AB2003" s="162"/>
      <c r="AC2003" s="162"/>
      <c r="AD2003" s="162">
        <f t="shared" si="51"/>
        <v>0</v>
      </c>
      <c r="AE2003" s="160">
        <v>2001</v>
      </c>
    </row>
    <row r="2004" spans="27:31" x14ac:dyDescent="0.25">
      <c r="AA2004" s="160"/>
      <c r="AB2004" s="162"/>
      <c r="AC2004" s="162"/>
      <c r="AD2004" s="162">
        <f t="shared" si="51"/>
        <v>0</v>
      </c>
      <c r="AE2004" s="160">
        <v>2002</v>
      </c>
    </row>
    <row r="2005" spans="27:31" x14ac:dyDescent="0.25">
      <c r="AA2005" s="160"/>
      <c r="AB2005" s="162"/>
      <c r="AC2005" s="162"/>
      <c r="AD2005" s="162">
        <f t="shared" si="51"/>
        <v>0</v>
      </c>
      <c r="AE2005" s="160">
        <v>2003</v>
      </c>
    </row>
    <row r="2006" spans="27:31" x14ac:dyDescent="0.25">
      <c r="AA2006" s="160"/>
      <c r="AB2006" s="162"/>
      <c r="AC2006" s="162"/>
      <c r="AD2006" s="162">
        <f t="shared" si="51"/>
        <v>0</v>
      </c>
      <c r="AE2006" s="160">
        <v>2004</v>
      </c>
    </row>
    <row r="2007" spans="27:31" x14ac:dyDescent="0.25">
      <c r="AA2007" s="160"/>
      <c r="AB2007" s="162"/>
      <c r="AC2007" s="162"/>
      <c r="AD2007" s="162">
        <f t="shared" si="51"/>
        <v>0</v>
      </c>
      <c r="AE2007" s="160">
        <v>2005</v>
      </c>
    </row>
    <row r="2008" spans="27:31" x14ac:dyDescent="0.25">
      <c r="AA2008" s="160"/>
      <c r="AB2008" s="162"/>
      <c r="AC2008" s="162"/>
      <c r="AD2008" s="162">
        <f t="shared" si="51"/>
        <v>0</v>
      </c>
      <c r="AE2008" s="160">
        <v>2006</v>
      </c>
    </row>
    <row r="2009" spans="27:31" x14ac:dyDescent="0.25">
      <c r="AA2009" s="160"/>
      <c r="AB2009" s="162"/>
      <c r="AC2009" s="162"/>
      <c r="AD2009" s="162">
        <f t="shared" si="51"/>
        <v>0</v>
      </c>
      <c r="AE2009" s="160">
        <v>2007</v>
      </c>
    </row>
    <row r="2010" spans="27:31" x14ac:dyDescent="0.25">
      <c r="AA2010" s="160"/>
      <c r="AB2010" s="162"/>
      <c r="AC2010" s="162"/>
      <c r="AD2010" s="162">
        <f t="shared" si="51"/>
        <v>0</v>
      </c>
      <c r="AE2010" s="160">
        <v>2008</v>
      </c>
    </row>
    <row r="2011" spans="27:31" x14ac:dyDescent="0.25">
      <c r="AA2011" s="160"/>
      <c r="AB2011" s="162"/>
      <c r="AC2011" s="162"/>
      <c r="AD2011" s="162">
        <f t="shared" si="51"/>
        <v>0</v>
      </c>
      <c r="AE2011" s="160">
        <v>2009</v>
      </c>
    </row>
    <row r="2012" spans="27:31" x14ac:dyDescent="0.25">
      <c r="AA2012" s="160"/>
      <c r="AB2012" s="162"/>
      <c r="AC2012" s="162"/>
      <c r="AD2012" s="162">
        <f t="shared" si="51"/>
        <v>0</v>
      </c>
      <c r="AE2012" s="160">
        <v>2010</v>
      </c>
    </row>
    <row r="2013" spans="27:31" x14ac:dyDescent="0.25">
      <c r="AA2013" s="160"/>
      <c r="AB2013" s="162"/>
      <c r="AC2013" s="162"/>
      <c r="AD2013" s="162">
        <f t="shared" si="51"/>
        <v>0</v>
      </c>
      <c r="AE2013" s="160">
        <v>2011</v>
      </c>
    </row>
    <row r="2014" spans="27:31" x14ac:dyDescent="0.25">
      <c r="AA2014" s="160"/>
      <c r="AB2014" s="162"/>
      <c r="AC2014" s="162"/>
      <c r="AD2014" s="162">
        <f t="shared" si="51"/>
        <v>0</v>
      </c>
      <c r="AE2014" s="160">
        <v>2012</v>
      </c>
    </row>
    <row r="2015" spans="27:31" x14ac:dyDescent="0.25">
      <c r="AA2015" s="160"/>
      <c r="AB2015" s="162"/>
      <c r="AC2015" s="162"/>
      <c r="AD2015" s="162">
        <f t="shared" si="51"/>
        <v>0</v>
      </c>
      <c r="AE2015" s="160">
        <v>2013</v>
      </c>
    </row>
    <row r="2016" spans="27:31" x14ac:dyDescent="0.25">
      <c r="AA2016" s="160"/>
      <c r="AB2016" s="162"/>
      <c r="AC2016" s="162"/>
      <c r="AD2016" s="162">
        <f t="shared" si="51"/>
        <v>0</v>
      </c>
      <c r="AE2016" s="160">
        <v>2014</v>
      </c>
    </row>
    <row r="2017" spans="27:31" x14ac:dyDescent="0.25">
      <c r="AA2017" s="160"/>
      <c r="AB2017" s="162"/>
      <c r="AC2017" s="162"/>
      <c r="AD2017" s="162">
        <f t="shared" si="51"/>
        <v>0</v>
      </c>
      <c r="AE2017" s="160">
        <v>2015</v>
      </c>
    </row>
    <row r="2018" spans="27:31" x14ac:dyDescent="0.25">
      <c r="AA2018" s="160"/>
      <c r="AB2018" s="162"/>
      <c r="AC2018" s="162"/>
      <c r="AD2018" s="162">
        <f t="shared" si="51"/>
        <v>0</v>
      </c>
      <c r="AE2018" s="160">
        <v>2016</v>
      </c>
    </row>
    <row r="2019" spans="27:31" x14ac:dyDescent="0.25">
      <c r="AA2019" s="160"/>
      <c r="AB2019" s="162"/>
      <c r="AC2019" s="162"/>
      <c r="AD2019" s="162">
        <f t="shared" si="51"/>
        <v>0</v>
      </c>
      <c r="AE2019" s="160">
        <v>2017</v>
      </c>
    </row>
    <row r="2020" spans="27:31" x14ac:dyDescent="0.25">
      <c r="AA2020" s="160"/>
      <c r="AB2020" s="162"/>
      <c r="AC2020" s="162"/>
      <c r="AD2020" s="162">
        <f t="shared" si="51"/>
        <v>0</v>
      </c>
      <c r="AE2020" s="160">
        <v>2018</v>
      </c>
    </row>
    <row r="2021" spans="27:31" x14ac:dyDescent="0.25">
      <c r="AA2021" s="160"/>
      <c r="AB2021" s="162"/>
      <c r="AC2021" s="162"/>
      <c r="AD2021" s="162">
        <f t="shared" si="51"/>
        <v>0</v>
      </c>
      <c r="AE2021" s="160">
        <v>2019</v>
      </c>
    </row>
    <row r="2022" spans="27:31" x14ac:dyDescent="0.25">
      <c r="AA2022" s="160"/>
      <c r="AB2022" s="162"/>
      <c r="AC2022" s="162"/>
      <c r="AD2022" s="162">
        <f t="shared" si="51"/>
        <v>0</v>
      </c>
      <c r="AE2022" s="160">
        <v>2020</v>
      </c>
    </row>
    <row r="2023" spans="27:31" x14ac:dyDescent="0.25">
      <c r="AA2023" s="160"/>
      <c r="AB2023" s="162"/>
      <c r="AC2023" s="162"/>
      <c r="AD2023" s="162">
        <f t="shared" si="51"/>
        <v>0</v>
      </c>
      <c r="AE2023" s="160">
        <v>2021</v>
      </c>
    </row>
    <row r="2024" spans="27:31" x14ac:dyDescent="0.25">
      <c r="AA2024" s="160"/>
      <c r="AB2024" s="162"/>
      <c r="AC2024" s="162"/>
      <c r="AD2024" s="162">
        <f t="shared" si="51"/>
        <v>0</v>
      </c>
      <c r="AE2024" s="160">
        <v>2022</v>
      </c>
    </row>
    <row r="2025" spans="27:31" x14ac:dyDescent="0.25">
      <c r="AA2025" s="160"/>
      <c r="AB2025" s="162"/>
      <c r="AC2025" s="162"/>
      <c r="AD2025" s="162">
        <f t="shared" si="51"/>
        <v>0</v>
      </c>
      <c r="AE2025" s="160">
        <v>2023</v>
      </c>
    </row>
    <row r="2026" spans="27:31" x14ac:dyDescent="0.25">
      <c r="AA2026" s="160"/>
      <c r="AB2026" s="162"/>
      <c r="AC2026" s="162"/>
      <c r="AD2026" s="162">
        <f t="shared" si="51"/>
        <v>0</v>
      </c>
      <c r="AE2026" s="160">
        <v>2024</v>
      </c>
    </row>
    <row r="2027" spans="27:31" x14ac:dyDescent="0.25">
      <c r="AA2027" s="160"/>
      <c r="AB2027" s="162"/>
      <c r="AC2027" s="162"/>
      <c r="AD2027" s="162">
        <f t="shared" si="51"/>
        <v>0</v>
      </c>
      <c r="AE2027" s="160">
        <v>2025</v>
      </c>
    </row>
    <row r="2028" spans="27:31" x14ac:dyDescent="0.25">
      <c r="AA2028" s="160"/>
      <c r="AB2028" s="162"/>
      <c r="AC2028" s="162"/>
      <c r="AD2028" s="162">
        <f t="shared" si="51"/>
        <v>0</v>
      </c>
      <c r="AE2028" s="160">
        <v>2026</v>
      </c>
    </row>
    <row r="2029" spans="27:31" x14ac:dyDescent="0.25">
      <c r="AA2029" s="160"/>
      <c r="AB2029" s="162"/>
      <c r="AC2029" s="162"/>
      <c r="AD2029" s="162">
        <f t="shared" si="51"/>
        <v>0</v>
      </c>
      <c r="AE2029" s="160">
        <v>2027</v>
      </c>
    </row>
    <row r="2030" spans="27:31" x14ac:dyDescent="0.25">
      <c r="AA2030" s="160"/>
      <c r="AB2030" s="162"/>
      <c r="AC2030" s="162"/>
      <c r="AD2030" s="162">
        <f t="shared" si="51"/>
        <v>0</v>
      </c>
      <c r="AE2030" s="160">
        <v>2028</v>
      </c>
    </row>
    <row r="2031" spans="27:31" x14ac:dyDescent="0.25">
      <c r="AA2031" s="160"/>
      <c r="AB2031" s="162"/>
      <c r="AC2031" s="162"/>
      <c r="AD2031" s="162">
        <f t="shared" si="51"/>
        <v>0</v>
      </c>
      <c r="AE2031" s="160">
        <v>2029</v>
      </c>
    </row>
    <row r="2032" spans="27:31" x14ac:dyDescent="0.25">
      <c r="AA2032" s="160"/>
      <c r="AB2032" s="162"/>
      <c r="AC2032" s="162"/>
      <c r="AD2032" s="162">
        <f t="shared" si="51"/>
        <v>0</v>
      </c>
      <c r="AE2032" s="160">
        <v>2030</v>
      </c>
    </row>
    <row r="2033" spans="27:31" x14ac:dyDescent="0.25">
      <c r="AA2033" s="160"/>
      <c r="AB2033" s="162"/>
      <c r="AC2033" s="162"/>
      <c r="AD2033" s="162">
        <f t="shared" si="51"/>
        <v>0</v>
      </c>
      <c r="AE2033" s="160">
        <v>2031</v>
      </c>
    </row>
    <row r="2034" spans="27:31" x14ac:dyDescent="0.25">
      <c r="AA2034" s="160"/>
      <c r="AB2034" s="162"/>
      <c r="AC2034" s="162"/>
      <c r="AD2034" s="162">
        <f t="shared" si="51"/>
        <v>0</v>
      </c>
      <c r="AE2034" s="160">
        <v>2032</v>
      </c>
    </row>
    <row r="2035" spans="27:31" x14ac:dyDescent="0.25">
      <c r="AA2035" s="160"/>
      <c r="AB2035" s="162"/>
      <c r="AC2035" s="162"/>
      <c r="AD2035" s="162">
        <f t="shared" si="51"/>
        <v>0</v>
      </c>
      <c r="AE2035" s="160">
        <v>2033</v>
      </c>
    </row>
    <row r="2036" spans="27:31" x14ac:dyDescent="0.25">
      <c r="AA2036" s="160"/>
      <c r="AB2036" s="162"/>
      <c r="AC2036" s="162"/>
      <c r="AD2036" s="162">
        <f t="shared" si="51"/>
        <v>0</v>
      </c>
      <c r="AE2036" s="160">
        <v>2034</v>
      </c>
    </row>
    <row r="2037" spans="27:31" x14ac:dyDescent="0.25">
      <c r="AA2037" s="160"/>
      <c r="AB2037" s="162"/>
      <c r="AC2037" s="162"/>
      <c r="AD2037" s="162">
        <f t="shared" si="51"/>
        <v>0</v>
      </c>
      <c r="AE2037" s="160">
        <v>2035</v>
      </c>
    </row>
    <row r="2038" spans="27:31" x14ac:dyDescent="0.25">
      <c r="AA2038" s="160"/>
      <c r="AB2038" s="162"/>
      <c r="AC2038" s="162"/>
      <c r="AD2038" s="162">
        <f t="shared" si="51"/>
        <v>0</v>
      </c>
      <c r="AE2038" s="160">
        <v>2036</v>
      </c>
    </row>
    <row r="2039" spans="27:31" x14ac:dyDescent="0.25">
      <c r="AA2039" s="160"/>
      <c r="AB2039" s="162"/>
      <c r="AC2039" s="162"/>
      <c r="AD2039" s="162">
        <f t="shared" si="51"/>
        <v>0</v>
      </c>
      <c r="AE2039" s="160">
        <v>2037</v>
      </c>
    </row>
    <row r="2040" spans="27:31" x14ac:dyDescent="0.25">
      <c r="AA2040" s="160"/>
      <c r="AB2040" s="162"/>
      <c r="AC2040" s="162"/>
      <c r="AD2040" s="162">
        <f t="shared" si="51"/>
        <v>0</v>
      </c>
      <c r="AE2040" s="160">
        <v>2038</v>
      </c>
    </row>
    <row r="2041" spans="27:31" x14ac:dyDescent="0.25">
      <c r="AA2041" s="160"/>
      <c r="AB2041" s="162"/>
      <c r="AC2041" s="162"/>
      <c r="AD2041" s="162">
        <f t="shared" si="51"/>
        <v>0</v>
      </c>
      <c r="AE2041" s="160">
        <v>2039</v>
      </c>
    </row>
    <row r="2042" spans="27:31" x14ac:dyDescent="0.25">
      <c r="AA2042" s="160"/>
      <c r="AB2042" s="162"/>
      <c r="AC2042" s="162"/>
      <c r="AD2042" s="162">
        <f t="shared" si="51"/>
        <v>0</v>
      </c>
      <c r="AE2042" s="160">
        <v>2040</v>
      </c>
    </row>
    <row r="2043" spans="27:31" x14ac:dyDescent="0.25">
      <c r="AA2043" s="160"/>
      <c r="AB2043" s="162"/>
      <c r="AC2043" s="162"/>
      <c r="AD2043" s="162">
        <f t="shared" si="51"/>
        <v>0</v>
      </c>
      <c r="AE2043" s="160">
        <v>2041</v>
      </c>
    </row>
    <row r="2044" spans="27:31" x14ac:dyDescent="0.25">
      <c r="AA2044" s="160"/>
      <c r="AB2044" s="162"/>
      <c r="AC2044" s="162"/>
      <c r="AD2044" s="162">
        <f t="shared" si="51"/>
        <v>0</v>
      </c>
      <c r="AE2044" s="160">
        <v>2042</v>
      </c>
    </row>
    <row r="2045" spans="27:31" x14ac:dyDescent="0.25">
      <c r="AA2045" s="160"/>
      <c r="AB2045" s="162"/>
      <c r="AC2045" s="162"/>
      <c r="AD2045" s="162">
        <f t="shared" si="51"/>
        <v>0</v>
      </c>
      <c r="AE2045" s="160">
        <v>2043</v>
      </c>
    </row>
    <row r="2046" spans="27:31" x14ac:dyDescent="0.25">
      <c r="AA2046" s="160"/>
      <c r="AB2046" s="162"/>
      <c r="AC2046" s="162"/>
      <c r="AD2046" s="162">
        <f t="shared" si="51"/>
        <v>0</v>
      </c>
      <c r="AE2046" s="160">
        <v>2044</v>
      </c>
    </row>
    <row r="2047" spans="27:31" x14ac:dyDescent="0.25">
      <c r="AA2047" s="160"/>
      <c r="AB2047" s="162"/>
      <c r="AC2047" s="162"/>
      <c r="AD2047" s="162">
        <f t="shared" si="51"/>
        <v>0</v>
      </c>
      <c r="AE2047" s="160">
        <v>2045</v>
      </c>
    </row>
    <row r="2048" spans="27:31" x14ac:dyDescent="0.25">
      <c r="AA2048" s="160"/>
      <c r="AB2048" s="162"/>
      <c r="AC2048" s="162"/>
      <c r="AD2048" s="162">
        <f t="shared" si="51"/>
        <v>0</v>
      </c>
      <c r="AE2048" s="160">
        <v>2046</v>
      </c>
    </row>
    <row r="2049" spans="27:31" x14ac:dyDescent="0.25">
      <c r="AA2049" s="160"/>
      <c r="AB2049" s="162"/>
      <c r="AC2049" s="162"/>
      <c r="AD2049" s="162">
        <f t="shared" si="51"/>
        <v>0</v>
      </c>
      <c r="AE2049" s="160">
        <v>2047</v>
      </c>
    </row>
    <row r="2050" spans="27:31" x14ac:dyDescent="0.25">
      <c r="AA2050" s="160"/>
      <c r="AB2050" s="162"/>
      <c r="AC2050" s="162"/>
      <c r="AD2050" s="162">
        <f t="shared" si="51"/>
        <v>0</v>
      </c>
      <c r="AE2050" s="160">
        <v>2048</v>
      </c>
    </row>
    <row r="2051" spans="27:31" x14ac:dyDescent="0.25">
      <c r="AA2051" s="160"/>
      <c r="AB2051" s="162"/>
      <c r="AC2051" s="162"/>
      <c r="AD2051" s="162">
        <f t="shared" si="51"/>
        <v>0</v>
      </c>
      <c r="AE2051" s="160">
        <v>2049</v>
      </c>
    </row>
    <row r="2052" spans="27:31" x14ac:dyDescent="0.25">
      <c r="AA2052" s="160"/>
      <c r="AB2052" s="162"/>
      <c r="AC2052" s="162"/>
      <c r="AD2052" s="162">
        <f t="shared" ref="AD2052:AD2115" si="52">AB2052+AC2052</f>
        <v>0</v>
      </c>
      <c r="AE2052" s="160">
        <v>2050</v>
      </c>
    </row>
    <row r="2053" spans="27:31" x14ac:dyDescent="0.25">
      <c r="AA2053" s="160"/>
      <c r="AB2053" s="162"/>
      <c r="AC2053" s="162"/>
      <c r="AD2053" s="162">
        <f t="shared" si="52"/>
        <v>0</v>
      </c>
      <c r="AE2053" s="160">
        <v>2051</v>
      </c>
    </row>
    <row r="2054" spans="27:31" x14ac:dyDescent="0.25">
      <c r="AA2054" s="160"/>
      <c r="AB2054" s="162"/>
      <c r="AC2054" s="162"/>
      <c r="AD2054" s="162">
        <f t="shared" si="52"/>
        <v>0</v>
      </c>
      <c r="AE2054" s="160">
        <v>2052</v>
      </c>
    </row>
    <row r="2055" spans="27:31" x14ac:dyDescent="0.25">
      <c r="AA2055" s="160"/>
      <c r="AB2055" s="162"/>
      <c r="AC2055" s="162"/>
      <c r="AD2055" s="162">
        <f t="shared" si="52"/>
        <v>0</v>
      </c>
      <c r="AE2055" s="160">
        <v>2053</v>
      </c>
    </row>
    <row r="2056" spans="27:31" x14ac:dyDescent="0.25">
      <c r="AA2056" s="160"/>
      <c r="AB2056" s="162"/>
      <c r="AC2056" s="162"/>
      <c r="AD2056" s="162">
        <f t="shared" si="52"/>
        <v>0</v>
      </c>
      <c r="AE2056" s="160">
        <v>2054</v>
      </c>
    </row>
    <row r="2057" spans="27:31" x14ac:dyDescent="0.25">
      <c r="AA2057" s="160"/>
      <c r="AB2057" s="162"/>
      <c r="AC2057" s="162"/>
      <c r="AD2057" s="162">
        <f t="shared" si="52"/>
        <v>0</v>
      </c>
      <c r="AE2057" s="160">
        <v>2055</v>
      </c>
    </row>
    <row r="2058" spans="27:31" x14ac:dyDescent="0.25">
      <c r="AA2058" s="160"/>
      <c r="AB2058" s="162"/>
      <c r="AC2058" s="162"/>
      <c r="AD2058" s="162">
        <f t="shared" si="52"/>
        <v>0</v>
      </c>
      <c r="AE2058" s="160">
        <v>2056</v>
      </c>
    </row>
    <row r="2059" spans="27:31" x14ac:dyDescent="0.25">
      <c r="AA2059" s="160"/>
      <c r="AB2059" s="162"/>
      <c r="AC2059" s="162"/>
      <c r="AD2059" s="162">
        <f t="shared" si="52"/>
        <v>0</v>
      </c>
      <c r="AE2059" s="160">
        <v>2057</v>
      </c>
    </row>
    <row r="2060" spans="27:31" x14ac:dyDescent="0.25">
      <c r="AA2060" s="160"/>
      <c r="AB2060" s="162"/>
      <c r="AC2060" s="162"/>
      <c r="AD2060" s="162">
        <f t="shared" si="52"/>
        <v>0</v>
      </c>
      <c r="AE2060" s="160">
        <v>2058</v>
      </c>
    </row>
    <row r="2061" spans="27:31" x14ac:dyDescent="0.25">
      <c r="AA2061" s="160"/>
      <c r="AB2061" s="162"/>
      <c r="AC2061" s="162"/>
      <c r="AD2061" s="162">
        <f t="shared" si="52"/>
        <v>0</v>
      </c>
      <c r="AE2061" s="160">
        <v>2059</v>
      </c>
    </row>
    <row r="2062" spans="27:31" x14ac:dyDescent="0.25">
      <c r="AA2062" s="160"/>
      <c r="AB2062" s="162"/>
      <c r="AC2062" s="162"/>
      <c r="AD2062" s="162">
        <f t="shared" si="52"/>
        <v>0</v>
      </c>
      <c r="AE2062" s="160">
        <v>2060</v>
      </c>
    </row>
    <row r="2063" spans="27:31" x14ac:dyDescent="0.25">
      <c r="AA2063" s="160"/>
      <c r="AB2063" s="162"/>
      <c r="AC2063" s="162"/>
      <c r="AD2063" s="162">
        <f t="shared" si="52"/>
        <v>0</v>
      </c>
      <c r="AE2063" s="160">
        <v>2061</v>
      </c>
    </row>
    <row r="2064" spans="27:31" x14ac:dyDescent="0.25">
      <c r="AA2064" s="160"/>
      <c r="AB2064" s="162"/>
      <c r="AC2064" s="162"/>
      <c r="AD2064" s="162">
        <f t="shared" si="52"/>
        <v>0</v>
      </c>
      <c r="AE2064" s="160">
        <v>2062</v>
      </c>
    </row>
    <row r="2065" spans="27:31" x14ac:dyDescent="0.25">
      <c r="AA2065" s="160"/>
      <c r="AB2065" s="162"/>
      <c r="AC2065" s="162"/>
      <c r="AD2065" s="162">
        <f t="shared" si="52"/>
        <v>0</v>
      </c>
      <c r="AE2065" s="160">
        <v>2063</v>
      </c>
    </row>
    <row r="2066" spans="27:31" x14ac:dyDescent="0.25">
      <c r="AA2066" s="160"/>
      <c r="AB2066" s="162"/>
      <c r="AC2066" s="162"/>
      <c r="AD2066" s="162">
        <f t="shared" si="52"/>
        <v>0</v>
      </c>
      <c r="AE2066" s="160">
        <v>2064</v>
      </c>
    </row>
    <row r="2067" spans="27:31" x14ac:dyDescent="0.25">
      <c r="AA2067" s="160"/>
      <c r="AB2067" s="162"/>
      <c r="AC2067" s="162"/>
      <c r="AD2067" s="162">
        <f t="shared" si="52"/>
        <v>0</v>
      </c>
      <c r="AE2067" s="160">
        <v>2065</v>
      </c>
    </row>
    <row r="2068" spans="27:31" x14ac:dyDescent="0.25">
      <c r="AA2068" s="160"/>
      <c r="AB2068" s="162"/>
      <c r="AC2068" s="162"/>
      <c r="AD2068" s="162">
        <f t="shared" si="52"/>
        <v>0</v>
      </c>
      <c r="AE2068" s="160">
        <v>2066</v>
      </c>
    </row>
    <row r="2069" spans="27:31" x14ac:dyDescent="0.25">
      <c r="AA2069" s="160"/>
      <c r="AB2069" s="162"/>
      <c r="AC2069" s="162"/>
      <c r="AD2069" s="162">
        <f t="shared" si="52"/>
        <v>0</v>
      </c>
      <c r="AE2069" s="160">
        <v>2067</v>
      </c>
    </row>
    <row r="2070" spans="27:31" x14ac:dyDescent="0.25">
      <c r="AA2070" s="160"/>
      <c r="AB2070" s="162"/>
      <c r="AC2070" s="162"/>
      <c r="AD2070" s="162">
        <f t="shared" si="52"/>
        <v>0</v>
      </c>
      <c r="AE2070" s="160">
        <v>2068</v>
      </c>
    </row>
    <row r="2071" spans="27:31" x14ac:dyDescent="0.25">
      <c r="AA2071" s="160"/>
      <c r="AB2071" s="162"/>
      <c r="AC2071" s="162"/>
      <c r="AD2071" s="162">
        <f t="shared" si="52"/>
        <v>0</v>
      </c>
      <c r="AE2071" s="160">
        <v>2069</v>
      </c>
    </row>
    <row r="2072" spans="27:31" x14ac:dyDescent="0.25">
      <c r="AA2072" s="160"/>
      <c r="AB2072" s="162"/>
      <c r="AC2072" s="162"/>
      <c r="AD2072" s="162">
        <f t="shared" si="52"/>
        <v>0</v>
      </c>
      <c r="AE2072" s="160">
        <v>2070</v>
      </c>
    </row>
    <row r="2073" spans="27:31" x14ac:dyDescent="0.25">
      <c r="AA2073" s="160"/>
      <c r="AB2073" s="162"/>
      <c r="AC2073" s="162"/>
      <c r="AD2073" s="162">
        <f t="shared" si="52"/>
        <v>0</v>
      </c>
      <c r="AE2073" s="160">
        <v>2071</v>
      </c>
    </row>
    <row r="2074" spans="27:31" x14ac:dyDescent="0.25">
      <c r="AA2074" s="160"/>
      <c r="AB2074" s="162"/>
      <c r="AC2074" s="162"/>
      <c r="AD2074" s="162">
        <f t="shared" si="52"/>
        <v>0</v>
      </c>
      <c r="AE2074" s="160">
        <v>2072</v>
      </c>
    </row>
    <row r="2075" spans="27:31" x14ac:dyDescent="0.25">
      <c r="AA2075" s="160"/>
      <c r="AB2075" s="162"/>
      <c r="AC2075" s="162"/>
      <c r="AD2075" s="162">
        <f t="shared" si="52"/>
        <v>0</v>
      </c>
      <c r="AE2075" s="160">
        <v>2073</v>
      </c>
    </row>
    <row r="2076" spans="27:31" x14ac:dyDescent="0.25">
      <c r="AA2076" s="160"/>
      <c r="AB2076" s="162"/>
      <c r="AC2076" s="162"/>
      <c r="AD2076" s="162">
        <f t="shared" si="52"/>
        <v>0</v>
      </c>
      <c r="AE2076" s="160">
        <v>2074</v>
      </c>
    </row>
    <row r="2077" spans="27:31" x14ac:dyDescent="0.25">
      <c r="AA2077" s="160"/>
      <c r="AB2077" s="162"/>
      <c r="AC2077" s="162"/>
      <c r="AD2077" s="162">
        <f t="shared" si="52"/>
        <v>0</v>
      </c>
      <c r="AE2077" s="160">
        <v>2075</v>
      </c>
    </row>
    <row r="2078" spans="27:31" x14ac:dyDescent="0.25">
      <c r="AA2078" s="160"/>
      <c r="AB2078" s="162"/>
      <c r="AC2078" s="162"/>
      <c r="AD2078" s="162">
        <f t="shared" si="52"/>
        <v>0</v>
      </c>
      <c r="AE2078" s="160">
        <v>2076</v>
      </c>
    </row>
    <row r="2079" spans="27:31" x14ac:dyDescent="0.25">
      <c r="AA2079" s="160"/>
      <c r="AB2079" s="162"/>
      <c r="AC2079" s="162"/>
      <c r="AD2079" s="162">
        <f t="shared" si="52"/>
        <v>0</v>
      </c>
      <c r="AE2079" s="160">
        <v>2077</v>
      </c>
    </row>
    <row r="2080" spans="27:31" x14ac:dyDescent="0.25">
      <c r="AA2080" s="160"/>
      <c r="AB2080" s="162"/>
      <c r="AC2080" s="162"/>
      <c r="AD2080" s="162">
        <f t="shared" si="52"/>
        <v>0</v>
      </c>
      <c r="AE2080" s="160">
        <v>2078</v>
      </c>
    </row>
    <row r="2081" spans="27:31" x14ac:dyDescent="0.25">
      <c r="AA2081" s="160"/>
      <c r="AB2081" s="162"/>
      <c r="AC2081" s="162"/>
      <c r="AD2081" s="162">
        <f t="shared" si="52"/>
        <v>0</v>
      </c>
      <c r="AE2081" s="160">
        <v>2079</v>
      </c>
    </row>
    <row r="2082" spans="27:31" x14ac:dyDescent="0.25">
      <c r="AA2082" s="160"/>
      <c r="AB2082" s="162"/>
      <c r="AC2082" s="162"/>
      <c r="AD2082" s="162">
        <f t="shared" si="52"/>
        <v>0</v>
      </c>
      <c r="AE2082" s="160">
        <v>2080</v>
      </c>
    </row>
    <row r="2083" spans="27:31" x14ac:dyDescent="0.25">
      <c r="AA2083" s="160"/>
      <c r="AB2083" s="162"/>
      <c r="AC2083" s="162"/>
      <c r="AD2083" s="162">
        <f t="shared" si="52"/>
        <v>0</v>
      </c>
      <c r="AE2083" s="160">
        <v>2081</v>
      </c>
    </row>
    <row r="2084" spans="27:31" x14ac:dyDescent="0.25">
      <c r="AA2084" s="160"/>
      <c r="AB2084" s="162"/>
      <c r="AC2084" s="162"/>
      <c r="AD2084" s="162">
        <f t="shared" si="52"/>
        <v>0</v>
      </c>
      <c r="AE2084" s="160">
        <v>2082</v>
      </c>
    </row>
    <row r="2085" spans="27:31" x14ac:dyDescent="0.25">
      <c r="AA2085" s="160"/>
      <c r="AB2085" s="162"/>
      <c r="AC2085" s="162"/>
      <c r="AD2085" s="162">
        <f t="shared" si="52"/>
        <v>0</v>
      </c>
      <c r="AE2085" s="160">
        <v>2083</v>
      </c>
    </row>
    <row r="2086" spans="27:31" x14ac:dyDescent="0.25">
      <c r="AA2086" s="160"/>
      <c r="AB2086" s="162"/>
      <c r="AC2086" s="162"/>
      <c r="AD2086" s="162">
        <f t="shared" si="52"/>
        <v>0</v>
      </c>
      <c r="AE2086" s="160">
        <v>2084</v>
      </c>
    </row>
    <row r="2087" spans="27:31" x14ac:dyDescent="0.25">
      <c r="AA2087" s="160"/>
      <c r="AB2087" s="162"/>
      <c r="AC2087" s="162"/>
      <c r="AD2087" s="162">
        <f t="shared" si="52"/>
        <v>0</v>
      </c>
      <c r="AE2087" s="160">
        <v>2085</v>
      </c>
    </row>
    <row r="2088" spans="27:31" x14ac:dyDescent="0.25">
      <c r="AA2088" s="160"/>
      <c r="AB2088" s="162"/>
      <c r="AC2088" s="162"/>
      <c r="AD2088" s="162">
        <f t="shared" si="52"/>
        <v>0</v>
      </c>
      <c r="AE2088" s="160">
        <v>2086</v>
      </c>
    </row>
    <row r="2089" spans="27:31" x14ac:dyDescent="0.25">
      <c r="AA2089" s="160"/>
      <c r="AB2089" s="162"/>
      <c r="AC2089" s="162"/>
      <c r="AD2089" s="162">
        <f t="shared" si="52"/>
        <v>0</v>
      </c>
      <c r="AE2089" s="160">
        <v>2087</v>
      </c>
    </row>
    <row r="2090" spans="27:31" x14ac:dyDescent="0.25">
      <c r="AA2090" s="160"/>
      <c r="AB2090" s="162"/>
      <c r="AC2090" s="162"/>
      <c r="AD2090" s="162">
        <f t="shared" si="52"/>
        <v>0</v>
      </c>
      <c r="AE2090" s="160">
        <v>2088</v>
      </c>
    </row>
    <row r="2091" spans="27:31" x14ac:dyDescent="0.25">
      <c r="AA2091" s="160"/>
      <c r="AB2091" s="162"/>
      <c r="AC2091" s="162"/>
      <c r="AD2091" s="162">
        <f t="shared" si="52"/>
        <v>0</v>
      </c>
      <c r="AE2091" s="160">
        <v>2089</v>
      </c>
    </row>
    <row r="2092" spans="27:31" x14ac:dyDescent="0.25">
      <c r="AA2092" s="160"/>
      <c r="AB2092" s="162"/>
      <c r="AC2092" s="162"/>
      <c r="AD2092" s="162">
        <f t="shared" si="52"/>
        <v>0</v>
      </c>
      <c r="AE2092" s="160">
        <v>2090</v>
      </c>
    </row>
    <row r="2093" spans="27:31" x14ac:dyDescent="0.25">
      <c r="AA2093" s="160"/>
      <c r="AB2093" s="162"/>
      <c r="AC2093" s="162"/>
      <c r="AD2093" s="162">
        <f t="shared" si="52"/>
        <v>0</v>
      </c>
      <c r="AE2093" s="160">
        <v>2091</v>
      </c>
    </row>
    <row r="2094" spans="27:31" x14ac:dyDescent="0.25">
      <c r="AA2094" s="160"/>
      <c r="AB2094" s="162"/>
      <c r="AC2094" s="162"/>
      <c r="AD2094" s="162">
        <f t="shared" si="52"/>
        <v>0</v>
      </c>
      <c r="AE2094" s="160">
        <v>2092</v>
      </c>
    </row>
    <row r="2095" spans="27:31" x14ac:dyDescent="0.25">
      <c r="AA2095" s="160"/>
      <c r="AB2095" s="162"/>
      <c r="AC2095" s="162"/>
      <c r="AD2095" s="162">
        <f t="shared" si="52"/>
        <v>0</v>
      </c>
      <c r="AE2095" s="160">
        <v>2093</v>
      </c>
    </row>
    <row r="2096" spans="27:31" x14ac:dyDescent="0.25">
      <c r="AA2096" s="160"/>
      <c r="AB2096" s="162"/>
      <c r="AC2096" s="162"/>
      <c r="AD2096" s="162">
        <f t="shared" si="52"/>
        <v>0</v>
      </c>
      <c r="AE2096" s="160">
        <v>2094</v>
      </c>
    </row>
    <row r="2097" spans="27:31" x14ac:dyDescent="0.25">
      <c r="AA2097" s="160"/>
      <c r="AB2097" s="162"/>
      <c r="AC2097" s="162"/>
      <c r="AD2097" s="162">
        <f t="shared" si="52"/>
        <v>0</v>
      </c>
      <c r="AE2097" s="160">
        <v>2095</v>
      </c>
    </row>
    <row r="2098" spans="27:31" x14ac:dyDescent="0.25">
      <c r="AA2098" s="160"/>
      <c r="AB2098" s="162"/>
      <c r="AC2098" s="162"/>
      <c r="AD2098" s="162">
        <f t="shared" si="52"/>
        <v>0</v>
      </c>
      <c r="AE2098" s="160">
        <v>2096</v>
      </c>
    </row>
    <row r="2099" spans="27:31" x14ac:dyDescent="0.25">
      <c r="AA2099" s="160"/>
      <c r="AB2099" s="162"/>
      <c r="AC2099" s="162"/>
      <c r="AD2099" s="162">
        <f t="shared" si="52"/>
        <v>0</v>
      </c>
      <c r="AE2099" s="160">
        <v>2097</v>
      </c>
    </row>
    <row r="2100" spans="27:31" x14ac:dyDescent="0.25">
      <c r="AA2100" s="160"/>
      <c r="AB2100" s="162"/>
      <c r="AC2100" s="162"/>
      <c r="AD2100" s="162">
        <f t="shared" si="52"/>
        <v>0</v>
      </c>
      <c r="AE2100" s="160">
        <v>2098</v>
      </c>
    </row>
    <row r="2101" spans="27:31" x14ac:dyDescent="0.25">
      <c r="AA2101" s="160"/>
      <c r="AB2101" s="162"/>
      <c r="AC2101" s="162"/>
      <c r="AD2101" s="162">
        <f t="shared" si="52"/>
        <v>0</v>
      </c>
      <c r="AE2101" s="160">
        <v>2099</v>
      </c>
    </row>
    <row r="2102" spans="27:31" x14ac:dyDescent="0.25">
      <c r="AA2102" s="160"/>
      <c r="AB2102" s="162"/>
      <c r="AC2102" s="162"/>
      <c r="AD2102" s="162">
        <f t="shared" si="52"/>
        <v>0</v>
      </c>
      <c r="AE2102" s="160">
        <v>2100</v>
      </c>
    </row>
    <row r="2103" spans="27:31" x14ac:dyDescent="0.25">
      <c r="AA2103" s="160"/>
      <c r="AB2103" s="162"/>
      <c r="AC2103" s="162"/>
      <c r="AD2103" s="162">
        <f t="shared" si="52"/>
        <v>0</v>
      </c>
      <c r="AE2103" s="160">
        <v>2101</v>
      </c>
    </row>
    <row r="2104" spans="27:31" x14ac:dyDescent="0.25">
      <c r="AA2104" s="160"/>
      <c r="AB2104" s="162"/>
      <c r="AC2104" s="162"/>
      <c r="AD2104" s="162">
        <f t="shared" si="52"/>
        <v>0</v>
      </c>
      <c r="AE2104" s="160">
        <v>2102</v>
      </c>
    </row>
    <row r="2105" spans="27:31" x14ac:dyDescent="0.25">
      <c r="AA2105" s="160"/>
      <c r="AB2105" s="162"/>
      <c r="AC2105" s="162"/>
      <c r="AD2105" s="162">
        <f t="shared" si="52"/>
        <v>0</v>
      </c>
      <c r="AE2105" s="160">
        <v>2103</v>
      </c>
    </row>
    <row r="2106" spans="27:31" x14ac:dyDescent="0.25">
      <c r="AA2106" s="160"/>
      <c r="AB2106" s="162"/>
      <c r="AC2106" s="162"/>
      <c r="AD2106" s="162">
        <f t="shared" si="52"/>
        <v>0</v>
      </c>
      <c r="AE2106" s="160">
        <v>2104</v>
      </c>
    </row>
    <row r="2107" spans="27:31" x14ac:dyDescent="0.25">
      <c r="AA2107" s="160"/>
      <c r="AB2107" s="162"/>
      <c r="AC2107" s="162"/>
      <c r="AD2107" s="162">
        <f t="shared" si="52"/>
        <v>0</v>
      </c>
      <c r="AE2107" s="160">
        <v>2105</v>
      </c>
    </row>
    <row r="2108" spans="27:31" x14ac:dyDescent="0.25">
      <c r="AA2108" s="160"/>
      <c r="AB2108" s="162"/>
      <c r="AC2108" s="162"/>
      <c r="AD2108" s="162">
        <f t="shared" si="52"/>
        <v>0</v>
      </c>
      <c r="AE2108" s="160">
        <v>2106</v>
      </c>
    </row>
    <row r="2109" spans="27:31" x14ac:dyDescent="0.25">
      <c r="AA2109" s="160"/>
      <c r="AB2109" s="162"/>
      <c r="AC2109" s="162"/>
      <c r="AD2109" s="162">
        <f t="shared" si="52"/>
        <v>0</v>
      </c>
      <c r="AE2109" s="160">
        <v>2107</v>
      </c>
    </row>
    <row r="2110" spans="27:31" x14ac:dyDescent="0.25">
      <c r="AA2110" s="160"/>
      <c r="AB2110" s="162"/>
      <c r="AC2110" s="162"/>
      <c r="AD2110" s="162">
        <f t="shared" si="52"/>
        <v>0</v>
      </c>
      <c r="AE2110" s="160">
        <v>2108</v>
      </c>
    </row>
    <row r="2111" spans="27:31" x14ac:dyDescent="0.25">
      <c r="AA2111" s="160"/>
      <c r="AB2111" s="162"/>
      <c r="AC2111" s="162"/>
      <c r="AD2111" s="162">
        <f t="shared" si="52"/>
        <v>0</v>
      </c>
      <c r="AE2111" s="160">
        <v>2109</v>
      </c>
    </row>
    <row r="2112" spans="27:31" x14ac:dyDescent="0.25">
      <c r="AA2112" s="160"/>
      <c r="AB2112" s="162"/>
      <c r="AC2112" s="162"/>
      <c r="AD2112" s="162">
        <f t="shared" si="52"/>
        <v>0</v>
      </c>
      <c r="AE2112" s="160">
        <v>2110</v>
      </c>
    </row>
    <row r="2113" spans="27:31" x14ac:dyDescent="0.25">
      <c r="AA2113" s="160"/>
      <c r="AB2113" s="162"/>
      <c r="AC2113" s="162"/>
      <c r="AD2113" s="162">
        <f t="shared" si="52"/>
        <v>0</v>
      </c>
      <c r="AE2113" s="160">
        <v>2111</v>
      </c>
    </row>
    <row r="2114" spans="27:31" x14ac:dyDescent="0.25">
      <c r="AA2114" s="160"/>
      <c r="AB2114" s="162"/>
      <c r="AC2114" s="162"/>
      <c r="AD2114" s="162">
        <f t="shared" si="52"/>
        <v>0</v>
      </c>
      <c r="AE2114" s="160">
        <v>2112</v>
      </c>
    </row>
    <row r="2115" spans="27:31" x14ac:dyDescent="0.25">
      <c r="AA2115" s="160"/>
      <c r="AB2115" s="162"/>
      <c r="AC2115" s="162"/>
      <c r="AD2115" s="162">
        <f t="shared" si="52"/>
        <v>0</v>
      </c>
      <c r="AE2115" s="160">
        <v>2113</v>
      </c>
    </row>
    <row r="2116" spans="27:31" x14ac:dyDescent="0.25">
      <c r="AA2116" s="160"/>
      <c r="AB2116" s="162"/>
      <c r="AC2116" s="162"/>
      <c r="AD2116" s="162">
        <f t="shared" ref="AD2116:AD2179" si="53">AB2116+AC2116</f>
        <v>0</v>
      </c>
      <c r="AE2116" s="160">
        <v>2114</v>
      </c>
    </row>
    <row r="2117" spans="27:31" x14ac:dyDescent="0.25">
      <c r="AA2117" s="160"/>
      <c r="AB2117" s="162"/>
      <c r="AC2117" s="162"/>
      <c r="AD2117" s="162">
        <f t="shared" si="53"/>
        <v>0</v>
      </c>
      <c r="AE2117" s="160">
        <v>2115</v>
      </c>
    </row>
    <row r="2118" spans="27:31" x14ac:dyDescent="0.25">
      <c r="AA2118" s="160"/>
      <c r="AB2118" s="162"/>
      <c r="AC2118" s="162"/>
      <c r="AD2118" s="162">
        <f t="shared" si="53"/>
        <v>0</v>
      </c>
      <c r="AE2118" s="160">
        <v>2116</v>
      </c>
    </row>
    <row r="2119" spans="27:31" x14ac:dyDescent="0.25">
      <c r="AA2119" s="160"/>
      <c r="AB2119" s="162"/>
      <c r="AC2119" s="162"/>
      <c r="AD2119" s="162">
        <f t="shared" si="53"/>
        <v>0</v>
      </c>
      <c r="AE2119" s="160">
        <v>2117</v>
      </c>
    </row>
    <row r="2120" spans="27:31" x14ac:dyDescent="0.25">
      <c r="AA2120" s="160"/>
      <c r="AB2120" s="162"/>
      <c r="AC2120" s="162"/>
      <c r="AD2120" s="162">
        <f t="shared" si="53"/>
        <v>0</v>
      </c>
      <c r="AE2120" s="160">
        <v>2118</v>
      </c>
    </row>
    <row r="2121" spans="27:31" x14ac:dyDescent="0.25">
      <c r="AA2121" s="160"/>
      <c r="AB2121" s="162"/>
      <c r="AC2121" s="162"/>
      <c r="AD2121" s="162">
        <f t="shared" si="53"/>
        <v>0</v>
      </c>
      <c r="AE2121" s="160">
        <v>2119</v>
      </c>
    </row>
    <row r="2122" spans="27:31" x14ac:dyDescent="0.25">
      <c r="AA2122" s="160"/>
      <c r="AB2122" s="162"/>
      <c r="AC2122" s="162"/>
      <c r="AD2122" s="162">
        <f t="shared" si="53"/>
        <v>0</v>
      </c>
      <c r="AE2122" s="160">
        <v>2120</v>
      </c>
    </row>
    <row r="2123" spans="27:31" x14ac:dyDescent="0.25">
      <c r="AA2123" s="160"/>
      <c r="AB2123" s="162"/>
      <c r="AC2123" s="162"/>
      <c r="AD2123" s="162">
        <f t="shared" si="53"/>
        <v>0</v>
      </c>
      <c r="AE2123" s="160">
        <v>2121</v>
      </c>
    </row>
    <row r="2124" spans="27:31" x14ac:dyDescent="0.25">
      <c r="AA2124" s="160"/>
      <c r="AB2124" s="162"/>
      <c r="AC2124" s="162"/>
      <c r="AD2124" s="162">
        <f t="shared" si="53"/>
        <v>0</v>
      </c>
      <c r="AE2124" s="160">
        <v>2122</v>
      </c>
    </row>
    <row r="2125" spans="27:31" x14ac:dyDescent="0.25">
      <c r="AA2125" s="160"/>
      <c r="AB2125" s="162"/>
      <c r="AC2125" s="162"/>
      <c r="AD2125" s="162">
        <f t="shared" si="53"/>
        <v>0</v>
      </c>
      <c r="AE2125" s="160">
        <v>2123</v>
      </c>
    </row>
    <row r="2126" spans="27:31" x14ac:dyDescent="0.25">
      <c r="AA2126" s="160"/>
      <c r="AB2126" s="162"/>
      <c r="AC2126" s="162"/>
      <c r="AD2126" s="162">
        <f t="shared" si="53"/>
        <v>0</v>
      </c>
      <c r="AE2126" s="160">
        <v>2124</v>
      </c>
    </row>
    <row r="2127" spans="27:31" x14ac:dyDescent="0.25">
      <c r="AA2127" s="160"/>
      <c r="AB2127" s="162"/>
      <c r="AC2127" s="162"/>
      <c r="AD2127" s="162">
        <f t="shared" si="53"/>
        <v>0</v>
      </c>
      <c r="AE2127" s="160">
        <v>2125</v>
      </c>
    </row>
    <row r="2128" spans="27:31" x14ac:dyDescent="0.25">
      <c r="AA2128" s="160"/>
      <c r="AB2128" s="162"/>
      <c r="AC2128" s="162"/>
      <c r="AD2128" s="162">
        <f t="shared" si="53"/>
        <v>0</v>
      </c>
      <c r="AE2128" s="160">
        <v>2126</v>
      </c>
    </row>
    <row r="2129" spans="27:31" x14ac:dyDescent="0.25">
      <c r="AA2129" s="160"/>
      <c r="AB2129" s="162"/>
      <c r="AC2129" s="162"/>
      <c r="AD2129" s="162">
        <f t="shared" si="53"/>
        <v>0</v>
      </c>
      <c r="AE2129" s="160">
        <v>2127</v>
      </c>
    </row>
    <row r="2130" spans="27:31" x14ac:dyDescent="0.25">
      <c r="AA2130" s="160"/>
      <c r="AB2130" s="162"/>
      <c r="AC2130" s="162"/>
      <c r="AD2130" s="162">
        <f t="shared" si="53"/>
        <v>0</v>
      </c>
      <c r="AE2130" s="160">
        <v>2128</v>
      </c>
    </row>
    <row r="2131" spans="27:31" x14ac:dyDescent="0.25">
      <c r="AA2131" s="160"/>
      <c r="AB2131" s="162"/>
      <c r="AC2131" s="162"/>
      <c r="AD2131" s="162">
        <f t="shared" si="53"/>
        <v>0</v>
      </c>
      <c r="AE2131" s="160">
        <v>2129</v>
      </c>
    </row>
    <row r="2132" spans="27:31" x14ac:dyDescent="0.25">
      <c r="AA2132" s="160"/>
      <c r="AB2132" s="162"/>
      <c r="AC2132" s="162"/>
      <c r="AD2132" s="162">
        <f t="shared" si="53"/>
        <v>0</v>
      </c>
      <c r="AE2132" s="160">
        <v>2130</v>
      </c>
    </row>
    <row r="2133" spans="27:31" x14ac:dyDescent="0.25">
      <c r="AA2133" s="160"/>
      <c r="AB2133" s="162"/>
      <c r="AC2133" s="162"/>
      <c r="AD2133" s="162">
        <f t="shared" si="53"/>
        <v>0</v>
      </c>
      <c r="AE2133" s="160">
        <v>2131</v>
      </c>
    </row>
    <row r="2134" spans="27:31" x14ac:dyDescent="0.25">
      <c r="AA2134" s="160"/>
      <c r="AB2134" s="162"/>
      <c r="AC2134" s="162"/>
      <c r="AD2134" s="162">
        <f t="shared" si="53"/>
        <v>0</v>
      </c>
      <c r="AE2134" s="160">
        <v>2132</v>
      </c>
    </row>
    <row r="2135" spans="27:31" x14ac:dyDescent="0.25">
      <c r="AA2135" s="160"/>
      <c r="AB2135" s="162"/>
      <c r="AC2135" s="162"/>
      <c r="AD2135" s="162">
        <f t="shared" si="53"/>
        <v>0</v>
      </c>
      <c r="AE2135" s="160">
        <v>2133</v>
      </c>
    </row>
    <row r="2136" spans="27:31" x14ac:dyDescent="0.25">
      <c r="AA2136" s="160"/>
      <c r="AB2136" s="162"/>
      <c r="AC2136" s="162"/>
      <c r="AD2136" s="162">
        <f t="shared" si="53"/>
        <v>0</v>
      </c>
      <c r="AE2136" s="160">
        <v>2134</v>
      </c>
    </row>
    <row r="2137" spans="27:31" x14ac:dyDescent="0.25">
      <c r="AA2137" s="160"/>
      <c r="AB2137" s="162"/>
      <c r="AC2137" s="162"/>
      <c r="AD2137" s="162">
        <f t="shared" si="53"/>
        <v>0</v>
      </c>
      <c r="AE2137" s="160">
        <v>2135</v>
      </c>
    </row>
    <row r="2138" spans="27:31" x14ac:dyDescent="0.25">
      <c r="AA2138" s="160"/>
      <c r="AB2138" s="162"/>
      <c r="AC2138" s="162"/>
      <c r="AD2138" s="162">
        <f t="shared" si="53"/>
        <v>0</v>
      </c>
      <c r="AE2138" s="160">
        <v>2136</v>
      </c>
    </row>
    <row r="2139" spans="27:31" x14ac:dyDescent="0.25">
      <c r="AA2139" s="160"/>
      <c r="AB2139" s="162"/>
      <c r="AC2139" s="162"/>
      <c r="AD2139" s="162">
        <f t="shared" si="53"/>
        <v>0</v>
      </c>
      <c r="AE2139" s="160">
        <v>2137</v>
      </c>
    </row>
    <row r="2140" spans="27:31" x14ac:dyDescent="0.25">
      <c r="AA2140" s="160"/>
      <c r="AB2140" s="162"/>
      <c r="AC2140" s="162"/>
      <c r="AD2140" s="162">
        <f t="shared" si="53"/>
        <v>0</v>
      </c>
      <c r="AE2140" s="160">
        <v>2138</v>
      </c>
    </row>
    <row r="2141" spans="27:31" x14ac:dyDescent="0.25">
      <c r="AA2141" s="160"/>
      <c r="AB2141" s="162"/>
      <c r="AC2141" s="162"/>
      <c r="AD2141" s="162">
        <f t="shared" si="53"/>
        <v>0</v>
      </c>
      <c r="AE2141" s="160">
        <v>2139</v>
      </c>
    </row>
    <row r="2142" spans="27:31" x14ac:dyDescent="0.25">
      <c r="AA2142" s="160"/>
      <c r="AB2142" s="162"/>
      <c r="AC2142" s="162"/>
      <c r="AD2142" s="162">
        <f t="shared" si="53"/>
        <v>0</v>
      </c>
      <c r="AE2142" s="160">
        <v>2140</v>
      </c>
    </row>
    <row r="2143" spans="27:31" x14ac:dyDescent="0.25">
      <c r="AA2143" s="160"/>
      <c r="AB2143" s="162"/>
      <c r="AC2143" s="162"/>
      <c r="AD2143" s="162">
        <f t="shared" si="53"/>
        <v>0</v>
      </c>
      <c r="AE2143" s="160">
        <v>2141</v>
      </c>
    </row>
    <row r="2144" spans="27:31" x14ac:dyDescent="0.25">
      <c r="AA2144" s="160"/>
      <c r="AB2144" s="162"/>
      <c r="AC2144" s="162"/>
      <c r="AD2144" s="162">
        <f t="shared" si="53"/>
        <v>0</v>
      </c>
      <c r="AE2144" s="160">
        <v>2142</v>
      </c>
    </row>
    <row r="2145" spans="27:31" x14ac:dyDescent="0.25">
      <c r="AA2145" s="160"/>
      <c r="AB2145" s="162"/>
      <c r="AC2145" s="162"/>
      <c r="AD2145" s="162">
        <f t="shared" si="53"/>
        <v>0</v>
      </c>
      <c r="AE2145" s="160">
        <v>2143</v>
      </c>
    </row>
    <row r="2146" spans="27:31" x14ac:dyDescent="0.25">
      <c r="AA2146" s="160"/>
      <c r="AB2146" s="162"/>
      <c r="AC2146" s="162"/>
      <c r="AD2146" s="162">
        <f t="shared" si="53"/>
        <v>0</v>
      </c>
      <c r="AE2146" s="160">
        <v>2144</v>
      </c>
    </row>
    <row r="2147" spans="27:31" x14ac:dyDescent="0.25">
      <c r="AA2147" s="160"/>
      <c r="AB2147" s="162"/>
      <c r="AC2147" s="162"/>
      <c r="AD2147" s="162">
        <f t="shared" si="53"/>
        <v>0</v>
      </c>
      <c r="AE2147" s="160">
        <v>2145</v>
      </c>
    </row>
    <row r="2148" spans="27:31" x14ac:dyDescent="0.25">
      <c r="AA2148" s="160"/>
      <c r="AB2148" s="162"/>
      <c r="AC2148" s="162"/>
      <c r="AD2148" s="162">
        <f t="shared" si="53"/>
        <v>0</v>
      </c>
      <c r="AE2148" s="160">
        <v>2146</v>
      </c>
    </row>
    <row r="2149" spans="27:31" x14ac:dyDescent="0.25">
      <c r="AA2149" s="160"/>
      <c r="AB2149" s="162"/>
      <c r="AC2149" s="162"/>
      <c r="AD2149" s="162">
        <f t="shared" si="53"/>
        <v>0</v>
      </c>
      <c r="AE2149" s="160">
        <v>2147</v>
      </c>
    </row>
    <row r="2150" spans="27:31" x14ac:dyDescent="0.25">
      <c r="AA2150" s="160"/>
      <c r="AB2150" s="162"/>
      <c r="AC2150" s="162"/>
      <c r="AD2150" s="162">
        <f t="shared" si="53"/>
        <v>0</v>
      </c>
      <c r="AE2150" s="160">
        <v>2148</v>
      </c>
    </row>
    <row r="2151" spans="27:31" x14ac:dyDescent="0.25">
      <c r="AA2151" s="160"/>
      <c r="AB2151" s="162"/>
      <c r="AC2151" s="162"/>
      <c r="AD2151" s="162">
        <f t="shared" si="53"/>
        <v>0</v>
      </c>
      <c r="AE2151" s="160">
        <v>2149</v>
      </c>
    </row>
    <row r="2152" spans="27:31" x14ac:dyDescent="0.25">
      <c r="AA2152" s="160"/>
      <c r="AB2152" s="162"/>
      <c r="AC2152" s="162"/>
      <c r="AD2152" s="162">
        <f t="shared" si="53"/>
        <v>0</v>
      </c>
      <c r="AE2152" s="160">
        <v>2150</v>
      </c>
    </row>
    <row r="2153" spans="27:31" x14ac:dyDescent="0.25">
      <c r="AA2153" s="160"/>
      <c r="AB2153" s="162"/>
      <c r="AC2153" s="162"/>
      <c r="AD2153" s="162">
        <f t="shared" si="53"/>
        <v>0</v>
      </c>
      <c r="AE2153" s="160">
        <v>2151</v>
      </c>
    </row>
    <row r="2154" spans="27:31" x14ac:dyDescent="0.25">
      <c r="AA2154" s="160"/>
      <c r="AB2154" s="162"/>
      <c r="AC2154" s="162"/>
      <c r="AD2154" s="162">
        <f t="shared" si="53"/>
        <v>0</v>
      </c>
      <c r="AE2154" s="160">
        <v>2152</v>
      </c>
    </row>
    <row r="2155" spans="27:31" x14ac:dyDescent="0.25">
      <c r="AA2155" s="160"/>
      <c r="AB2155" s="162"/>
      <c r="AC2155" s="162"/>
      <c r="AD2155" s="162">
        <f t="shared" si="53"/>
        <v>0</v>
      </c>
      <c r="AE2155" s="160">
        <v>2153</v>
      </c>
    </row>
    <row r="2156" spans="27:31" x14ac:dyDescent="0.25">
      <c r="AA2156" s="160"/>
      <c r="AB2156" s="162"/>
      <c r="AC2156" s="162"/>
      <c r="AD2156" s="162">
        <f t="shared" si="53"/>
        <v>0</v>
      </c>
      <c r="AE2156" s="160">
        <v>2154</v>
      </c>
    </row>
    <row r="2157" spans="27:31" x14ac:dyDescent="0.25">
      <c r="AA2157" s="160"/>
      <c r="AB2157" s="162"/>
      <c r="AC2157" s="162"/>
      <c r="AD2157" s="162">
        <f t="shared" si="53"/>
        <v>0</v>
      </c>
      <c r="AE2157" s="160">
        <v>2155</v>
      </c>
    </row>
    <row r="2158" spans="27:31" x14ac:dyDescent="0.25">
      <c r="AA2158" s="160"/>
      <c r="AB2158" s="162"/>
      <c r="AC2158" s="162"/>
      <c r="AD2158" s="162">
        <f t="shared" si="53"/>
        <v>0</v>
      </c>
      <c r="AE2158" s="160">
        <v>2156</v>
      </c>
    </row>
    <row r="2159" spans="27:31" x14ac:dyDescent="0.25">
      <c r="AA2159" s="160"/>
      <c r="AB2159" s="162"/>
      <c r="AC2159" s="162"/>
      <c r="AD2159" s="162">
        <f t="shared" si="53"/>
        <v>0</v>
      </c>
      <c r="AE2159" s="160">
        <v>2157</v>
      </c>
    </row>
    <row r="2160" spans="27:31" x14ac:dyDescent="0.25">
      <c r="AA2160" s="160"/>
      <c r="AB2160" s="162"/>
      <c r="AC2160" s="162"/>
      <c r="AD2160" s="162">
        <f t="shared" si="53"/>
        <v>0</v>
      </c>
      <c r="AE2160" s="160">
        <v>2158</v>
      </c>
    </row>
    <row r="2161" spans="27:31" x14ac:dyDescent="0.25">
      <c r="AA2161" s="160"/>
      <c r="AB2161" s="162"/>
      <c r="AC2161" s="162"/>
      <c r="AD2161" s="162">
        <f t="shared" si="53"/>
        <v>0</v>
      </c>
      <c r="AE2161" s="160">
        <v>2159</v>
      </c>
    </row>
    <row r="2162" spans="27:31" x14ac:dyDescent="0.25">
      <c r="AA2162" s="160"/>
      <c r="AB2162" s="162"/>
      <c r="AC2162" s="162"/>
      <c r="AD2162" s="162">
        <f t="shared" si="53"/>
        <v>0</v>
      </c>
      <c r="AE2162" s="160">
        <v>2160</v>
      </c>
    </row>
    <row r="2163" spans="27:31" x14ac:dyDescent="0.25">
      <c r="AA2163" s="160"/>
      <c r="AB2163" s="162"/>
      <c r="AC2163" s="162"/>
      <c r="AD2163" s="162">
        <f t="shared" si="53"/>
        <v>0</v>
      </c>
      <c r="AE2163" s="160">
        <v>2161</v>
      </c>
    </row>
    <row r="2164" spans="27:31" x14ac:dyDescent="0.25">
      <c r="AA2164" s="160"/>
      <c r="AB2164" s="162"/>
      <c r="AC2164" s="162"/>
      <c r="AD2164" s="162">
        <f t="shared" si="53"/>
        <v>0</v>
      </c>
      <c r="AE2164" s="160">
        <v>2162</v>
      </c>
    </row>
    <row r="2165" spans="27:31" x14ac:dyDescent="0.25">
      <c r="AA2165" s="160"/>
      <c r="AB2165" s="162"/>
      <c r="AC2165" s="162"/>
      <c r="AD2165" s="162">
        <f t="shared" si="53"/>
        <v>0</v>
      </c>
      <c r="AE2165" s="160">
        <v>2163</v>
      </c>
    </row>
    <row r="2166" spans="27:31" x14ac:dyDescent="0.25">
      <c r="AA2166" s="160"/>
      <c r="AB2166" s="162"/>
      <c r="AC2166" s="162"/>
      <c r="AD2166" s="162">
        <f t="shared" si="53"/>
        <v>0</v>
      </c>
      <c r="AE2166" s="160">
        <v>2164</v>
      </c>
    </row>
    <row r="2167" spans="27:31" x14ac:dyDescent="0.25">
      <c r="AA2167" s="160"/>
      <c r="AB2167" s="162"/>
      <c r="AC2167" s="162"/>
      <c r="AD2167" s="162">
        <f t="shared" si="53"/>
        <v>0</v>
      </c>
      <c r="AE2167" s="160">
        <v>2165</v>
      </c>
    </row>
    <row r="2168" spans="27:31" x14ac:dyDescent="0.25">
      <c r="AA2168" s="160"/>
      <c r="AB2168" s="162"/>
      <c r="AC2168" s="162"/>
      <c r="AD2168" s="162">
        <f t="shared" si="53"/>
        <v>0</v>
      </c>
      <c r="AE2168" s="160">
        <v>2166</v>
      </c>
    </row>
    <row r="2169" spans="27:31" x14ac:dyDescent="0.25">
      <c r="AA2169" s="160"/>
      <c r="AB2169" s="162"/>
      <c r="AC2169" s="162"/>
      <c r="AD2169" s="162">
        <f t="shared" si="53"/>
        <v>0</v>
      </c>
      <c r="AE2169" s="160">
        <v>2167</v>
      </c>
    </row>
    <row r="2170" spans="27:31" x14ac:dyDescent="0.25">
      <c r="AA2170" s="160"/>
      <c r="AB2170" s="162"/>
      <c r="AC2170" s="162"/>
      <c r="AD2170" s="162">
        <f t="shared" si="53"/>
        <v>0</v>
      </c>
      <c r="AE2170" s="160">
        <v>2168</v>
      </c>
    </row>
    <row r="2171" spans="27:31" x14ac:dyDescent="0.25">
      <c r="AA2171" s="160"/>
      <c r="AB2171" s="162"/>
      <c r="AC2171" s="162"/>
      <c r="AD2171" s="162">
        <f t="shared" si="53"/>
        <v>0</v>
      </c>
      <c r="AE2171" s="160">
        <v>2169</v>
      </c>
    </row>
    <row r="2172" spans="27:31" x14ac:dyDescent="0.25">
      <c r="AA2172" s="160"/>
      <c r="AB2172" s="162"/>
      <c r="AC2172" s="162"/>
      <c r="AD2172" s="162">
        <f t="shared" si="53"/>
        <v>0</v>
      </c>
      <c r="AE2172" s="160">
        <v>2170</v>
      </c>
    </row>
    <row r="2173" spans="27:31" x14ac:dyDescent="0.25">
      <c r="AA2173" s="160"/>
      <c r="AB2173" s="162"/>
      <c r="AC2173" s="162"/>
      <c r="AD2173" s="162">
        <f t="shared" si="53"/>
        <v>0</v>
      </c>
      <c r="AE2173" s="160">
        <v>2171</v>
      </c>
    </row>
    <row r="2174" spans="27:31" x14ac:dyDescent="0.25">
      <c r="AA2174" s="160"/>
      <c r="AB2174" s="162"/>
      <c r="AC2174" s="162"/>
      <c r="AD2174" s="162">
        <f t="shared" si="53"/>
        <v>0</v>
      </c>
      <c r="AE2174" s="160">
        <v>2172</v>
      </c>
    </row>
    <row r="2175" spans="27:31" x14ac:dyDescent="0.25">
      <c r="AA2175" s="160"/>
      <c r="AB2175" s="162"/>
      <c r="AC2175" s="162"/>
      <c r="AD2175" s="162">
        <f t="shared" si="53"/>
        <v>0</v>
      </c>
      <c r="AE2175" s="160">
        <v>2173</v>
      </c>
    </row>
    <row r="2176" spans="27:31" x14ac:dyDescent="0.25">
      <c r="AA2176" s="160"/>
      <c r="AB2176" s="162"/>
      <c r="AC2176" s="162"/>
      <c r="AD2176" s="162">
        <f t="shared" si="53"/>
        <v>0</v>
      </c>
      <c r="AE2176" s="160">
        <v>2174</v>
      </c>
    </row>
    <row r="2177" spans="27:31" x14ac:dyDescent="0.25">
      <c r="AA2177" s="160"/>
      <c r="AB2177" s="162"/>
      <c r="AC2177" s="162"/>
      <c r="AD2177" s="162">
        <f t="shared" si="53"/>
        <v>0</v>
      </c>
      <c r="AE2177" s="160">
        <v>2175</v>
      </c>
    </row>
    <row r="2178" spans="27:31" x14ac:dyDescent="0.25">
      <c r="AA2178" s="160"/>
      <c r="AB2178" s="162"/>
      <c r="AC2178" s="162"/>
      <c r="AD2178" s="162">
        <f t="shared" si="53"/>
        <v>0</v>
      </c>
      <c r="AE2178" s="160">
        <v>2176</v>
      </c>
    </row>
    <row r="2179" spans="27:31" x14ac:dyDescent="0.25">
      <c r="AA2179" s="160"/>
      <c r="AB2179" s="162"/>
      <c r="AC2179" s="162"/>
      <c r="AD2179" s="162">
        <f t="shared" si="53"/>
        <v>0</v>
      </c>
      <c r="AE2179" s="160">
        <v>2177</v>
      </c>
    </row>
    <row r="2180" spans="27:31" x14ac:dyDescent="0.25">
      <c r="AA2180" s="160"/>
      <c r="AB2180" s="162"/>
      <c r="AC2180" s="162"/>
      <c r="AD2180" s="162">
        <f t="shared" ref="AD2180:AD2243" si="54">AB2180+AC2180</f>
        <v>0</v>
      </c>
      <c r="AE2180" s="160">
        <v>2178</v>
      </c>
    </row>
    <row r="2181" spans="27:31" x14ac:dyDescent="0.25">
      <c r="AA2181" s="160"/>
      <c r="AB2181" s="162"/>
      <c r="AC2181" s="162"/>
      <c r="AD2181" s="162">
        <f t="shared" si="54"/>
        <v>0</v>
      </c>
      <c r="AE2181" s="160">
        <v>2179</v>
      </c>
    </row>
    <row r="2182" spans="27:31" x14ac:dyDescent="0.25">
      <c r="AA2182" s="160"/>
      <c r="AB2182" s="162"/>
      <c r="AC2182" s="162"/>
      <c r="AD2182" s="162">
        <f t="shared" si="54"/>
        <v>0</v>
      </c>
      <c r="AE2182" s="160">
        <v>2180</v>
      </c>
    </row>
    <row r="2183" spans="27:31" x14ac:dyDescent="0.25">
      <c r="AA2183" s="160"/>
      <c r="AB2183" s="162"/>
      <c r="AC2183" s="162"/>
      <c r="AD2183" s="162">
        <f t="shared" si="54"/>
        <v>0</v>
      </c>
      <c r="AE2183" s="160">
        <v>2181</v>
      </c>
    </row>
    <row r="2184" spans="27:31" x14ac:dyDescent="0.25">
      <c r="AA2184" s="160"/>
      <c r="AB2184" s="162"/>
      <c r="AC2184" s="162"/>
      <c r="AD2184" s="162">
        <f t="shared" si="54"/>
        <v>0</v>
      </c>
      <c r="AE2184" s="160">
        <v>2182</v>
      </c>
    </row>
    <row r="2185" spans="27:31" x14ac:dyDescent="0.25">
      <c r="AA2185" s="160"/>
      <c r="AB2185" s="162"/>
      <c r="AC2185" s="162"/>
      <c r="AD2185" s="162">
        <f t="shared" si="54"/>
        <v>0</v>
      </c>
      <c r="AE2185" s="160">
        <v>2183</v>
      </c>
    </row>
    <row r="2186" spans="27:31" x14ac:dyDescent="0.25">
      <c r="AA2186" s="160"/>
      <c r="AB2186" s="162"/>
      <c r="AC2186" s="162"/>
      <c r="AD2186" s="162">
        <f t="shared" si="54"/>
        <v>0</v>
      </c>
      <c r="AE2186" s="160">
        <v>2184</v>
      </c>
    </row>
    <row r="2187" spans="27:31" x14ac:dyDescent="0.25">
      <c r="AA2187" s="160"/>
      <c r="AB2187" s="162"/>
      <c r="AC2187" s="162"/>
      <c r="AD2187" s="162">
        <f t="shared" si="54"/>
        <v>0</v>
      </c>
      <c r="AE2187" s="160">
        <v>2185</v>
      </c>
    </row>
    <row r="2188" spans="27:31" x14ac:dyDescent="0.25">
      <c r="AA2188" s="160"/>
      <c r="AB2188" s="162"/>
      <c r="AC2188" s="162"/>
      <c r="AD2188" s="162">
        <f t="shared" si="54"/>
        <v>0</v>
      </c>
      <c r="AE2188" s="160">
        <v>2186</v>
      </c>
    </row>
    <row r="2189" spans="27:31" x14ac:dyDescent="0.25">
      <c r="AA2189" s="160"/>
      <c r="AB2189" s="162"/>
      <c r="AC2189" s="162"/>
      <c r="AD2189" s="162">
        <f t="shared" si="54"/>
        <v>0</v>
      </c>
      <c r="AE2189" s="160">
        <v>2187</v>
      </c>
    </row>
    <row r="2190" spans="27:31" x14ac:dyDescent="0.25">
      <c r="AA2190" s="160"/>
      <c r="AB2190" s="162"/>
      <c r="AC2190" s="162"/>
      <c r="AD2190" s="162">
        <f t="shared" si="54"/>
        <v>0</v>
      </c>
      <c r="AE2190" s="160">
        <v>2188</v>
      </c>
    </row>
    <row r="2191" spans="27:31" x14ac:dyDescent="0.25">
      <c r="AA2191" s="160"/>
      <c r="AB2191" s="162"/>
      <c r="AC2191" s="162"/>
      <c r="AD2191" s="162">
        <f t="shared" si="54"/>
        <v>0</v>
      </c>
      <c r="AE2191" s="160">
        <v>2189</v>
      </c>
    </row>
    <row r="2192" spans="27:31" x14ac:dyDescent="0.25">
      <c r="AA2192" s="160"/>
      <c r="AB2192" s="162"/>
      <c r="AC2192" s="162"/>
      <c r="AD2192" s="162">
        <f t="shared" si="54"/>
        <v>0</v>
      </c>
      <c r="AE2192" s="160">
        <v>2190</v>
      </c>
    </row>
    <row r="2193" spans="27:31" x14ac:dyDescent="0.25">
      <c r="AA2193" s="160"/>
      <c r="AB2193" s="162"/>
      <c r="AC2193" s="162"/>
      <c r="AD2193" s="162">
        <f t="shared" si="54"/>
        <v>0</v>
      </c>
      <c r="AE2193" s="160">
        <v>2191</v>
      </c>
    </row>
    <row r="2194" spans="27:31" x14ac:dyDescent="0.25">
      <c r="AA2194" s="160"/>
      <c r="AB2194" s="162"/>
      <c r="AC2194" s="162"/>
      <c r="AD2194" s="162">
        <f t="shared" si="54"/>
        <v>0</v>
      </c>
      <c r="AE2194" s="160">
        <v>2192</v>
      </c>
    </row>
    <row r="2195" spans="27:31" x14ac:dyDescent="0.25">
      <c r="AA2195" s="160"/>
      <c r="AB2195" s="162"/>
      <c r="AC2195" s="162"/>
      <c r="AD2195" s="162">
        <f t="shared" si="54"/>
        <v>0</v>
      </c>
      <c r="AE2195" s="160">
        <v>2193</v>
      </c>
    </row>
    <row r="2196" spans="27:31" x14ac:dyDescent="0.25">
      <c r="AA2196" s="160"/>
      <c r="AB2196" s="162"/>
      <c r="AC2196" s="162"/>
      <c r="AD2196" s="162">
        <f t="shared" si="54"/>
        <v>0</v>
      </c>
      <c r="AE2196" s="160">
        <v>2194</v>
      </c>
    </row>
    <row r="2197" spans="27:31" x14ac:dyDescent="0.25">
      <c r="AA2197" s="160"/>
      <c r="AB2197" s="162"/>
      <c r="AC2197" s="162"/>
      <c r="AD2197" s="162">
        <f t="shared" si="54"/>
        <v>0</v>
      </c>
      <c r="AE2197" s="160">
        <v>2195</v>
      </c>
    </row>
    <row r="2198" spans="27:31" x14ac:dyDescent="0.25">
      <c r="AA2198" s="160"/>
      <c r="AB2198" s="162"/>
      <c r="AC2198" s="162"/>
      <c r="AD2198" s="162">
        <f t="shared" si="54"/>
        <v>0</v>
      </c>
      <c r="AE2198" s="160">
        <v>2196</v>
      </c>
    </row>
    <row r="2199" spans="27:31" x14ac:dyDescent="0.25">
      <c r="AA2199" s="160"/>
      <c r="AB2199" s="162"/>
      <c r="AC2199" s="162"/>
      <c r="AD2199" s="162">
        <f t="shared" si="54"/>
        <v>0</v>
      </c>
      <c r="AE2199" s="160">
        <v>2197</v>
      </c>
    </row>
    <row r="2200" spans="27:31" x14ac:dyDescent="0.25">
      <c r="AA2200" s="160"/>
      <c r="AB2200" s="162"/>
      <c r="AC2200" s="162"/>
      <c r="AD2200" s="162">
        <f t="shared" si="54"/>
        <v>0</v>
      </c>
      <c r="AE2200" s="160">
        <v>2198</v>
      </c>
    </row>
    <row r="2201" spans="27:31" x14ac:dyDescent="0.25">
      <c r="AA2201" s="160"/>
      <c r="AB2201" s="162"/>
      <c r="AC2201" s="162"/>
      <c r="AD2201" s="162">
        <f t="shared" si="54"/>
        <v>0</v>
      </c>
      <c r="AE2201" s="160">
        <v>2199</v>
      </c>
    </row>
    <row r="2202" spans="27:31" x14ac:dyDescent="0.25">
      <c r="AA2202" s="160"/>
      <c r="AB2202" s="162"/>
      <c r="AC2202" s="162"/>
      <c r="AD2202" s="162">
        <f t="shared" si="54"/>
        <v>0</v>
      </c>
      <c r="AE2202" s="160">
        <v>2200</v>
      </c>
    </row>
    <row r="2203" spans="27:31" x14ac:dyDescent="0.25">
      <c r="AA2203" s="160"/>
      <c r="AB2203" s="162"/>
      <c r="AC2203" s="162"/>
      <c r="AD2203" s="162">
        <f t="shared" si="54"/>
        <v>0</v>
      </c>
      <c r="AE2203" s="160">
        <v>2201</v>
      </c>
    </row>
    <row r="2204" spans="27:31" x14ac:dyDescent="0.25">
      <c r="AA2204" s="160"/>
      <c r="AB2204" s="162"/>
      <c r="AC2204" s="162"/>
      <c r="AD2204" s="162">
        <f t="shared" si="54"/>
        <v>0</v>
      </c>
      <c r="AE2204" s="160">
        <v>2202</v>
      </c>
    </row>
    <row r="2205" spans="27:31" x14ac:dyDescent="0.25">
      <c r="AA2205" s="160"/>
      <c r="AB2205" s="162"/>
      <c r="AC2205" s="162"/>
      <c r="AD2205" s="162">
        <f t="shared" si="54"/>
        <v>0</v>
      </c>
      <c r="AE2205" s="160">
        <v>2203</v>
      </c>
    </row>
    <row r="2206" spans="27:31" x14ac:dyDescent="0.25">
      <c r="AA2206" s="160"/>
      <c r="AB2206" s="162"/>
      <c r="AC2206" s="162"/>
      <c r="AD2206" s="162">
        <f t="shared" si="54"/>
        <v>0</v>
      </c>
      <c r="AE2206" s="160">
        <v>2204</v>
      </c>
    </row>
    <row r="2207" spans="27:31" x14ac:dyDescent="0.25">
      <c r="AA2207" s="160"/>
      <c r="AB2207" s="162"/>
      <c r="AC2207" s="162"/>
      <c r="AD2207" s="162">
        <f t="shared" si="54"/>
        <v>0</v>
      </c>
      <c r="AE2207" s="160">
        <v>2205</v>
      </c>
    </row>
    <row r="2208" spans="27:31" x14ac:dyDescent="0.25">
      <c r="AA2208" s="160"/>
      <c r="AB2208" s="162"/>
      <c r="AC2208" s="162"/>
      <c r="AD2208" s="162">
        <f t="shared" si="54"/>
        <v>0</v>
      </c>
      <c r="AE2208" s="160">
        <v>2206</v>
      </c>
    </row>
    <row r="2209" spans="27:31" x14ac:dyDescent="0.25">
      <c r="AA2209" s="160"/>
      <c r="AB2209" s="162"/>
      <c r="AC2209" s="162"/>
      <c r="AD2209" s="162">
        <f t="shared" si="54"/>
        <v>0</v>
      </c>
      <c r="AE2209" s="160">
        <v>2207</v>
      </c>
    </row>
    <row r="2210" spans="27:31" x14ac:dyDescent="0.25">
      <c r="AA2210" s="160"/>
      <c r="AB2210" s="162"/>
      <c r="AC2210" s="162"/>
      <c r="AD2210" s="162">
        <f t="shared" si="54"/>
        <v>0</v>
      </c>
      <c r="AE2210" s="160">
        <v>2208</v>
      </c>
    </row>
    <row r="2211" spans="27:31" x14ac:dyDescent="0.25">
      <c r="AA2211" s="160"/>
      <c r="AB2211" s="162"/>
      <c r="AC2211" s="162"/>
      <c r="AD2211" s="162">
        <f t="shared" si="54"/>
        <v>0</v>
      </c>
      <c r="AE2211" s="160">
        <v>2209</v>
      </c>
    </row>
    <row r="2212" spans="27:31" x14ac:dyDescent="0.25">
      <c r="AA2212" s="160"/>
      <c r="AB2212" s="162"/>
      <c r="AC2212" s="162"/>
      <c r="AD2212" s="162">
        <f t="shared" si="54"/>
        <v>0</v>
      </c>
      <c r="AE2212" s="160">
        <v>2210</v>
      </c>
    </row>
    <row r="2213" spans="27:31" x14ac:dyDescent="0.25">
      <c r="AA2213" s="160"/>
      <c r="AB2213" s="162"/>
      <c r="AC2213" s="162"/>
      <c r="AD2213" s="162">
        <f t="shared" si="54"/>
        <v>0</v>
      </c>
      <c r="AE2213" s="160">
        <v>2211</v>
      </c>
    </row>
    <row r="2214" spans="27:31" x14ac:dyDescent="0.25">
      <c r="AA2214" s="160"/>
      <c r="AB2214" s="162"/>
      <c r="AC2214" s="162"/>
      <c r="AD2214" s="162">
        <f t="shared" si="54"/>
        <v>0</v>
      </c>
      <c r="AE2214" s="160">
        <v>2212</v>
      </c>
    </row>
    <row r="2215" spans="27:31" x14ac:dyDescent="0.25">
      <c r="AA2215" s="160"/>
      <c r="AB2215" s="162"/>
      <c r="AC2215" s="162"/>
      <c r="AD2215" s="162">
        <f t="shared" si="54"/>
        <v>0</v>
      </c>
      <c r="AE2215" s="160">
        <v>2213</v>
      </c>
    </row>
    <row r="2216" spans="27:31" x14ac:dyDescent="0.25">
      <c r="AA2216" s="160"/>
      <c r="AB2216" s="162"/>
      <c r="AC2216" s="162"/>
      <c r="AD2216" s="162">
        <f t="shared" si="54"/>
        <v>0</v>
      </c>
      <c r="AE2216" s="160">
        <v>2214</v>
      </c>
    </row>
    <row r="2217" spans="27:31" x14ac:dyDescent="0.25">
      <c r="AA2217" s="160"/>
      <c r="AB2217" s="162"/>
      <c r="AC2217" s="162"/>
      <c r="AD2217" s="162">
        <f t="shared" si="54"/>
        <v>0</v>
      </c>
      <c r="AE2217" s="160">
        <v>2215</v>
      </c>
    </row>
    <row r="2218" spans="27:31" x14ac:dyDescent="0.25">
      <c r="AA2218" s="160"/>
      <c r="AB2218" s="162"/>
      <c r="AC2218" s="162"/>
      <c r="AD2218" s="162">
        <f t="shared" si="54"/>
        <v>0</v>
      </c>
      <c r="AE2218" s="160">
        <v>2216</v>
      </c>
    </row>
    <row r="2219" spans="27:31" x14ac:dyDescent="0.25">
      <c r="AA2219" s="160"/>
      <c r="AB2219" s="162"/>
      <c r="AC2219" s="162"/>
      <c r="AD2219" s="162">
        <f t="shared" si="54"/>
        <v>0</v>
      </c>
      <c r="AE2219" s="160">
        <v>2217</v>
      </c>
    </row>
    <row r="2220" spans="27:31" x14ac:dyDescent="0.25">
      <c r="AA2220" s="160"/>
      <c r="AB2220" s="162"/>
      <c r="AC2220" s="162"/>
      <c r="AD2220" s="162">
        <f t="shared" si="54"/>
        <v>0</v>
      </c>
      <c r="AE2220" s="160">
        <v>2218</v>
      </c>
    </row>
    <row r="2221" spans="27:31" x14ac:dyDescent="0.25">
      <c r="AA2221" s="160"/>
      <c r="AB2221" s="162"/>
      <c r="AC2221" s="162"/>
      <c r="AD2221" s="162">
        <f t="shared" si="54"/>
        <v>0</v>
      </c>
      <c r="AE2221" s="160">
        <v>2219</v>
      </c>
    </row>
    <row r="2222" spans="27:31" x14ac:dyDescent="0.25">
      <c r="AA2222" s="160"/>
      <c r="AB2222" s="162"/>
      <c r="AC2222" s="162"/>
      <c r="AD2222" s="162">
        <f t="shared" si="54"/>
        <v>0</v>
      </c>
      <c r="AE2222" s="160">
        <v>2220</v>
      </c>
    </row>
    <row r="2223" spans="27:31" x14ac:dyDescent="0.25">
      <c r="AA2223" s="160"/>
      <c r="AB2223" s="162"/>
      <c r="AC2223" s="162"/>
      <c r="AD2223" s="162">
        <f t="shared" si="54"/>
        <v>0</v>
      </c>
      <c r="AE2223" s="160">
        <v>2221</v>
      </c>
    </row>
    <row r="2224" spans="27:31" x14ac:dyDescent="0.25">
      <c r="AA2224" s="160"/>
      <c r="AB2224" s="162"/>
      <c r="AC2224" s="162"/>
      <c r="AD2224" s="162">
        <f t="shared" si="54"/>
        <v>0</v>
      </c>
      <c r="AE2224" s="160">
        <v>2222</v>
      </c>
    </row>
    <row r="2225" spans="27:31" x14ac:dyDescent="0.25">
      <c r="AA2225" s="160"/>
      <c r="AB2225" s="162"/>
      <c r="AC2225" s="162"/>
      <c r="AD2225" s="162">
        <f t="shared" si="54"/>
        <v>0</v>
      </c>
      <c r="AE2225" s="160">
        <v>2223</v>
      </c>
    </row>
    <row r="2226" spans="27:31" x14ac:dyDescent="0.25">
      <c r="AA2226" s="160"/>
      <c r="AB2226" s="162"/>
      <c r="AC2226" s="162"/>
      <c r="AD2226" s="162">
        <f t="shared" si="54"/>
        <v>0</v>
      </c>
      <c r="AE2226" s="160">
        <v>2224</v>
      </c>
    </row>
    <row r="2227" spans="27:31" x14ac:dyDescent="0.25">
      <c r="AA2227" s="160"/>
      <c r="AB2227" s="162"/>
      <c r="AC2227" s="162"/>
      <c r="AD2227" s="162">
        <f t="shared" si="54"/>
        <v>0</v>
      </c>
      <c r="AE2227" s="160">
        <v>2225</v>
      </c>
    </row>
    <row r="2228" spans="27:31" x14ac:dyDescent="0.25">
      <c r="AA2228" s="160"/>
      <c r="AB2228" s="162"/>
      <c r="AC2228" s="162"/>
      <c r="AD2228" s="162">
        <f t="shared" si="54"/>
        <v>0</v>
      </c>
      <c r="AE2228" s="160">
        <v>2226</v>
      </c>
    </row>
    <row r="2229" spans="27:31" x14ac:dyDescent="0.25">
      <c r="AA2229" s="160"/>
      <c r="AB2229" s="162"/>
      <c r="AC2229" s="162"/>
      <c r="AD2229" s="162">
        <f t="shared" si="54"/>
        <v>0</v>
      </c>
      <c r="AE2229" s="160">
        <v>2227</v>
      </c>
    </row>
    <row r="2230" spans="27:31" x14ac:dyDescent="0.25">
      <c r="AA2230" s="160"/>
      <c r="AB2230" s="162"/>
      <c r="AC2230" s="162"/>
      <c r="AD2230" s="162">
        <f t="shared" si="54"/>
        <v>0</v>
      </c>
      <c r="AE2230" s="160">
        <v>2228</v>
      </c>
    </row>
    <row r="2231" spans="27:31" x14ac:dyDescent="0.25">
      <c r="AA2231" s="160"/>
      <c r="AB2231" s="162"/>
      <c r="AC2231" s="162"/>
      <c r="AD2231" s="162">
        <f t="shared" si="54"/>
        <v>0</v>
      </c>
      <c r="AE2231" s="160">
        <v>2229</v>
      </c>
    </row>
    <row r="2232" spans="27:31" x14ac:dyDescent="0.25">
      <c r="AA2232" s="160"/>
      <c r="AB2232" s="162"/>
      <c r="AC2232" s="162"/>
      <c r="AD2232" s="162">
        <f t="shared" si="54"/>
        <v>0</v>
      </c>
      <c r="AE2232" s="160">
        <v>2230</v>
      </c>
    </row>
    <row r="2233" spans="27:31" x14ac:dyDescent="0.25">
      <c r="AA2233" s="160"/>
      <c r="AB2233" s="162"/>
      <c r="AC2233" s="162"/>
      <c r="AD2233" s="162">
        <f t="shared" si="54"/>
        <v>0</v>
      </c>
      <c r="AE2233" s="160">
        <v>2231</v>
      </c>
    </row>
    <row r="2234" spans="27:31" x14ac:dyDescent="0.25">
      <c r="AA2234" s="160"/>
      <c r="AB2234" s="162"/>
      <c r="AC2234" s="162"/>
      <c r="AD2234" s="162">
        <f t="shared" si="54"/>
        <v>0</v>
      </c>
      <c r="AE2234" s="160">
        <v>2232</v>
      </c>
    </row>
    <row r="2235" spans="27:31" x14ac:dyDescent="0.25">
      <c r="AA2235" s="160"/>
      <c r="AB2235" s="162"/>
      <c r="AC2235" s="162"/>
      <c r="AD2235" s="162">
        <f t="shared" si="54"/>
        <v>0</v>
      </c>
      <c r="AE2235" s="160">
        <v>2233</v>
      </c>
    </row>
    <row r="2236" spans="27:31" x14ac:dyDescent="0.25">
      <c r="AA2236" s="160"/>
      <c r="AB2236" s="162"/>
      <c r="AC2236" s="162"/>
      <c r="AD2236" s="162">
        <f t="shared" si="54"/>
        <v>0</v>
      </c>
      <c r="AE2236" s="160">
        <v>2234</v>
      </c>
    </row>
    <row r="2237" spans="27:31" x14ac:dyDescent="0.25">
      <c r="AA2237" s="160"/>
      <c r="AB2237" s="162"/>
      <c r="AC2237" s="162"/>
      <c r="AD2237" s="162">
        <f t="shared" si="54"/>
        <v>0</v>
      </c>
      <c r="AE2237" s="160">
        <v>2235</v>
      </c>
    </row>
    <row r="2238" spans="27:31" x14ac:dyDescent="0.25">
      <c r="AA2238" s="160"/>
      <c r="AB2238" s="162"/>
      <c r="AC2238" s="162"/>
      <c r="AD2238" s="162">
        <f t="shared" si="54"/>
        <v>0</v>
      </c>
      <c r="AE2238" s="160">
        <v>2236</v>
      </c>
    </row>
    <row r="2239" spans="27:31" x14ac:dyDescent="0.25">
      <c r="AA2239" s="160"/>
      <c r="AB2239" s="162"/>
      <c r="AC2239" s="162"/>
      <c r="AD2239" s="162">
        <f t="shared" si="54"/>
        <v>0</v>
      </c>
      <c r="AE2239" s="160">
        <v>2237</v>
      </c>
    </row>
    <row r="2240" spans="27:31" x14ac:dyDescent="0.25">
      <c r="AA2240" s="160"/>
      <c r="AB2240" s="162"/>
      <c r="AC2240" s="162"/>
      <c r="AD2240" s="162">
        <f t="shared" si="54"/>
        <v>0</v>
      </c>
      <c r="AE2240" s="160">
        <v>2238</v>
      </c>
    </row>
    <row r="2241" spans="27:31" x14ac:dyDescent="0.25">
      <c r="AA2241" s="160"/>
      <c r="AB2241" s="162"/>
      <c r="AC2241" s="162"/>
      <c r="AD2241" s="162">
        <f t="shared" si="54"/>
        <v>0</v>
      </c>
      <c r="AE2241" s="160">
        <v>2239</v>
      </c>
    </row>
    <row r="2242" spans="27:31" x14ac:dyDescent="0.25">
      <c r="AA2242" s="160"/>
      <c r="AB2242" s="162"/>
      <c r="AC2242" s="162"/>
      <c r="AD2242" s="162">
        <f t="shared" si="54"/>
        <v>0</v>
      </c>
      <c r="AE2242" s="160">
        <v>2240</v>
      </c>
    </row>
    <row r="2243" spans="27:31" x14ac:dyDescent="0.25">
      <c r="AA2243" s="160"/>
      <c r="AB2243" s="162"/>
      <c r="AC2243" s="162"/>
      <c r="AD2243" s="162">
        <f t="shared" si="54"/>
        <v>0</v>
      </c>
      <c r="AE2243" s="160">
        <v>2241</v>
      </c>
    </row>
    <row r="2244" spans="27:31" x14ac:dyDescent="0.25">
      <c r="AA2244" s="160"/>
      <c r="AB2244" s="162"/>
      <c r="AC2244" s="162"/>
      <c r="AD2244" s="162">
        <f t="shared" ref="AD2244:AD2307" si="55">AB2244+AC2244</f>
        <v>0</v>
      </c>
      <c r="AE2244" s="160">
        <v>2242</v>
      </c>
    </row>
    <row r="2245" spans="27:31" x14ac:dyDescent="0.25">
      <c r="AA2245" s="160"/>
      <c r="AB2245" s="162"/>
      <c r="AC2245" s="162"/>
      <c r="AD2245" s="162">
        <f t="shared" si="55"/>
        <v>0</v>
      </c>
      <c r="AE2245" s="160">
        <v>2243</v>
      </c>
    </row>
    <row r="2246" spans="27:31" x14ac:dyDescent="0.25">
      <c r="AA2246" s="160"/>
      <c r="AB2246" s="162"/>
      <c r="AC2246" s="162"/>
      <c r="AD2246" s="162">
        <f t="shared" si="55"/>
        <v>0</v>
      </c>
      <c r="AE2246" s="160">
        <v>2244</v>
      </c>
    </row>
    <row r="2247" spans="27:31" x14ac:dyDescent="0.25">
      <c r="AA2247" s="160"/>
      <c r="AB2247" s="162"/>
      <c r="AC2247" s="162"/>
      <c r="AD2247" s="162">
        <f t="shared" si="55"/>
        <v>0</v>
      </c>
      <c r="AE2247" s="160">
        <v>2245</v>
      </c>
    </row>
    <row r="2248" spans="27:31" x14ac:dyDescent="0.25">
      <c r="AA2248" s="160"/>
      <c r="AB2248" s="162"/>
      <c r="AC2248" s="162"/>
      <c r="AD2248" s="162">
        <f t="shared" si="55"/>
        <v>0</v>
      </c>
      <c r="AE2248" s="160">
        <v>2246</v>
      </c>
    </row>
    <row r="2249" spans="27:31" x14ac:dyDescent="0.25">
      <c r="AA2249" s="160"/>
      <c r="AB2249" s="162"/>
      <c r="AC2249" s="162"/>
      <c r="AD2249" s="162">
        <f t="shared" si="55"/>
        <v>0</v>
      </c>
      <c r="AE2249" s="160">
        <v>2247</v>
      </c>
    </row>
    <row r="2250" spans="27:31" x14ac:dyDescent="0.25">
      <c r="AA2250" s="160"/>
      <c r="AB2250" s="162"/>
      <c r="AC2250" s="162"/>
      <c r="AD2250" s="162">
        <f t="shared" si="55"/>
        <v>0</v>
      </c>
      <c r="AE2250" s="160">
        <v>2248</v>
      </c>
    </row>
    <row r="2251" spans="27:31" x14ac:dyDescent="0.25">
      <c r="AA2251" s="160"/>
      <c r="AB2251" s="162"/>
      <c r="AC2251" s="162"/>
      <c r="AD2251" s="162">
        <f t="shared" si="55"/>
        <v>0</v>
      </c>
      <c r="AE2251" s="160">
        <v>2249</v>
      </c>
    </row>
    <row r="2252" spans="27:31" x14ac:dyDescent="0.25">
      <c r="AA2252" s="160"/>
      <c r="AB2252" s="162"/>
      <c r="AC2252" s="162"/>
      <c r="AD2252" s="162">
        <f t="shared" si="55"/>
        <v>0</v>
      </c>
      <c r="AE2252" s="160">
        <v>2250</v>
      </c>
    </row>
    <row r="2253" spans="27:31" x14ac:dyDescent="0.25">
      <c r="AA2253" s="160"/>
      <c r="AB2253" s="162"/>
      <c r="AC2253" s="162"/>
      <c r="AD2253" s="162">
        <f t="shared" si="55"/>
        <v>0</v>
      </c>
      <c r="AE2253" s="160">
        <v>2251</v>
      </c>
    </row>
    <row r="2254" spans="27:31" x14ac:dyDescent="0.25">
      <c r="AA2254" s="160"/>
      <c r="AB2254" s="162"/>
      <c r="AC2254" s="162"/>
      <c r="AD2254" s="162">
        <f t="shared" si="55"/>
        <v>0</v>
      </c>
      <c r="AE2254" s="160">
        <v>2252</v>
      </c>
    </row>
    <row r="2255" spans="27:31" x14ac:dyDescent="0.25">
      <c r="AA2255" s="160"/>
      <c r="AB2255" s="162"/>
      <c r="AC2255" s="162"/>
      <c r="AD2255" s="162">
        <f t="shared" si="55"/>
        <v>0</v>
      </c>
      <c r="AE2255" s="160">
        <v>2253</v>
      </c>
    </row>
    <row r="2256" spans="27:31" x14ac:dyDescent="0.25">
      <c r="AA2256" s="160"/>
      <c r="AB2256" s="162"/>
      <c r="AC2256" s="162"/>
      <c r="AD2256" s="162">
        <f t="shared" si="55"/>
        <v>0</v>
      </c>
      <c r="AE2256" s="160">
        <v>2254</v>
      </c>
    </row>
    <row r="2257" spans="27:31" x14ac:dyDescent="0.25">
      <c r="AA2257" s="160"/>
      <c r="AB2257" s="162"/>
      <c r="AC2257" s="162"/>
      <c r="AD2257" s="162">
        <f t="shared" si="55"/>
        <v>0</v>
      </c>
      <c r="AE2257" s="160">
        <v>2255</v>
      </c>
    </row>
    <row r="2258" spans="27:31" x14ac:dyDescent="0.25">
      <c r="AA2258" s="160"/>
      <c r="AB2258" s="162"/>
      <c r="AC2258" s="162"/>
      <c r="AD2258" s="162">
        <f t="shared" si="55"/>
        <v>0</v>
      </c>
      <c r="AE2258" s="160">
        <v>2256</v>
      </c>
    </row>
    <row r="2259" spans="27:31" x14ac:dyDescent="0.25">
      <c r="AA2259" s="160"/>
      <c r="AB2259" s="162"/>
      <c r="AC2259" s="162"/>
      <c r="AD2259" s="162">
        <f t="shared" si="55"/>
        <v>0</v>
      </c>
      <c r="AE2259" s="160">
        <v>2257</v>
      </c>
    </row>
    <row r="2260" spans="27:31" x14ac:dyDescent="0.25">
      <c r="AA2260" s="160"/>
      <c r="AB2260" s="162"/>
      <c r="AC2260" s="162"/>
      <c r="AD2260" s="162">
        <f t="shared" si="55"/>
        <v>0</v>
      </c>
      <c r="AE2260" s="160">
        <v>2258</v>
      </c>
    </row>
    <row r="2261" spans="27:31" x14ac:dyDescent="0.25">
      <c r="AA2261" s="160"/>
      <c r="AB2261" s="162"/>
      <c r="AC2261" s="162"/>
      <c r="AD2261" s="162">
        <f t="shared" si="55"/>
        <v>0</v>
      </c>
      <c r="AE2261" s="160">
        <v>2259</v>
      </c>
    </row>
    <row r="2262" spans="27:31" x14ac:dyDescent="0.25">
      <c r="AA2262" s="160"/>
      <c r="AB2262" s="162"/>
      <c r="AC2262" s="162"/>
      <c r="AD2262" s="162">
        <f t="shared" si="55"/>
        <v>0</v>
      </c>
      <c r="AE2262" s="160">
        <v>2260</v>
      </c>
    </row>
    <row r="2263" spans="27:31" x14ac:dyDescent="0.25">
      <c r="AA2263" s="160"/>
      <c r="AB2263" s="162"/>
      <c r="AC2263" s="162"/>
      <c r="AD2263" s="162">
        <f t="shared" si="55"/>
        <v>0</v>
      </c>
      <c r="AE2263" s="160">
        <v>2261</v>
      </c>
    </row>
    <row r="2264" spans="27:31" x14ac:dyDescent="0.25">
      <c r="AA2264" s="160"/>
      <c r="AB2264" s="162"/>
      <c r="AC2264" s="162"/>
      <c r="AD2264" s="162">
        <f t="shared" si="55"/>
        <v>0</v>
      </c>
      <c r="AE2264" s="160">
        <v>2262</v>
      </c>
    </row>
    <row r="2265" spans="27:31" x14ac:dyDescent="0.25">
      <c r="AA2265" s="160"/>
      <c r="AB2265" s="162"/>
      <c r="AC2265" s="162"/>
      <c r="AD2265" s="162">
        <f t="shared" si="55"/>
        <v>0</v>
      </c>
      <c r="AE2265" s="160">
        <v>2263</v>
      </c>
    </row>
    <row r="2266" spans="27:31" x14ac:dyDescent="0.25">
      <c r="AA2266" s="160"/>
      <c r="AB2266" s="162"/>
      <c r="AC2266" s="162"/>
      <c r="AD2266" s="162">
        <f t="shared" si="55"/>
        <v>0</v>
      </c>
      <c r="AE2266" s="160">
        <v>2264</v>
      </c>
    </row>
    <row r="2267" spans="27:31" x14ac:dyDescent="0.25">
      <c r="AA2267" s="160"/>
      <c r="AB2267" s="162"/>
      <c r="AC2267" s="162"/>
      <c r="AD2267" s="162">
        <f t="shared" si="55"/>
        <v>0</v>
      </c>
      <c r="AE2267" s="160">
        <v>2265</v>
      </c>
    </row>
    <row r="2268" spans="27:31" x14ac:dyDescent="0.25">
      <c r="AA2268" s="160"/>
      <c r="AB2268" s="162"/>
      <c r="AC2268" s="162"/>
      <c r="AD2268" s="162">
        <f t="shared" si="55"/>
        <v>0</v>
      </c>
      <c r="AE2268" s="160">
        <v>2266</v>
      </c>
    </row>
    <row r="2269" spans="27:31" x14ac:dyDescent="0.25">
      <c r="AA2269" s="160"/>
      <c r="AB2269" s="162"/>
      <c r="AC2269" s="162"/>
      <c r="AD2269" s="162">
        <f t="shared" si="55"/>
        <v>0</v>
      </c>
      <c r="AE2269" s="160">
        <v>2267</v>
      </c>
    </row>
    <row r="2270" spans="27:31" x14ac:dyDescent="0.25">
      <c r="AA2270" s="160"/>
      <c r="AB2270" s="162"/>
      <c r="AC2270" s="162"/>
      <c r="AD2270" s="162">
        <f t="shared" si="55"/>
        <v>0</v>
      </c>
      <c r="AE2270" s="160">
        <v>2268</v>
      </c>
    </row>
    <row r="2271" spans="27:31" x14ac:dyDescent="0.25">
      <c r="AA2271" s="160"/>
      <c r="AB2271" s="162"/>
      <c r="AC2271" s="162"/>
      <c r="AD2271" s="162">
        <f t="shared" si="55"/>
        <v>0</v>
      </c>
      <c r="AE2271" s="160">
        <v>2269</v>
      </c>
    </row>
    <row r="2272" spans="27:31" x14ac:dyDescent="0.25">
      <c r="AA2272" s="160"/>
      <c r="AB2272" s="162"/>
      <c r="AC2272" s="162"/>
      <c r="AD2272" s="162">
        <f t="shared" si="55"/>
        <v>0</v>
      </c>
      <c r="AE2272" s="160">
        <v>2270</v>
      </c>
    </row>
    <row r="2273" spans="27:31" x14ac:dyDescent="0.25">
      <c r="AA2273" s="160"/>
      <c r="AB2273" s="162"/>
      <c r="AC2273" s="162"/>
      <c r="AD2273" s="162">
        <f t="shared" si="55"/>
        <v>0</v>
      </c>
      <c r="AE2273" s="160">
        <v>2271</v>
      </c>
    </row>
    <row r="2274" spans="27:31" x14ac:dyDescent="0.25">
      <c r="AA2274" s="160"/>
      <c r="AB2274" s="162"/>
      <c r="AC2274" s="162"/>
      <c r="AD2274" s="162">
        <f t="shared" si="55"/>
        <v>0</v>
      </c>
      <c r="AE2274" s="160">
        <v>2272</v>
      </c>
    </row>
    <row r="2275" spans="27:31" x14ac:dyDescent="0.25">
      <c r="AA2275" s="160"/>
      <c r="AB2275" s="162"/>
      <c r="AC2275" s="162"/>
      <c r="AD2275" s="162">
        <f t="shared" si="55"/>
        <v>0</v>
      </c>
      <c r="AE2275" s="160">
        <v>2273</v>
      </c>
    </row>
    <row r="2276" spans="27:31" x14ac:dyDescent="0.25">
      <c r="AA2276" s="160"/>
      <c r="AB2276" s="162"/>
      <c r="AC2276" s="162"/>
      <c r="AD2276" s="162">
        <f t="shared" si="55"/>
        <v>0</v>
      </c>
      <c r="AE2276" s="160">
        <v>2274</v>
      </c>
    </row>
    <row r="2277" spans="27:31" x14ac:dyDescent="0.25">
      <c r="AA2277" s="160"/>
      <c r="AB2277" s="162"/>
      <c r="AC2277" s="162"/>
      <c r="AD2277" s="162">
        <f t="shared" si="55"/>
        <v>0</v>
      </c>
      <c r="AE2277" s="160">
        <v>2275</v>
      </c>
    </row>
    <row r="2278" spans="27:31" x14ac:dyDescent="0.25">
      <c r="AA2278" s="160"/>
      <c r="AB2278" s="162"/>
      <c r="AC2278" s="162"/>
      <c r="AD2278" s="162">
        <f t="shared" si="55"/>
        <v>0</v>
      </c>
      <c r="AE2278" s="160">
        <v>2276</v>
      </c>
    </row>
    <row r="2279" spans="27:31" x14ac:dyDescent="0.25">
      <c r="AA2279" s="160"/>
      <c r="AB2279" s="162"/>
      <c r="AC2279" s="162"/>
      <c r="AD2279" s="162">
        <f t="shared" si="55"/>
        <v>0</v>
      </c>
      <c r="AE2279" s="160">
        <v>2277</v>
      </c>
    </row>
    <row r="2280" spans="27:31" x14ac:dyDescent="0.25">
      <c r="AA2280" s="160"/>
      <c r="AB2280" s="162"/>
      <c r="AC2280" s="162"/>
      <c r="AD2280" s="162">
        <f t="shared" si="55"/>
        <v>0</v>
      </c>
      <c r="AE2280" s="160">
        <v>2278</v>
      </c>
    </row>
    <row r="2281" spans="27:31" x14ac:dyDescent="0.25">
      <c r="AA2281" s="160"/>
      <c r="AB2281" s="162"/>
      <c r="AC2281" s="162"/>
      <c r="AD2281" s="162">
        <f t="shared" si="55"/>
        <v>0</v>
      </c>
      <c r="AE2281" s="160">
        <v>2279</v>
      </c>
    </row>
    <row r="2282" spans="27:31" x14ac:dyDescent="0.25">
      <c r="AA2282" s="160"/>
      <c r="AB2282" s="162"/>
      <c r="AC2282" s="162"/>
      <c r="AD2282" s="162">
        <f t="shared" si="55"/>
        <v>0</v>
      </c>
      <c r="AE2282" s="160">
        <v>2280</v>
      </c>
    </row>
    <row r="2283" spans="27:31" x14ac:dyDescent="0.25">
      <c r="AA2283" s="160"/>
      <c r="AB2283" s="162"/>
      <c r="AC2283" s="162"/>
      <c r="AD2283" s="162">
        <f t="shared" si="55"/>
        <v>0</v>
      </c>
      <c r="AE2283" s="160">
        <v>2281</v>
      </c>
    </row>
    <row r="2284" spans="27:31" x14ac:dyDescent="0.25">
      <c r="AA2284" s="160"/>
      <c r="AB2284" s="162"/>
      <c r="AC2284" s="162"/>
      <c r="AD2284" s="162">
        <f t="shared" si="55"/>
        <v>0</v>
      </c>
      <c r="AE2284" s="160">
        <v>2282</v>
      </c>
    </row>
    <row r="2285" spans="27:31" x14ac:dyDescent="0.25">
      <c r="AA2285" s="160"/>
      <c r="AB2285" s="162"/>
      <c r="AC2285" s="162"/>
      <c r="AD2285" s="162">
        <f t="shared" si="55"/>
        <v>0</v>
      </c>
      <c r="AE2285" s="160">
        <v>2283</v>
      </c>
    </row>
    <row r="2286" spans="27:31" x14ac:dyDescent="0.25">
      <c r="AA2286" s="160"/>
      <c r="AB2286" s="162"/>
      <c r="AC2286" s="162"/>
      <c r="AD2286" s="162">
        <f t="shared" si="55"/>
        <v>0</v>
      </c>
      <c r="AE2286" s="160">
        <v>2284</v>
      </c>
    </row>
    <row r="2287" spans="27:31" x14ac:dyDescent="0.25">
      <c r="AA2287" s="160"/>
      <c r="AB2287" s="162"/>
      <c r="AC2287" s="162"/>
      <c r="AD2287" s="162">
        <f t="shared" si="55"/>
        <v>0</v>
      </c>
      <c r="AE2287" s="160">
        <v>2285</v>
      </c>
    </row>
    <row r="2288" spans="27:31" x14ac:dyDescent="0.25">
      <c r="AA2288" s="160"/>
      <c r="AB2288" s="162"/>
      <c r="AC2288" s="162"/>
      <c r="AD2288" s="162">
        <f t="shared" si="55"/>
        <v>0</v>
      </c>
      <c r="AE2288" s="160">
        <v>2286</v>
      </c>
    </row>
    <row r="2289" spans="27:31" x14ac:dyDescent="0.25">
      <c r="AA2289" s="160"/>
      <c r="AB2289" s="162"/>
      <c r="AC2289" s="162"/>
      <c r="AD2289" s="162">
        <f t="shared" si="55"/>
        <v>0</v>
      </c>
      <c r="AE2289" s="160">
        <v>2287</v>
      </c>
    </row>
    <row r="2290" spans="27:31" x14ac:dyDescent="0.25">
      <c r="AA2290" s="160"/>
      <c r="AB2290" s="162"/>
      <c r="AC2290" s="162"/>
      <c r="AD2290" s="162">
        <f t="shared" si="55"/>
        <v>0</v>
      </c>
      <c r="AE2290" s="160">
        <v>2288</v>
      </c>
    </row>
    <row r="2291" spans="27:31" x14ac:dyDescent="0.25">
      <c r="AA2291" s="160"/>
      <c r="AB2291" s="162"/>
      <c r="AC2291" s="162"/>
      <c r="AD2291" s="162">
        <f t="shared" si="55"/>
        <v>0</v>
      </c>
      <c r="AE2291" s="160">
        <v>2289</v>
      </c>
    </row>
    <row r="2292" spans="27:31" x14ac:dyDescent="0.25">
      <c r="AA2292" s="160"/>
      <c r="AB2292" s="162"/>
      <c r="AC2292" s="162"/>
      <c r="AD2292" s="162">
        <f t="shared" si="55"/>
        <v>0</v>
      </c>
      <c r="AE2292" s="160">
        <v>2290</v>
      </c>
    </row>
    <row r="2293" spans="27:31" x14ac:dyDescent="0.25">
      <c r="AA2293" s="160"/>
      <c r="AB2293" s="162"/>
      <c r="AC2293" s="162"/>
      <c r="AD2293" s="162">
        <f t="shared" si="55"/>
        <v>0</v>
      </c>
      <c r="AE2293" s="160">
        <v>2291</v>
      </c>
    </row>
    <row r="2294" spans="27:31" x14ac:dyDescent="0.25">
      <c r="AA2294" s="160"/>
      <c r="AB2294" s="162"/>
      <c r="AC2294" s="162"/>
      <c r="AD2294" s="162">
        <f t="shared" si="55"/>
        <v>0</v>
      </c>
      <c r="AE2294" s="160">
        <v>2292</v>
      </c>
    </row>
    <row r="2295" spans="27:31" x14ac:dyDescent="0.25">
      <c r="AA2295" s="160"/>
      <c r="AB2295" s="162"/>
      <c r="AC2295" s="162"/>
      <c r="AD2295" s="162">
        <f t="shared" si="55"/>
        <v>0</v>
      </c>
      <c r="AE2295" s="160">
        <v>2293</v>
      </c>
    </row>
    <row r="2296" spans="27:31" x14ac:dyDescent="0.25">
      <c r="AA2296" s="160"/>
      <c r="AB2296" s="162"/>
      <c r="AC2296" s="162"/>
      <c r="AD2296" s="162">
        <f t="shared" si="55"/>
        <v>0</v>
      </c>
      <c r="AE2296" s="160">
        <v>2294</v>
      </c>
    </row>
    <row r="2297" spans="27:31" x14ac:dyDescent="0.25">
      <c r="AA2297" s="160"/>
      <c r="AB2297" s="162"/>
      <c r="AC2297" s="162"/>
      <c r="AD2297" s="162">
        <f t="shared" si="55"/>
        <v>0</v>
      </c>
      <c r="AE2297" s="160">
        <v>2295</v>
      </c>
    </row>
    <row r="2298" spans="27:31" x14ac:dyDescent="0.25">
      <c r="AA2298" s="160"/>
      <c r="AB2298" s="162"/>
      <c r="AC2298" s="162"/>
      <c r="AD2298" s="162">
        <f t="shared" si="55"/>
        <v>0</v>
      </c>
      <c r="AE2298" s="160">
        <v>2296</v>
      </c>
    </row>
    <row r="2299" spans="27:31" x14ac:dyDescent="0.25">
      <c r="AA2299" s="160"/>
      <c r="AB2299" s="162"/>
      <c r="AC2299" s="162"/>
      <c r="AD2299" s="162">
        <f t="shared" si="55"/>
        <v>0</v>
      </c>
      <c r="AE2299" s="160">
        <v>2297</v>
      </c>
    </row>
    <row r="2300" spans="27:31" x14ac:dyDescent="0.25">
      <c r="AA2300" s="160"/>
      <c r="AB2300" s="162"/>
      <c r="AC2300" s="162"/>
      <c r="AD2300" s="162">
        <f t="shared" si="55"/>
        <v>0</v>
      </c>
      <c r="AE2300" s="160">
        <v>2298</v>
      </c>
    </row>
    <row r="2301" spans="27:31" x14ac:dyDescent="0.25">
      <c r="AA2301" s="160"/>
      <c r="AB2301" s="162"/>
      <c r="AC2301" s="162"/>
      <c r="AD2301" s="162">
        <f t="shared" si="55"/>
        <v>0</v>
      </c>
      <c r="AE2301" s="160">
        <v>2299</v>
      </c>
    </row>
    <row r="2302" spans="27:31" x14ac:dyDescent="0.25">
      <c r="AA2302" s="160"/>
      <c r="AB2302" s="162"/>
      <c r="AC2302" s="162"/>
      <c r="AD2302" s="162">
        <f t="shared" si="55"/>
        <v>0</v>
      </c>
      <c r="AE2302" s="160">
        <v>2300</v>
      </c>
    </row>
    <row r="2303" spans="27:31" x14ac:dyDescent="0.25">
      <c r="AA2303" s="160"/>
      <c r="AB2303" s="162"/>
      <c r="AC2303" s="162"/>
      <c r="AD2303" s="162">
        <f t="shared" si="55"/>
        <v>0</v>
      </c>
      <c r="AE2303" s="160">
        <v>2301</v>
      </c>
    </row>
    <row r="2304" spans="27:31" x14ac:dyDescent="0.25">
      <c r="AA2304" s="160"/>
      <c r="AB2304" s="162"/>
      <c r="AC2304" s="162"/>
      <c r="AD2304" s="162">
        <f t="shared" si="55"/>
        <v>0</v>
      </c>
      <c r="AE2304" s="160">
        <v>2302</v>
      </c>
    </row>
    <row r="2305" spans="27:31" x14ac:dyDescent="0.25">
      <c r="AA2305" s="160"/>
      <c r="AB2305" s="162"/>
      <c r="AC2305" s="162"/>
      <c r="AD2305" s="162">
        <f t="shared" si="55"/>
        <v>0</v>
      </c>
      <c r="AE2305" s="160">
        <v>2303</v>
      </c>
    </row>
    <row r="2306" spans="27:31" x14ac:dyDescent="0.25">
      <c r="AA2306" s="160"/>
      <c r="AB2306" s="162"/>
      <c r="AC2306" s="162"/>
      <c r="AD2306" s="162">
        <f t="shared" si="55"/>
        <v>0</v>
      </c>
      <c r="AE2306" s="160">
        <v>2304</v>
      </c>
    </row>
    <row r="2307" spans="27:31" x14ac:dyDescent="0.25">
      <c r="AA2307" s="160"/>
      <c r="AB2307" s="162"/>
      <c r="AC2307" s="162"/>
      <c r="AD2307" s="162">
        <f t="shared" si="55"/>
        <v>0</v>
      </c>
      <c r="AE2307" s="160">
        <v>2305</v>
      </c>
    </row>
    <row r="2308" spans="27:31" x14ac:dyDescent="0.25">
      <c r="AA2308" s="160"/>
      <c r="AB2308" s="162"/>
      <c r="AC2308" s="162"/>
      <c r="AD2308" s="162">
        <f t="shared" ref="AD2308:AD2371" si="56">AB2308+AC2308</f>
        <v>0</v>
      </c>
      <c r="AE2308" s="160">
        <v>2306</v>
      </c>
    </row>
    <row r="2309" spans="27:31" x14ac:dyDescent="0.25">
      <c r="AA2309" s="160"/>
      <c r="AB2309" s="162"/>
      <c r="AC2309" s="162"/>
      <c r="AD2309" s="162">
        <f t="shared" si="56"/>
        <v>0</v>
      </c>
      <c r="AE2309" s="160">
        <v>2307</v>
      </c>
    </row>
    <row r="2310" spans="27:31" x14ac:dyDescent="0.25">
      <c r="AA2310" s="160"/>
      <c r="AB2310" s="162"/>
      <c r="AC2310" s="162"/>
      <c r="AD2310" s="162">
        <f t="shared" si="56"/>
        <v>0</v>
      </c>
      <c r="AE2310" s="160">
        <v>2308</v>
      </c>
    </row>
    <row r="2311" spans="27:31" x14ac:dyDescent="0.25">
      <c r="AA2311" s="160"/>
      <c r="AB2311" s="162"/>
      <c r="AC2311" s="162"/>
      <c r="AD2311" s="162">
        <f t="shared" si="56"/>
        <v>0</v>
      </c>
      <c r="AE2311" s="160">
        <v>2309</v>
      </c>
    </row>
    <row r="2312" spans="27:31" x14ac:dyDescent="0.25">
      <c r="AA2312" s="160"/>
      <c r="AB2312" s="162"/>
      <c r="AC2312" s="162"/>
      <c r="AD2312" s="162">
        <f t="shared" si="56"/>
        <v>0</v>
      </c>
      <c r="AE2312" s="160">
        <v>2310</v>
      </c>
    </row>
    <row r="2313" spans="27:31" x14ac:dyDescent="0.25">
      <c r="AA2313" s="160"/>
      <c r="AB2313" s="162"/>
      <c r="AC2313" s="162"/>
      <c r="AD2313" s="162">
        <f t="shared" si="56"/>
        <v>0</v>
      </c>
      <c r="AE2313" s="160">
        <v>2311</v>
      </c>
    </row>
    <row r="2314" spans="27:31" x14ac:dyDescent="0.25">
      <c r="AA2314" s="160"/>
      <c r="AB2314" s="162"/>
      <c r="AC2314" s="162"/>
      <c r="AD2314" s="162">
        <f t="shared" si="56"/>
        <v>0</v>
      </c>
      <c r="AE2314" s="160">
        <v>2312</v>
      </c>
    </row>
    <row r="2315" spans="27:31" x14ac:dyDescent="0.25">
      <c r="AA2315" s="160"/>
      <c r="AB2315" s="162"/>
      <c r="AC2315" s="162"/>
      <c r="AD2315" s="162">
        <f t="shared" si="56"/>
        <v>0</v>
      </c>
      <c r="AE2315" s="160">
        <v>2313</v>
      </c>
    </row>
    <row r="2316" spans="27:31" x14ac:dyDescent="0.25">
      <c r="AA2316" s="160"/>
      <c r="AB2316" s="162"/>
      <c r="AC2316" s="162"/>
      <c r="AD2316" s="162">
        <f t="shared" si="56"/>
        <v>0</v>
      </c>
      <c r="AE2316" s="160">
        <v>2314</v>
      </c>
    </row>
    <row r="2317" spans="27:31" x14ac:dyDescent="0.25">
      <c r="AA2317" s="160"/>
      <c r="AB2317" s="162"/>
      <c r="AC2317" s="162"/>
      <c r="AD2317" s="162">
        <f t="shared" si="56"/>
        <v>0</v>
      </c>
      <c r="AE2317" s="160">
        <v>2315</v>
      </c>
    </row>
    <row r="2318" spans="27:31" x14ac:dyDescent="0.25">
      <c r="AA2318" s="160"/>
      <c r="AB2318" s="162"/>
      <c r="AC2318" s="162"/>
      <c r="AD2318" s="162">
        <f t="shared" si="56"/>
        <v>0</v>
      </c>
      <c r="AE2318" s="160">
        <v>2316</v>
      </c>
    </row>
    <row r="2319" spans="27:31" x14ac:dyDescent="0.25">
      <c r="AA2319" s="160"/>
      <c r="AB2319" s="162"/>
      <c r="AC2319" s="162"/>
      <c r="AD2319" s="162">
        <f t="shared" si="56"/>
        <v>0</v>
      </c>
      <c r="AE2319" s="160">
        <v>2317</v>
      </c>
    </row>
    <row r="2320" spans="27:31" x14ac:dyDescent="0.25">
      <c r="AA2320" s="160"/>
      <c r="AB2320" s="162"/>
      <c r="AC2320" s="162"/>
      <c r="AD2320" s="162">
        <f t="shared" si="56"/>
        <v>0</v>
      </c>
      <c r="AE2320" s="160">
        <v>2318</v>
      </c>
    </row>
    <row r="2321" spans="27:31" x14ac:dyDescent="0.25">
      <c r="AA2321" s="160"/>
      <c r="AB2321" s="162"/>
      <c r="AC2321" s="162"/>
      <c r="AD2321" s="162">
        <f t="shared" si="56"/>
        <v>0</v>
      </c>
      <c r="AE2321" s="160">
        <v>2319</v>
      </c>
    </row>
    <row r="2322" spans="27:31" x14ac:dyDescent="0.25">
      <c r="AA2322" s="160"/>
      <c r="AB2322" s="162"/>
      <c r="AC2322" s="162"/>
      <c r="AD2322" s="162">
        <f t="shared" si="56"/>
        <v>0</v>
      </c>
      <c r="AE2322" s="160">
        <v>2320</v>
      </c>
    </row>
    <row r="2323" spans="27:31" x14ac:dyDescent="0.25">
      <c r="AA2323" s="160"/>
      <c r="AB2323" s="162"/>
      <c r="AC2323" s="162"/>
      <c r="AD2323" s="162">
        <f t="shared" si="56"/>
        <v>0</v>
      </c>
      <c r="AE2323" s="160">
        <v>2321</v>
      </c>
    </row>
    <row r="2324" spans="27:31" x14ac:dyDescent="0.25">
      <c r="AA2324" s="160"/>
      <c r="AB2324" s="162"/>
      <c r="AC2324" s="162"/>
      <c r="AD2324" s="162">
        <f t="shared" si="56"/>
        <v>0</v>
      </c>
      <c r="AE2324" s="160">
        <v>2322</v>
      </c>
    </row>
    <row r="2325" spans="27:31" x14ac:dyDescent="0.25">
      <c r="AA2325" s="160"/>
      <c r="AB2325" s="162"/>
      <c r="AC2325" s="162"/>
      <c r="AD2325" s="162">
        <f t="shared" si="56"/>
        <v>0</v>
      </c>
      <c r="AE2325" s="160">
        <v>2323</v>
      </c>
    </row>
    <row r="2326" spans="27:31" x14ac:dyDescent="0.25">
      <c r="AA2326" s="160"/>
      <c r="AB2326" s="162"/>
      <c r="AC2326" s="162"/>
      <c r="AD2326" s="162">
        <f t="shared" si="56"/>
        <v>0</v>
      </c>
      <c r="AE2326" s="160">
        <v>2324</v>
      </c>
    </row>
    <row r="2327" spans="27:31" x14ac:dyDescent="0.25">
      <c r="AA2327" s="160"/>
      <c r="AB2327" s="162"/>
      <c r="AC2327" s="162"/>
      <c r="AD2327" s="162">
        <f t="shared" si="56"/>
        <v>0</v>
      </c>
      <c r="AE2327" s="160">
        <v>2325</v>
      </c>
    </row>
    <row r="2328" spans="27:31" x14ac:dyDescent="0.25">
      <c r="AA2328" s="160"/>
      <c r="AB2328" s="162"/>
      <c r="AC2328" s="162"/>
      <c r="AD2328" s="162">
        <f t="shared" si="56"/>
        <v>0</v>
      </c>
      <c r="AE2328" s="160">
        <v>2326</v>
      </c>
    </row>
    <row r="2329" spans="27:31" x14ac:dyDescent="0.25">
      <c r="AA2329" s="160"/>
      <c r="AB2329" s="162"/>
      <c r="AC2329" s="162"/>
      <c r="AD2329" s="162">
        <f t="shared" si="56"/>
        <v>0</v>
      </c>
      <c r="AE2329" s="160">
        <v>2327</v>
      </c>
    </row>
    <row r="2330" spans="27:31" x14ac:dyDescent="0.25">
      <c r="AA2330" s="160"/>
      <c r="AB2330" s="162"/>
      <c r="AC2330" s="162"/>
      <c r="AD2330" s="162">
        <f t="shared" si="56"/>
        <v>0</v>
      </c>
      <c r="AE2330" s="160">
        <v>2328</v>
      </c>
    </row>
    <row r="2331" spans="27:31" x14ac:dyDescent="0.25">
      <c r="AA2331" s="160"/>
      <c r="AB2331" s="162"/>
      <c r="AC2331" s="162"/>
      <c r="AD2331" s="162">
        <f t="shared" si="56"/>
        <v>0</v>
      </c>
      <c r="AE2331" s="160">
        <v>2329</v>
      </c>
    </row>
    <row r="2332" spans="27:31" x14ac:dyDescent="0.25">
      <c r="AA2332" s="160"/>
      <c r="AB2332" s="162"/>
      <c r="AC2332" s="162"/>
      <c r="AD2332" s="162">
        <f t="shared" si="56"/>
        <v>0</v>
      </c>
      <c r="AE2332" s="160">
        <v>2330</v>
      </c>
    </row>
    <row r="2333" spans="27:31" x14ac:dyDescent="0.25">
      <c r="AA2333" s="160"/>
      <c r="AB2333" s="162"/>
      <c r="AC2333" s="162"/>
      <c r="AD2333" s="162">
        <f t="shared" si="56"/>
        <v>0</v>
      </c>
      <c r="AE2333" s="160">
        <v>2331</v>
      </c>
    </row>
    <row r="2334" spans="27:31" x14ac:dyDescent="0.25">
      <c r="AA2334" s="160"/>
      <c r="AB2334" s="162"/>
      <c r="AC2334" s="162"/>
      <c r="AD2334" s="162">
        <f t="shared" si="56"/>
        <v>0</v>
      </c>
      <c r="AE2334" s="160">
        <v>2332</v>
      </c>
    </row>
    <row r="2335" spans="27:31" x14ac:dyDescent="0.25">
      <c r="AA2335" s="160"/>
      <c r="AB2335" s="162"/>
      <c r="AC2335" s="162"/>
      <c r="AD2335" s="162">
        <f t="shared" si="56"/>
        <v>0</v>
      </c>
      <c r="AE2335" s="160">
        <v>2333</v>
      </c>
    </row>
    <row r="2336" spans="27:31" x14ac:dyDescent="0.25">
      <c r="AA2336" s="160"/>
      <c r="AB2336" s="162"/>
      <c r="AC2336" s="162"/>
      <c r="AD2336" s="162">
        <f t="shared" si="56"/>
        <v>0</v>
      </c>
      <c r="AE2336" s="160">
        <v>2334</v>
      </c>
    </row>
    <row r="2337" spans="27:31" x14ac:dyDescent="0.25">
      <c r="AA2337" s="160"/>
      <c r="AB2337" s="162"/>
      <c r="AC2337" s="162"/>
      <c r="AD2337" s="162">
        <f t="shared" si="56"/>
        <v>0</v>
      </c>
      <c r="AE2337" s="160">
        <v>2335</v>
      </c>
    </row>
    <row r="2338" spans="27:31" x14ac:dyDescent="0.25">
      <c r="AA2338" s="160"/>
      <c r="AB2338" s="162"/>
      <c r="AC2338" s="162"/>
      <c r="AD2338" s="162">
        <f t="shared" si="56"/>
        <v>0</v>
      </c>
      <c r="AE2338" s="160">
        <v>2336</v>
      </c>
    </row>
    <row r="2339" spans="27:31" x14ac:dyDescent="0.25">
      <c r="AA2339" s="160"/>
      <c r="AB2339" s="162"/>
      <c r="AC2339" s="162"/>
      <c r="AD2339" s="162">
        <f t="shared" si="56"/>
        <v>0</v>
      </c>
      <c r="AE2339" s="160">
        <v>2337</v>
      </c>
    </row>
    <row r="2340" spans="27:31" x14ac:dyDescent="0.25">
      <c r="AA2340" s="160"/>
      <c r="AB2340" s="162"/>
      <c r="AC2340" s="162"/>
      <c r="AD2340" s="162">
        <f t="shared" si="56"/>
        <v>0</v>
      </c>
      <c r="AE2340" s="160">
        <v>2338</v>
      </c>
    </row>
    <row r="2341" spans="27:31" x14ac:dyDescent="0.25">
      <c r="AA2341" s="160"/>
      <c r="AB2341" s="162"/>
      <c r="AC2341" s="162"/>
      <c r="AD2341" s="162">
        <f t="shared" si="56"/>
        <v>0</v>
      </c>
      <c r="AE2341" s="160">
        <v>2339</v>
      </c>
    </row>
    <row r="2342" spans="27:31" x14ac:dyDescent="0.25">
      <c r="AA2342" s="160"/>
      <c r="AB2342" s="162"/>
      <c r="AC2342" s="162"/>
      <c r="AD2342" s="162">
        <f t="shared" si="56"/>
        <v>0</v>
      </c>
      <c r="AE2342" s="160">
        <v>2340</v>
      </c>
    </row>
    <row r="2343" spans="27:31" x14ac:dyDescent="0.25">
      <c r="AA2343" s="160"/>
      <c r="AB2343" s="162"/>
      <c r="AC2343" s="162"/>
      <c r="AD2343" s="162">
        <f t="shared" si="56"/>
        <v>0</v>
      </c>
      <c r="AE2343" s="160">
        <v>2341</v>
      </c>
    </row>
    <row r="2344" spans="27:31" x14ac:dyDescent="0.25">
      <c r="AA2344" s="160"/>
      <c r="AB2344" s="162"/>
      <c r="AC2344" s="162"/>
      <c r="AD2344" s="162">
        <f t="shared" si="56"/>
        <v>0</v>
      </c>
      <c r="AE2344" s="160">
        <v>2342</v>
      </c>
    </row>
    <row r="2345" spans="27:31" x14ac:dyDescent="0.25">
      <c r="AA2345" s="160"/>
      <c r="AB2345" s="162"/>
      <c r="AC2345" s="162"/>
      <c r="AD2345" s="162">
        <f t="shared" si="56"/>
        <v>0</v>
      </c>
      <c r="AE2345" s="160">
        <v>2343</v>
      </c>
    </row>
    <row r="2346" spans="27:31" x14ac:dyDescent="0.25">
      <c r="AA2346" s="160"/>
      <c r="AB2346" s="162"/>
      <c r="AC2346" s="162"/>
      <c r="AD2346" s="162">
        <f t="shared" si="56"/>
        <v>0</v>
      </c>
      <c r="AE2346" s="160">
        <v>2344</v>
      </c>
    </row>
    <row r="2347" spans="27:31" x14ac:dyDescent="0.25">
      <c r="AA2347" s="160"/>
      <c r="AB2347" s="162"/>
      <c r="AC2347" s="162"/>
      <c r="AD2347" s="162">
        <f t="shared" si="56"/>
        <v>0</v>
      </c>
      <c r="AE2347" s="160">
        <v>2345</v>
      </c>
    </row>
    <row r="2348" spans="27:31" x14ac:dyDescent="0.25">
      <c r="AA2348" s="160"/>
      <c r="AB2348" s="162"/>
      <c r="AC2348" s="162"/>
      <c r="AD2348" s="162">
        <f t="shared" si="56"/>
        <v>0</v>
      </c>
      <c r="AE2348" s="160">
        <v>2346</v>
      </c>
    </row>
    <row r="2349" spans="27:31" x14ac:dyDescent="0.25">
      <c r="AA2349" s="160"/>
      <c r="AB2349" s="162"/>
      <c r="AC2349" s="162"/>
      <c r="AD2349" s="162">
        <f t="shared" si="56"/>
        <v>0</v>
      </c>
      <c r="AE2349" s="160">
        <v>2347</v>
      </c>
    </row>
    <row r="2350" spans="27:31" x14ac:dyDescent="0.25">
      <c r="AA2350" s="160"/>
      <c r="AB2350" s="162"/>
      <c r="AC2350" s="162"/>
      <c r="AD2350" s="162">
        <f t="shared" si="56"/>
        <v>0</v>
      </c>
      <c r="AE2350" s="160">
        <v>2348</v>
      </c>
    </row>
    <row r="2351" spans="27:31" x14ac:dyDescent="0.25">
      <c r="AA2351" s="160"/>
      <c r="AB2351" s="162"/>
      <c r="AC2351" s="162"/>
      <c r="AD2351" s="162">
        <f t="shared" si="56"/>
        <v>0</v>
      </c>
      <c r="AE2351" s="160">
        <v>2349</v>
      </c>
    </row>
    <row r="2352" spans="27:31" x14ac:dyDescent="0.25">
      <c r="AA2352" s="160"/>
      <c r="AB2352" s="162"/>
      <c r="AC2352" s="162"/>
      <c r="AD2352" s="162">
        <f t="shared" si="56"/>
        <v>0</v>
      </c>
      <c r="AE2352" s="160">
        <v>2350</v>
      </c>
    </row>
    <row r="2353" spans="27:31" x14ac:dyDescent="0.25">
      <c r="AA2353" s="160"/>
      <c r="AB2353" s="162"/>
      <c r="AC2353" s="162"/>
      <c r="AD2353" s="162">
        <f t="shared" si="56"/>
        <v>0</v>
      </c>
      <c r="AE2353" s="160">
        <v>2351</v>
      </c>
    </row>
    <row r="2354" spans="27:31" x14ac:dyDescent="0.25">
      <c r="AA2354" s="160"/>
      <c r="AB2354" s="162"/>
      <c r="AC2354" s="162"/>
      <c r="AD2354" s="162">
        <f t="shared" si="56"/>
        <v>0</v>
      </c>
      <c r="AE2354" s="160">
        <v>2352</v>
      </c>
    </row>
    <row r="2355" spans="27:31" x14ac:dyDescent="0.25">
      <c r="AA2355" s="160"/>
      <c r="AB2355" s="162"/>
      <c r="AC2355" s="162"/>
      <c r="AD2355" s="162">
        <f t="shared" si="56"/>
        <v>0</v>
      </c>
      <c r="AE2355" s="160">
        <v>2353</v>
      </c>
    </row>
    <row r="2356" spans="27:31" x14ac:dyDescent="0.25">
      <c r="AA2356" s="160"/>
      <c r="AB2356" s="162"/>
      <c r="AC2356" s="162"/>
      <c r="AD2356" s="162">
        <f t="shared" si="56"/>
        <v>0</v>
      </c>
      <c r="AE2356" s="160">
        <v>2354</v>
      </c>
    </row>
    <row r="2357" spans="27:31" x14ac:dyDescent="0.25">
      <c r="AA2357" s="160"/>
      <c r="AB2357" s="162"/>
      <c r="AC2357" s="162"/>
      <c r="AD2357" s="162">
        <f t="shared" si="56"/>
        <v>0</v>
      </c>
      <c r="AE2357" s="160">
        <v>2355</v>
      </c>
    </row>
    <row r="2358" spans="27:31" x14ac:dyDescent="0.25">
      <c r="AA2358" s="160"/>
      <c r="AB2358" s="162"/>
      <c r="AC2358" s="162"/>
      <c r="AD2358" s="162">
        <f t="shared" si="56"/>
        <v>0</v>
      </c>
      <c r="AE2358" s="160">
        <v>2356</v>
      </c>
    </row>
    <row r="2359" spans="27:31" x14ac:dyDescent="0.25">
      <c r="AA2359" s="160"/>
      <c r="AB2359" s="162"/>
      <c r="AC2359" s="162"/>
      <c r="AD2359" s="162">
        <f t="shared" si="56"/>
        <v>0</v>
      </c>
      <c r="AE2359" s="160">
        <v>2357</v>
      </c>
    </row>
    <row r="2360" spans="27:31" x14ac:dyDescent="0.25">
      <c r="AA2360" s="160"/>
      <c r="AB2360" s="162"/>
      <c r="AC2360" s="162"/>
      <c r="AD2360" s="162">
        <f t="shared" si="56"/>
        <v>0</v>
      </c>
      <c r="AE2360" s="160">
        <v>2358</v>
      </c>
    </row>
    <row r="2361" spans="27:31" x14ac:dyDescent="0.25">
      <c r="AA2361" s="160"/>
      <c r="AB2361" s="162"/>
      <c r="AC2361" s="162"/>
      <c r="AD2361" s="162">
        <f t="shared" si="56"/>
        <v>0</v>
      </c>
      <c r="AE2361" s="160">
        <v>2359</v>
      </c>
    </row>
    <row r="2362" spans="27:31" x14ac:dyDescent="0.25">
      <c r="AA2362" s="160"/>
      <c r="AB2362" s="162"/>
      <c r="AC2362" s="162"/>
      <c r="AD2362" s="162">
        <f t="shared" si="56"/>
        <v>0</v>
      </c>
      <c r="AE2362" s="160">
        <v>2360</v>
      </c>
    </row>
    <row r="2363" spans="27:31" x14ac:dyDescent="0.25">
      <c r="AA2363" s="160"/>
      <c r="AB2363" s="162"/>
      <c r="AC2363" s="162"/>
      <c r="AD2363" s="162">
        <f t="shared" si="56"/>
        <v>0</v>
      </c>
      <c r="AE2363" s="160">
        <v>2361</v>
      </c>
    </row>
    <row r="2364" spans="27:31" x14ac:dyDescent="0.25">
      <c r="AA2364" s="160"/>
      <c r="AB2364" s="162"/>
      <c r="AC2364" s="162"/>
      <c r="AD2364" s="162">
        <f t="shared" si="56"/>
        <v>0</v>
      </c>
      <c r="AE2364" s="160">
        <v>2362</v>
      </c>
    </row>
    <row r="2365" spans="27:31" x14ac:dyDescent="0.25">
      <c r="AA2365" s="160"/>
      <c r="AB2365" s="162"/>
      <c r="AC2365" s="162"/>
      <c r="AD2365" s="162">
        <f t="shared" si="56"/>
        <v>0</v>
      </c>
      <c r="AE2365" s="160">
        <v>2363</v>
      </c>
    </row>
    <row r="2366" spans="27:31" x14ac:dyDescent="0.25">
      <c r="AA2366" s="160"/>
      <c r="AB2366" s="162"/>
      <c r="AC2366" s="162"/>
      <c r="AD2366" s="162">
        <f t="shared" si="56"/>
        <v>0</v>
      </c>
      <c r="AE2366" s="160">
        <v>2364</v>
      </c>
    </row>
    <row r="2367" spans="27:31" x14ac:dyDescent="0.25">
      <c r="AA2367" s="160"/>
      <c r="AB2367" s="162"/>
      <c r="AC2367" s="162"/>
      <c r="AD2367" s="162">
        <f t="shared" si="56"/>
        <v>0</v>
      </c>
      <c r="AE2367" s="160">
        <v>2365</v>
      </c>
    </row>
    <row r="2368" spans="27:31" x14ac:dyDescent="0.25">
      <c r="AA2368" s="160"/>
      <c r="AB2368" s="162"/>
      <c r="AC2368" s="162"/>
      <c r="AD2368" s="162">
        <f t="shared" si="56"/>
        <v>0</v>
      </c>
      <c r="AE2368" s="160">
        <v>2366</v>
      </c>
    </row>
    <row r="2369" spans="27:31" x14ac:dyDescent="0.25">
      <c r="AA2369" s="160"/>
      <c r="AB2369" s="162"/>
      <c r="AC2369" s="162"/>
      <c r="AD2369" s="162">
        <f t="shared" si="56"/>
        <v>0</v>
      </c>
      <c r="AE2369" s="160">
        <v>2367</v>
      </c>
    </row>
    <row r="2370" spans="27:31" x14ac:dyDescent="0.25">
      <c r="AA2370" s="160"/>
      <c r="AB2370" s="162"/>
      <c r="AC2370" s="162"/>
      <c r="AD2370" s="162">
        <f t="shared" si="56"/>
        <v>0</v>
      </c>
      <c r="AE2370" s="160">
        <v>2368</v>
      </c>
    </row>
    <row r="2371" spans="27:31" x14ac:dyDescent="0.25">
      <c r="AA2371" s="160"/>
      <c r="AB2371" s="162"/>
      <c r="AC2371" s="162"/>
      <c r="AD2371" s="162">
        <f t="shared" si="56"/>
        <v>0</v>
      </c>
      <c r="AE2371" s="160">
        <v>2369</v>
      </c>
    </row>
    <row r="2372" spans="27:31" x14ac:dyDescent="0.25">
      <c r="AA2372" s="160"/>
      <c r="AB2372" s="162"/>
      <c r="AC2372" s="162"/>
      <c r="AD2372" s="162">
        <f t="shared" ref="AD2372:AD2435" si="57">AB2372+AC2372</f>
        <v>0</v>
      </c>
      <c r="AE2372" s="160">
        <v>2370</v>
      </c>
    </row>
    <row r="2373" spans="27:31" x14ac:dyDescent="0.25">
      <c r="AA2373" s="160"/>
      <c r="AB2373" s="162"/>
      <c r="AC2373" s="162"/>
      <c r="AD2373" s="162">
        <f t="shared" si="57"/>
        <v>0</v>
      </c>
      <c r="AE2373" s="160">
        <v>2371</v>
      </c>
    </row>
    <row r="2374" spans="27:31" x14ac:dyDescent="0.25">
      <c r="AA2374" s="160"/>
      <c r="AB2374" s="162"/>
      <c r="AC2374" s="162"/>
      <c r="AD2374" s="162">
        <f t="shared" si="57"/>
        <v>0</v>
      </c>
      <c r="AE2374" s="160">
        <v>2372</v>
      </c>
    </row>
    <row r="2375" spans="27:31" x14ac:dyDescent="0.25">
      <c r="AA2375" s="160"/>
      <c r="AB2375" s="162"/>
      <c r="AC2375" s="162"/>
      <c r="AD2375" s="162">
        <f t="shared" si="57"/>
        <v>0</v>
      </c>
      <c r="AE2375" s="160">
        <v>2373</v>
      </c>
    </row>
    <row r="2376" spans="27:31" x14ac:dyDescent="0.25">
      <c r="AA2376" s="160"/>
      <c r="AB2376" s="162"/>
      <c r="AC2376" s="162"/>
      <c r="AD2376" s="162">
        <f t="shared" si="57"/>
        <v>0</v>
      </c>
      <c r="AE2376" s="160">
        <v>2374</v>
      </c>
    </row>
    <row r="2377" spans="27:31" x14ac:dyDescent="0.25">
      <c r="AA2377" s="160"/>
      <c r="AB2377" s="162"/>
      <c r="AC2377" s="162"/>
      <c r="AD2377" s="162">
        <f t="shared" si="57"/>
        <v>0</v>
      </c>
      <c r="AE2377" s="160">
        <v>2375</v>
      </c>
    </row>
    <row r="2378" spans="27:31" x14ac:dyDescent="0.25">
      <c r="AA2378" s="160"/>
      <c r="AB2378" s="162"/>
      <c r="AC2378" s="162"/>
      <c r="AD2378" s="162">
        <f t="shared" si="57"/>
        <v>0</v>
      </c>
      <c r="AE2378" s="160">
        <v>2376</v>
      </c>
    </row>
    <row r="2379" spans="27:31" x14ac:dyDescent="0.25">
      <c r="AA2379" s="160"/>
      <c r="AB2379" s="162"/>
      <c r="AC2379" s="162"/>
      <c r="AD2379" s="162">
        <f t="shared" si="57"/>
        <v>0</v>
      </c>
      <c r="AE2379" s="160">
        <v>2377</v>
      </c>
    </row>
    <row r="2380" spans="27:31" x14ac:dyDescent="0.25">
      <c r="AA2380" s="160"/>
      <c r="AB2380" s="162"/>
      <c r="AC2380" s="162"/>
      <c r="AD2380" s="162">
        <f t="shared" si="57"/>
        <v>0</v>
      </c>
      <c r="AE2380" s="160">
        <v>2378</v>
      </c>
    </row>
    <row r="2381" spans="27:31" x14ac:dyDescent="0.25">
      <c r="AA2381" s="160"/>
      <c r="AB2381" s="162"/>
      <c r="AC2381" s="162"/>
      <c r="AD2381" s="162">
        <f t="shared" si="57"/>
        <v>0</v>
      </c>
      <c r="AE2381" s="160">
        <v>2379</v>
      </c>
    </row>
    <row r="2382" spans="27:31" x14ac:dyDescent="0.25">
      <c r="AA2382" s="160"/>
      <c r="AB2382" s="162"/>
      <c r="AC2382" s="162"/>
      <c r="AD2382" s="162">
        <f t="shared" si="57"/>
        <v>0</v>
      </c>
      <c r="AE2382" s="160">
        <v>2380</v>
      </c>
    </row>
    <row r="2383" spans="27:31" x14ac:dyDescent="0.25">
      <c r="AA2383" s="160"/>
      <c r="AB2383" s="162"/>
      <c r="AC2383" s="162"/>
      <c r="AD2383" s="162">
        <f t="shared" si="57"/>
        <v>0</v>
      </c>
      <c r="AE2383" s="160">
        <v>2381</v>
      </c>
    </row>
    <row r="2384" spans="27:31" x14ac:dyDescent="0.25">
      <c r="AA2384" s="160"/>
      <c r="AB2384" s="162"/>
      <c r="AC2384" s="162"/>
      <c r="AD2384" s="162">
        <f t="shared" si="57"/>
        <v>0</v>
      </c>
      <c r="AE2384" s="160">
        <v>2382</v>
      </c>
    </row>
    <row r="2385" spans="27:31" x14ac:dyDescent="0.25">
      <c r="AA2385" s="160"/>
      <c r="AB2385" s="162"/>
      <c r="AC2385" s="162"/>
      <c r="AD2385" s="162">
        <f t="shared" si="57"/>
        <v>0</v>
      </c>
      <c r="AE2385" s="160">
        <v>2383</v>
      </c>
    </row>
    <row r="2386" spans="27:31" x14ac:dyDescent="0.25">
      <c r="AA2386" s="160"/>
      <c r="AB2386" s="162"/>
      <c r="AC2386" s="162"/>
      <c r="AD2386" s="162">
        <f t="shared" si="57"/>
        <v>0</v>
      </c>
      <c r="AE2386" s="160">
        <v>2384</v>
      </c>
    </row>
    <row r="2387" spans="27:31" x14ac:dyDescent="0.25">
      <c r="AA2387" s="160"/>
      <c r="AB2387" s="162"/>
      <c r="AC2387" s="162"/>
      <c r="AD2387" s="162">
        <f t="shared" si="57"/>
        <v>0</v>
      </c>
      <c r="AE2387" s="160">
        <v>2385</v>
      </c>
    </row>
    <row r="2388" spans="27:31" x14ac:dyDescent="0.25">
      <c r="AA2388" s="160"/>
      <c r="AB2388" s="162"/>
      <c r="AC2388" s="162"/>
      <c r="AD2388" s="162">
        <f t="shared" si="57"/>
        <v>0</v>
      </c>
      <c r="AE2388" s="160">
        <v>2386</v>
      </c>
    </row>
    <row r="2389" spans="27:31" x14ac:dyDescent="0.25">
      <c r="AA2389" s="160"/>
      <c r="AB2389" s="162"/>
      <c r="AC2389" s="162"/>
      <c r="AD2389" s="162">
        <f t="shared" si="57"/>
        <v>0</v>
      </c>
      <c r="AE2389" s="160">
        <v>2387</v>
      </c>
    </row>
    <row r="2390" spans="27:31" x14ac:dyDescent="0.25">
      <c r="AA2390" s="160"/>
      <c r="AB2390" s="162"/>
      <c r="AC2390" s="162"/>
      <c r="AD2390" s="162">
        <f t="shared" si="57"/>
        <v>0</v>
      </c>
      <c r="AE2390" s="160">
        <v>2388</v>
      </c>
    </row>
    <row r="2391" spans="27:31" x14ac:dyDescent="0.25">
      <c r="AA2391" s="160"/>
      <c r="AB2391" s="162"/>
      <c r="AC2391" s="162"/>
      <c r="AD2391" s="162">
        <f t="shared" si="57"/>
        <v>0</v>
      </c>
      <c r="AE2391" s="160">
        <v>2389</v>
      </c>
    </row>
    <row r="2392" spans="27:31" x14ac:dyDescent="0.25">
      <c r="AA2392" s="160"/>
      <c r="AB2392" s="162"/>
      <c r="AC2392" s="162"/>
      <c r="AD2392" s="162">
        <f t="shared" si="57"/>
        <v>0</v>
      </c>
      <c r="AE2392" s="160">
        <v>2390</v>
      </c>
    </row>
    <row r="2393" spans="27:31" x14ac:dyDescent="0.25">
      <c r="AA2393" s="160"/>
      <c r="AB2393" s="162"/>
      <c r="AC2393" s="162"/>
      <c r="AD2393" s="162">
        <f t="shared" si="57"/>
        <v>0</v>
      </c>
      <c r="AE2393" s="160">
        <v>2391</v>
      </c>
    </row>
    <row r="2394" spans="27:31" x14ac:dyDescent="0.25">
      <c r="AA2394" s="160"/>
      <c r="AB2394" s="162"/>
      <c r="AC2394" s="162"/>
      <c r="AD2394" s="162">
        <f t="shared" si="57"/>
        <v>0</v>
      </c>
      <c r="AE2394" s="160">
        <v>2392</v>
      </c>
    </row>
    <row r="2395" spans="27:31" x14ac:dyDescent="0.25">
      <c r="AA2395" s="160"/>
      <c r="AB2395" s="162"/>
      <c r="AC2395" s="162"/>
      <c r="AD2395" s="162">
        <f t="shared" si="57"/>
        <v>0</v>
      </c>
      <c r="AE2395" s="160">
        <v>2393</v>
      </c>
    </row>
    <row r="2396" spans="27:31" x14ac:dyDescent="0.25">
      <c r="AA2396" s="160"/>
      <c r="AB2396" s="162"/>
      <c r="AC2396" s="162"/>
      <c r="AD2396" s="162">
        <f t="shared" si="57"/>
        <v>0</v>
      </c>
      <c r="AE2396" s="160">
        <v>2394</v>
      </c>
    </row>
    <row r="2397" spans="27:31" x14ac:dyDescent="0.25">
      <c r="AA2397" s="160"/>
      <c r="AB2397" s="162"/>
      <c r="AC2397" s="162"/>
      <c r="AD2397" s="162">
        <f t="shared" si="57"/>
        <v>0</v>
      </c>
      <c r="AE2397" s="160">
        <v>2395</v>
      </c>
    </row>
    <row r="2398" spans="27:31" x14ac:dyDescent="0.25">
      <c r="AA2398" s="160"/>
      <c r="AB2398" s="162"/>
      <c r="AC2398" s="162"/>
      <c r="AD2398" s="162">
        <f t="shared" si="57"/>
        <v>0</v>
      </c>
      <c r="AE2398" s="160">
        <v>2396</v>
      </c>
    </row>
    <row r="2399" spans="27:31" x14ac:dyDescent="0.25">
      <c r="AA2399" s="160"/>
      <c r="AB2399" s="162"/>
      <c r="AC2399" s="162"/>
      <c r="AD2399" s="162">
        <f t="shared" si="57"/>
        <v>0</v>
      </c>
      <c r="AE2399" s="160">
        <v>2397</v>
      </c>
    </row>
    <row r="2400" spans="27:31" x14ac:dyDescent="0.25">
      <c r="AA2400" s="160"/>
      <c r="AB2400" s="162"/>
      <c r="AC2400" s="162"/>
      <c r="AD2400" s="162">
        <f t="shared" si="57"/>
        <v>0</v>
      </c>
      <c r="AE2400" s="160">
        <v>2398</v>
      </c>
    </row>
    <row r="2401" spans="27:31" x14ac:dyDescent="0.25">
      <c r="AA2401" s="160"/>
      <c r="AB2401" s="162"/>
      <c r="AC2401" s="162"/>
      <c r="AD2401" s="162">
        <f t="shared" si="57"/>
        <v>0</v>
      </c>
      <c r="AE2401" s="160">
        <v>2399</v>
      </c>
    </row>
    <row r="2402" spans="27:31" x14ac:dyDescent="0.25">
      <c r="AA2402" s="160"/>
      <c r="AB2402" s="162"/>
      <c r="AC2402" s="162"/>
      <c r="AD2402" s="162">
        <f t="shared" si="57"/>
        <v>0</v>
      </c>
      <c r="AE2402" s="160">
        <v>2400</v>
      </c>
    </row>
    <row r="2403" spans="27:31" x14ac:dyDescent="0.25">
      <c r="AA2403" s="160"/>
      <c r="AB2403" s="162"/>
      <c r="AC2403" s="162"/>
      <c r="AD2403" s="162">
        <f t="shared" si="57"/>
        <v>0</v>
      </c>
      <c r="AE2403" s="160">
        <v>2401</v>
      </c>
    </row>
    <row r="2404" spans="27:31" x14ac:dyDescent="0.25">
      <c r="AA2404" s="160"/>
      <c r="AB2404" s="162"/>
      <c r="AC2404" s="162"/>
      <c r="AD2404" s="162">
        <f t="shared" si="57"/>
        <v>0</v>
      </c>
      <c r="AE2404" s="160">
        <v>2402</v>
      </c>
    </row>
    <row r="2405" spans="27:31" x14ac:dyDescent="0.25">
      <c r="AA2405" s="160"/>
      <c r="AB2405" s="162"/>
      <c r="AC2405" s="162"/>
      <c r="AD2405" s="162">
        <f t="shared" si="57"/>
        <v>0</v>
      </c>
      <c r="AE2405" s="160">
        <v>2403</v>
      </c>
    </row>
    <row r="2406" spans="27:31" x14ac:dyDescent="0.25">
      <c r="AA2406" s="160"/>
      <c r="AB2406" s="162"/>
      <c r="AC2406" s="162"/>
      <c r="AD2406" s="162">
        <f t="shared" si="57"/>
        <v>0</v>
      </c>
      <c r="AE2406" s="160">
        <v>2404</v>
      </c>
    </row>
    <row r="2407" spans="27:31" x14ac:dyDescent="0.25">
      <c r="AA2407" s="160"/>
      <c r="AB2407" s="162"/>
      <c r="AC2407" s="162"/>
      <c r="AD2407" s="162">
        <f t="shared" si="57"/>
        <v>0</v>
      </c>
      <c r="AE2407" s="160">
        <v>2405</v>
      </c>
    </row>
    <row r="2408" spans="27:31" x14ac:dyDescent="0.25">
      <c r="AA2408" s="160"/>
      <c r="AB2408" s="162"/>
      <c r="AC2408" s="162"/>
      <c r="AD2408" s="162">
        <f t="shared" si="57"/>
        <v>0</v>
      </c>
      <c r="AE2408" s="160">
        <v>2406</v>
      </c>
    </row>
    <row r="2409" spans="27:31" x14ac:dyDescent="0.25">
      <c r="AA2409" s="160"/>
      <c r="AB2409" s="162"/>
      <c r="AC2409" s="162"/>
      <c r="AD2409" s="162">
        <f t="shared" si="57"/>
        <v>0</v>
      </c>
      <c r="AE2409" s="160">
        <v>2407</v>
      </c>
    </row>
    <row r="2410" spans="27:31" x14ac:dyDescent="0.25">
      <c r="AA2410" s="160"/>
      <c r="AB2410" s="162"/>
      <c r="AC2410" s="162"/>
      <c r="AD2410" s="162">
        <f t="shared" si="57"/>
        <v>0</v>
      </c>
      <c r="AE2410" s="160">
        <v>2408</v>
      </c>
    </row>
    <row r="2411" spans="27:31" x14ac:dyDescent="0.25">
      <c r="AA2411" s="160"/>
      <c r="AB2411" s="162"/>
      <c r="AC2411" s="162"/>
      <c r="AD2411" s="162">
        <f t="shared" si="57"/>
        <v>0</v>
      </c>
      <c r="AE2411" s="160">
        <v>2409</v>
      </c>
    </row>
    <row r="2412" spans="27:31" x14ac:dyDescent="0.25">
      <c r="AA2412" s="160"/>
      <c r="AB2412" s="162"/>
      <c r="AC2412" s="162"/>
      <c r="AD2412" s="162">
        <f t="shared" si="57"/>
        <v>0</v>
      </c>
      <c r="AE2412" s="160">
        <v>2410</v>
      </c>
    </row>
    <row r="2413" spans="27:31" x14ac:dyDescent="0.25">
      <c r="AA2413" s="160"/>
      <c r="AB2413" s="162"/>
      <c r="AC2413" s="162"/>
      <c r="AD2413" s="162">
        <f t="shared" si="57"/>
        <v>0</v>
      </c>
      <c r="AE2413" s="160">
        <v>2411</v>
      </c>
    </row>
    <row r="2414" spans="27:31" x14ac:dyDescent="0.25">
      <c r="AA2414" s="160"/>
      <c r="AB2414" s="162"/>
      <c r="AC2414" s="162"/>
      <c r="AD2414" s="162">
        <f t="shared" si="57"/>
        <v>0</v>
      </c>
      <c r="AE2414" s="160">
        <v>2412</v>
      </c>
    </row>
    <row r="2415" spans="27:31" x14ac:dyDescent="0.25">
      <c r="AA2415" s="160"/>
      <c r="AB2415" s="162"/>
      <c r="AC2415" s="162"/>
      <c r="AD2415" s="162">
        <f t="shared" si="57"/>
        <v>0</v>
      </c>
      <c r="AE2415" s="160">
        <v>2413</v>
      </c>
    </row>
    <row r="2416" spans="27:31" x14ac:dyDescent="0.25">
      <c r="AA2416" s="160"/>
      <c r="AB2416" s="162"/>
      <c r="AC2416" s="162"/>
      <c r="AD2416" s="162">
        <f t="shared" si="57"/>
        <v>0</v>
      </c>
      <c r="AE2416" s="160">
        <v>2414</v>
      </c>
    </row>
    <row r="2417" spans="27:31" x14ac:dyDescent="0.25">
      <c r="AA2417" s="160"/>
      <c r="AB2417" s="162"/>
      <c r="AC2417" s="162"/>
      <c r="AD2417" s="162">
        <f t="shared" si="57"/>
        <v>0</v>
      </c>
      <c r="AE2417" s="160">
        <v>2415</v>
      </c>
    </row>
    <row r="2418" spans="27:31" x14ac:dyDescent="0.25">
      <c r="AA2418" s="160"/>
      <c r="AB2418" s="162"/>
      <c r="AC2418" s="162"/>
      <c r="AD2418" s="162">
        <f t="shared" si="57"/>
        <v>0</v>
      </c>
      <c r="AE2418" s="160">
        <v>2416</v>
      </c>
    </row>
    <row r="2419" spans="27:31" x14ac:dyDescent="0.25">
      <c r="AA2419" s="160"/>
      <c r="AB2419" s="162"/>
      <c r="AC2419" s="162"/>
      <c r="AD2419" s="162">
        <f t="shared" si="57"/>
        <v>0</v>
      </c>
      <c r="AE2419" s="160">
        <v>2417</v>
      </c>
    </row>
    <row r="2420" spans="27:31" x14ac:dyDescent="0.25">
      <c r="AA2420" s="160"/>
      <c r="AB2420" s="162"/>
      <c r="AC2420" s="162"/>
      <c r="AD2420" s="162">
        <f t="shared" si="57"/>
        <v>0</v>
      </c>
      <c r="AE2420" s="160">
        <v>2418</v>
      </c>
    </row>
    <row r="2421" spans="27:31" x14ac:dyDescent="0.25">
      <c r="AA2421" s="160"/>
      <c r="AB2421" s="162"/>
      <c r="AC2421" s="162"/>
      <c r="AD2421" s="162">
        <f t="shared" si="57"/>
        <v>0</v>
      </c>
      <c r="AE2421" s="160">
        <v>2419</v>
      </c>
    </row>
    <row r="2422" spans="27:31" x14ac:dyDescent="0.25">
      <c r="AA2422" s="160"/>
      <c r="AB2422" s="162"/>
      <c r="AC2422" s="162"/>
      <c r="AD2422" s="162">
        <f t="shared" si="57"/>
        <v>0</v>
      </c>
      <c r="AE2422" s="160">
        <v>2420</v>
      </c>
    </row>
    <row r="2423" spans="27:31" x14ac:dyDescent="0.25">
      <c r="AA2423" s="160"/>
      <c r="AB2423" s="162"/>
      <c r="AC2423" s="162"/>
      <c r="AD2423" s="162">
        <f t="shared" si="57"/>
        <v>0</v>
      </c>
      <c r="AE2423" s="160">
        <v>2421</v>
      </c>
    </row>
    <row r="2424" spans="27:31" x14ac:dyDescent="0.25">
      <c r="AA2424" s="160"/>
      <c r="AB2424" s="162"/>
      <c r="AC2424" s="162"/>
      <c r="AD2424" s="162">
        <f t="shared" si="57"/>
        <v>0</v>
      </c>
      <c r="AE2424" s="160">
        <v>2422</v>
      </c>
    </row>
    <row r="2425" spans="27:31" x14ac:dyDescent="0.25">
      <c r="AA2425" s="160"/>
      <c r="AB2425" s="162"/>
      <c r="AC2425" s="162"/>
      <c r="AD2425" s="162">
        <f t="shared" si="57"/>
        <v>0</v>
      </c>
      <c r="AE2425" s="160">
        <v>2423</v>
      </c>
    </row>
    <row r="2426" spans="27:31" x14ac:dyDescent="0.25">
      <c r="AA2426" s="160"/>
      <c r="AB2426" s="162"/>
      <c r="AC2426" s="162"/>
      <c r="AD2426" s="162">
        <f t="shared" si="57"/>
        <v>0</v>
      </c>
      <c r="AE2426" s="160">
        <v>2424</v>
      </c>
    </row>
    <row r="2427" spans="27:31" x14ac:dyDescent="0.25">
      <c r="AA2427" s="160"/>
      <c r="AB2427" s="162"/>
      <c r="AC2427" s="162"/>
      <c r="AD2427" s="162">
        <f t="shared" si="57"/>
        <v>0</v>
      </c>
      <c r="AE2427" s="160">
        <v>2425</v>
      </c>
    </row>
    <row r="2428" spans="27:31" x14ac:dyDescent="0.25">
      <c r="AA2428" s="160"/>
      <c r="AB2428" s="162"/>
      <c r="AC2428" s="162"/>
      <c r="AD2428" s="162">
        <f t="shared" si="57"/>
        <v>0</v>
      </c>
      <c r="AE2428" s="160">
        <v>2426</v>
      </c>
    </row>
    <row r="2429" spans="27:31" x14ac:dyDescent="0.25">
      <c r="AA2429" s="160"/>
      <c r="AB2429" s="162"/>
      <c r="AC2429" s="162"/>
      <c r="AD2429" s="162">
        <f t="shared" si="57"/>
        <v>0</v>
      </c>
      <c r="AE2429" s="160">
        <v>2427</v>
      </c>
    </row>
    <row r="2430" spans="27:31" x14ac:dyDescent="0.25">
      <c r="AA2430" s="160"/>
      <c r="AB2430" s="162"/>
      <c r="AC2430" s="162"/>
      <c r="AD2430" s="162">
        <f t="shared" si="57"/>
        <v>0</v>
      </c>
      <c r="AE2430" s="160">
        <v>2428</v>
      </c>
    </row>
    <row r="2431" spans="27:31" x14ac:dyDescent="0.25">
      <c r="AA2431" s="160"/>
      <c r="AB2431" s="162"/>
      <c r="AC2431" s="162"/>
      <c r="AD2431" s="162">
        <f t="shared" si="57"/>
        <v>0</v>
      </c>
      <c r="AE2431" s="160">
        <v>2429</v>
      </c>
    </row>
    <row r="2432" spans="27:31" x14ac:dyDescent="0.25">
      <c r="AA2432" s="160"/>
      <c r="AB2432" s="162"/>
      <c r="AC2432" s="162"/>
      <c r="AD2432" s="162">
        <f t="shared" si="57"/>
        <v>0</v>
      </c>
      <c r="AE2432" s="160">
        <v>2430</v>
      </c>
    </row>
    <row r="2433" spans="27:31" x14ac:dyDescent="0.25">
      <c r="AA2433" s="160"/>
      <c r="AB2433" s="162"/>
      <c r="AC2433" s="162"/>
      <c r="AD2433" s="162">
        <f t="shared" si="57"/>
        <v>0</v>
      </c>
      <c r="AE2433" s="160">
        <v>2431</v>
      </c>
    </row>
    <row r="2434" spans="27:31" x14ac:dyDescent="0.25">
      <c r="AA2434" s="160"/>
      <c r="AB2434" s="162"/>
      <c r="AC2434" s="162"/>
      <c r="AD2434" s="162">
        <f t="shared" si="57"/>
        <v>0</v>
      </c>
      <c r="AE2434" s="160">
        <v>2432</v>
      </c>
    </row>
    <row r="2435" spans="27:31" x14ac:dyDescent="0.25">
      <c r="AA2435" s="160"/>
      <c r="AB2435" s="162"/>
      <c r="AC2435" s="162"/>
      <c r="AD2435" s="162">
        <f t="shared" si="57"/>
        <v>0</v>
      </c>
      <c r="AE2435" s="160">
        <v>2433</v>
      </c>
    </row>
    <row r="2436" spans="27:31" x14ac:dyDescent="0.25">
      <c r="AA2436" s="160"/>
      <c r="AB2436" s="162"/>
      <c r="AC2436" s="162"/>
      <c r="AD2436" s="162">
        <f t="shared" ref="AD2436:AD2499" si="58">AB2436+AC2436</f>
        <v>0</v>
      </c>
      <c r="AE2436" s="160">
        <v>2434</v>
      </c>
    </row>
    <row r="2437" spans="27:31" x14ac:dyDescent="0.25">
      <c r="AA2437" s="160"/>
      <c r="AB2437" s="162"/>
      <c r="AC2437" s="162"/>
      <c r="AD2437" s="162">
        <f t="shared" si="58"/>
        <v>0</v>
      </c>
      <c r="AE2437" s="160">
        <v>2435</v>
      </c>
    </row>
    <row r="2438" spans="27:31" x14ac:dyDescent="0.25">
      <c r="AA2438" s="160"/>
      <c r="AB2438" s="162"/>
      <c r="AC2438" s="162"/>
      <c r="AD2438" s="162">
        <f t="shared" si="58"/>
        <v>0</v>
      </c>
      <c r="AE2438" s="160">
        <v>2436</v>
      </c>
    </row>
    <row r="2439" spans="27:31" x14ac:dyDescent="0.25">
      <c r="AA2439" s="160"/>
      <c r="AB2439" s="162"/>
      <c r="AC2439" s="162"/>
      <c r="AD2439" s="162">
        <f t="shared" si="58"/>
        <v>0</v>
      </c>
      <c r="AE2439" s="160">
        <v>2437</v>
      </c>
    </row>
    <row r="2440" spans="27:31" x14ac:dyDescent="0.25">
      <c r="AA2440" s="160"/>
      <c r="AB2440" s="162"/>
      <c r="AC2440" s="162"/>
      <c r="AD2440" s="162">
        <f t="shared" si="58"/>
        <v>0</v>
      </c>
      <c r="AE2440" s="160">
        <v>2438</v>
      </c>
    </row>
    <row r="2441" spans="27:31" x14ac:dyDescent="0.25">
      <c r="AA2441" s="160"/>
      <c r="AB2441" s="162"/>
      <c r="AC2441" s="162"/>
      <c r="AD2441" s="162">
        <f t="shared" si="58"/>
        <v>0</v>
      </c>
      <c r="AE2441" s="160">
        <v>2439</v>
      </c>
    </row>
    <row r="2442" spans="27:31" x14ac:dyDescent="0.25">
      <c r="AA2442" s="160"/>
      <c r="AB2442" s="162"/>
      <c r="AC2442" s="162"/>
      <c r="AD2442" s="162">
        <f t="shared" si="58"/>
        <v>0</v>
      </c>
      <c r="AE2442" s="160">
        <v>2440</v>
      </c>
    </row>
    <row r="2443" spans="27:31" x14ac:dyDescent="0.25">
      <c r="AA2443" s="160"/>
      <c r="AB2443" s="162"/>
      <c r="AC2443" s="162"/>
      <c r="AD2443" s="162">
        <f t="shared" si="58"/>
        <v>0</v>
      </c>
      <c r="AE2443" s="160">
        <v>2441</v>
      </c>
    </row>
    <row r="2444" spans="27:31" x14ac:dyDescent="0.25">
      <c r="AA2444" s="160"/>
      <c r="AB2444" s="162"/>
      <c r="AC2444" s="162"/>
      <c r="AD2444" s="162">
        <f t="shared" si="58"/>
        <v>0</v>
      </c>
      <c r="AE2444" s="160">
        <v>2442</v>
      </c>
    </row>
    <row r="2445" spans="27:31" x14ac:dyDescent="0.25">
      <c r="AA2445" s="160"/>
      <c r="AB2445" s="162"/>
      <c r="AC2445" s="162"/>
      <c r="AD2445" s="162">
        <f t="shared" si="58"/>
        <v>0</v>
      </c>
      <c r="AE2445" s="160">
        <v>2443</v>
      </c>
    </row>
    <row r="2446" spans="27:31" x14ac:dyDescent="0.25">
      <c r="AA2446" s="160"/>
      <c r="AB2446" s="162"/>
      <c r="AC2446" s="162"/>
      <c r="AD2446" s="162">
        <f t="shared" si="58"/>
        <v>0</v>
      </c>
      <c r="AE2446" s="160">
        <v>2444</v>
      </c>
    </row>
    <row r="2447" spans="27:31" x14ac:dyDescent="0.25">
      <c r="AA2447" s="160"/>
      <c r="AB2447" s="162"/>
      <c r="AC2447" s="162"/>
      <c r="AD2447" s="162">
        <f t="shared" si="58"/>
        <v>0</v>
      </c>
      <c r="AE2447" s="160">
        <v>2445</v>
      </c>
    </row>
    <row r="2448" spans="27:31" x14ac:dyDescent="0.25">
      <c r="AA2448" s="160"/>
      <c r="AB2448" s="162"/>
      <c r="AC2448" s="162"/>
      <c r="AD2448" s="162">
        <f t="shared" si="58"/>
        <v>0</v>
      </c>
      <c r="AE2448" s="160">
        <v>2446</v>
      </c>
    </row>
    <row r="2449" spans="27:31" x14ac:dyDescent="0.25">
      <c r="AA2449" s="160"/>
      <c r="AB2449" s="162"/>
      <c r="AC2449" s="162"/>
      <c r="AD2449" s="162">
        <f t="shared" si="58"/>
        <v>0</v>
      </c>
      <c r="AE2449" s="160">
        <v>2447</v>
      </c>
    </row>
    <row r="2450" spans="27:31" x14ac:dyDescent="0.25">
      <c r="AA2450" s="160"/>
      <c r="AB2450" s="162"/>
      <c r="AC2450" s="162"/>
      <c r="AD2450" s="162">
        <f t="shared" si="58"/>
        <v>0</v>
      </c>
      <c r="AE2450" s="160">
        <v>2448</v>
      </c>
    </row>
    <row r="2451" spans="27:31" x14ac:dyDescent="0.25">
      <c r="AA2451" s="160"/>
      <c r="AB2451" s="162"/>
      <c r="AC2451" s="162"/>
      <c r="AD2451" s="162">
        <f t="shared" si="58"/>
        <v>0</v>
      </c>
      <c r="AE2451" s="160">
        <v>2449</v>
      </c>
    </row>
    <row r="2452" spans="27:31" x14ac:dyDescent="0.25">
      <c r="AA2452" s="160"/>
      <c r="AB2452" s="162"/>
      <c r="AC2452" s="162"/>
      <c r="AD2452" s="162">
        <f t="shared" si="58"/>
        <v>0</v>
      </c>
      <c r="AE2452" s="160">
        <v>2450</v>
      </c>
    </row>
    <row r="2453" spans="27:31" x14ac:dyDescent="0.25">
      <c r="AA2453" s="160"/>
      <c r="AB2453" s="162"/>
      <c r="AC2453" s="162"/>
      <c r="AD2453" s="162">
        <f t="shared" si="58"/>
        <v>0</v>
      </c>
      <c r="AE2453" s="160">
        <v>2451</v>
      </c>
    </row>
    <row r="2454" spans="27:31" x14ac:dyDescent="0.25">
      <c r="AA2454" s="160"/>
      <c r="AB2454" s="162"/>
      <c r="AC2454" s="162"/>
      <c r="AD2454" s="162">
        <f t="shared" si="58"/>
        <v>0</v>
      </c>
      <c r="AE2454" s="160">
        <v>2452</v>
      </c>
    </row>
    <row r="2455" spans="27:31" x14ac:dyDescent="0.25">
      <c r="AA2455" s="160"/>
      <c r="AB2455" s="162"/>
      <c r="AC2455" s="162"/>
      <c r="AD2455" s="162">
        <f t="shared" si="58"/>
        <v>0</v>
      </c>
      <c r="AE2455" s="160">
        <v>2453</v>
      </c>
    </row>
    <row r="2456" spans="27:31" x14ac:dyDescent="0.25">
      <c r="AA2456" s="160"/>
      <c r="AB2456" s="162"/>
      <c r="AC2456" s="162"/>
      <c r="AD2456" s="162">
        <f t="shared" si="58"/>
        <v>0</v>
      </c>
      <c r="AE2456" s="160">
        <v>2454</v>
      </c>
    </row>
    <row r="2457" spans="27:31" x14ac:dyDescent="0.25">
      <c r="AA2457" s="160"/>
      <c r="AB2457" s="162"/>
      <c r="AC2457" s="162"/>
      <c r="AD2457" s="162">
        <f t="shared" si="58"/>
        <v>0</v>
      </c>
      <c r="AE2457" s="160">
        <v>2455</v>
      </c>
    </row>
    <row r="2458" spans="27:31" x14ac:dyDescent="0.25">
      <c r="AA2458" s="160"/>
      <c r="AB2458" s="162"/>
      <c r="AC2458" s="162"/>
      <c r="AD2458" s="162">
        <f t="shared" si="58"/>
        <v>0</v>
      </c>
      <c r="AE2458" s="160">
        <v>2456</v>
      </c>
    </row>
    <row r="2459" spans="27:31" x14ac:dyDescent="0.25">
      <c r="AA2459" s="160"/>
      <c r="AB2459" s="162"/>
      <c r="AC2459" s="162"/>
      <c r="AD2459" s="162">
        <f t="shared" si="58"/>
        <v>0</v>
      </c>
      <c r="AE2459" s="160">
        <v>2457</v>
      </c>
    </row>
    <row r="2460" spans="27:31" x14ac:dyDescent="0.25">
      <c r="AA2460" s="160"/>
      <c r="AB2460" s="162"/>
      <c r="AC2460" s="162"/>
      <c r="AD2460" s="162">
        <f t="shared" si="58"/>
        <v>0</v>
      </c>
      <c r="AE2460" s="160">
        <v>2458</v>
      </c>
    </row>
    <row r="2461" spans="27:31" x14ac:dyDescent="0.25">
      <c r="AA2461" s="160"/>
      <c r="AB2461" s="162"/>
      <c r="AC2461" s="162"/>
      <c r="AD2461" s="162">
        <f t="shared" si="58"/>
        <v>0</v>
      </c>
      <c r="AE2461" s="160">
        <v>2459</v>
      </c>
    </row>
    <row r="2462" spans="27:31" x14ac:dyDescent="0.25">
      <c r="AA2462" s="160"/>
      <c r="AB2462" s="162"/>
      <c r="AC2462" s="162"/>
      <c r="AD2462" s="162">
        <f t="shared" si="58"/>
        <v>0</v>
      </c>
      <c r="AE2462" s="160">
        <v>2460</v>
      </c>
    </row>
    <row r="2463" spans="27:31" x14ac:dyDescent="0.25">
      <c r="AA2463" s="160"/>
      <c r="AB2463" s="162"/>
      <c r="AC2463" s="162"/>
      <c r="AD2463" s="162">
        <f t="shared" si="58"/>
        <v>0</v>
      </c>
      <c r="AE2463" s="160">
        <v>2461</v>
      </c>
    </row>
    <row r="2464" spans="27:31" x14ac:dyDescent="0.25">
      <c r="AA2464" s="160"/>
      <c r="AB2464" s="162"/>
      <c r="AC2464" s="162"/>
      <c r="AD2464" s="162">
        <f t="shared" si="58"/>
        <v>0</v>
      </c>
      <c r="AE2464" s="160">
        <v>2462</v>
      </c>
    </row>
    <row r="2465" spans="27:31" x14ac:dyDescent="0.25">
      <c r="AA2465" s="160"/>
      <c r="AB2465" s="162"/>
      <c r="AC2465" s="162"/>
      <c r="AD2465" s="162">
        <f t="shared" si="58"/>
        <v>0</v>
      </c>
      <c r="AE2465" s="160">
        <v>2463</v>
      </c>
    </row>
    <row r="2466" spans="27:31" x14ac:dyDescent="0.25">
      <c r="AA2466" s="160"/>
      <c r="AB2466" s="162"/>
      <c r="AC2466" s="162"/>
      <c r="AD2466" s="162">
        <f t="shared" si="58"/>
        <v>0</v>
      </c>
      <c r="AE2466" s="160">
        <v>2464</v>
      </c>
    </row>
    <row r="2467" spans="27:31" x14ac:dyDescent="0.25">
      <c r="AA2467" s="160"/>
      <c r="AB2467" s="162"/>
      <c r="AC2467" s="162"/>
      <c r="AD2467" s="162">
        <f t="shared" si="58"/>
        <v>0</v>
      </c>
      <c r="AE2467" s="160">
        <v>2465</v>
      </c>
    </row>
    <row r="2468" spans="27:31" x14ac:dyDescent="0.25">
      <c r="AA2468" s="160"/>
      <c r="AB2468" s="162"/>
      <c r="AC2468" s="162"/>
      <c r="AD2468" s="162">
        <f t="shared" si="58"/>
        <v>0</v>
      </c>
      <c r="AE2468" s="160">
        <v>2466</v>
      </c>
    </row>
    <row r="2469" spans="27:31" x14ac:dyDescent="0.25">
      <c r="AA2469" s="160"/>
      <c r="AB2469" s="162"/>
      <c r="AC2469" s="162"/>
      <c r="AD2469" s="162">
        <f t="shared" si="58"/>
        <v>0</v>
      </c>
      <c r="AE2469" s="160">
        <v>2467</v>
      </c>
    </row>
    <row r="2470" spans="27:31" x14ac:dyDescent="0.25">
      <c r="AA2470" s="160"/>
      <c r="AB2470" s="162"/>
      <c r="AC2470" s="162"/>
      <c r="AD2470" s="162">
        <f t="shared" si="58"/>
        <v>0</v>
      </c>
      <c r="AE2470" s="160">
        <v>2468</v>
      </c>
    </row>
    <row r="2471" spans="27:31" x14ac:dyDescent="0.25">
      <c r="AA2471" s="160"/>
      <c r="AB2471" s="162"/>
      <c r="AC2471" s="162"/>
      <c r="AD2471" s="162">
        <f t="shared" si="58"/>
        <v>0</v>
      </c>
      <c r="AE2471" s="160">
        <v>2469</v>
      </c>
    </row>
    <row r="2472" spans="27:31" x14ac:dyDescent="0.25">
      <c r="AA2472" s="160"/>
      <c r="AB2472" s="162"/>
      <c r="AC2472" s="162"/>
      <c r="AD2472" s="162">
        <f t="shared" si="58"/>
        <v>0</v>
      </c>
      <c r="AE2472" s="160">
        <v>2470</v>
      </c>
    </row>
    <row r="2473" spans="27:31" x14ac:dyDescent="0.25">
      <c r="AA2473" s="160"/>
      <c r="AB2473" s="162"/>
      <c r="AC2473" s="162"/>
      <c r="AD2473" s="162">
        <f t="shared" si="58"/>
        <v>0</v>
      </c>
      <c r="AE2473" s="160">
        <v>2471</v>
      </c>
    </row>
    <row r="2474" spans="27:31" x14ac:dyDescent="0.25">
      <c r="AA2474" s="160"/>
      <c r="AB2474" s="162"/>
      <c r="AC2474" s="162"/>
      <c r="AD2474" s="162">
        <f t="shared" si="58"/>
        <v>0</v>
      </c>
      <c r="AE2474" s="160">
        <v>2472</v>
      </c>
    </row>
    <row r="2475" spans="27:31" x14ac:dyDescent="0.25">
      <c r="AA2475" s="160"/>
      <c r="AB2475" s="162"/>
      <c r="AC2475" s="162"/>
      <c r="AD2475" s="162">
        <f t="shared" si="58"/>
        <v>0</v>
      </c>
      <c r="AE2475" s="160">
        <v>2473</v>
      </c>
    </row>
    <row r="2476" spans="27:31" x14ac:dyDescent="0.25">
      <c r="AA2476" s="160"/>
      <c r="AB2476" s="162"/>
      <c r="AC2476" s="162"/>
      <c r="AD2476" s="162">
        <f t="shared" si="58"/>
        <v>0</v>
      </c>
      <c r="AE2476" s="160">
        <v>2474</v>
      </c>
    </row>
    <row r="2477" spans="27:31" x14ac:dyDescent="0.25">
      <c r="AA2477" s="160"/>
      <c r="AB2477" s="162"/>
      <c r="AC2477" s="162"/>
      <c r="AD2477" s="162">
        <f t="shared" si="58"/>
        <v>0</v>
      </c>
      <c r="AE2477" s="160">
        <v>2475</v>
      </c>
    </row>
    <row r="2478" spans="27:31" x14ac:dyDescent="0.25">
      <c r="AA2478" s="160"/>
      <c r="AB2478" s="162"/>
      <c r="AC2478" s="162"/>
      <c r="AD2478" s="162">
        <f t="shared" si="58"/>
        <v>0</v>
      </c>
      <c r="AE2478" s="160">
        <v>2476</v>
      </c>
    </row>
    <row r="2479" spans="27:31" x14ac:dyDescent="0.25">
      <c r="AA2479" s="160"/>
      <c r="AB2479" s="162"/>
      <c r="AC2479" s="162"/>
      <c r="AD2479" s="162">
        <f t="shared" si="58"/>
        <v>0</v>
      </c>
      <c r="AE2479" s="160">
        <v>2477</v>
      </c>
    </row>
    <row r="2480" spans="27:31" x14ac:dyDescent="0.25">
      <c r="AA2480" s="160"/>
      <c r="AB2480" s="162"/>
      <c r="AC2480" s="162"/>
      <c r="AD2480" s="162">
        <f t="shared" si="58"/>
        <v>0</v>
      </c>
      <c r="AE2480" s="160">
        <v>2478</v>
      </c>
    </row>
    <row r="2481" spans="27:31" x14ac:dyDescent="0.25">
      <c r="AA2481" s="160"/>
      <c r="AB2481" s="162"/>
      <c r="AC2481" s="162"/>
      <c r="AD2481" s="162">
        <f t="shared" si="58"/>
        <v>0</v>
      </c>
      <c r="AE2481" s="160">
        <v>2479</v>
      </c>
    </row>
    <row r="2482" spans="27:31" x14ac:dyDescent="0.25">
      <c r="AA2482" s="160"/>
      <c r="AB2482" s="162"/>
      <c r="AC2482" s="162"/>
      <c r="AD2482" s="162">
        <f t="shared" si="58"/>
        <v>0</v>
      </c>
      <c r="AE2482" s="160">
        <v>2480</v>
      </c>
    </row>
    <row r="2483" spans="27:31" x14ac:dyDescent="0.25">
      <c r="AA2483" s="160"/>
      <c r="AB2483" s="162"/>
      <c r="AC2483" s="162"/>
      <c r="AD2483" s="162">
        <f t="shared" si="58"/>
        <v>0</v>
      </c>
      <c r="AE2483" s="160">
        <v>2481</v>
      </c>
    </row>
    <row r="2484" spans="27:31" x14ac:dyDescent="0.25">
      <c r="AA2484" s="160"/>
      <c r="AB2484" s="162"/>
      <c r="AC2484" s="162"/>
      <c r="AD2484" s="162">
        <f t="shared" si="58"/>
        <v>0</v>
      </c>
      <c r="AE2484" s="160">
        <v>2482</v>
      </c>
    </row>
    <row r="2485" spans="27:31" x14ac:dyDescent="0.25">
      <c r="AA2485" s="160"/>
      <c r="AB2485" s="162"/>
      <c r="AC2485" s="162"/>
      <c r="AD2485" s="162">
        <f t="shared" si="58"/>
        <v>0</v>
      </c>
      <c r="AE2485" s="160">
        <v>2483</v>
      </c>
    </row>
    <row r="2486" spans="27:31" x14ac:dyDescent="0.25">
      <c r="AA2486" s="160"/>
      <c r="AB2486" s="162"/>
      <c r="AC2486" s="162"/>
      <c r="AD2486" s="162">
        <f t="shared" si="58"/>
        <v>0</v>
      </c>
      <c r="AE2486" s="160">
        <v>2484</v>
      </c>
    </row>
    <row r="2487" spans="27:31" x14ac:dyDescent="0.25">
      <c r="AA2487" s="160"/>
      <c r="AB2487" s="162"/>
      <c r="AC2487" s="162"/>
      <c r="AD2487" s="162">
        <f t="shared" si="58"/>
        <v>0</v>
      </c>
      <c r="AE2487" s="160">
        <v>2485</v>
      </c>
    </row>
    <row r="2488" spans="27:31" x14ac:dyDescent="0.25">
      <c r="AA2488" s="160"/>
      <c r="AB2488" s="162"/>
      <c r="AC2488" s="162"/>
      <c r="AD2488" s="162">
        <f t="shared" si="58"/>
        <v>0</v>
      </c>
      <c r="AE2488" s="160">
        <v>2486</v>
      </c>
    </row>
    <row r="2489" spans="27:31" x14ac:dyDescent="0.25">
      <c r="AA2489" s="160"/>
      <c r="AB2489" s="162"/>
      <c r="AC2489" s="162"/>
      <c r="AD2489" s="162">
        <f t="shared" si="58"/>
        <v>0</v>
      </c>
      <c r="AE2489" s="160">
        <v>2487</v>
      </c>
    </row>
    <row r="2490" spans="27:31" x14ac:dyDescent="0.25">
      <c r="AA2490" s="160"/>
      <c r="AB2490" s="162"/>
      <c r="AC2490" s="162"/>
      <c r="AD2490" s="162">
        <f t="shared" si="58"/>
        <v>0</v>
      </c>
      <c r="AE2490" s="160">
        <v>2488</v>
      </c>
    </row>
    <row r="2491" spans="27:31" x14ac:dyDescent="0.25">
      <c r="AA2491" s="160"/>
      <c r="AB2491" s="162"/>
      <c r="AC2491" s="162"/>
      <c r="AD2491" s="162">
        <f t="shared" si="58"/>
        <v>0</v>
      </c>
      <c r="AE2491" s="160">
        <v>2489</v>
      </c>
    </row>
    <row r="2492" spans="27:31" x14ac:dyDescent="0.25">
      <c r="AA2492" s="160"/>
      <c r="AB2492" s="162"/>
      <c r="AC2492" s="162"/>
      <c r="AD2492" s="162">
        <f t="shared" si="58"/>
        <v>0</v>
      </c>
      <c r="AE2492" s="160">
        <v>2490</v>
      </c>
    </row>
    <row r="2493" spans="27:31" x14ac:dyDescent="0.25">
      <c r="AA2493" s="160"/>
      <c r="AB2493" s="162"/>
      <c r="AC2493" s="162"/>
      <c r="AD2493" s="162">
        <f t="shared" si="58"/>
        <v>0</v>
      </c>
      <c r="AE2493" s="160">
        <v>2491</v>
      </c>
    </row>
    <row r="2494" spans="27:31" x14ac:dyDescent="0.25">
      <c r="AA2494" s="160"/>
      <c r="AB2494" s="162"/>
      <c r="AC2494" s="162"/>
      <c r="AD2494" s="162">
        <f t="shared" si="58"/>
        <v>0</v>
      </c>
      <c r="AE2494" s="160">
        <v>2492</v>
      </c>
    </row>
    <row r="2495" spans="27:31" x14ac:dyDescent="0.25">
      <c r="AA2495" s="160"/>
      <c r="AB2495" s="162"/>
      <c r="AC2495" s="162"/>
      <c r="AD2495" s="162">
        <f t="shared" si="58"/>
        <v>0</v>
      </c>
      <c r="AE2495" s="160">
        <v>2493</v>
      </c>
    </row>
    <row r="2496" spans="27:31" x14ac:dyDescent="0.25">
      <c r="AA2496" s="160"/>
      <c r="AB2496" s="162"/>
      <c r="AC2496" s="162"/>
      <c r="AD2496" s="162">
        <f t="shared" si="58"/>
        <v>0</v>
      </c>
      <c r="AE2496" s="160">
        <v>2494</v>
      </c>
    </row>
    <row r="2497" spans="27:31" x14ac:dyDescent="0.25">
      <c r="AA2497" s="160"/>
      <c r="AB2497" s="162"/>
      <c r="AC2497" s="162"/>
      <c r="AD2497" s="162">
        <f t="shared" si="58"/>
        <v>0</v>
      </c>
      <c r="AE2497" s="160">
        <v>2495</v>
      </c>
    </row>
    <row r="2498" spans="27:31" x14ac:dyDescent="0.25">
      <c r="AA2498" s="160"/>
      <c r="AB2498" s="162"/>
      <c r="AC2498" s="162"/>
      <c r="AD2498" s="162">
        <f t="shared" si="58"/>
        <v>0</v>
      </c>
      <c r="AE2498" s="160">
        <v>2496</v>
      </c>
    </row>
    <row r="2499" spans="27:31" x14ac:dyDescent="0.25">
      <c r="AA2499" s="160"/>
      <c r="AB2499" s="162"/>
      <c r="AC2499" s="162"/>
      <c r="AD2499" s="162">
        <f t="shared" si="58"/>
        <v>0</v>
      </c>
      <c r="AE2499" s="160">
        <v>2497</v>
      </c>
    </row>
    <row r="2500" spans="27:31" x14ac:dyDescent="0.25">
      <c r="AA2500" s="160"/>
      <c r="AB2500" s="162"/>
      <c r="AC2500" s="162"/>
      <c r="AD2500" s="162">
        <f t="shared" ref="AD2500:AD2563" si="59">AB2500+AC2500</f>
        <v>0</v>
      </c>
      <c r="AE2500" s="160">
        <v>2498</v>
      </c>
    </row>
    <row r="2501" spans="27:31" x14ac:dyDescent="0.25">
      <c r="AA2501" s="160"/>
      <c r="AB2501" s="162"/>
      <c r="AC2501" s="162"/>
      <c r="AD2501" s="162">
        <f t="shared" si="59"/>
        <v>0</v>
      </c>
      <c r="AE2501" s="160">
        <v>2499</v>
      </c>
    </row>
    <row r="2502" spans="27:31" x14ac:dyDescent="0.25">
      <c r="AA2502" s="160"/>
      <c r="AB2502" s="162"/>
      <c r="AC2502" s="162"/>
      <c r="AD2502" s="162">
        <f t="shared" si="59"/>
        <v>0</v>
      </c>
      <c r="AE2502" s="160">
        <v>2500</v>
      </c>
    </row>
    <row r="2503" spans="27:31" x14ac:dyDescent="0.25">
      <c r="AA2503" s="160"/>
      <c r="AB2503" s="162"/>
      <c r="AC2503" s="162"/>
      <c r="AD2503" s="162">
        <f t="shared" si="59"/>
        <v>0</v>
      </c>
      <c r="AE2503" s="160">
        <v>2501</v>
      </c>
    </row>
    <row r="2504" spans="27:31" x14ac:dyDescent="0.25">
      <c r="AA2504" s="160"/>
      <c r="AB2504" s="162"/>
      <c r="AC2504" s="162"/>
      <c r="AD2504" s="162">
        <f t="shared" si="59"/>
        <v>0</v>
      </c>
      <c r="AE2504" s="160">
        <v>2502</v>
      </c>
    </row>
    <row r="2505" spans="27:31" x14ac:dyDescent="0.25">
      <c r="AA2505" s="160"/>
      <c r="AB2505" s="162"/>
      <c r="AC2505" s="162"/>
      <c r="AD2505" s="162">
        <f t="shared" si="59"/>
        <v>0</v>
      </c>
      <c r="AE2505" s="160">
        <v>2503</v>
      </c>
    </row>
    <row r="2506" spans="27:31" x14ac:dyDescent="0.25">
      <c r="AA2506" s="160"/>
      <c r="AB2506" s="162"/>
      <c r="AC2506" s="162"/>
      <c r="AD2506" s="162">
        <f t="shared" si="59"/>
        <v>0</v>
      </c>
      <c r="AE2506" s="160">
        <v>2504</v>
      </c>
    </row>
    <row r="2507" spans="27:31" x14ac:dyDescent="0.25">
      <c r="AA2507" s="160"/>
      <c r="AB2507" s="162"/>
      <c r="AC2507" s="162"/>
      <c r="AD2507" s="162">
        <f t="shared" si="59"/>
        <v>0</v>
      </c>
      <c r="AE2507" s="160">
        <v>2505</v>
      </c>
    </row>
    <row r="2508" spans="27:31" x14ac:dyDescent="0.25">
      <c r="AA2508" s="160"/>
      <c r="AB2508" s="162"/>
      <c r="AC2508" s="162"/>
      <c r="AD2508" s="162">
        <f t="shared" si="59"/>
        <v>0</v>
      </c>
      <c r="AE2508" s="160">
        <v>2506</v>
      </c>
    </row>
    <row r="2509" spans="27:31" x14ac:dyDescent="0.25">
      <c r="AA2509" s="160"/>
      <c r="AB2509" s="162"/>
      <c r="AC2509" s="162"/>
      <c r="AD2509" s="162">
        <f t="shared" si="59"/>
        <v>0</v>
      </c>
      <c r="AE2509" s="160">
        <v>2507</v>
      </c>
    </row>
    <row r="2510" spans="27:31" x14ac:dyDescent="0.25">
      <c r="AA2510" s="160"/>
      <c r="AB2510" s="162"/>
      <c r="AC2510" s="162"/>
      <c r="AD2510" s="162">
        <f t="shared" si="59"/>
        <v>0</v>
      </c>
      <c r="AE2510" s="160">
        <v>2508</v>
      </c>
    </row>
    <row r="2511" spans="27:31" x14ac:dyDescent="0.25">
      <c r="AA2511" s="160"/>
      <c r="AB2511" s="162"/>
      <c r="AC2511" s="162"/>
      <c r="AD2511" s="162">
        <f t="shared" si="59"/>
        <v>0</v>
      </c>
      <c r="AE2511" s="160">
        <v>2509</v>
      </c>
    </row>
    <row r="2512" spans="27:31" x14ac:dyDescent="0.25">
      <c r="AA2512" s="160"/>
      <c r="AB2512" s="162"/>
      <c r="AC2512" s="162"/>
      <c r="AD2512" s="162">
        <f t="shared" si="59"/>
        <v>0</v>
      </c>
      <c r="AE2512" s="160">
        <v>2510</v>
      </c>
    </row>
    <row r="2513" spans="27:31" x14ac:dyDescent="0.25">
      <c r="AA2513" s="160"/>
      <c r="AB2513" s="162"/>
      <c r="AC2513" s="162"/>
      <c r="AD2513" s="162">
        <f t="shared" si="59"/>
        <v>0</v>
      </c>
      <c r="AE2513" s="160">
        <v>2511</v>
      </c>
    </row>
    <row r="2514" spans="27:31" x14ac:dyDescent="0.25">
      <c r="AA2514" s="160"/>
      <c r="AB2514" s="162"/>
      <c r="AC2514" s="162"/>
      <c r="AD2514" s="162">
        <f t="shared" si="59"/>
        <v>0</v>
      </c>
      <c r="AE2514" s="160">
        <v>2512</v>
      </c>
    </row>
    <row r="2515" spans="27:31" x14ac:dyDescent="0.25">
      <c r="AA2515" s="160"/>
      <c r="AB2515" s="162"/>
      <c r="AC2515" s="162"/>
      <c r="AD2515" s="162">
        <f t="shared" si="59"/>
        <v>0</v>
      </c>
      <c r="AE2515" s="160">
        <v>2513</v>
      </c>
    </row>
    <row r="2516" spans="27:31" x14ac:dyDescent="0.25">
      <c r="AA2516" s="160"/>
      <c r="AB2516" s="162"/>
      <c r="AC2516" s="162"/>
      <c r="AD2516" s="162">
        <f t="shared" si="59"/>
        <v>0</v>
      </c>
      <c r="AE2516" s="160">
        <v>2514</v>
      </c>
    </row>
    <row r="2517" spans="27:31" x14ac:dyDescent="0.25">
      <c r="AA2517" s="160"/>
      <c r="AB2517" s="162"/>
      <c r="AC2517" s="162"/>
      <c r="AD2517" s="162">
        <f t="shared" si="59"/>
        <v>0</v>
      </c>
      <c r="AE2517" s="160">
        <v>2515</v>
      </c>
    </row>
    <row r="2518" spans="27:31" x14ac:dyDescent="0.25">
      <c r="AA2518" s="160"/>
      <c r="AB2518" s="162"/>
      <c r="AC2518" s="162"/>
      <c r="AD2518" s="162">
        <f t="shared" si="59"/>
        <v>0</v>
      </c>
      <c r="AE2518" s="160">
        <v>2516</v>
      </c>
    </row>
    <row r="2519" spans="27:31" x14ac:dyDescent="0.25">
      <c r="AA2519" s="160"/>
      <c r="AB2519" s="162"/>
      <c r="AC2519" s="162"/>
      <c r="AD2519" s="162">
        <f t="shared" si="59"/>
        <v>0</v>
      </c>
      <c r="AE2519" s="160">
        <v>2517</v>
      </c>
    </row>
    <row r="2520" spans="27:31" x14ac:dyDescent="0.25">
      <c r="AA2520" s="160"/>
      <c r="AB2520" s="162"/>
      <c r="AC2520" s="162"/>
      <c r="AD2520" s="162">
        <f t="shared" si="59"/>
        <v>0</v>
      </c>
      <c r="AE2520" s="160">
        <v>2518</v>
      </c>
    </row>
    <row r="2521" spans="27:31" x14ac:dyDescent="0.25">
      <c r="AA2521" s="160"/>
      <c r="AB2521" s="162"/>
      <c r="AC2521" s="162"/>
      <c r="AD2521" s="162">
        <f t="shared" si="59"/>
        <v>0</v>
      </c>
      <c r="AE2521" s="160">
        <v>2519</v>
      </c>
    </row>
    <row r="2522" spans="27:31" x14ac:dyDescent="0.25">
      <c r="AA2522" s="160"/>
      <c r="AB2522" s="162"/>
      <c r="AC2522" s="162"/>
      <c r="AD2522" s="162">
        <f t="shared" si="59"/>
        <v>0</v>
      </c>
      <c r="AE2522" s="160">
        <v>2520</v>
      </c>
    </row>
    <row r="2523" spans="27:31" x14ac:dyDescent="0.25">
      <c r="AA2523" s="160"/>
      <c r="AB2523" s="162"/>
      <c r="AC2523" s="162"/>
      <c r="AD2523" s="162">
        <f t="shared" si="59"/>
        <v>0</v>
      </c>
      <c r="AE2523" s="160">
        <v>2521</v>
      </c>
    </row>
    <row r="2524" spans="27:31" x14ac:dyDescent="0.25">
      <c r="AA2524" s="160"/>
      <c r="AB2524" s="162"/>
      <c r="AC2524" s="162"/>
      <c r="AD2524" s="162">
        <f t="shared" si="59"/>
        <v>0</v>
      </c>
      <c r="AE2524" s="160">
        <v>2522</v>
      </c>
    </row>
    <row r="2525" spans="27:31" x14ac:dyDescent="0.25">
      <c r="AA2525" s="160"/>
      <c r="AB2525" s="162"/>
      <c r="AC2525" s="162"/>
      <c r="AD2525" s="162">
        <f t="shared" si="59"/>
        <v>0</v>
      </c>
      <c r="AE2525" s="160">
        <v>2523</v>
      </c>
    </row>
    <row r="2526" spans="27:31" x14ac:dyDescent="0.25">
      <c r="AA2526" s="160"/>
      <c r="AB2526" s="162"/>
      <c r="AC2526" s="162"/>
      <c r="AD2526" s="162">
        <f t="shared" si="59"/>
        <v>0</v>
      </c>
      <c r="AE2526" s="160">
        <v>2524</v>
      </c>
    </row>
    <row r="2527" spans="27:31" x14ac:dyDescent="0.25">
      <c r="AA2527" s="160"/>
      <c r="AB2527" s="162"/>
      <c r="AC2527" s="162"/>
      <c r="AD2527" s="162">
        <f t="shared" si="59"/>
        <v>0</v>
      </c>
      <c r="AE2527" s="160">
        <v>2525</v>
      </c>
    </row>
    <row r="2528" spans="27:31" x14ac:dyDescent="0.25">
      <c r="AA2528" s="160"/>
      <c r="AB2528" s="162"/>
      <c r="AC2528" s="162"/>
      <c r="AD2528" s="162">
        <f t="shared" si="59"/>
        <v>0</v>
      </c>
      <c r="AE2528" s="160">
        <v>2526</v>
      </c>
    </row>
    <row r="2529" spans="27:31" x14ac:dyDescent="0.25">
      <c r="AA2529" s="160"/>
      <c r="AB2529" s="162"/>
      <c r="AC2529" s="162"/>
      <c r="AD2529" s="162">
        <f t="shared" si="59"/>
        <v>0</v>
      </c>
      <c r="AE2529" s="160">
        <v>2527</v>
      </c>
    </row>
    <row r="2530" spans="27:31" x14ac:dyDescent="0.25">
      <c r="AA2530" s="160"/>
      <c r="AB2530" s="162"/>
      <c r="AC2530" s="162"/>
      <c r="AD2530" s="162">
        <f t="shared" si="59"/>
        <v>0</v>
      </c>
      <c r="AE2530" s="160">
        <v>2528</v>
      </c>
    </row>
    <row r="2531" spans="27:31" x14ac:dyDescent="0.25">
      <c r="AA2531" s="160"/>
      <c r="AB2531" s="162"/>
      <c r="AC2531" s="162"/>
      <c r="AD2531" s="162">
        <f t="shared" si="59"/>
        <v>0</v>
      </c>
      <c r="AE2531" s="160">
        <v>2529</v>
      </c>
    </row>
    <row r="2532" spans="27:31" x14ac:dyDescent="0.25">
      <c r="AA2532" s="160"/>
      <c r="AB2532" s="162"/>
      <c r="AC2532" s="162"/>
      <c r="AD2532" s="162">
        <f t="shared" si="59"/>
        <v>0</v>
      </c>
      <c r="AE2532" s="160">
        <v>2530</v>
      </c>
    </row>
    <row r="2533" spans="27:31" x14ac:dyDescent="0.25">
      <c r="AA2533" s="160"/>
      <c r="AB2533" s="162"/>
      <c r="AC2533" s="162"/>
      <c r="AD2533" s="162">
        <f t="shared" si="59"/>
        <v>0</v>
      </c>
      <c r="AE2533" s="160">
        <v>2531</v>
      </c>
    </row>
    <row r="2534" spans="27:31" x14ac:dyDescent="0.25">
      <c r="AA2534" s="160"/>
      <c r="AB2534" s="162"/>
      <c r="AC2534" s="162"/>
      <c r="AD2534" s="162">
        <f t="shared" si="59"/>
        <v>0</v>
      </c>
      <c r="AE2534" s="160">
        <v>2532</v>
      </c>
    </row>
    <row r="2535" spans="27:31" x14ac:dyDescent="0.25">
      <c r="AA2535" s="160"/>
      <c r="AB2535" s="162"/>
      <c r="AC2535" s="162"/>
      <c r="AD2535" s="162">
        <f t="shared" si="59"/>
        <v>0</v>
      </c>
      <c r="AE2535" s="160">
        <v>2533</v>
      </c>
    </row>
    <row r="2536" spans="27:31" x14ac:dyDescent="0.25">
      <c r="AA2536" s="160"/>
      <c r="AB2536" s="162"/>
      <c r="AC2536" s="162"/>
      <c r="AD2536" s="162">
        <f t="shared" si="59"/>
        <v>0</v>
      </c>
      <c r="AE2536" s="160">
        <v>2534</v>
      </c>
    </row>
    <row r="2537" spans="27:31" x14ac:dyDescent="0.25">
      <c r="AA2537" s="160"/>
      <c r="AB2537" s="162"/>
      <c r="AC2537" s="162"/>
      <c r="AD2537" s="162">
        <f t="shared" si="59"/>
        <v>0</v>
      </c>
      <c r="AE2537" s="160">
        <v>2535</v>
      </c>
    </row>
    <row r="2538" spans="27:31" x14ac:dyDescent="0.25">
      <c r="AA2538" s="160"/>
      <c r="AB2538" s="162"/>
      <c r="AC2538" s="162"/>
      <c r="AD2538" s="162">
        <f t="shared" si="59"/>
        <v>0</v>
      </c>
      <c r="AE2538" s="160">
        <v>2536</v>
      </c>
    </row>
    <row r="2539" spans="27:31" x14ac:dyDescent="0.25">
      <c r="AA2539" s="160"/>
      <c r="AB2539" s="162"/>
      <c r="AC2539" s="162"/>
      <c r="AD2539" s="162">
        <f t="shared" si="59"/>
        <v>0</v>
      </c>
      <c r="AE2539" s="160">
        <v>2537</v>
      </c>
    </row>
    <row r="2540" spans="27:31" x14ac:dyDescent="0.25">
      <c r="AA2540" s="160"/>
      <c r="AB2540" s="162"/>
      <c r="AC2540" s="162"/>
      <c r="AD2540" s="162">
        <f t="shared" si="59"/>
        <v>0</v>
      </c>
      <c r="AE2540" s="160">
        <v>2538</v>
      </c>
    </row>
    <row r="2541" spans="27:31" x14ac:dyDescent="0.25">
      <c r="AA2541" s="160"/>
      <c r="AB2541" s="162"/>
      <c r="AC2541" s="162"/>
      <c r="AD2541" s="162">
        <f t="shared" si="59"/>
        <v>0</v>
      </c>
      <c r="AE2541" s="160">
        <v>2539</v>
      </c>
    </row>
    <row r="2542" spans="27:31" x14ac:dyDescent="0.25">
      <c r="AA2542" s="160"/>
      <c r="AB2542" s="162"/>
      <c r="AC2542" s="162"/>
      <c r="AD2542" s="162">
        <f t="shared" si="59"/>
        <v>0</v>
      </c>
      <c r="AE2542" s="160">
        <v>2540</v>
      </c>
    </row>
    <row r="2543" spans="27:31" x14ac:dyDescent="0.25">
      <c r="AA2543" s="160"/>
      <c r="AB2543" s="162"/>
      <c r="AC2543" s="162"/>
      <c r="AD2543" s="162">
        <f t="shared" si="59"/>
        <v>0</v>
      </c>
      <c r="AE2543" s="160">
        <v>2541</v>
      </c>
    </row>
    <row r="2544" spans="27:31" x14ac:dyDescent="0.25">
      <c r="AA2544" s="160"/>
      <c r="AB2544" s="162"/>
      <c r="AC2544" s="162"/>
      <c r="AD2544" s="162">
        <f t="shared" si="59"/>
        <v>0</v>
      </c>
      <c r="AE2544" s="160">
        <v>2542</v>
      </c>
    </row>
    <row r="2545" spans="27:31" x14ac:dyDescent="0.25">
      <c r="AA2545" s="160"/>
      <c r="AB2545" s="162"/>
      <c r="AC2545" s="162"/>
      <c r="AD2545" s="162">
        <f t="shared" si="59"/>
        <v>0</v>
      </c>
      <c r="AE2545" s="160">
        <v>2543</v>
      </c>
    </row>
    <row r="2546" spans="27:31" x14ac:dyDescent="0.25">
      <c r="AA2546" s="160"/>
      <c r="AB2546" s="162"/>
      <c r="AC2546" s="162"/>
      <c r="AD2546" s="162">
        <f t="shared" si="59"/>
        <v>0</v>
      </c>
      <c r="AE2546" s="160">
        <v>2544</v>
      </c>
    </row>
    <row r="2547" spans="27:31" x14ac:dyDescent="0.25">
      <c r="AA2547" s="160"/>
      <c r="AB2547" s="162"/>
      <c r="AC2547" s="162"/>
      <c r="AD2547" s="162">
        <f t="shared" si="59"/>
        <v>0</v>
      </c>
      <c r="AE2547" s="160">
        <v>2545</v>
      </c>
    </row>
    <row r="2548" spans="27:31" x14ac:dyDescent="0.25">
      <c r="AA2548" s="160"/>
      <c r="AB2548" s="162"/>
      <c r="AC2548" s="162"/>
      <c r="AD2548" s="162">
        <f t="shared" si="59"/>
        <v>0</v>
      </c>
      <c r="AE2548" s="160">
        <v>2546</v>
      </c>
    </row>
    <row r="2549" spans="27:31" x14ac:dyDescent="0.25">
      <c r="AA2549" s="160"/>
      <c r="AB2549" s="162"/>
      <c r="AC2549" s="162"/>
      <c r="AD2549" s="162">
        <f t="shared" si="59"/>
        <v>0</v>
      </c>
      <c r="AE2549" s="160">
        <v>2547</v>
      </c>
    </row>
    <row r="2550" spans="27:31" x14ac:dyDescent="0.25">
      <c r="AA2550" s="160"/>
      <c r="AB2550" s="162"/>
      <c r="AC2550" s="162"/>
      <c r="AD2550" s="162">
        <f t="shared" si="59"/>
        <v>0</v>
      </c>
      <c r="AE2550" s="160">
        <v>2548</v>
      </c>
    </row>
    <row r="2551" spans="27:31" x14ac:dyDescent="0.25">
      <c r="AA2551" s="160"/>
      <c r="AB2551" s="162"/>
      <c r="AC2551" s="162"/>
      <c r="AD2551" s="162">
        <f t="shared" si="59"/>
        <v>0</v>
      </c>
      <c r="AE2551" s="160">
        <v>2549</v>
      </c>
    </row>
    <row r="2552" spans="27:31" x14ac:dyDescent="0.25">
      <c r="AA2552" s="160"/>
      <c r="AB2552" s="162"/>
      <c r="AC2552" s="162"/>
      <c r="AD2552" s="162">
        <f t="shared" si="59"/>
        <v>0</v>
      </c>
      <c r="AE2552" s="160">
        <v>2550</v>
      </c>
    </row>
    <row r="2553" spans="27:31" x14ac:dyDescent="0.25">
      <c r="AA2553" s="160"/>
      <c r="AB2553" s="162"/>
      <c r="AC2553" s="162"/>
      <c r="AD2553" s="162">
        <f t="shared" si="59"/>
        <v>0</v>
      </c>
      <c r="AE2553" s="160">
        <v>2551</v>
      </c>
    </row>
    <row r="2554" spans="27:31" x14ac:dyDescent="0.25">
      <c r="AA2554" s="160"/>
      <c r="AB2554" s="162"/>
      <c r="AC2554" s="162"/>
      <c r="AD2554" s="162">
        <f t="shared" si="59"/>
        <v>0</v>
      </c>
      <c r="AE2554" s="160">
        <v>2552</v>
      </c>
    </row>
    <row r="2555" spans="27:31" x14ac:dyDescent="0.25">
      <c r="AA2555" s="160"/>
      <c r="AB2555" s="162"/>
      <c r="AC2555" s="162"/>
      <c r="AD2555" s="162">
        <f t="shared" si="59"/>
        <v>0</v>
      </c>
      <c r="AE2555" s="160">
        <v>2553</v>
      </c>
    </row>
    <row r="2556" spans="27:31" x14ac:dyDescent="0.25">
      <c r="AA2556" s="160"/>
      <c r="AB2556" s="162"/>
      <c r="AC2556" s="162"/>
      <c r="AD2556" s="162">
        <f t="shared" si="59"/>
        <v>0</v>
      </c>
      <c r="AE2556" s="160">
        <v>2554</v>
      </c>
    </row>
    <row r="2557" spans="27:31" x14ac:dyDescent="0.25">
      <c r="AA2557" s="160"/>
      <c r="AB2557" s="162"/>
      <c r="AC2557" s="162"/>
      <c r="AD2557" s="162">
        <f t="shared" si="59"/>
        <v>0</v>
      </c>
      <c r="AE2557" s="160">
        <v>2555</v>
      </c>
    </row>
    <row r="2558" spans="27:31" x14ac:dyDescent="0.25">
      <c r="AA2558" s="160"/>
      <c r="AB2558" s="162"/>
      <c r="AC2558" s="162"/>
      <c r="AD2558" s="162">
        <f t="shared" si="59"/>
        <v>0</v>
      </c>
      <c r="AE2558" s="160">
        <v>2556</v>
      </c>
    </row>
    <row r="2559" spans="27:31" x14ac:dyDescent="0.25">
      <c r="AA2559" s="160"/>
      <c r="AB2559" s="162"/>
      <c r="AC2559" s="162"/>
      <c r="AD2559" s="162">
        <f t="shared" si="59"/>
        <v>0</v>
      </c>
      <c r="AE2559" s="160">
        <v>2557</v>
      </c>
    </row>
    <row r="2560" spans="27:31" x14ac:dyDescent="0.25">
      <c r="AA2560" s="160"/>
      <c r="AB2560" s="162"/>
      <c r="AC2560" s="162"/>
      <c r="AD2560" s="162">
        <f t="shared" si="59"/>
        <v>0</v>
      </c>
      <c r="AE2560" s="160">
        <v>2558</v>
      </c>
    </row>
    <row r="2561" spans="27:31" x14ac:dyDescent="0.25">
      <c r="AA2561" s="160"/>
      <c r="AB2561" s="162"/>
      <c r="AC2561" s="162"/>
      <c r="AD2561" s="162">
        <f t="shared" si="59"/>
        <v>0</v>
      </c>
      <c r="AE2561" s="160">
        <v>2559</v>
      </c>
    </row>
    <row r="2562" spans="27:31" x14ac:dyDescent="0.25">
      <c r="AA2562" s="160"/>
      <c r="AB2562" s="162"/>
      <c r="AC2562" s="162"/>
      <c r="AD2562" s="162">
        <f t="shared" si="59"/>
        <v>0</v>
      </c>
      <c r="AE2562" s="160">
        <v>2560</v>
      </c>
    </row>
    <row r="2563" spans="27:31" x14ac:dyDescent="0.25">
      <c r="AA2563" s="160"/>
      <c r="AB2563" s="162"/>
      <c r="AC2563" s="162"/>
      <c r="AD2563" s="162">
        <f t="shared" si="59"/>
        <v>0</v>
      </c>
      <c r="AE2563" s="160">
        <v>2561</v>
      </c>
    </row>
    <row r="2564" spans="27:31" x14ac:dyDescent="0.25">
      <c r="AA2564" s="160"/>
      <c r="AB2564" s="162"/>
      <c r="AC2564" s="162"/>
      <c r="AD2564" s="162">
        <f t="shared" ref="AD2564:AD2627" si="60">AB2564+AC2564</f>
        <v>0</v>
      </c>
      <c r="AE2564" s="160">
        <v>2562</v>
      </c>
    </row>
    <row r="2565" spans="27:31" x14ac:dyDescent="0.25">
      <c r="AA2565" s="160"/>
      <c r="AB2565" s="162"/>
      <c r="AC2565" s="162"/>
      <c r="AD2565" s="162">
        <f t="shared" si="60"/>
        <v>0</v>
      </c>
      <c r="AE2565" s="160">
        <v>2563</v>
      </c>
    </row>
    <row r="2566" spans="27:31" x14ac:dyDescent="0.25">
      <c r="AA2566" s="160"/>
      <c r="AB2566" s="162"/>
      <c r="AC2566" s="162"/>
      <c r="AD2566" s="162">
        <f t="shared" si="60"/>
        <v>0</v>
      </c>
      <c r="AE2566" s="160">
        <v>2564</v>
      </c>
    </row>
    <row r="2567" spans="27:31" x14ac:dyDescent="0.25">
      <c r="AA2567" s="160"/>
      <c r="AB2567" s="162"/>
      <c r="AC2567" s="162"/>
      <c r="AD2567" s="162">
        <f t="shared" si="60"/>
        <v>0</v>
      </c>
      <c r="AE2567" s="160">
        <v>2565</v>
      </c>
    </row>
    <row r="2568" spans="27:31" x14ac:dyDescent="0.25">
      <c r="AA2568" s="160"/>
      <c r="AB2568" s="162"/>
      <c r="AC2568" s="162"/>
      <c r="AD2568" s="162">
        <f t="shared" si="60"/>
        <v>0</v>
      </c>
      <c r="AE2568" s="160">
        <v>2566</v>
      </c>
    </row>
    <row r="2569" spans="27:31" x14ac:dyDescent="0.25">
      <c r="AA2569" s="160"/>
      <c r="AB2569" s="162"/>
      <c r="AC2569" s="162"/>
      <c r="AD2569" s="162">
        <f t="shared" si="60"/>
        <v>0</v>
      </c>
      <c r="AE2569" s="160">
        <v>2567</v>
      </c>
    </row>
    <row r="2570" spans="27:31" x14ac:dyDescent="0.25">
      <c r="AA2570" s="160"/>
      <c r="AB2570" s="162"/>
      <c r="AC2570" s="162"/>
      <c r="AD2570" s="162">
        <f t="shared" si="60"/>
        <v>0</v>
      </c>
      <c r="AE2570" s="160">
        <v>2568</v>
      </c>
    </row>
    <row r="2571" spans="27:31" x14ac:dyDescent="0.25">
      <c r="AA2571" s="160"/>
      <c r="AB2571" s="162"/>
      <c r="AC2571" s="162"/>
      <c r="AD2571" s="162">
        <f t="shared" si="60"/>
        <v>0</v>
      </c>
      <c r="AE2571" s="160">
        <v>2569</v>
      </c>
    </row>
    <row r="2572" spans="27:31" x14ac:dyDescent="0.25">
      <c r="AA2572" s="160"/>
      <c r="AB2572" s="162"/>
      <c r="AC2572" s="162"/>
      <c r="AD2572" s="162">
        <f t="shared" si="60"/>
        <v>0</v>
      </c>
      <c r="AE2572" s="160">
        <v>2570</v>
      </c>
    </row>
    <row r="2573" spans="27:31" x14ac:dyDescent="0.25">
      <c r="AA2573" s="160"/>
      <c r="AB2573" s="162"/>
      <c r="AC2573" s="162"/>
      <c r="AD2573" s="162">
        <f t="shared" si="60"/>
        <v>0</v>
      </c>
      <c r="AE2573" s="160">
        <v>2571</v>
      </c>
    </row>
    <row r="2574" spans="27:31" x14ac:dyDescent="0.25">
      <c r="AA2574" s="160"/>
      <c r="AB2574" s="162"/>
      <c r="AC2574" s="162"/>
      <c r="AD2574" s="162">
        <f t="shared" si="60"/>
        <v>0</v>
      </c>
      <c r="AE2574" s="160">
        <v>2572</v>
      </c>
    </row>
    <row r="2575" spans="27:31" x14ac:dyDescent="0.25">
      <c r="AA2575" s="160"/>
      <c r="AB2575" s="162"/>
      <c r="AC2575" s="162"/>
      <c r="AD2575" s="162">
        <f t="shared" si="60"/>
        <v>0</v>
      </c>
      <c r="AE2575" s="160">
        <v>2573</v>
      </c>
    </row>
    <row r="2576" spans="27:31" x14ac:dyDescent="0.25">
      <c r="AA2576" s="160"/>
      <c r="AB2576" s="162"/>
      <c r="AC2576" s="162"/>
      <c r="AD2576" s="162">
        <f t="shared" si="60"/>
        <v>0</v>
      </c>
      <c r="AE2576" s="160">
        <v>2574</v>
      </c>
    </row>
    <row r="2577" spans="27:31" x14ac:dyDescent="0.25">
      <c r="AA2577" s="160"/>
      <c r="AB2577" s="162"/>
      <c r="AC2577" s="162"/>
      <c r="AD2577" s="162">
        <f t="shared" si="60"/>
        <v>0</v>
      </c>
      <c r="AE2577" s="160">
        <v>2575</v>
      </c>
    </row>
    <row r="2578" spans="27:31" x14ac:dyDescent="0.25">
      <c r="AA2578" s="160"/>
      <c r="AB2578" s="162"/>
      <c r="AC2578" s="162"/>
      <c r="AD2578" s="162">
        <f t="shared" si="60"/>
        <v>0</v>
      </c>
      <c r="AE2578" s="160">
        <v>2576</v>
      </c>
    </row>
    <row r="2579" spans="27:31" x14ac:dyDescent="0.25">
      <c r="AA2579" s="160"/>
      <c r="AB2579" s="162"/>
      <c r="AC2579" s="162"/>
      <c r="AD2579" s="162">
        <f t="shared" si="60"/>
        <v>0</v>
      </c>
      <c r="AE2579" s="160">
        <v>2577</v>
      </c>
    </row>
    <row r="2580" spans="27:31" x14ac:dyDescent="0.25">
      <c r="AA2580" s="160"/>
      <c r="AB2580" s="162"/>
      <c r="AC2580" s="162"/>
      <c r="AD2580" s="162">
        <f t="shared" si="60"/>
        <v>0</v>
      </c>
      <c r="AE2580" s="160">
        <v>2578</v>
      </c>
    </row>
    <row r="2581" spans="27:31" x14ac:dyDescent="0.25">
      <c r="AA2581" s="160"/>
      <c r="AB2581" s="162"/>
      <c r="AC2581" s="162"/>
      <c r="AD2581" s="162">
        <f t="shared" si="60"/>
        <v>0</v>
      </c>
      <c r="AE2581" s="160">
        <v>2579</v>
      </c>
    </row>
    <row r="2582" spans="27:31" x14ac:dyDescent="0.25">
      <c r="AA2582" s="160"/>
      <c r="AB2582" s="162"/>
      <c r="AC2582" s="162"/>
      <c r="AD2582" s="162">
        <f t="shared" si="60"/>
        <v>0</v>
      </c>
      <c r="AE2582" s="160">
        <v>2580</v>
      </c>
    </row>
    <row r="2583" spans="27:31" x14ac:dyDescent="0.25">
      <c r="AA2583" s="160"/>
      <c r="AB2583" s="162"/>
      <c r="AC2583" s="162"/>
      <c r="AD2583" s="162">
        <f t="shared" si="60"/>
        <v>0</v>
      </c>
      <c r="AE2583" s="160">
        <v>2581</v>
      </c>
    </row>
    <row r="2584" spans="27:31" x14ac:dyDescent="0.25">
      <c r="AA2584" s="160"/>
      <c r="AB2584" s="162"/>
      <c r="AC2584" s="162"/>
      <c r="AD2584" s="162">
        <f t="shared" si="60"/>
        <v>0</v>
      </c>
      <c r="AE2584" s="160">
        <v>2582</v>
      </c>
    </row>
    <row r="2585" spans="27:31" x14ac:dyDescent="0.25">
      <c r="AA2585" s="160"/>
      <c r="AB2585" s="162"/>
      <c r="AC2585" s="162"/>
      <c r="AD2585" s="162">
        <f t="shared" si="60"/>
        <v>0</v>
      </c>
      <c r="AE2585" s="160">
        <v>2583</v>
      </c>
    </row>
    <row r="2586" spans="27:31" x14ac:dyDescent="0.25">
      <c r="AA2586" s="160"/>
      <c r="AB2586" s="162"/>
      <c r="AC2586" s="162"/>
      <c r="AD2586" s="162">
        <f t="shared" si="60"/>
        <v>0</v>
      </c>
      <c r="AE2586" s="160">
        <v>2584</v>
      </c>
    </row>
    <row r="2587" spans="27:31" x14ac:dyDescent="0.25">
      <c r="AA2587" s="160"/>
      <c r="AB2587" s="162"/>
      <c r="AC2587" s="162"/>
      <c r="AD2587" s="162">
        <f t="shared" si="60"/>
        <v>0</v>
      </c>
      <c r="AE2587" s="160">
        <v>2585</v>
      </c>
    </row>
    <row r="2588" spans="27:31" x14ac:dyDescent="0.25">
      <c r="AA2588" s="160"/>
      <c r="AB2588" s="162"/>
      <c r="AC2588" s="162"/>
      <c r="AD2588" s="162">
        <f t="shared" si="60"/>
        <v>0</v>
      </c>
      <c r="AE2588" s="160">
        <v>2586</v>
      </c>
    </row>
    <row r="2589" spans="27:31" x14ac:dyDescent="0.25">
      <c r="AA2589" s="160"/>
      <c r="AB2589" s="162"/>
      <c r="AC2589" s="162"/>
      <c r="AD2589" s="162">
        <f t="shared" si="60"/>
        <v>0</v>
      </c>
      <c r="AE2589" s="160">
        <v>2587</v>
      </c>
    </row>
    <row r="2590" spans="27:31" x14ac:dyDescent="0.25">
      <c r="AA2590" s="160"/>
      <c r="AB2590" s="162"/>
      <c r="AC2590" s="162"/>
      <c r="AD2590" s="162">
        <f t="shared" si="60"/>
        <v>0</v>
      </c>
      <c r="AE2590" s="160">
        <v>2588</v>
      </c>
    </row>
    <row r="2591" spans="27:31" x14ac:dyDescent="0.25">
      <c r="AA2591" s="160"/>
      <c r="AB2591" s="162"/>
      <c r="AC2591" s="162"/>
      <c r="AD2591" s="162">
        <f t="shared" si="60"/>
        <v>0</v>
      </c>
      <c r="AE2591" s="160">
        <v>2589</v>
      </c>
    </row>
    <row r="2592" spans="27:31" x14ac:dyDescent="0.25">
      <c r="AA2592" s="160"/>
      <c r="AB2592" s="162"/>
      <c r="AC2592" s="162"/>
      <c r="AD2592" s="162">
        <f t="shared" si="60"/>
        <v>0</v>
      </c>
      <c r="AE2592" s="160">
        <v>2590</v>
      </c>
    </row>
    <row r="2593" spans="27:31" x14ac:dyDescent="0.25">
      <c r="AA2593" s="160"/>
      <c r="AB2593" s="162"/>
      <c r="AC2593" s="162"/>
      <c r="AD2593" s="162">
        <f t="shared" si="60"/>
        <v>0</v>
      </c>
      <c r="AE2593" s="160">
        <v>2591</v>
      </c>
    </row>
    <row r="2594" spans="27:31" x14ac:dyDescent="0.25">
      <c r="AA2594" s="160"/>
      <c r="AB2594" s="162"/>
      <c r="AC2594" s="162"/>
      <c r="AD2594" s="162">
        <f t="shared" si="60"/>
        <v>0</v>
      </c>
      <c r="AE2594" s="160">
        <v>2592</v>
      </c>
    </row>
    <row r="2595" spans="27:31" x14ac:dyDescent="0.25">
      <c r="AA2595" s="160"/>
      <c r="AB2595" s="162"/>
      <c r="AC2595" s="162"/>
      <c r="AD2595" s="162">
        <f t="shared" si="60"/>
        <v>0</v>
      </c>
      <c r="AE2595" s="160">
        <v>2593</v>
      </c>
    </row>
    <row r="2596" spans="27:31" x14ac:dyDescent="0.25">
      <c r="AA2596" s="160"/>
      <c r="AB2596" s="162"/>
      <c r="AC2596" s="162"/>
      <c r="AD2596" s="162">
        <f t="shared" si="60"/>
        <v>0</v>
      </c>
      <c r="AE2596" s="160">
        <v>2594</v>
      </c>
    </row>
    <row r="2597" spans="27:31" x14ac:dyDescent="0.25">
      <c r="AA2597" s="160"/>
      <c r="AB2597" s="162"/>
      <c r="AC2597" s="162"/>
      <c r="AD2597" s="162">
        <f t="shared" si="60"/>
        <v>0</v>
      </c>
      <c r="AE2597" s="160">
        <v>2595</v>
      </c>
    </row>
    <row r="2598" spans="27:31" x14ac:dyDescent="0.25">
      <c r="AA2598" s="160"/>
      <c r="AB2598" s="162"/>
      <c r="AC2598" s="162"/>
      <c r="AD2598" s="162">
        <f t="shared" si="60"/>
        <v>0</v>
      </c>
      <c r="AE2598" s="160">
        <v>2596</v>
      </c>
    </row>
    <row r="2599" spans="27:31" x14ac:dyDescent="0.25">
      <c r="AA2599" s="160"/>
      <c r="AB2599" s="162"/>
      <c r="AC2599" s="162"/>
      <c r="AD2599" s="162">
        <f t="shared" si="60"/>
        <v>0</v>
      </c>
      <c r="AE2599" s="160">
        <v>2597</v>
      </c>
    </row>
    <row r="2600" spans="27:31" x14ac:dyDescent="0.25">
      <c r="AA2600" s="160"/>
      <c r="AB2600" s="162"/>
      <c r="AC2600" s="162"/>
      <c r="AD2600" s="162">
        <f t="shared" si="60"/>
        <v>0</v>
      </c>
      <c r="AE2600" s="160">
        <v>2598</v>
      </c>
    </row>
    <row r="2601" spans="27:31" x14ac:dyDescent="0.25">
      <c r="AA2601" s="160"/>
      <c r="AB2601" s="162"/>
      <c r="AC2601" s="162"/>
      <c r="AD2601" s="162">
        <f t="shared" si="60"/>
        <v>0</v>
      </c>
      <c r="AE2601" s="160">
        <v>2599</v>
      </c>
    </row>
    <row r="2602" spans="27:31" x14ac:dyDescent="0.25">
      <c r="AA2602" s="160"/>
      <c r="AB2602" s="162"/>
      <c r="AC2602" s="162"/>
      <c r="AD2602" s="162">
        <f t="shared" si="60"/>
        <v>0</v>
      </c>
      <c r="AE2602" s="160">
        <v>2600</v>
      </c>
    </row>
    <row r="2603" spans="27:31" x14ac:dyDescent="0.25">
      <c r="AA2603" s="160"/>
      <c r="AB2603" s="162"/>
      <c r="AC2603" s="162"/>
      <c r="AD2603" s="162">
        <f t="shared" si="60"/>
        <v>0</v>
      </c>
      <c r="AE2603" s="160">
        <v>2601</v>
      </c>
    </row>
    <row r="2604" spans="27:31" x14ac:dyDescent="0.25">
      <c r="AA2604" s="160"/>
      <c r="AB2604" s="162"/>
      <c r="AC2604" s="162"/>
      <c r="AD2604" s="162">
        <f t="shared" si="60"/>
        <v>0</v>
      </c>
      <c r="AE2604" s="160">
        <v>2602</v>
      </c>
    </row>
    <row r="2605" spans="27:31" x14ac:dyDescent="0.25">
      <c r="AA2605" s="160"/>
      <c r="AB2605" s="162"/>
      <c r="AC2605" s="162"/>
      <c r="AD2605" s="162">
        <f t="shared" si="60"/>
        <v>0</v>
      </c>
      <c r="AE2605" s="160">
        <v>2603</v>
      </c>
    </row>
    <row r="2606" spans="27:31" x14ac:dyDescent="0.25">
      <c r="AA2606" s="160"/>
      <c r="AB2606" s="162"/>
      <c r="AC2606" s="162"/>
      <c r="AD2606" s="162">
        <f t="shared" si="60"/>
        <v>0</v>
      </c>
      <c r="AE2606" s="160">
        <v>2604</v>
      </c>
    </row>
    <row r="2607" spans="27:31" x14ac:dyDescent="0.25">
      <c r="AA2607" s="160"/>
      <c r="AB2607" s="162"/>
      <c r="AC2607" s="162"/>
      <c r="AD2607" s="162">
        <f t="shared" si="60"/>
        <v>0</v>
      </c>
      <c r="AE2607" s="160">
        <v>2605</v>
      </c>
    </row>
    <row r="2608" spans="27:31" x14ac:dyDescent="0.25">
      <c r="AA2608" s="160"/>
      <c r="AB2608" s="162"/>
      <c r="AC2608" s="162"/>
      <c r="AD2608" s="162">
        <f t="shared" si="60"/>
        <v>0</v>
      </c>
      <c r="AE2608" s="160">
        <v>2606</v>
      </c>
    </row>
    <row r="2609" spans="27:31" x14ac:dyDescent="0.25">
      <c r="AA2609" s="160"/>
      <c r="AB2609" s="162"/>
      <c r="AC2609" s="162"/>
      <c r="AD2609" s="162">
        <f t="shared" si="60"/>
        <v>0</v>
      </c>
      <c r="AE2609" s="160">
        <v>2607</v>
      </c>
    </row>
    <row r="2610" spans="27:31" x14ac:dyDescent="0.25">
      <c r="AA2610" s="160"/>
      <c r="AB2610" s="162"/>
      <c r="AC2610" s="162"/>
      <c r="AD2610" s="162">
        <f t="shared" si="60"/>
        <v>0</v>
      </c>
      <c r="AE2610" s="160">
        <v>2608</v>
      </c>
    </row>
    <row r="2611" spans="27:31" x14ac:dyDescent="0.25">
      <c r="AA2611" s="160"/>
      <c r="AB2611" s="162"/>
      <c r="AC2611" s="162"/>
      <c r="AD2611" s="162">
        <f t="shared" si="60"/>
        <v>0</v>
      </c>
      <c r="AE2611" s="160">
        <v>2609</v>
      </c>
    </row>
    <row r="2612" spans="27:31" x14ac:dyDescent="0.25">
      <c r="AA2612" s="160"/>
      <c r="AB2612" s="162"/>
      <c r="AC2612" s="162"/>
      <c r="AD2612" s="162">
        <f t="shared" si="60"/>
        <v>0</v>
      </c>
      <c r="AE2612" s="160">
        <v>2610</v>
      </c>
    </row>
    <row r="2613" spans="27:31" x14ac:dyDescent="0.25">
      <c r="AA2613" s="160"/>
      <c r="AB2613" s="162"/>
      <c r="AC2613" s="162"/>
      <c r="AD2613" s="162">
        <f t="shared" si="60"/>
        <v>0</v>
      </c>
      <c r="AE2613" s="160">
        <v>2611</v>
      </c>
    </row>
    <row r="2614" spans="27:31" x14ac:dyDescent="0.25">
      <c r="AA2614" s="160"/>
      <c r="AB2614" s="162"/>
      <c r="AC2614" s="162"/>
      <c r="AD2614" s="162">
        <f t="shared" si="60"/>
        <v>0</v>
      </c>
      <c r="AE2614" s="160">
        <v>2612</v>
      </c>
    </row>
    <row r="2615" spans="27:31" x14ac:dyDescent="0.25">
      <c r="AA2615" s="160"/>
      <c r="AB2615" s="162"/>
      <c r="AC2615" s="162"/>
      <c r="AD2615" s="162">
        <f t="shared" si="60"/>
        <v>0</v>
      </c>
      <c r="AE2615" s="160">
        <v>2613</v>
      </c>
    </row>
    <row r="2616" spans="27:31" x14ac:dyDescent="0.25">
      <c r="AA2616" s="160"/>
      <c r="AB2616" s="162"/>
      <c r="AC2616" s="162"/>
      <c r="AD2616" s="162">
        <f t="shared" si="60"/>
        <v>0</v>
      </c>
      <c r="AE2616" s="160">
        <v>2614</v>
      </c>
    </row>
    <row r="2617" spans="27:31" x14ac:dyDescent="0.25">
      <c r="AA2617" s="160"/>
      <c r="AB2617" s="162"/>
      <c r="AC2617" s="162"/>
      <c r="AD2617" s="162">
        <f t="shared" si="60"/>
        <v>0</v>
      </c>
      <c r="AE2617" s="160">
        <v>2615</v>
      </c>
    </row>
    <row r="2618" spans="27:31" x14ac:dyDescent="0.25">
      <c r="AA2618" s="160"/>
      <c r="AB2618" s="162"/>
      <c r="AC2618" s="162"/>
      <c r="AD2618" s="162">
        <f t="shared" si="60"/>
        <v>0</v>
      </c>
      <c r="AE2618" s="160">
        <v>2616</v>
      </c>
    </row>
    <row r="2619" spans="27:31" x14ac:dyDescent="0.25">
      <c r="AA2619" s="160"/>
      <c r="AB2619" s="162"/>
      <c r="AC2619" s="162"/>
      <c r="AD2619" s="162">
        <f t="shared" si="60"/>
        <v>0</v>
      </c>
      <c r="AE2619" s="160">
        <v>2617</v>
      </c>
    </row>
    <row r="2620" spans="27:31" x14ac:dyDescent="0.25">
      <c r="AA2620" s="160"/>
      <c r="AB2620" s="162"/>
      <c r="AC2620" s="162"/>
      <c r="AD2620" s="162">
        <f t="shared" si="60"/>
        <v>0</v>
      </c>
      <c r="AE2620" s="160">
        <v>2618</v>
      </c>
    </row>
    <row r="2621" spans="27:31" x14ac:dyDescent="0.25">
      <c r="AA2621" s="160"/>
      <c r="AB2621" s="162"/>
      <c r="AC2621" s="162"/>
      <c r="AD2621" s="162">
        <f t="shared" si="60"/>
        <v>0</v>
      </c>
      <c r="AE2621" s="160">
        <v>2619</v>
      </c>
    </row>
    <row r="2622" spans="27:31" x14ac:dyDescent="0.25">
      <c r="AA2622" s="160"/>
      <c r="AB2622" s="162"/>
      <c r="AC2622" s="162"/>
      <c r="AD2622" s="162">
        <f t="shared" si="60"/>
        <v>0</v>
      </c>
      <c r="AE2622" s="160">
        <v>2620</v>
      </c>
    </row>
    <row r="2623" spans="27:31" x14ac:dyDescent="0.25">
      <c r="AA2623" s="160"/>
      <c r="AB2623" s="162"/>
      <c r="AC2623" s="162"/>
      <c r="AD2623" s="162">
        <f t="shared" si="60"/>
        <v>0</v>
      </c>
      <c r="AE2623" s="160">
        <v>2621</v>
      </c>
    </row>
    <row r="2624" spans="27:31" x14ac:dyDescent="0.25">
      <c r="AA2624" s="160"/>
      <c r="AB2624" s="162"/>
      <c r="AC2624" s="162"/>
      <c r="AD2624" s="162">
        <f t="shared" si="60"/>
        <v>0</v>
      </c>
      <c r="AE2624" s="160">
        <v>2622</v>
      </c>
    </row>
    <row r="2625" spans="27:31" x14ac:dyDescent="0.25">
      <c r="AA2625" s="160"/>
      <c r="AB2625" s="162"/>
      <c r="AC2625" s="162"/>
      <c r="AD2625" s="162">
        <f t="shared" si="60"/>
        <v>0</v>
      </c>
      <c r="AE2625" s="160">
        <v>2623</v>
      </c>
    </row>
    <row r="2626" spans="27:31" x14ac:dyDescent="0.25">
      <c r="AA2626" s="160"/>
      <c r="AB2626" s="162"/>
      <c r="AC2626" s="162"/>
      <c r="AD2626" s="162">
        <f t="shared" si="60"/>
        <v>0</v>
      </c>
      <c r="AE2626" s="160">
        <v>2624</v>
      </c>
    </row>
    <row r="2627" spans="27:31" x14ac:dyDescent="0.25">
      <c r="AA2627" s="160"/>
      <c r="AB2627" s="162"/>
      <c r="AC2627" s="162"/>
      <c r="AD2627" s="162">
        <f t="shared" si="60"/>
        <v>0</v>
      </c>
      <c r="AE2627" s="160">
        <v>2625</v>
      </c>
    </row>
    <row r="2628" spans="27:31" x14ac:dyDescent="0.25">
      <c r="AA2628" s="160"/>
      <c r="AB2628" s="162"/>
      <c r="AC2628" s="162"/>
      <c r="AD2628" s="162">
        <f t="shared" ref="AD2628:AD2691" si="61">AB2628+AC2628</f>
        <v>0</v>
      </c>
      <c r="AE2628" s="160">
        <v>2626</v>
      </c>
    </row>
    <row r="2629" spans="27:31" x14ac:dyDescent="0.25">
      <c r="AA2629" s="160"/>
      <c r="AB2629" s="162"/>
      <c r="AC2629" s="162"/>
      <c r="AD2629" s="162">
        <f t="shared" si="61"/>
        <v>0</v>
      </c>
      <c r="AE2629" s="160">
        <v>2627</v>
      </c>
    </row>
    <row r="2630" spans="27:31" x14ac:dyDescent="0.25">
      <c r="AA2630" s="160"/>
      <c r="AB2630" s="162"/>
      <c r="AC2630" s="162"/>
      <c r="AD2630" s="162">
        <f t="shared" si="61"/>
        <v>0</v>
      </c>
      <c r="AE2630" s="160">
        <v>2628</v>
      </c>
    </row>
    <row r="2631" spans="27:31" x14ac:dyDescent="0.25">
      <c r="AA2631" s="160"/>
      <c r="AB2631" s="162"/>
      <c r="AC2631" s="162"/>
      <c r="AD2631" s="162">
        <f t="shared" si="61"/>
        <v>0</v>
      </c>
      <c r="AE2631" s="160">
        <v>2629</v>
      </c>
    </row>
    <row r="2632" spans="27:31" x14ac:dyDescent="0.25">
      <c r="AA2632" s="160"/>
      <c r="AB2632" s="162"/>
      <c r="AC2632" s="162"/>
      <c r="AD2632" s="162">
        <f t="shared" si="61"/>
        <v>0</v>
      </c>
      <c r="AE2632" s="160">
        <v>2630</v>
      </c>
    </row>
    <row r="2633" spans="27:31" x14ac:dyDescent="0.25">
      <c r="AA2633" s="160"/>
      <c r="AB2633" s="162"/>
      <c r="AC2633" s="162"/>
      <c r="AD2633" s="162">
        <f t="shared" si="61"/>
        <v>0</v>
      </c>
      <c r="AE2633" s="160">
        <v>2631</v>
      </c>
    </row>
    <row r="2634" spans="27:31" x14ac:dyDescent="0.25">
      <c r="AA2634" s="160"/>
      <c r="AB2634" s="162"/>
      <c r="AC2634" s="162"/>
      <c r="AD2634" s="162">
        <f t="shared" si="61"/>
        <v>0</v>
      </c>
      <c r="AE2634" s="160">
        <v>2632</v>
      </c>
    </row>
    <row r="2635" spans="27:31" x14ac:dyDescent="0.25">
      <c r="AA2635" s="160"/>
      <c r="AB2635" s="162"/>
      <c r="AC2635" s="162"/>
      <c r="AD2635" s="162">
        <f t="shared" si="61"/>
        <v>0</v>
      </c>
      <c r="AE2635" s="160">
        <v>2633</v>
      </c>
    </row>
    <row r="2636" spans="27:31" x14ac:dyDescent="0.25">
      <c r="AA2636" s="160"/>
      <c r="AB2636" s="162"/>
      <c r="AC2636" s="162"/>
      <c r="AD2636" s="162">
        <f t="shared" si="61"/>
        <v>0</v>
      </c>
      <c r="AE2636" s="160">
        <v>2634</v>
      </c>
    </row>
    <row r="2637" spans="27:31" x14ac:dyDescent="0.25">
      <c r="AA2637" s="160"/>
      <c r="AB2637" s="162"/>
      <c r="AC2637" s="162"/>
      <c r="AD2637" s="162">
        <f t="shared" si="61"/>
        <v>0</v>
      </c>
      <c r="AE2637" s="160">
        <v>2635</v>
      </c>
    </row>
    <row r="2638" spans="27:31" x14ac:dyDescent="0.25">
      <c r="AA2638" s="160"/>
      <c r="AB2638" s="162"/>
      <c r="AC2638" s="162"/>
      <c r="AD2638" s="162">
        <f t="shared" si="61"/>
        <v>0</v>
      </c>
      <c r="AE2638" s="160">
        <v>2636</v>
      </c>
    </row>
    <row r="2639" spans="27:31" x14ac:dyDescent="0.25">
      <c r="AA2639" s="160"/>
      <c r="AB2639" s="162"/>
      <c r="AC2639" s="162"/>
      <c r="AD2639" s="162">
        <f t="shared" si="61"/>
        <v>0</v>
      </c>
      <c r="AE2639" s="160">
        <v>2637</v>
      </c>
    </row>
    <row r="2640" spans="27:31" x14ac:dyDescent="0.25">
      <c r="AA2640" s="160"/>
      <c r="AB2640" s="162"/>
      <c r="AC2640" s="162"/>
      <c r="AD2640" s="162">
        <f t="shared" si="61"/>
        <v>0</v>
      </c>
      <c r="AE2640" s="160">
        <v>2638</v>
      </c>
    </row>
    <row r="2641" spans="27:31" x14ac:dyDescent="0.25">
      <c r="AA2641" s="160"/>
      <c r="AB2641" s="162"/>
      <c r="AC2641" s="162"/>
      <c r="AD2641" s="162">
        <f t="shared" si="61"/>
        <v>0</v>
      </c>
      <c r="AE2641" s="160">
        <v>2639</v>
      </c>
    </row>
    <row r="2642" spans="27:31" x14ac:dyDescent="0.25">
      <c r="AA2642" s="160"/>
      <c r="AB2642" s="162"/>
      <c r="AC2642" s="162"/>
      <c r="AD2642" s="162">
        <f t="shared" si="61"/>
        <v>0</v>
      </c>
      <c r="AE2642" s="160">
        <v>2640</v>
      </c>
    </row>
    <row r="2643" spans="27:31" x14ac:dyDescent="0.25">
      <c r="AA2643" s="160"/>
      <c r="AB2643" s="162"/>
      <c r="AC2643" s="162"/>
      <c r="AD2643" s="162">
        <f t="shared" si="61"/>
        <v>0</v>
      </c>
      <c r="AE2643" s="160">
        <v>2641</v>
      </c>
    </row>
    <row r="2644" spans="27:31" x14ac:dyDescent="0.25">
      <c r="AA2644" s="160"/>
      <c r="AB2644" s="162"/>
      <c r="AC2644" s="162"/>
      <c r="AD2644" s="162">
        <f t="shared" si="61"/>
        <v>0</v>
      </c>
      <c r="AE2644" s="160">
        <v>2642</v>
      </c>
    </row>
    <row r="2645" spans="27:31" x14ac:dyDescent="0.25">
      <c r="AA2645" s="160"/>
      <c r="AB2645" s="162"/>
      <c r="AC2645" s="162"/>
      <c r="AD2645" s="162">
        <f t="shared" si="61"/>
        <v>0</v>
      </c>
      <c r="AE2645" s="160">
        <v>2643</v>
      </c>
    </row>
    <row r="2646" spans="27:31" x14ac:dyDescent="0.25">
      <c r="AA2646" s="160"/>
      <c r="AB2646" s="162"/>
      <c r="AC2646" s="162"/>
      <c r="AD2646" s="162">
        <f t="shared" si="61"/>
        <v>0</v>
      </c>
      <c r="AE2646" s="160">
        <v>2644</v>
      </c>
    </row>
    <row r="2647" spans="27:31" x14ac:dyDescent="0.25">
      <c r="AA2647" s="160"/>
      <c r="AB2647" s="162"/>
      <c r="AC2647" s="162"/>
      <c r="AD2647" s="162">
        <f t="shared" si="61"/>
        <v>0</v>
      </c>
      <c r="AE2647" s="160">
        <v>2645</v>
      </c>
    </row>
    <row r="2648" spans="27:31" x14ac:dyDescent="0.25">
      <c r="AA2648" s="160"/>
      <c r="AB2648" s="162"/>
      <c r="AC2648" s="162"/>
      <c r="AD2648" s="162">
        <f t="shared" si="61"/>
        <v>0</v>
      </c>
      <c r="AE2648" s="160">
        <v>2646</v>
      </c>
    </row>
    <row r="2649" spans="27:31" x14ac:dyDescent="0.25">
      <c r="AA2649" s="160"/>
      <c r="AB2649" s="162"/>
      <c r="AC2649" s="162"/>
      <c r="AD2649" s="162">
        <f t="shared" si="61"/>
        <v>0</v>
      </c>
      <c r="AE2649" s="160">
        <v>2647</v>
      </c>
    </row>
    <row r="2650" spans="27:31" x14ac:dyDescent="0.25">
      <c r="AA2650" s="160"/>
      <c r="AB2650" s="162"/>
      <c r="AC2650" s="162"/>
      <c r="AD2650" s="162">
        <f t="shared" si="61"/>
        <v>0</v>
      </c>
      <c r="AE2650" s="160">
        <v>2648</v>
      </c>
    </row>
    <row r="2651" spans="27:31" x14ac:dyDescent="0.25">
      <c r="AA2651" s="160"/>
      <c r="AB2651" s="162"/>
      <c r="AC2651" s="162"/>
      <c r="AD2651" s="162">
        <f t="shared" si="61"/>
        <v>0</v>
      </c>
      <c r="AE2651" s="160">
        <v>2649</v>
      </c>
    </row>
    <row r="2652" spans="27:31" x14ac:dyDescent="0.25">
      <c r="AA2652" s="160"/>
      <c r="AB2652" s="162"/>
      <c r="AC2652" s="162"/>
      <c r="AD2652" s="162">
        <f t="shared" si="61"/>
        <v>0</v>
      </c>
      <c r="AE2652" s="160">
        <v>2650</v>
      </c>
    </row>
    <row r="2653" spans="27:31" x14ac:dyDescent="0.25">
      <c r="AA2653" s="160"/>
      <c r="AB2653" s="162"/>
      <c r="AC2653" s="162"/>
      <c r="AD2653" s="162">
        <f t="shared" si="61"/>
        <v>0</v>
      </c>
      <c r="AE2653" s="160">
        <v>2651</v>
      </c>
    </row>
    <row r="2654" spans="27:31" x14ac:dyDescent="0.25">
      <c r="AA2654" s="160"/>
      <c r="AB2654" s="162"/>
      <c r="AC2654" s="162"/>
      <c r="AD2654" s="162">
        <f t="shared" si="61"/>
        <v>0</v>
      </c>
      <c r="AE2654" s="160">
        <v>2652</v>
      </c>
    </row>
    <row r="2655" spans="27:31" x14ac:dyDescent="0.25">
      <c r="AA2655" s="160"/>
      <c r="AB2655" s="162"/>
      <c r="AC2655" s="162"/>
      <c r="AD2655" s="162">
        <f t="shared" si="61"/>
        <v>0</v>
      </c>
      <c r="AE2655" s="160">
        <v>2653</v>
      </c>
    </row>
    <row r="2656" spans="27:31" x14ac:dyDescent="0.25">
      <c r="AA2656" s="160"/>
      <c r="AB2656" s="162"/>
      <c r="AC2656" s="162"/>
      <c r="AD2656" s="162">
        <f t="shared" si="61"/>
        <v>0</v>
      </c>
      <c r="AE2656" s="160">
        <v>2654</v>
      </c>
    </row>
    <row r="2657" spans="27:31" x14ac:dyDescent="0.25">
      <c r="AA2657" s="160"/>
      <c r="AB2657" s="162"/>
      <c r="AC2657" s="162"/>
      <c r="AD2657" s="162">
        <f t="shared" si="61"/>
        <v>0</v>
      </c>
      <c r="AE2657" s="160">
        <v>2655</v>
      </c>
    </row>
    <row r="2658" spans="27:31" x14ac:dyDescent="0.25">
      <c r="AA2658" s="160"/>
      <c r="AB2658" s="162"/>
      <c r="AC2658" s="162"/>
      <c r="AD2658" s="162">
        <f t="shared" si="61"/>
        <v>0</v>
      </c>
      <c r="AE2658" s="160">
        <v>2656</v>
      </c>
    </row>
    <row r="2659" spans="27:31" x14ac:dyDescent="0.25">
      <c r="AA2659" s="160"/>
      <c r="AB2659" s="162"/>
      <c r="AC2659" s="162"/>
      <c r="AD2659" s="162">
        <f t="shared" si="61"/>
        <v>0</v>
      </c>
      <c r="AE2659" s="160">
        <v>2657</v>
      </c>
    </row>
    <row r="2660" spans="27:31" x14ac:dyDescent="0.25">
      <c r="AA2660" s="160"/>
      <c r="AB2660" s="162"/>
      <c r="AC2660" s="162"/>
      <c r="AD2660" s="162">
        <f t="shared" si="61"/>
        <v>0</v>
      </c>
      <c r="AE2660" s="160">
        <v>2658</v>
      </c>
    </row>
    <row r="2661" spans="27:31" x14ac:dyDescent="0.25">
      <c r="AA2661" s="160"/>
      <c r="AB2661" s="162"/>
      <c r="AC2661" s="162"/>
      <c r="AD2661" s="162">
        <f t="shared" si="61"/>
        <v>0</v>
      </c>
      <c r="AE2661" s="160">
        <v>2659</v>
      </c>
    </row>
    <row r="2662" spans="27:31" x14ac:dyDescent="0.25">
      <c r="AA2662" s="160"/>
      <c r="AB2662" s="162"/>
      <c r="AC2662" s="162"/>
      <c r="AD2662" s="162">
        <f t="shared" si="61"/>
        <v>0</v>
      </c>
      <c r="AE2662" s="160">
        <v>2660</v>
      </c>
    </row>
    <row r="2663" spans="27:31" x14ac:dyDescent="0.25">
      <c r="AA2663" s="160"/>
      <c r="AB2663" s="162"/>
      <c r="AC2663" s="162"/>
      <c r="AD2663" s="162">
        <f t="shared" si="61"/>
        <v>0</v>
      </c>
      <c r="AE2663" s="160">
        <v>2661</v>
      </c>
    </row>
    <row r="2664" spans="27:31" x14ac:dyDescent="0.25">
      <c r="AA2664" s="160"/>
      <c r="AB2664" s="162"/>
      <c r="AC2664" s="162"/>
      <c r="AD2664" s="162">
        <f t="shared" si="61"/>
        <v>0</v>
      </c>
      <c r="AE2664" s="160">
        <v>2662</v>
      </c>
    </row>
    <row r="2665" spans="27:31" x14ac:dyDescent="0.25">
      <c r="AA2665" s="160"/>
      <c r="AB2665" s="162"/>
      <c r="AC2665" s="162"/>
      <c r="AD2665" s="162">
        <f t="shared" si="61"/>
        <v>0</v>
      </c>
      <c r="AE2665" s="160">
        <v>2663</v>
      </c>
    </row>
    <row r="2666" spans="27:31" x14ac:dyDescent="0.25">
      <c r="AA2666" s="160"/>
      <c r="AB2666" s="162"/>
      <c r="AC2666" s="162"/>
      <c r="AD2666" s="162">
        <f t="shared" si="61"/>
        <v>0</v>
      </c>
      <c r="AE2666" s="160">
        <v>2664</v>
      </c>
    </row>
    <row r="2667" spans="27:31" x14ac:dyDescent="0.25">
      <c r="AA2667" s="160"/>
      <c r="AB2667" s="162"/>
      <c r="AC2667" s="162"/>
      <c r="AD2667" s="162">
        <f t="shared" si="61"/>
        <v>0</v>
      </c>
      <c r="AE2667" s="160">
        <v>2665</v>
      </c>
    </row>
    <row r="2668" spans="27:31" x14ac:dyDescent="0.25">
      <c r="AA2668" s="160"/>
      <c r="AB2668" s="162"/>
      <c r="AC2668" s="162"/>
      <c r="AD2668" s="162">
        <f t="shared" si="61"/>
        <v>0</v>
      </c>
      <c r="AE2668" s="160">
        <v>2666</v>
      </c>
    </row>
    <row r="2669" spans="27:31" x14ac:dyDescent="0.25">
      <c r="AA2669" s="160"/>
      <c r="AB2669" s="162"/>
      <c r="AC2669" s="162"/>
      <c r="AD2669" s="162">
        <f t="shared" si="61"/>
        <v>0</v>
      </c>
      <c r="AE2669" s="160">
        <v>2667</v>
      </c>
    </row>
    <row r="2670" spans="27:31" x14ac:dyDescent="0.25">
      <c r="AA2670" s="160"/>
      <c r="AB2670" s="162"/>
      <c r="AC2670" s="162"/>
      <c r="AD2670" s="162">
        <f t="shared" si="61"/>
        <v>0</v>
      </c>
      <c r="AE2670" s="160">
        <v>2668</v>
      </c>
    </row>
    <row r="2671" spans="27:31" x14ac:dyDescent="0.25">
      <c r="AA2671" s="160"/>
      <c r="AB2671" s="162"/>
      <c r="AC2671" s="162"/>
      <c r="AD2671" s="162">
        <f t="shared" si="61"/>
        <v>0</v>
      </c>
      <c r="AE2671" s="160">
        <v>2669</v>
      </c>
    </row>
    <row r="2672" spans="27:31" x14ac:dyDescent="0.25">
      <c r="AA2672" s="160"/>
      <c r="AB2672" s="162"/>
      <c r="AC2672" s="162"/>
      <c r="AD2672" s="162">
        <f t="shared" si="61"/>
        <v>0</v>
      </c>
      <c r="AE2672" s="160">
        <v>2670</v>
      </c>
    </row>
    <row r="2673" spans="27:31" x14ac:dyDescent="0.25">
      <c r="AA2673" s="160"/>
      <c r="AB2673" s="162"/>
      <c r="AC2673" s="162"/>
      <c r="AD2673" s="162">
        <f t="shared" si="61"/>
        <v>0</v>
      </c>
      <c r="AE2673" s="160">
        <v>2671</v>
      </c>
    </row>
    <row r="2674" spans="27:31" x14ac:dyDescent="0.25">
      <c r="AA2674" s="160"/>
      <c r="AB2674" s="162"/>
      <c r="AC2674" s="162"/>
      <c r="AD2674" s="162">
        <f t="shared" si="61"/>
        <v>0</v>
      </c>
      <c r="AE2674" s="160">
        <v>2672</v>
      </c>
    </row>
    <row r="2675" spans="27:31" x14ac:dyDescent="0.25">
      <c r="AA2675" s="160"/>
      <c r="AB2675" s="162"/>
      <c r="AC2675" s="162"/>
      <c r="AD2675" s="162">
        <f t="shared" si="61"/>
        <v>0</v>
      </c>
      <c r="AE2675" s="160">
        <v>2673</v>
      </c>
    </row>
    <row r="2676" spans="27:31" x14ac:dyDescent="0.25">
      <c r="AA2676" s="160"/>
      <c r="AB2676" s="162"/>
      <c r="AC2676" s="162"/>
      <c r="AD2676" s="162">
        <f t="shared" si="61"/>
        <v>0</v>
      </c>
      <c r="AE2676" s="160">
        <v>2674</v>
      </c>
    </row>
    <row r="2677" spans="27:31" x14ac:dyDescent="0.25">
      <c r="AA2677" s="160"/>
      <c r="AB2677" s="162"/>
      <c r="AC2677" s="162"/>
      <c r="AD2677" s="162">
        <f t="shared" si="61"/>
        <v>0</v>
      </c>
      <c r="AE2677" s="160">
        <v>2675</v>
      </c>
    </row>
    <row r="2678" spans="27:31" x14ac:dyDescent="0.25">
      <c r="AA2678" s="160"/>
      <c r="AB2678" s="162"/>
      <c r="AC2678" s="162"/>
      <c r="AD2678" s="162">
        <f t="shared" si="61"/>
        <v>0</v>
      </c>
      <c r="AE2678" s="160">
        <v>2676</v>
      </c>
    </row>
    <row r="2679" spans="27:31" x14ac:dyDescent="0.25">
      <c r="AA2679" s="160"/>
      <c r="AB2679" s="162"/>
      <c r="AC2679" s="162"/>
      <c r="AD2679" s="162">
        <f t="shared" si="61"/>
        <v>0</v>
      </c>
      <c r="AE2679" s="160">
        <v>2677</v>
      </c>
    </row>
    <row r="2680" spans="27:31" x14ac:dyDescent="0.25">
      <c r="AA2680" s="160"/>
      <c r="AB2680" s="162"/>
      <c r="AC2680" s="162"/>
      <c r="AD2680" s="162">
        <f t="shared" si="61"/>
        <v>0</v>
      </c>
      <c r="AE2680" s="160">
        <v>2678</v>
      </c>
    </row>
    <row r="2681" spans="27:31" x14ac:dyDescent="0.25">
      <c r="AA2681" s="160"/>
      <c r="AB2681" s="162"/>
      <c r="AC2681" s="162"/>
      <c r="AD2681" s="162">
        <f t="shared" si="61"/>
        <v>0</v>
      </c>
      <c r="AE2681" s="160">
        <v>2679</v>
      </c>
    </row>
    <row r="2682" spans="27:31" x14ac:dyDescent="0.25">
      <c r="AA2682" s="160"/>
      <c r="AB2682" s="162"/>
      <c r="AC2682" s="162"/>
      <c r="AD2682" s="162">
        <f t="shared" si="61"/>
        <v>0</v>
      </c>
      <c r="AE2682" s="160">
        <v>2680</v>
      </c>
    </row>
    <row r="2683" spans="27:31" x14ac:dyDescent="0.25">
      <c r="AA2683" s="160"/>
      <c r="AB2683" s="162"/>
      <c r="AC2683" s="162"/>
      <c r="AD2683" s="162">
        <f t="shared" si="61"/>
        <v>0</v>
      </c>
      <c r="AE2683" s="160">
        <v>2681</v>
      </c>
    </row>
    <row r="2684" spans="27:31" x14ac:dyDescent="0.25">
      <c r="AA2684" s="160"/>
      <c r="AB2684" s="162"/>
      <c r="AC2684" s="162"/>
      <c r="AD2684" s="162">
        <f t="shared" si="61"/>
        <v>0</v>
      </c>
      <c r="AE2684" s="160">
        <v>2682</v>
      </c>
    </row>
    <row r="2685" spans="27:31" x14ac:dyDescent="0.25">
      <c r="AA2685" s="160"/>
      <c r="AB2685" s="162"/>
      <c r="AC2685" s="162"/>
      <c r="AD2685" s="162">
        <f t="shared" si="61"/>
        <v>0</v>
      </c>
      <c r="AE2685" s="160">
        <v>2683</v>
      </c>
    </row>
    <row r="2686" spans="27:31" x14ac:dyDescent="0.25">
      <c r="AA2686" s="160"/>
      <c r="AB2686" s="162"/>
      <c r="AC2686" s="162"/>
      <c r="AD2686" s="162">
        <f t="shared" si="61"/>
        <v>0</v>
      </c>
      <c r="AE2686" s="160">
        <v>2684</v>
      </c>
    </row>
    <row r="2687" spans="27:31" x14ac:dyDescent="0.25">
      <c r="AA2687" s="160"/>
      <c r="AB2687" s="162"/>
      <c r="AC2687" s="162"/>
      <c r="AD2687" s="162">
        <f t="shared" si="61"/>
        <v>0</v>
      </c>
      <c r="AE2687" s="160">
        <v>2685</v>
      </c>
    </row>
    <row r="2688" spans="27:31" x14ac:dyDescent="0.25">
      <c r="AA2688" s="160"/>
      <c r="AB2688" s="162"/>
      <c r="AC2688" s="162"/>
      <c r="AD2688" s="162">
        <f t="shared" si="61"/>
        <v>0</v>
      </c>
      <c r="AE2688" s="160">
        <v>2686</v>
      </c>
    </row>
    <row r="2689" spans="27:31" x14ac:dyDescent="0.25">
      <c r="AA2689" s="160"/>
      <c r="AB2689" s="162"/>
      <c r="AC2689" s="162"/>
      <c r="AD2689" s="162">
        <f t="shared" si="61"/>
        <v>0</v>
      </c>
      <c r="AE2689" s="160">
        <v>2687</v>
      </c>
    </row>
    <row r="2690" spans="27:31" x14ac:dyDescent="0.25">
      <c r="AA2690" s="160"/>
      <c r="AB2690" s="162"/>
      <c r="AC2690" s="162"/>
      <c r="AD2690" s="162">
        <f t="shared" si="61"/>
        <v>0</v>
      </c>
      <c r="AE2690" s="160">
        <v>2688</v>
      </c>
    </row>
    <row r="2691" spans="27:31" x14ac:dyDescent="0.25">
      <c r="AA2691" s="160"/>
      <c r="AB2691" s="162"/>
      <c r="AC2691" s="162"/>
      <c r="AD2691" s="162">
        <f t="shared" si="61"/>
        <v>0</v>
      </c>
      <c r="AE2691" s="160">
        <v>2689</v>
      </c>
    </row>
    <row r="2692" spans="27:31" x14ac:dyDescent="0.25">
      <c r="AA2692" s="160"/>
      <c r="AB2692" s="162"/>
      <c r="AC2692" s="162"/>
      <c r="AD2692" s="162">
        <f t="shared" ref="AD2692:AD2755" si="62">AB2692+AC2692</f>
        <v>0</v>
      </c>
      <c r="AE2692" s="160">
        <v>2690</v>
      </c>
    </row>
    <row r="2693" spans="27:31" x14ac:dyDescent="0.25">
      <c r="AA2693" s="160"/>
      <c r="AB2693" s="162"/>
      <c r="AC2693" s="162"/>
      <c r="AD2693" s="162">
        <f t="shared" si="62"/>
        <v>0</v>
      </c>
      <c r="AE2693" s="160">
        <v>2691</v>
      </c>
    </row>
    <row r="2694" spans="27:31" x14ac:dyDescent="0.25">
      <c r="AA2694" s="160"/>
      <c r="AB2694" s="162"/>
      <c r="AC2694" s="162"/>
      <c r="AD2694" s="162">
        <f t="shared" si="62"/>
        <v>0</v>
      </c>
      <c r="AE2694" s="160">
        <v>2692</v>
      </c>
    </row>
    <row r="2695" spans="27:31" x14ac:dyDescent="0.25">
      <c r="AA2695" s="160"/>
      <c r="AB2695" s="162"/>
      <c r="AC2695" s="162"/>
      <c r="AD2695" s="162">
        <f t="shared" si="62"/>
        <v>0</v>
      </c>
      <c r="AE2695" s="160">
        <v>2693</v>
      </c>
    </row>
    <row r="2696" spans="27:31" x14ac:dyDescent="0.25">
      <c r="AA2696" s="160"/>
      <c r="AB2696" s="162"/>
      <c r="AC2696" s="162"/>
      <c r="AD2696" s="162">
        <f t="shared" si="62"/>
        <v>0</v>
      </c>
      <c r="AE2696" s="160">
        <v>2694</v>
      </c>
    </row>
    <row r="2697" spans="27:31" x14ac:dyDescent="0.25">
      <c r="AA2697" s="160"/>
      <c r="AB2697" s="162"/>
      <c r="AC2697" s="162"/>
      <c r="AD2697" s="162">
        <f t="shared" si="62"/>
        <v>0</v>
      </c>
      <c r="AE2697" s="160">
        <v>2695</v>
      </c>
    </row>
    <row r="2698" spans="27:31" x14ac:dyDescent="0.25">
      <c r="AA2698" s="160"/>
      <c r="AB2698" s="162"/>
      <c r="AC2698" s="162"/>
      <c r="AD2698" s="162">
        <f t="shared" si="62"/>
        <v>0</v>
      </c>
      <c r="AE2698" s="160">
        <v>2696</v>
      </c>
    </row>
    <row r="2699" spans="27:31" x14ac:dyDescent="0.25">
      <c r="AA2699" s="160"/>
      <c r="AB2699" s="162"/>
      <c r="AC2699" s="162"/>
      <c r="AD2699" s="162">
        <f t="shared" si="62"/>
        <v>0</v>
      </c>
      <c r="AE2699" s="160">
        <v>2697</v>
      </c>
    </row>
    <row r="2700" spans="27:31" x14ac:dyDescent="0.25">
      <c r="AA2700" s="160"/>
      <c r="AB2700" s="162"/>
      <c r="AC2700" s="162"/>
      <c r="AD2700" s="162">
        <f t="shared" si="62"/>
        <v>0</v>
      </c>
      <c r="AE2700" s="160">
        <v>2698</v>
      </c>
    </row>
    <row r="2701" spans="27:31" x14ac:dyDescent="0.25">
      <c r="AA2701" s="160"/>
      <c r="AB2701" s="162"/>
      <c r="AC2701" s="162"/>
      <c r="AD2701" s="162">
        <f t="shared" si="62"/>
        <v>0</v>
      </c>
      <c r="AE2701" s="160">
        <v>2699</v>
      </c>
    </row>
    <row r="2702" spans="27:31" x14ac:dyDescent="0.25">
      <c r="AA2702" s="160"/>
      <c r="AB2702" s="162"/>
      <c r="AC2702" s="162"/>
      <c r="AD2702" s="162">
        <f t="shared" si="62"/>
        <v>0</v>
      </c>
      <c r="AE2702" s="160">
        <v>2700</v>
      </c>
    </row>
    <row r="2703" spans="27:31" x14ac:dyDescent="0.25">
      <c r="AA2703" s="160"/>
      <c r="AB2703" s="162"/>
      <c r="AC2703" s="162"/>
      <c r="AD2703" s="162">
        <f t="shared" si="62"/>
        <v>0</v>
      </c>
      <c r="AE2703" s="160">
        <v>2701</v>
      </c>
    </row>
    <row r="2704" spans="27:31" x14ac:dyDescent="0.25">
      <c r="AA2704" s="160"/>
      <c r="AB2704" s="162"/>
      <c r="AC2704" s="162"/>
      <c r="AD2704" s="162">
        <f t="shared" si="62"/>
        <v>0</v>
      </c>
      <c r="AE2704" s="160">
        <v>2702</v>
      </c>
    </row>
    <row r="2705" spans="27:31" x14ac:dyDescent="0.25">
      <c r="AA2705" s="160"/>
      <c r="AB2705" s="162"/>
      <c r="AC2705" s="162"/>
      <c r="AD2705" s="162">
        <f t="shared" si="62"/>
        <v>0</v>
      </c>
      <c r="AE2705" s="160">
        <v>2703</v>
      </c>
    </row>
    <row r="2706" spans="27:31" x14ac:dyDescent="0.25">
      <c r="AA2706" s="160"/>
      <c r="AB2706" s="162"/>
      <c r="AC2706" s="162"/>
      <c r="AD2706" s="162">
        <f t="shared" si="62"/>
        <v>0</v>
      </c>
      <c r="AE2706" s="160">
        <v>2704</v>
      </c>
    </row>
    <row r="2707" spans="27:31" x14ac:dyDescent="0.25">
      <c r="AA2707" s="160"/>
      <c r="AB2707" s="162"/>
      <c r="AC2707" s="162"/>
      <c r="AD2707" s="162">
        <f t="shared" si="62"/>
        <v>0</v>
      </c>
      <c r="AE2707" s="160">
        <v>2705</v>
      </c>
    </row>
    <row r="2708" spans="27:31" x14ac:dyDescent="0.25">
      <c r="AA2708" s="160"/>
      <c r="AB2708" s="162"/>
      <c r="AC2708" s="162"/>
      <c r="AD2708" s="162">
        <f t="shared" si="62"/>
        <v>0</v>
      </c>
      <c r="AE2708" s="160">
        <v>2706</v>
      </c>
    </row>
    <row r="2709" spans="27:31" x14ac:dyDescent="0.25">
      <c r="AA2709" s="160"/>
      <c r="AB2709" s="162"/>
      <c r="AC2709" s="162"/>
      <c r="AD2709" s="162">
        <f t="shared" si="62"/>
        <v>0</v>
      </c>
      <c r="AE2709" s="160">
        <v>2707</v>
      </c>
    </row>
    <row r="2710" spans="27:31" x14ac:dyDescent="0.25">
      <c r="AA2710" s="160"/>
      <c r="AB2710" s="162"/>
      <c r="AC2710" s="162"/>
      <c r="AD2710" s="162">
        <f t="shared" si="62"/>
        <v>0</v>
      </c>
      <c r="AE2710" s="160">
        <v>2708</v>
      </c>
    </row>
    <row r="2711" spans="27:31" x14ac:dyDescent="0.25">
      <c r="AA2711" s="160"/>
      <c r="AB2711" s="162"/>
      <c r="AC2711" s="162"/>
      <c r="AD2711" s="162">
        <f t="shared" si="62"/>
        <v>0</v>
      </c>
      <c r="AE2711" s="160">
        <v>2709</v>
      </c>
    </row>
    <row r="2712" spans="27:31" x14ac:dyDescent="0.25">
      <c r="AA2712" s="160"/>
      <c r="AB2712" s="162"/>
      <c r="AC2712" s="162"/>
      <c r="AD2712" s="162">
        <f t="shared" si="62"/>
        <v>0</v>
      </c>
      <c r="AE2712" s="160">
        <v>2710</v>
      </c>
    </row>
    <row r="2713" spans="27:31" x14ac:dyDescent="0.25">
      <c r="AA2713" s="160"/>
      <c r="AB2713" s="162"/>
      <c r="AC2713" s="162"/>
      <c r="AD2713" s="162">
        <f t="shared" si="62"/>
        <v>0</v>
      </c>
      <c r="AE2713" s="160">
        <v>2711</v>
      </c>
    </row>
    <row r="2714" spans="27:31" x14ac:dyDescent="0.25">
      <c r="AA2714" s="160"/>
      <c r="AB2714" s="162"/>
      <c r="AC2714" s="162"/>
      <c r="AD2714" s="162">
        <f t="shared" si="62"/>
        <v>0</v>
      </c>
      <c r="AE2714" s="160">
        <v>2712</v>
      </c>
    </row>
    <row r="2715" spans="27:31" x14ac:dyDescent="0.25">
      <c r="AA2715" s="160"/>
      <c r="AB2715" s="162"/>
      <c r="AC2715" s="162"/>
      <c r="AD2715" s="162">
        <f t="shared" si="62"/>
        <v>0</v>
      </c>
      <c r="AE2715" s="160">
        <v>2713</v>
      </c>
    </row>
    <row r="2716" spans="27:31" x14ac:dyDescent="0.25">
      <c r="AA2716" s="160"/>
      <c r="AB2716" s="162"/>
      <c r="AC2716" s="162"/>
      <c r="AD2716" s="162">
        <f t="shared" si="62"/>
        <v>0</v>
      </c>
      <c r="AE2716" s="160">
        <v>2714</v>
      </c>
    </row>
    <row r="2717" spans="27:31" x14ac:dyDescent="0.25">
      <c r="AA2717" s="160"/>
      <c r="AB2717" s="162"/>
      <c r="AC2717" s="162"/>
      <c r="AD2717" s="162">
        <f t="shared" si="62"/>
        <v>0</v>
      </c>
      <c r="AE2717" s="160">
        <v>2715</v>
      </c>
    </row>
    <row r="2718" spans="27:31" x14ac:dyDescent="0.25">
      <c r="AA2718" s="160"/>
      <c r="AB2718" s="162"/>
      <c r="AC2718" s="162"/>
      <c r="AD2718" s="162">
        <f t="shared" si="62"/>
        <v>0</v>
      </c>
      <c r="AE2718" s="160">
        <v>2716</v>
      </c>
    </row>
    <row r="2719" spans="27:31" x14ac:dyDescent="0.25">
      <c r="AA2719" s="160"/>
      <c r="AB2719" s="162"/>
      <c r="AC2719" s="162"/>
      <c r="AD2719" s="162">
        <f t="shared" si="62"/>
        <v>0</v>
      </c>
      <c r="AE2719" s="160">
        <v>2717</v>
      </c>
    </row>
    <row r="2720" spans="27:31" x14ac:dyDescent="0.25">
      <c r="AA2720" s="160"/>
      <c r="AB2720" s="162"/>
      <c r="AC2720" s="162"/>
      <c r="AD2720" s="162">
        <f t="shared" si="62"/>
        <v>0</v>
      </c>
      <c r="AE2720" s="160">
        <v>2718</v>
      </c>
    </row>
    <row r="2721" spans="27:31" x14ac:dyDescent="0.25">
      <c r="AA2721" s="160"/>
      <c r="AB2721" s="162"/>
      <c r="AC2721" s="162"/>
      <c r="AD2721" s="162">
        <f t="shared" si="62"/>
        <v>0</v>
      </c>
      <c r="AE2721" s="160">
        <v>2719</v>
      </c>
    </row>
    <row r="2722" spans="27:31" x14ac:dyDescent="0.25">
      <c r="AA2722" s="160"/>
      <c r="AB2722" s="162"/>
      <c r="AC2722" s="162"/>
      <c r="AD2722" s="162">
        <f t="shared" si="62"/>
        <v>0</v>
      </c>
      <c r="AE2722" s="160">
        <v>2720</v>
      </c>
    </row>
    <row r="2723" spans="27:31" x14ac:dyDescent="0.25">
      <c r="AA2723" s="160"/>
      <c r="AB2723" s="162"/>
      <c r="AC2723" s="162"/>
      <c r="AD2723" s="162">
        <f t="shared" si="62"/>
        <v>0</v>
      </c>
      <c r="AE2723" s="160">
        <v>2721</v>
      </c>
    </row>
    <row r="2724" spans="27:31" x14ac:dyDescent="0.25">
      <c r="AA2724" s="160"/>
      <c r="AB2724" s="162"/>
      <c r="AC2724" s="162"/>
      <c r="AD2724" s="162">
        <f t="shared" si="62"/>
        <v>0</v>
      </c>
      <c r="AE2724" s="160">
        <v>2722</v>
      </c>
    </row>
    <row r="2725" spans="27:31" x14ac:dyDescent="0.25">
      <c r="AA2725" s="160"/>
      <c r="AB2725" s="162"/>
      <c r="AC2725" s="162"/>
      <c r="AD2725" s="162">
        <f t="shared" si="62"/>
        <v>0</v>
      </c>
      <c r="AE2725" s="160">
        <v>2723</v>
      </c>
    </row>
    <row r="2726" spans="27:31" x14ac:dyDescent="0.25">
      <c r="AA2726" s="160"/>
      <c r="AB2726" s="162"/>
      <c r="AC2726" s="162"/>
      <c r="AD2726" s="162">
        <f t="shared" si="62"/>
        <v>0</v>
      </c>
      <c r="AE2726" s="160">
        <v>2724</v>
      </c>
    </row>
    <row r="2727" spans="27:31" x14ac:dyDescent="0.25">
      <c r="AA2727" s="160"/>
      <c r="AB2727" s="162"/>
      <c r="AC2727" s="162"/>
      <c r="AD2727" s="162">
        <f t="shared" si="62"/>
        <v>0</v>
      </c>
      <c r="AE2727" s="160">
        <v>2725</v>
      </c>
    </row>
    <row r="2728" spans="27:31" x14ac:dyDescent="0.25">
      <c r="AA2728" s="160"/>
      <c r="AB2728" s="162"/>
      <c r="AC2728" s="162"/>
      <c r="AD2728" s="162">
        <f t="shared" si="62"/>
        <v>0</v>
      </c>
      <c r="AE2728" s="160">
        <v>2726</v>
      </c>
    </row>
    <row r="2729" spans="27:31" x14ac:dyDescent="0.25">
      <c r="AA2729" s="160"/>
      <c r="AB2729" s="162"/>
      <c r="AC2729" s="162"/>
      <c r="AD2729" s="162">
        <f t="shared" si="62"/>
        <v>0</v>
      </c>
      <c r="AE2729" s="160">
        <v>2727</v>
      </c>
    </row>
    <row r="2730" spans="27:31" x14ac:dyDescent="0.25">
      <c r="AA2730" s="160"/>
      <c r="AB2730" s="162"/>
      <c r="AC2730" s="162"/>
      <c r="AD2730" s="162">
        <f t="shared" si="62"/>
        <v>0</v>
      </c>
      <c r="AE2730" s="160">
        <v>2728</v>
      </c>
    </row>
    <row r="2731" spans="27:31" x14ac:dyDescent="0.25">
      <c r="AA2731" s="160"/>
      <c r="AB2731" s="162"/>
      <c r="AC2731" s="162"/>
      <c r="AD2731" s="162">
        <f t="shared" si="62"/>
        <v>0</v>
      </c>
      <c r="AE2731" s="160">
        <v>2729</v>
      </c>
    </row>
    <row r="2732" spans="27:31" x14ac:dyDescent="0.25">
      <c r="AA2732" s="160"/>
      <c r="AB2732" s="162"/>
      <c r="AC2732" s="162"/>
      <c r="AD2732" s="162">
        <f t="shared" si="62"/>
        <v>0</v>
      </c>
      <c r="AE2732" s="160">
        <v>2730</v>
      </c>
    </row>
    <row r="2733" spans="27:31" x14ac:dyDescent="0.25">
      <c r="AA2733" s="160"/>
      <c r="AB2733" s="162"/>
      <c r="AC2733" s="162"/>
      <c r="AD2733" s="162">
        <f t="shared" si="62"/>
        <v>0</v>
      </c>
      <c r="AE2733" s="160">
        <v>2731</v>
      </c>
    </row>
    <row r="2734" spans="27:31" x14ac:dyDescent="0.25">
      <c r="AA2734" s="160"/>
      <c r="AB2734" s="162"/>
      <c r="AC2734" s="162"/>
      <c r="AD2734" s="162">
        <f t="shared" si="62"/>
        <v>0</v>
      </c>
      <c r="AE2734" s="160">
        <v>2732</v>
      </c>
    </row>
    <row r="2735" spans="27:31" x14ac:dyDescent="0.25">
      <c r="AA2735" s="160"/>
      <c r="AB2735" s="162"/>
      <c r="AC2735" s="162"/>
      <c r="AD2735" s="162">
        <f t="shared" si="62"/>
        <v>0</v>
      </c>
      <c r="AE2735" s="160">
        <v>2733</v>
      </c>
    </row>
    <row r="2736" spans="27:31" x14ac:dyDescent="0.25">
      <c r="AA2736" s="160"/>
      <c r="AB2736" s="162"/>
      <c r="AC2736" s="162"/>
      <c r="AD2736" s="162">
        <f t="shared" si="62"/>
        <v>0</v>
      </c>
      <c r="AE2736" s="160">
        <v>2734</v>
      </c>
    </row>
    <row r="2737" spans="27:31" x14ac:dyDescent="0.25">
      <c r="AA2737" s="160"/>
      <c r="AB2737" s="162"/>
      <c r="AC2737" s="162"/>
      <c r="AD2737" s="162">
        <f t="shared" si="62"/>
        <v>0</v>
      </c>
      <c r="AE2737" s="160">
        <v>2735</v>
      </c>
    </row>
    <row r="2738" spans="27:31" x14ac:dyDescent="0.25">
      <c r="AA2738" s="160"/>
      <c r="AB2738" s="162"/>
      <c r="AC2738" s="162"/>
      <c r="AD2738" s="162">
        <f t="shared" si="62"/>
        <v>0</v>
      </c>
      <c r="AE2738" s="160">
        <v>2736</v>
      </c>
    </row>
    <row r="2739" spans="27:31" x14ac:dyDescent="0.25">
      <c r="AA2739" s="160"/>
      <c r="AB2739" s="162"/>
      <c r="AC2739" s="162"/>
      <c r="AD2739" s="162">
        <f t="shared" si="62"/>
        <v>0</v>
      </c>
      <c r="AE2739" s="160">
        <v>2737</v>
      </c>
    </row>
    <row r="2740" spans="27:31" x14ac:dyDescent="0.25">
      <c r="AA2740" s="160"/>
      <c r="AB2740" s="162"/>
      <c r="AC2740" s="162"/>
      <c r="AD2740" s="162">
        <f t="shared" si="62"/>
        <v>0</v>
      </c>
      <c r="AE2740" s="160">
        <v>2738</v>
      </c>
    </row>
    <row r="2741" spans="27:31" x14ac:dyDescent="0.25">
      <c r="AA2741" s="160"/>
      <c r="AB2741" s="162"/>
      <c r="AC2741" s="162"/>
      <c r="AD2741" s="162">
        <f t="shared" si="62"/>
        <v>0</v>
      </c>
      <c r="AE2741" s="160">
        <v>2739</v>
      </c>
    </row>
    <row r="2742" spans="27:31" x14ac:dyDescent="0.25">
      <c r="AA2742" s="160"/>
      <c r="AB2742" s="162"/>
      <c r="AC2742" s="162"/>
      <c r="AD2742" s="162">
        <f t="shared" si="62"/>
        <v>0</v>
      </c>
      <c r="AE2742" s="160">
        <v>2740</v>
      </c>
    </row>
    <row r="2743" spans="27:31" x14ac:dyDescent="0.25">
      <c r="AA2743" s="160"/>
      <c r="AB2743" s="162"/>
      <c r="AC2743" s="162"/>
      <c r="AD2743" s="162">
        <f t="shared" si="62"/>
        <v>0</v>
      </c>
      <c r="AE2743" s="160">
        <v>2741</v>
      </c>
    </row>
    <row r="2744" spans="27:31" x14ac:dyDescent="0.25">
      <c r="AA2744" s="160"/>
      <c r="AB2744" s="162"/>
      <c r="AC2744" s="162"/>
      <c r="AD2744" s="162">
        <f t="shared" si="62"/>
        <v>0</v>
      </c>
      <c r="AE2744" s="160">
        <v>2742</v>
      </c>
    </row>
    <row r="2745" spans="27:31" x14ac:dyDescent="0.25">
      <c r="AA2745" s="160"/>
      <c r="AB2745" s="162"/>
      <c r="AC2745" s="162"/>
      <c r="AD2745" s="162">
        <f t="shared" si="62"/>
        <v>0</v>
      </c>
      <c r="AE2745" s="160">
        <v>2743</v>
      </c>
    </row>
    <row r="2746" spans="27:31" x14ac:dyDescent="0.25">
      <c r="AA2746" s="160"/>
      <c r="AB2746" s="162"/>
      <c r="AC2746" s="162"/>
      <c r="AD2746" s="162">
        <f t="shared" si="62"/>
        <v>0</v>
      </c>
      <c r="AE2746" s="160">
        <v>2744</v>
      </c>
    </row>
    <row r="2747" spans="27:31" x14ac:dyDescent="0.25">
      <c r="AA2747" s="160"/>
      <c r="AB2747" s="162"/>
      <c r="AC2747" s="162"/>
      <c r="AD2747" s="162">
        <f t="shared" si="62"/>
        <v>0</v>
      </c>
      <c r="AE2747" s="160">
        <v>2745</v>
      </c>
    </row>
    <row r="2748" spans="27:31" x14ac:dyDescent="0.25">
      <c r="AA2748" s="160"/>
      <c r="AB2748" s="162"/>
      <c r="AC2748" s="162"/>
      <c r="AD2748" s="162">
        <f t="shared" si="62"/>
        <v>0</v>
      </c>
      <c r="AE2748" s="160">
        <v>2746</v>
      </c>
    </row>
    <row r="2749" spans="27:31" x14ac:dyDescent="0.25">
      <c r="AA2749" s="160"/>
      <c r="AB2749" s="162"/>
      <c r="AC2749" s="162"/>
      <c r="AD2749" s="162">
        <f t="shared" si="62"/>
        <v>0</v>
      </c>
      <c r="AE2749" s="160">
        <v>2747</v>
      </c>
    </row>
    <row r="2750" spans="27:31" x14ac:dyDescent="0.25">
      <c r="AA2750" s="160"/>
      <c r="AB2750" s="162"/>
      <c r="AC2750" s="162"/>
      <c r="AD2750" s="162">
        <f t="shared" si="62"/>
        <v>0</v>
      </c>
      <c r="AE2750" s="160">
        <v>2748</v>
      </c>
    </row>
    <row r="2751" spans="27:31" x14ac:dyDescent="0.25">
      <c r="AA2751" s="160"/>
      <c r="AB2751" s="162"/>
      <c r="AC2751" s="162"/>
      <c r="AD2751" s="162">
        <f t="shared" si="62"/>
        <v>0</v>
      </c>
      <c r="AE2751" s="160">
        <v>2749</v>
      </c>
    </row>
    <row r="2752" spans="27:31" x14ac:dyDescent="0.25">
      <c r="AA2752" s="160"/>
      <c r="AB2752" s="162"/>
      <c r="AC2752" s="162"/>
      <c r="AD2752" s="162">
        <f t="shared" si="62"/>
        <v>0</v>
      </c>
      <c r="AE2752" s="160">
        <v>2750</v>
      </c>
    </row>
    <row r="2753" spans="27:31" x14ac:dyDescent="0.25">
      <c r="AA2753" s="160"/>
      <c r="AB2753" s="162"/>
      <c r="AC2753" s="162"/>
      <c r="AD2753" s="162">
        <f t="shared" si="62"/>
        <v>0</v>
      </c>
      <c r="AE2753" s="160">
        <v>2751</v>
      </c>
    </row>
    <row r="2754" spans="27:31" x14ac:dyDescent="0.25">
      <c r="AA2754" s="160"/>
      <c r="AB2754" s="162"/>
      <c r="AC2754" s="162"/>
      <c r="AD2754" s="162">
        <f t="shared" si="62"/>
        <v>0</v>
      </c>
      <c r="AE2754" s="160">
        <v>2752</v>
      </c>
    </row>
    <row r="2755" spans="27:31" x14ac:dyDescent="0.25">
      <c r="AA2755" s="160"/>
      <c r="AB2755" s="162"/>
      <c r="AC2755" s="162"/>
      <c r="AD2755" s="162">
        <f t="shared" si="62"/>
        <v>0</v>
      </c>
      <c r="AE2755" s="160">
        <v>2753</v>
      </c>
    </row>
    <row r="2756" spans="27:31" x14ac:dyDescent="0.25">
      <c r="AA2756" s="160"/>
      <c r="AB2756" s="162"/>
      <c r="AC2756" s="162"/>
      <c r="AD2756" s="162">
        <f t="shared" ref="AD2756:AD2819" si="63">AB2756+AC2756</f>
        <v>0</v>
      </c>
      <c r="AE2756" s="160">
        <v>2754</v>
      </c>
    </row>
    <row r="2757" spans="27:31" x14ac:dyDescent="0.25">
      <c r="AA2757" s="160"/>
      <c r="AB2757" s="162"/>
      <c r="AC2757" s="162"/>
      <c r="AD2757" s="162">
        <f t="shared" si="63"/>
        <v>0</v>
      </c>
      <c r="AE2757" s="160">
        <v>2755</v>
      </c>
    </row>
    <row r="2758" spans="27:31" x14ac:dyDescent="0.25">
      <c r="AA2758" s="160"/>
      <c r="AB2758" s="162"/>
      <c r="AC2758" s="162"/>
      <c r="AD2758" s="162">
        <f t="shared" si="63"/>
        <v>0</v>
      </c>
      <c r="AE2758" s="160">
        <v>2756</v>
      </c>
    </row>
    <row r="2759" spans="27:31" x14ac:dyDescent="0.25">
      <c r="AA2759" s="160"/>
      <c r="AB2759" s="162"/>
      <c r="AC2759" s="162"/>
      <c r="AD2759" s="162">
        <f t="shared" si="63"/>
        <v>0</v>
      </c>
      <c r="AE2759" s="160">
        <v>2757</v>
      </c>
    </row>
    <row r="2760" spans="27:31" x14ac:dyDescent="0.25">
      <c r="AA2760" s="160"/>
      <c r="AB2760" s="162"/>
      <c r="AC2760" s="162"/>
      <c r="AD2760" s="162">
        <f t="shared" si="63"/>
        <v>0</v>
      </c>
      <c r="AE2760" s="160">
        <v>2758</v>
      </c>
    </row>
    <row r="2761" spans="27:31" x14ac:dyDescent="0.25">
      <c r="AA2761" s="160"/>
      <c r="AB2761" s="162"/>
      <c r="AC2761" s="162"/>
      <c r="AD2761" s="162">
        <f t="shared" si="63"/>
        <v>0</v>
      </c>
      <c r="AE2761" s="160">
        <v>2759</v>
      </c>
    </row>
    <row r="2762" spans="27:31" x14ac:dyDescent="0.25">
      <c r="AA2762" s="160"/>
      <c r="AB2762" s="162"/>
      <c r="AC2762" s="162"/>
      <c r="AD2762" s="162">
        <f t="shared" si="63"/>
        <v>0</v>
      </c>
      <c r="AE2762" s="160">
        <v>2760</v>
      </c>
    </row>
    <row r="2763" spans="27:31" x14ac:dyDescent="0.25">
      <c r="AA2763" s="160"/>
      <c r="AB2763" s="162"/>
      <c r="AC2763" s="162"/>
      <c r="AD2763" s="162">
        <f t="shared" si="63"/>
        <v>0</v>
      </c>
      <c r="AE2763" s="160">
        <v>2761</v>
      </c>
    </row>
    <row r="2764" spans="27:31" x14ac:dyDescent="0.25">
      <c r="AA2764" s="160"/>
      <c r="AB2764" s="162"/>
      <c r="AC2764" s="162"/>
      <c r="AD2764" s="162">
        <f t="shared" si="63"/>
        <v>0</v>
      </c>
      <c r="AE2764" s="160">
        <v>2762</v>
      </c>
    </row>
    <row r="2765" spans="27:31" x14ac:dyDescent="0.25">
      <c r="AA2765" s="160"/>
      <c r="AB2765" s="162"/>
      <c r="AC2765" s="162"/>
      <c r="AD2765" s="162">
        <f t="shared" si="63"/>
        <v>0</v>
      </c>
      <c r="AE2765" s="160">
        <v>2763</v>
      </c>
    </row>
    <row r="2766" spans="27:31" x14ac:dyDescent="0.25">
      <c r="AA2766" s="160"/>
      <c r="AB2766" s="162"/>
      <c r="AC2766" s="162"/>
      <c r="AD2766" s="162">
        <f t="shared" si="63"/>
        <v>0</v>
      </c>
      <c r="AE2766" s="160">
        <v>2764</v>
      </c>
    </row>
    <row r="2767" spans="27:31" x14ac:dyDescent="0.25">
      <c r="AA2767" s="160"/>
      <c r="AB2767" s="162"/>
      <c r="AC2767" s="162"/>
      <c r="AD2767" s="162">
        <f t="shared" si="63"/>
        <v>0</v>
      </c>
      <c r="AE2767" s="160">
        <v>2765</v>
      </c>
    </row>
    <row r="2768" spans="27:31" x14ac:dyDescent="0.25">
      <c r="AA2768" s="160"/>
      <c r="AB2768" s="162"/>
      <c r="AC2768" s="162"/>
      <c r="AD2768" s="162">
        <f t="shared" si="63"/>
        <v>0</v>
      </c>
      <c r="AE2768" s="160">
        <v>2766</v>
      </c>
    </row>
    <row r="2769" spans="27:31" x14ac:dyDescent="0.25">
      <c r="AA2769" s="160"/>
      <c r="AB2769" s="162"/>
      <c r="AC2769" s="162"/>
      <c r="AD2769" s="162">
        <f t="shared" si="63"/>
        <v>0</v>
      </c>
      <c r="AE2769" s="160">
        <v>2767</v>
      </c>
    </row>
    <row r="2770" spans="27:31" x14ac:dyDescent="0.25">
      <c r="AA2770" s="160"/>
      <c r="AB2770" s="162"/>
      <c r="AC2770" s="162"/>
      <c r="AD2770" s="162">
        <f t="shared" si="63"/>
        <v>0</v>
      </c>
      <c r="AE2770" s="160">
        <v>2768</v>
      </c>
    </row>
    <row r="2771" spans="27:31" x14ac:dyDescent="0.25">
      <c r="AA2771" s="160"/>
      <c r="AB2771" s="162"/>
      <c r="AC2771" s="162"/>
      <c r="AD2771" s="162">
        <f t="shared" si="63"/>
        <v>0</v>
      </c>
      <c r="AE2771" s="160">
        <v>2769</v>
      </c>
    </row>
    <row r="2772" spans="27:31" x14ac:dyDescent="0.25">
      <c r="AA2772" s="160"/>
      <c r="AB2772" s="162"/>
      <c r="AC2772" s="162"/>
      <c r="AD2772" s="162">
        <f t="shared" si="63"/>
        <v>0</v>
      </c>
      <c r="AE2772" s="160">
        <v>2770</v>
      </c>
    </row>
    <row r="2773" spans="27:31" x14ac:dyDescent="0.25">
      <c r="AA2773" s="160"/>
      <c r="AB2773" s="162"/>
      <c r="AC2773" s="162"/>
      <c r="AD2773" s="162">
        <f t="shared" si="63"/>
        <v>0</v>
      </c>
      <c r="AE2773" s="160">
        <v>2771</v>
      </c>
    </row>
    <row r="2774" spans="27:31" x14ac:dyDescent="0.25">
      <c r="AA2774" s="160"/>
      <c r="AB2774" s="162"/>
      <c r="AC2774" s="162"/>
      <c r="AD2774" s="162">
        <f t="shared" si="63"/>
        <v>0</v>
      </c>
      <c r="AE2774" s="160">
        <v>2772</v>
      </c>
    </row>
    <row r="2775" spans="27:31" x14ac:dyDescent="0.25">
      <c r="AA2775" s="160"/>
      <c r="AB2775" s="162"/>
      <c r="AC2775" s="162"/>
      <c r="AD2775" s="162">
        <f t="shared" si="63"/>
        <v>0</v>
      </c>
      <c r="AE2775" s="160">
        <v>2773</v>
      </c>
    </row>
    <row r="2776" spans="27:31" x14ac:dyDescent="0.25">
      <c r="AA2776" s="160"/>
      <c r="AB2776" s="162"/>
      <c r="AC2776" s="162"/>
      <c r="AD2776" s="162">
        <f t="shared" si="63"/>
        <v>0</v>
      </c>
      <c r="AE2776" s="160">
        <v>2774</v>
      </c>
    </row>
    <row r="2777" spans="27:31" x14ac:dyDescent="0.25">
      <c r="AA2777" s="160"/>
      <c r="AB2777" s="162"/>
      <c r="AC2777" s="162"/>
      <c r="AD2777" s="162">
        <f t="shared" si="63"/>
        <v>0</v>
      </c>
      <c r="AE2777" s="160">
        <v>2775</v>
      </c>
    </row>
    <row r="2778" spans="27:31" x14ac:dyDescent="0.25">
      <c r="AA2778" s="160"/>
      <c r="AB2778" s="162"/>
      <c r="AC2778" s="162"/>
      <c r="AD2778" s="162">
        <f t="shared" si="63"/>
        <v>0</v>
      </c>
      <c r="AE2778" s="160">
        <v>2776</v>
      </c>
    </row>
    <row r="2779" spans="27:31" x14ac:dyDescent="0.25">
      <c r="AA2779" s="160"/>
      <c r="AB2779" s="162"/>
      <c r="AC2779" s="162"/>
      <c r="AD2779" s="162">
        <f t="shared" si="63"/>
        <v>0</v>
      </c>
      <c r="AE2779" s="160">
        <v>2777</v>
      </c>
    </row>
    <row r="2780" spans="27:31" x14ac:dyDescent="0.25">
      <c r="AA2780" s="160"/>
      <c r="AB2780" s="162"/>
      <c r="AC2780" s="162"/>
      <c r="AD2780" s="162">
        <f t="shared" si="63"/>
        <v>0</v>
      </c>
      <c r="AE2780" s="160">
        <v>2778</v>
      </c>
    </row>
    <row r="2781" spans="27:31" x14ac:dyDescent="0.25">
      <c r="AA2781" s="160"/>
      <c r="AB2781" s="162"/>
      <c r="AC2781" s="162"/>
      <c r="AD2781" s="162">
        <f t="shared" si="63"/>
        <v>0</v>
      </c>
      <c r="AE2781" s="160">
        <v>2779</v>
      </c>
    </row>
    <row r="2782" spans="27:31" x14ac:dyDescent="0.25">
      <c r="AA2782" s="160"/>
      <c r="AB2782" s="162"/>
      <c r="AC2782" s="162"/>
      <c r="AD2782" s="162">
        <f t="shared" si="63"/>
        <v>0</v>
      </c>
      <c r="AE2782" s="160">
        <v>2780</v>
      </c>
    </row>
    <row r="2783" spans="27:31" x14ac:dyDescent="0.25">
      <c r="AA2783" s="160"/>
      <c r="AB2783" s="162"/>
      <c r="AC2783" s="162"/>
      <c r="AD2783" s="162">
        <f t="shared" si="63"/>
        <v>0</v>
      </c>
      <c r="AE2783" s="160">
        <v>2781</v>
      </c>
    </row>
    <row r="2784" spans="27:31" x14ac:dyDescent="0.25">
      <c r="AA2784" s="160"/>
      <c r="AB2784" s="162"/>
      <c r="AC2784" s="162"/>
      <c r="AD2784" s="162">
        <f t="shared" si="63"/>
        <v>0</v>
      </c>
      <c r="AE2784" s="160">
        <v>2782</v>
      </c>
    </row>
    <row r="2785" spans="27:31" x14ac:dyDescent="0.25">
      <c r="AA2785" s="160"/>
      <c r="AB2785" s="162"/>
      <c r="AC2785" s="162"/>
      <c r="AD2785" s="162">
        <f t="shared" si="63"/>
        <v>0</v>
      </c>
      <c r="AE2785" s="160">
        <v>2783</v>
      </c>
    </row>
    <row r="2786" spans="27:31" x14ac:dyDescent="0.25">
      <c r="AA2786" s="160"/>
      <c r="AB2786" s="162"/>
      <c r="AC2786" s="162"/>
      <c r="AD2786" s="162">
        <f t="shared" si="63"/>
        <v>0</v>
      </c>
      <c r="AE2786" s="160">
        <v>2784</v>
      </c>
    </row>
    <row r="2787" spans="27:31" x14ac:dyDescent="0.25">
      <c r="AA2787" s="160"/>
      <c r="AB2787" s="162"/>
      <c r="AC2787" s="162"/>
      <c r="AD2787" s="162">
        <f t="shared" si="63"/>
        <v>0</v>
      </c>
      <c r="AE2787" s="160">
        <v>2785</v>
      </c>
    </row>
    <row r="2788" spans="27:31" x14ac:dyDescent="0.25">
      <c r="AA2788" s="160"/>
      <c r="AB2788" s="162"/>
      <c r="AC2788" s="162"/>
      <c r="AD2788" s="162">
        <f t="shared" si="63"/>
        <v>0</v>
      </c>
      <c r="AE2788" s="160">
        <v>2786</v>
      </c>
    </row>
    <row r="2789" spans="27:31" x14ac:dyDescent="0.25">
      <c r="AA2789" s="160"/>
      <c r="AB2789" s="162"/>
      <c r="AC2789" s="162"/>
      <c r="AD2789" s="162">
        <f t="shared" si="63"/>
        <v>0</v>
      </c>
      <c r="AE2789" s="160">
        <v>2787</v>
      </c>
    </row>
    <row r="2790" spans="27:31" x14ac:dyDescent="0.25">
      <c r="AA2790" s="160"/>
      <c r="AB2790" s="162"/>
      <c r="AC2790" s="162"/>
      <c r="AD2790" s="162">
        <f t="shared" si="63"/>
        <v>0</v>
      </c>
      <c r="AE2790" s="160">
        <v>2788</v>
      </c>
    </row>
    <row r="2791" spans="27:31" x14ac:dyDescent="0.25">
      <c r="AA2791" s="160"/>
      <c r="AB2791" s="162"/>
      <c r="AC2791" s="162"/>
      <c r="AD2791" s="162">
        <f t="shared" si="63"/>
        <v>0</v>
      </c>
      <c r="AE2791" s="160">
        <v>2789</v>
      </c>
    </row>
    <row r="2792" spans="27:31" x14ac:dyDescent="0.25">
      <c r="AA2792" s="160"/>
      <c r="AB2792" s="162"/>
      <c r="AC2792" s="162"/>
      <c r="AD2792" s="162">
        <f t="shared" si="63"/>
        <v>0</v>
      </c>
      <c r="AE2792" s="160">
        <v>2790</v>
      </c>
    </row>
    <row r="2793" spans="27:31" x14ac:dyDescent="0.25">
      <c r="AA2793" s="160"/>
      <c r="AB2793" s="162"/>
      <c r="AC2793" s="162"/>
      <c r="AD2793" s="162">
        <f t="shared" si="63"/>
        <v>0</v>
      </c>
      <c r="AE2793" s="160">
        <v>2791</v>
      </c>
    </row>
    <row r="2794" spans="27:31" x14ac:dyDescent="0.25">
      <c r="AA2794" s="160"/>
      <c r="AB2794" s="162"/>
      <c r="AC2794" s="162"/>
      <c r="AD2794" s="162">
        <f t="shared" si="63"/>
        <v>0</v>
      </c>
      <c r="AE2794" s="160">
        <v>2792</v>
      </c>
    </row>
    <row r="2795" spans="27:31" x14ac:dyDescent="0.25">
      <c r="AA2795" s="160"/>
      <c r="AB2795" s="162"/>
      <c r="AC2795" s="162"/>
      <c r="AD2795" s="162">
        <f t="shared" si="63"/>
        <v>0</v>
      </c>
      <c r="AE2795" s="160">
        <v>2793</v>
      </c>
    </row>
    <row r="2796" spans="27:31" x14ac:dyDescent="0.25">
      <c r="AA2796" s="160"/>
      <c r="AB2796" s="162"/>
      <c r="AC2796" s="162"/>
      <c r="AD2796" s="162">
        <f t="shared" si="63"/>
        <v>0</v>
      </c>
      <c r="AE2796" s="160">
        <v>2794</v>
      </c>
    </row>
    <row r="2797" spans="27:31" x14ac:dyDescent="0.25">
      <c r="AA2797" s="160"/>
      <c r="AB2797" s="162"/>
      <c r="AC2797" s="162"/>
      <c r="AD2797" s="162">
        <f t="shared" si="63"/>
        <v>0</v>
      </c>
      <c r="AE2797" s="160">
        <v>2795</v>
      </c>
    </row>
    <row r="2798" spans="27:31" x14ac:dyDescent="0.25">
      <c r="AA2798" s="160"/>
      <c r="AB2798" s="162"/>
      <c r="AC2798" s="162"/>
      <c r="AD2798" s="162">
        <f t="shared" si="63"/>
        <v>0</v>
      </c>
      <c r="AE2798" s="160">
        <v>2796</v>
      </c>
    </row>
    <row r="2799" spans="27:31" x14ac:dyDescent="0.25">
      <c r="AA2799" s="160"/>
      <c r="AB2799" s="162"/>
      <c r="AC2799" s="162"/>
      <c r="AD2799" s="162">
        <f t="shared" si="63"/>
        <v>0</v>
      </c>
      <c r="AE2799" s="160">
        <v>2797</v>
      </c>
    </row>
    <row r="2800" spans="27:31" x14ac:dyDescent="0.25">
      <c r="AA2800" s="160"/>
      <c r="AB2800" s="162"/>
      <c r="AC2800" s="162"/>
      <c r="AD2800" s="162">
        <f t="shared" si="63"/>
        <v>0</v>
      </c>
      <c r="AE2800" s="160">
        <v>2798</v>
      </c>
    </row>
    <row r="2801" spans="27:31" x14ac:dyDescent="0.25">
      <c r="AA2801" s="160"/>
      <c r="AB2801" s="162"/>
      <c r="AC2801" s="162"/>
      <c r="AD2801" s="162">
        <f t="shared" si="63"/>
        <v>0</v>
      </c>
      <c r="AE2801" s="160">
        <v>2799</v>
      </c>
    </row>
    <row r="2802" spans="27:31" x14ac:dyDescent="0.25">
      <c r="AA2802" s="160"/>
      <c r="AB2802" s="162"/>
      <c r="AC2802" s="162"/>
      <c r="AD2802" s="162">
        <f t="shared" si="63"/>
        <v>0</v>
      </c>
      <c r="AE2802" s="160">
        <v>2800</v>
      </c>
    </row>
    <row r="2803" spans="27:31" x14ac:dyDescent="0.25">
      <c r="AA2803" s="160"/>
      <c r="AB2803" s="162"/>
      <c r="AC2803" s="162"/>
      <c r="AD2803" s="162">
        <f t="shared" si="63"/>
        <v>0</v>
      </c>
      <c r="AE2803" s="160">
        <v>2801</v>
      </c>
    </row>
    <row r="2804" spans="27:31" x14ac:dyDescent="0.25">
      <c r="AA2804" s="160"/>
      <c r="AB2804" s="162"/>
      <c r="AC2804" s="162"/>
      <c r="AD2804" s="162">
        <f t="shared" si="63"/>
        <v>0</v>
      </c>
      <c r="AE2804" s="160">
        <v>2802</v>
      </c>
    </row>
    <row r="2805" spans="27:31" x14ac:dyDescent="0.25">
      <c r="AA2805" s="160"/>
      <c r="AB2805" s="162"/>
      <c r="AC2805" s="162"/>
      <c r="AD2805" s="162">
        <f t="shared" si="63"/>
        <v>0</v>
      </c>
      <c r="AE2805" s="160">
        <v>2803</v>
      </c>
    </row>
    <row r="2806" spans="27:31" x14ac:dyDescent="0.25">
      <c r="AA2806" s="160"/>
      <c r="AB2806" s="162"/>
      <c r="AC2806" s="162"/>
      <c r="AD2806" s="162">
        <f t="shared" si="63"/>
        <v>0</v>
      </c>
      <c r="AE2806" s="160">
        <v>2804</v>
      </c>
    </row>
    <row r="2807" spans="27:31" x14ac:dyDescent="0.25">
      <c r="AA2807" s="160"/>
      <c r="AB2807" s="162"/>
      <c r="AC2807" s="162"/>
      <c r="AD2807" s="162">
        <f t="shared" si="63"/>
        <v>0</v>
      </c>
      <c r="AE2807" s="160">
        <v>2805</v>
      </c>
    </row>
    <row r="2808" spans="27:31" x14ac:dyDescent="0.25">
      <c r="AA2808" s="160"/>
      <c r="AB2808" s="162"/>
      <c r="AC2808" s="162"/>
      <c r="AD2808" s="162">
        <f t="shared" si="63"/>
        <v>0</v>
      </c>
      <c r="AE2808" s="160">
        <v>2806</v>
      </c>
    </row>
    <row r="2809" spans="27:31" x14ac:dyDescent="0.25">
      <c r="AA2809" s="160"/>
      <c r="AB2809" s="162"/>
      <c r="AC2809" s="162"/>
      <c r="AD2809" s="162">
        <f t="shared" si="63"/>
        <v>0</v>
      </c>
      <c r="AE2809" s="160">
        <v>2807</v>
      </c>
    </row>
    <row r="2810" spans="27:31" x14ac:dyDescent="0.25">
      <c r="AA2810" s="160"/>
      <c r="AB2810" s="162"/>
      <c r="AC2810" s="162"/>
      <c r="AD2810" s="162">
        <f t="shared" si="63"/>
        <v>0</v>
      </c>
      <c r="AE2810" s="160">
        <v>2808</v>
      </c>
    </row>
    <row r="2811" spans="27:31" x14ac:dyDescent="0.25">
      <c r="AA2811" s="160"/>
      <c r="AB2811" s="162"/>
      <c r="AC2811" s="162"/>
      <c r="AD2811" s="162">
        <f t="shared" si="63"/>
        <v>0</v>
      </c>
      <c r="AE2811" s="160">
        <v>2809</v>
      </c>
    </row>
    <row r="2812" spans="27:31" x14ac:dyDescent="0.25">
      <c r="AA2812" s="160"/>
      <c r="AB2812" s="162"/>
      <c r="AC2812" s="162"/>
      <c r="AD2812" s="162">
        <f t="shared" si="63"/>
        <v>0</v>
      </c>
      <c r="AE2812" s="160">
        <v>2810</v>
      </c>
    </row>
    <row r="2813" spans="27:31" x14ac:dyDescent="0.25">
      <c r="AA2813" s="160"/>
      <c r="AB2813" s="162"/>
      <c r="AC2813" s="162"/>
      <c r="AD2813" s="162">
        <f t="shared" si="63"/>
        <v>0</v>
      </c>
      <c r="AE2813" s="160">
        <v>2811</v>
      </c>
    </row>
    <row r="2814" spans="27:31" x14ac:dyDescent="0.25">
      <c r="AA2814" s="160"/>
      <c r="AB2814" s="162"/>
      <c r="AC2814" s="162"/>
      <c r="AD2814" s="162">
        <f t="shared" si="63"/>
        <v>0</v>
      </c>
      <c r="AE2814" s="160">
        <v>2812</v>
      </c>
    </row>
    <row r="2815" spans="27:31" x14ac:dyDescent="0.25">
      <c r="AA2815" s="160"/>
      <c r="AB2815" s="162"/>
      <c r="AC2815" s="162"/>
      <c r="AD2815" s="162">
        <f t="shared" si="63"/>
        <v>0</v>
      </c>
      <c r="AE2815" s="160">
        <v>2813</v>
      </c>
    </row>
    <row r="2816" spans="27:31" x14ac:dyDescent="0.25">
      <c r="AA2816" s="160"/>
      <c r="AB2816" s="162"/>
      <c r="AC2816" s="162"/>
      <c r="AD2816" s="162">
        <f t="shared" si="63"/>
        <v>0</v>
      </c>
      <c r="AE2816" s="160">
        <v>2814</v>
      </c>
    </row>
    <row r="2817" spans="27:31" x14ac:dyDescent="0.25">
      <c r="AA2817" s="160"/>
      <c r="AB2817" s="162"/>
      <c r="AC2817" s="162"/>
      <c r="AD2817" s="162">
        <f t="shared" si="63"/>
        <v>0</v>
      </c>
      <c r="AE2817" s="160">
        <v>2815</v>
      </c>
    </row>
    <row r="2818" spans="27:31" x14ac:dyDescent="0.25">
      <c r="AA2818" s="160"/>
      <c r="AB2818" s="162"/>
      <c r="AC2818" s="162"/>
      <c r="AD2818" s="162">
        <f t="shared" si="63"/>
        <v>0</v>
      </c>
      <c r="AE2818" s="160">
        <v>2816</v>
      </c>
    </row>
    <row r="2819" spans="27:31" x14ac:dyDescent="0.25">
      <c r="AA2819" s="160"/>
      <c r="AB2819" s="162"/>
      <c r="AC2819" s="162"/>
      <c r="AD2819" s="162">
        <f t="shared" si="63"/>
        <v>0</v>
      </c>
      <c r="AE2819" s="160">
        <v>2817</v>
      </c>
    </row>
    <row r="2820" spans="27:31" x14ac:dyDescent="0.25">
      <c r="AA2820" s="160"/>
      <c r="AB2820" s="162"/>
      <c r="AC2820" s="162"/>
      <c r="AD2820" s="162">
        <f t="shared" ref="AD2820:AD2883" si="64">AB2820+AC2820</f>
        <v>0</v>
      </c>
      <c r="AE2820" s="160">
        <v>2818</v>
      </c>
    </row>
    <row r="2821" spans="27:31" x14ac:dyDescent="0.25">
      <c r="AA2821" s="160"/>
      <c r="AB2821" s="162"/>
      <c r="AC2821" s="162"/>
      <c r="AD2821" s="162">
        <f t="shared" si="64"/>
        <v>0</v>
      </c>
      <c r="AE2821" s="160">
        <v>2819</v>
      </c>
    </row>
    <row r="2822" spans="27:31" x14ac:dyDescent="0.25">
      <c r="AA2822" s="160"/>
      <c r="AB2822" s="162"/>
      <c r="AC2822" s="162"/>
      <c r="AD2822" s="162">
        <f t="shared" si="64"/>
        <v>0</v>
      </c>
      <c r="AE2822" s="160">
        <v>2820</v>
      </c>
    </row>
    <row r="2823" spans="27:31" x14ac:dyDescent="0.25">
      <c r="AA2823" s="160"/>
      <c r="AB2823" s="162"/>
      <c r="AC2823" s="162"/>
      <c r="AD2823" s="162">
        <f t="shared" si="64"/>
        <v>0</v>
      </c>
      <c r="AE2823" s="160">
        <v>2821</v>
      </c>
    </row>
    <row r="2824" spans="27:31" x14ac:dyDescent="0.25">
      <c r="AA2824" s="160"/>
      <c r="AB2824" s="162"/>
      <c r="AC2824" s="162"/>
      <c r="AD2824" s="162">
        <f t="shared" si="64"/>
        <v>0</v>
      </c>
      <c r="AE2824" s="160">
        <v>2822</v>
      </c>
    </row>
    <row r="2825" spans="27:31" x14ac:dyDescent="0.25">
      <c r="AA2825" s="160"/>
      <c r="AB2825" s="162"/>
      <c r="AC2825" s="162"/>
      <c r="AD2825" s="162">
        <f t="shared" si="64"/>
        <v>0</v>
      </c>
      <c r="AE2825" s="160">
        <v>2823</v>
      </c>
    </row>
    <row r="2826" spans="27:31" x14ac:dyDescent="0.25">
      <c r="AA2826" s="160"/>
      <c r="AB2826" s="162"/>
      <c r="AC2826" s="162"/>
      <c r="AD2826" s="162">
        <f t="shared" si="64"/>
        <v>0</v>
      </c>
      <c r="AE2826" s="160">
        <v>2824</v>
      </c>
    </row>
    <row r="2827" spans="27:31" x14ac:dyDescent="0.25">
      <c r="AA2827" s="160"/>
      <c r="AB2827" s="162"/>
      <c r="AC2827" s="162"/>
      <c r="AD2827" s="162">
        <f t="shared" si="64"/>
        <v>0</v>
      </c>
      <c r="AE2827" s="160">
        <v>2825</v>
      </c>
    </row>
    <row r="2828" spans="27:31" x14ac:dyDescent="0.25">
      <c r="AA2828" s="160"/>
      <c r="AB2828" s="162"/>
      <c r="AC2828" s="162"/>
      <c r="AD2828" s="162">
        <f t="shared" si="64"/>
        <v>0</v>
      </c>
      <c r="AE2828" s="160">
        <v>2826</v>
      </c>
    </row>
    <row r="2829" spans="27:31" x14ac:dyDescent="0.25">
      <c r="AA2829" s="160"/>
      <c r="AB2829" s="162"/>
      <c r="AC2829" s="162"/>
      <c r="AD2829" s="162">
        <f t="shared" si="64"/>
        <v>0</v>
      </c>
      <c r="AE2829" s="160">
        <v>2827</v>
      </c>
    </row>
    <row r="2830" spans="27:31" x14ac:dyDescent="0.25">
      <c r="AA2830" s="160"/>
      <c r="AB2830" s="162"/>
      <c r="AC2830" s="162"/>
      <c r="AD2830" s="162">
        <f t="shared" si="64"/>
        <v>0</v>
      </c>
      <c r="AE2830" s="160">
        <v>2828</v>
      </c>
    </row>
    <row r="2831" spans="27:31" x14ac:dyDescent="0.25">
      <c r="AA2831" s="160"/>
      <c r="AB2831" s="162"/>
      <c r="AC2831" s="162"/>
      <c r="AD2831" s="162">
        <f t="shared" si="64"/>
        <v>0</v>
      </c>
      <c r="AE2831" s="160">
        <v>2829</v>
      </c>
    </row>
    <row r="2832" spans="27:31" x14ac:dyDescent="0.25">
      <c r="AA2832" s="160"/>
      <c r="AB2832" s="162"/>
      <c r="AC2832" s="162"/>
      <c r="AD2832" s="162">
        <f t="shared" si="64"/>
        <v>0</v>
      </c>
      <c r="AE2832" s="160">
        <v>2830</v>
      </c>
    </row>
    <row r="2833" spans="27:31" x14ac:dyDescent="0.25">
      <c r="AA2833" s="160"/>
      <c r="AB2833" s="162"/>
      <c r="AC2833" s="162"/>
      <c r="AD2833" s="162">
        <f t="shared" si="64"/>
        <v>0</v>
      </c>
      <c r="AE2833" s="160">
        <v>2831</v>
      </c>
    </row>
    <row r="2834" spans="27:31" x14ac:dyDescent="0.25">
      <c r="AA2834" s="160"/>
      <c r="AB2834" s="162"/>
      <c r="AC2834" s="162"/>
      <c r="AD2834" s="162">
        <f t="shared" si="64"/>
        <v>0</v>
      </c>
      <c r="AE2834" s="160">
        <v>2832</v>
      </c>
    </row>
    <row r="2835" spans="27:31" x14ac:dyDescent="0.25">
      <c r="AA2835" s="160"/>
      <c r="AB2835" s="162"/>
      <c r="AC2835" s="162"/>
      <c r="AD2835" s="162">
        <f t="shared" si="64"/>
        <v>0</v>
      </c>
      <c r="AE2835" s="160">
        <v>2833</v>
      </c>
    </row>
    <row r="2836" spans="27:31" x14ac:dyDescent="0.25">
      <c r="AA2836" s="160"/>
      <c r="AB2836" s="162"/>
      <c r="AC2836" s="162"/>
      <c r="AD2836" s="162">
        <f t="shared" si="64"/>
        <v>0</v>
      </c>
      <c r="AE2836" s="160">
        <v>2834</v>
      </c>
    </row>
    <row r="2837" spans="27:31" x14ac:dyDescent="0.25">
      <c r="AA2837" s="160"/>
      <c r="AB2837" s="162"/>
      <c r="AC2837" s="162"/>
      <c r="AD2837" s="162">
        <f t="shared" si="64"/>
        <v>0</v>
      </c>
      <c r="AE2837" s="160">
        <v>2835</v>
      </c>
    </row>
    <row r="2838" spans="27:31" x14ac:dyDescent="0.25">
      <c r="AA2838" s="160"/>
      <c r="AB2838" s="162"/>
      <c r="AC2838" s="162"/>
      <c r="AD2838" s="162">
        <f t="shared" si="64"/>
        <v>0</v>
      </c>
      <c r="AE2838" s="160">
        <v>2836</v>
      </c>
    </row>
    <row r="2839" spans="27:31" x14ac:dyDescent="0.25">
      <c r="AA2839" s="160"/>
      <c r="AB2839" s="162"/>
      <c r="AC2839" s="162"/>
      <c r="AD2839" s="162">
        <f t="shared" si="64"/>
        <v>0</v>
      </c>
      <c r="AE2839" s="160">
        <v>2837</v>
      </c>
    </row>
    <row r="2840" spans="27:31" x14ac:dyDescent="0.25">
      <c r="AA2840" s="160"/>
      <c r="AB2840" s="162"/>
      <c r="AC2840" s="162"/>
      <c r="AD2840" s="162">
        <f t="shared" si="64"/>
        <v>0</v>
      </c>
      <c r="AE2840" s="160">
        <v>2838</v>
      </c>
    </row>
    <row r="2841" spans="27:31" x14ac:dyDescent="0.25">
      <c r="AA2841" s="160"/>
      <c r="AB2841" s="162"/>
      <c r="AC2841" s="162"/>
      <c r="AD2841" s="162">
        <f t="shared" si="64"/>
        <v>0</v>
      </c>
      <c r="AE2841" s="160">
        <v>2839</v>
      </c>
    </row>
    <row r="2842" spans="27:31" x14ac:dyDescent="0.25">
      <c r="AA2842" s="160"/>
      <c r="AB2842" s="162"/>
      <c r="AC2842" s="162"/>
      <c r="AD2842" s="162">
        <f t="shared" si="64"/>
        <v>0</v>
      </c>
      <c r="AE2842" s="160">
        <v>2840</v>
      </c>
    </row>
    <row r="2843" spans="27:31" x14ac:dyDescent="0.25">
      <c r="AA2843" s="160"/>
      <c r="AB2843" s="162"/>
      <c r="AC2843" s="162"/>
      <c r="AD2843" s="162">
        <f t="shared" si="64"/>
        <v>0</v>
      </c>
      <c r="AE2843" s="160">
        <v>2841</v>
      </c>
    </row>
    <row r="2844" spans="27:31" x14ac:dyDescent="0.25">
      <c r="AA2844" s="160"/>
      <c r="AB2844" s="162"/>
      <c r="AC2844" s="162"/>
      <c r="AD2844" s="162">
        <f t="shared" si="64"/>
        <v>0</v>
      </c>
      <c r="AE2844" s="160">
        <v>2842</v>
      </c>
    </row>
    <row r="2845" spans="27:31" x14ac:dyDescent="0.25">
      <c r="AA2845" s="160"/>
      <c r="AB2845" s="162"/>
      <c r="AC2845" s="162"/>
      <c r="AD2845" s="162">
        <f t="shared" si="64"/>
        <v>0</v>
      </c>
      <c r="AE2845" s="160">
        <v>2843</v>
      </c>
    </row>
    <row r="2846" spans="27:31" x14ac:dyDescent="0.25">
      <c r="AA2846" s="160"/>
      <c r="AB2846" s="162"/>
      <c r="AC2846" s="162"/>
      <c r="AD2846" s="162">
        <f t="shared" si="64"/>
        <v>0</v>
      </c>
      <c r="AE2846" s="160">
        <v>2844</v>
      </c>
    </row>
    <row r="2847" spans="27:31" x14ac:dyDescent="0.25">
      <c r="AA2847" s="160"/>
      <c r="AB2847" s="162"/>
      <c r="AC2847" s="162"/>
      <c r="AD2847" s="162">
        <f t="shared" si="64"/>
        <v>0</v>
      </c>
      <c r="AE2847" s="160">
        <v>2845</v>
      </c>
    </row>
    <row r="2848" spans="27:31" x14ac:dyDescent="0.25">
      <c r="AA2848" s="160"/>
      <c r="AB2848" s="162"/>
      <c r="AC2848" s="162"/>
      <c r="AD2848" s="162">
        <f t="shared" si="64"/>
        <v>0</v>
      </c>
      <c r="AE2848" s="160">
        <v>2846</v>
      </c>
    </row>
    <row r="2849" spans="27:31" x14ac:dyDescent="0.25">
      <c r="AA2849" s="160"/>
      <c r="AB2849" s="162"/>
      <c r="AC2849" s="162"/>
      <c r="AD2849" s="162">
        <f t="shared" si="64"/>
        <v>0</v>
      </c>
      <c r="AE2849" s="160">
        <v>2847</v>
      </c>
    </row>
    <row r="2850" spans="27:31" x14ac:dyDescent="0.25">
      <c r="AA2850" s="160"/>
      <c r="AB2850" s="162"/>
      <c r="AC2850" s="162"/>
      <c r="AD2850" s="162">
        <f t="shared" si="64"/>
        <v>0</v>
      </c>
      <c r="AE2850" s="160">
        <v>2848</v>
      </c>
    </row>
    <row r="2851" spans="27:31" x14ac:dyDescent="0.25">
      <c r="AA2851" s="160"/>
      <c r="AB2851" s="162"/>
      <c r="AC2851" s="162"/>
      <c r="AD2851" s="162">
        <f t="shared" si="64"/>
        <v>0</v>
      </c>
      <c r="AE2851" s="160">
        <v>2849</v>
      </c>
    </row>
    <row r="2852" spans="27:31" x14ac:dyDescent="0.25">
      <c r="AA2852" s="160"/>
      <c r="AB2852" s="162"/>
      <c r="AC2852" s="162"/>
      <c r="AD2852" s="162">
        <f t="shared" si="64"/>
        <v>0</v>
      </c>
      <c r="AE2852" s="160">
        <v>2850</v>
      </c>
    </row>
    <row r="2853" spans="27:31" x14ac:dyDescent="0.25">
      <c r="AA2853" s="160"/>
      <c r="AB2853" s="162"/>
      <c r="AC2853" s="162"/>
      <c r="AD2853" s="162">
        <f t="shared" si="64"/>
        <v>0</v>
      </c>
      <c r="AE2853" s="160">
        <v>2851</v>
      </c>
    </row>
    <row r="2854" spans="27:31" x14ac:dyDescent="0.25">
      <c r="AA2854" s="160"/>
      <c r="AB2854" s="162"/>
      <c r="AC2854" s="162"/>
      <c r="AD2854" s="162">
        <f t="shared" si="64"/>
        <v>0</v>
      </c>
      <c r="AE2854" s="160">
        <v>2852</v>
      </c>
    </row>
    <row r="2855" spans="27:31" x14ac:dyDescent="0.25">
      <c r="AA2855" s="160"/>
      <c r="AB2855" s="162"/>
      <c r="AC2855" s="162"/>
      <c r="AD2855" s="162">
        <f t="shared" si="64"/>
        <v>0</v>
      </c>
      <c r="AE2855" s="160">
        <v>2853</v>
      </c>
    </row>
    <row r="2856" spans="27:31" x14ac:dyDescent="0.25">
      <c r="AA2856" s="160"/>
      <c r="AB2856" s="162"/>
      <c r="AC2856" s="162"/>
      <c r="AD2856" s="162">
        <f t="shared" si="64"/>
        <v>0</v>
      </c>
      <c r="AE2856" s="160">
        <v>2854</v>
      </c>
    </row>
    <row r="2857" spans="27:31" x14ac:dyDescent="0.25">
      <c r="AA2857" s="160"/>
      <c r="AB2857" s="162"/>
      <c r="AC2857" s="162"/>
      <c r="AD2857" s="162">
        <f t="shared" si="64"/>
        <v>0</v>
      </c>
      <c r="AE2857" s="160">
        <v>2855</v>
      </c>
    </row>
    <row r="2858" spans="27:31" x14ac:dyDescent="0.25">
      <c r="AA2858" s="160"/>
      <c r="AB2858" s="162"/>
      <c r="AC2858" s="162"/>
      <c r="AD2858" s="162">
        <f t="shared" si="64"/>
        <v>0</v>
      </c>
      <c r="AE2858" s="160">
        <v>2856</v>
      </c>
    </row>
    <row r="2859" spans="27:31" x14ac:dyDescent="0.25">
      <c r="AA2859" s="160"/>
      <c r="AB2859" s="162"/>
      <c r="AC2859" s="162"/>
      <c r="AD2859" s="162">
        <f t="shared" si="64"/>
        <v>0</v>
      </c>
      <c r="AE2859" s="160">
        <v>2857</v>
      </c>
    </row>
    <row r="2860" spans="27:31" x14ac:dyDescent="0.25">
      <c r="AA2860" s="160"/>
      <c r="AB2860" s="162"/>
      <c r="AC2860" s="162"/>
      <c r="AD2860" s="162">
        <f t="shared" si="64"/>
        <v>0</v>
      </c>
      <c r="AE2860" s="160">
        <v>2858</v>
      </c>
    </row>
    <row r="2861" spans="27:31" x14ac:dyDescent="0.25">
      <c r="AA2861" s="160"/>
      <c r="AB2861" s="162"/>
      <c r="AC2861" s="162"/>
      <c r="AD2861" s="162">
        <f t="shared" si="64"/>
        <v>0</v>
      </c>
      <c r="AE2861" s="160">
        <v>2859</v>
      </c>
    </row>
    <row r="2862" spans="27:31" x14ac:dyDescent="0.25">
      <c r="AA2862" s="160"/>
      <c r="AB2862" s="162"/>
      <c r="AC2862" s="162"/>
      <c r="AD2862" s="162">
        <f t="shared" si="64"/>
        <v>0</v>
      </c>
      <c r="AE2862" s="160">
        <v>2860</v>
      </c>
    </row>
    <row r="2863" spans="27:31" x14ac:dyDescent="0.25">
      <c r="AA2863" s="160"/>
      <c r="AB2863" s="162"/>
      <c r="AC2863" s="162"/>
      <c r="AD2863" s="162">
        <f t="shared" si="64"/>
        <v>0</v>
      </c>
      <c r="AE2863" s="160">
        <v>2861</v>
      </c>
    </row>
    <row r="2864" spans="27:31" x14ac:dyDescent="0.25">
      <c r="AA2864" s="160"/>
      <c r="AB2864" s="162"/>
      <c r="AC2864" s="162"/>
      <c r="AD2864" s="162">
        <f t="shared" si="64"/>
        <v>0</v>
      </c>
      <c r="AE2864" s="160">
        <v>2862</v>
      </c>
    </row>
    <row r="2865" spans="27:31" x14ac:dyDescent="0.25">
      <c r="AA2865" s="160"/>
      <c r="AB2865" s="162"/>
      <c r="AC2865" s="162"/>
      <c r="AD2865" s="162">
        <f t="shared" si="64"/>
        <v>0</v>
      </c>
      <c r="AE2865" s="160">
        <v>2863</v>
      </c>
    </row>
    <row r="2866" spans="27:31" x14ac:dyDescent="0.25">
      <c r="AA2866" s="160"/>
      <c r="AB2866" s="162"/>
      <c r="AC2866" s="162"/>
      <c r="AD2866" s="162">
        <f t="shared" si="64"/>
        <v>0</v>
      </c>
      <c r="AE2866" s="160">
        <v>2864</v>
      </c>
    </row>
    <row r="2867" spans="27:31" x14ac:dyDescent="0.25">
      <c r="AA2867" s="160"/>
      <c r="AB2867" s="162"/>
      <c r="AC2867" s="162"/>
      <c r="AD2867" s="162">
        <f t="shared" si="64"/>
        <v>0</v>
      </c>
      <c r="AE2867" s="160">
        <v>2865</v>
      </c>
    </row>
    <row r="2868" spans="27:31" x14ac:dyDescent="0.25">
      <c r="AA2868" s="160"/>
      <c r="AB2868" s="162"/>
      <c r="AC2868" s="162"/>
      <c r="AD2868" s="162">
        <f t="shared" si="64"/>
        <v>0</v>
      </c>
      <c r="AE2868" s="160">
        <v>2866</v>
      </c>
    </row>
    <row r="2869" spans="27:31" x14ac:dyDescent="0.25">
      <c r="AA2869" s="160"/>
      <c r="AB2869" s="162"/>
      <c r="AC2869" s="162"/>
      <c r="AD2869" s="162">
        <f t="shared" si="64"/>
        <v>0</v>
      </c>
      <c r="AE2869" s="160">
        <v>2867</v>
      </c>
    </row>
    <row r="2870" spans="27:31" x14ac:dyDescent="0.25">
      <c r="AA2870" s="160"/>
      <c r="AB2870" s="162"/>
      <c r="AC2870" s="162"/>
      <c r="AD2870" s="162">
        <f t="shared" si="64"/>
        <v>0</v>
      </c>
      <c r="AE2870" s="160">
        <v>2868</v>
      </c>
    </row>
    <row r="2871" spans="27:31" x14ac:dyDescent="0.25">
      <c r="AA2871" s="160"/>
      <c r="AB2871" s="162"/>
      <c r="AC2871" s="162"/>
      <c r="AD2871" s="162">
        <f t="shared" si="64"/>
        <v>0</v>
      </c>
      <c r="AE2871" s="160">
        <v>2869</v>
      </c>
    </row>
    <row r="2872" spans="27:31" x14ac:dyDescent="0.25">
      <c r="AA2872" s="160"/>
      <c r="AB2872" s="162"/>
      <c r="AC2872" s="162"/>
      <c r="AD2872" s="162">
        <f t="shared" si="64"/>
        <v>0</v>
      </c>
      <c r="AE2872" s="160">
        <v>2870</v>
      </c>
    </row>
    <row r="2873" spans="27:31" x14ac:dyDescent="0.25">
      <c r="AA2873" s="160"/>
      <c r="AB2873" s="162"/>
      <c r="AC2873" s="162"/>
      <c r="AD2873" s="162">
        <f t="shared" si="64"/>
        <v>0</v>
      </c>
      <c r="AE2873" s="160">
        <v>2871</v>
      </c>
    </row>
    <row r="2874" spans="27:31" x14ac:dyDescent="0.25">
      <c r="AA2874" s="160"/>
      <c r="AB2874" s="162"/>
      <c r="AC2874" s="162"/>
      <c r="AD2874" s="162">
        <f t="shared" si="64"/>
        <v>0</v>
      </c>
      <c r="AE2874" s="160">
        <v>2872</v>
      </c>
    </row>
    <row r="2875" spans="27:31" x14ac:dyDescent="0.25">
      <c r="AA2875" s="160"/>
      <c r="AB2875" s="162"/>
      <c r="AC2875" s="162"/>
      <c r="AD2875" s="162">
        <f t="shared" si="64"/>
        <v>0</v>
      </c>
      <c r="AE2875" s="160">
        <v>2873</v>
      </c>
    </row>
    <row r="2876" spans="27:31" x14ac:dyDescent="0.25">
      <c r="AA2876" s="160"/>
      <c r="AB2876" s="162"/>
      <c r="AC2876" s="162"/>
      <c r="AD2876" s="162">
        <f t="shared" si="64"/>
        <v>0</v>
      </c>
      <c r="AE2876" s="160">
        <v>2874</v>
      </c>
    </row>
    <row r="2877" spans="27:31" x14ac:dyDescent="0.25">
      <c r="AA2877" s="160"/>
      <c r="AB2877" s="162"/>
      <c r="AC2877" s="162"/>
      <c r="AD2877" s="162">
        <f t="shared" si="64"/>
        <v>0</v>
      </c>
      <c r="AE2877" s="160">
        <v>2875</v>
      </c>
    </row>
    <row r="2878" spans="27:31" x14ac:dyDescent="0.25">
      <c r="AA2878" s="160"/>
      <c r="AB2878" s="162"/>
      <c r="AC2878" s="162"/>
      <c r="AD2878" s="162">
        <f t="shared" si="64"/>
        <v>0</v>
      </c>
      <c r="AE2878" s="160">
        <v>2876</v>
      </c>
    </row>
    <row r="2879" spans="27:31" x14ac:dyDescent="0.25">
      <c r="AA2879" s="160"/>
      <c r="AB2879" s="162"/>
      <c r="AC2879" s="162"/>
      <c r="AD2879" s="162">
        <f t="shared" si="64"/>
        <v>0</v>
      </c>
      <c r="AE2879" s="160">
        <v>2877</v>
      </c>
    </row>
    <row r="2880" spans="27:31" x14ac:dyDescent="0.25">
      <c r="AA2880" s="160"/>
      <c r="AB2880" s="162"/>
      <c r="AC2880" s="162"/>
      <c r="AD2880" s="162">
        <f t="shared" si="64"/>
        <v>0</v>
      </c>
      <c r="AE2880" s="160">
        <v>2878</v>
      </c>
    </row>
    <row r="2881" spans="27:31" x14ac:dyDescent="0.25">
      <c r="AA2881" s="160"/>
      <c r="AB2881" s="162"/>
      <c r="AC2881" s="162"/>
      <c r="AD2881" s="162">
        <f t="shared" si="64"/>
        <v>0</v>
      </c>
      <c r="AE2881" s="160">
        <v>2879</v>
      </c>
    </row>
    <row r="2882" spans="27:31" x14ac:dyDescent="0.25">
      <c r="AA2882" s="160"/>
      <c r="AB2882" s="162"/>
      <c r="AC2882" s="162"/>
      <c r="AD2882" s="162">
        <f t="shared" si="64"/>
        <v>0</v>
      </c>
      <c r="AE2882" s="160">
        <v>2880</v>
      </c>
    </row>
    <row r="2883" spans="27:31" x14ac:dyDescent="0.25">
      <c r="AA2883" s="160"/>
      <c r="AB2883" s="162"/>
      <c r="AC2883" s="162"/>
      <c r="AD2883" s="162">
        <f t="shared" si="64"/>
        <v>0</v>
      </c>
      <c r="AE2883" s="160">
        <v>2881</v>
      </c>
    </row>
    <row r="2884" spans="27:31" x14ac:dyDescent="0.25">
      <c r="AA2884" s="160"/>
      <c r="AB2884" s="162"/>
      <c r="AC2884" s="162"/>
      <c r="AD2884" s="162">
        <f t="shared" ref="AD2884:AD2947" si="65">AB2884+AC2884</f>
        <v>0</v>
      </c>
      <c r="AE2884" s="160">
        <v>2882</v>
      </c>
    </row>
    <row r="2885" spans="27:31" x14ac:dyDescent="0.25">
      <c r="AA2885" s="160"/>
      <c r="AB2885" s="162"/>
      <c r="AC2885" s="162"/>
      <c r="AD2885" s="162">
        <f t="shared" si="65"/>
        <v>0</v>
      </c>
      <c r="AE2885" s="160">
        <v>2883</v>
      </c>
    </row>
    <row r="2886" spans="27:31" x14ac:dyDescent="0.25">
      <c r="AA2886" s="160"/>
      <c r="AB2886" s="162"/>
      <c r="AC2886" s="162"/>
      <c r="AD2886" s="162">
        <f t="shared" si="65"/>
        <v>0</v>
      </c>
      <c r="AE2886" s="160">
        <v>2884</v>
      </c>
    </row>
    <row r="2887" spans="27:31" x14ac:dyDescent="0.25">
      <c r="AA2887" s="160"/>
      <c r="AB2887" s="162"/>
      <c r="AC2887" s="162"/>
      <c r="AD2887" s="162">
        <f t="shared" si="65"/>
        <v>0</v>
      </c>
      <c r="AE2887" s="160">
        <v>2885</v>
      </c>
    </row>
    <row r="2888" spans="27:31" x14ac:dyDescent="0.25">
      <c r="AA2888" s="160"/>
      <c r="AB2888" s="162"/>
      <c r="AC2888" s="162"/>
      <c r="AD2888" s="162">
        <f t="shared" si="65"/>
        <v>0</v>
      </c>
      <c r="AE2888" s="160">
        <v>2886</v>
      </c>
    </row>
    <row r="2889" spans="27:31" x14ac:dyDescent="0.25">
      <c r="AA2889" s="160"/>
      <c r="AB2889" s="162"/>
      <c r="AC2889" s="162"/>
      <c r="AD2889" s="162">
        <f t="shared" si="65"/>
        <v>0</v>
      </c>
      <c r="AE2889" s="160">
        <v>2887</v>
      </c>
    </row>
    <row r="2890" spans="27:31" x14ac:dyDescent="0.25">
      <c r="AA2890" s="160"/>
      <c r="AB2890" s="162"/>
      <c r="AC2890" s="162"/>
      <c r="AD2890" s="162">
        <f t="shared" si="65"/>
        <v>0</v>
      </c>
      <c r="AE2890" s="160">
        <v>2888</v>
      </c>
    </row>
    <row r="2891" spans="27:31" x14ac:dyDescent="0.25">
      <c r="AA2891" s="160"/>
      <c r="AB2891" s="162"/>
      <c r="AC2891" s="162"/>
      <c r="AD2891" s="162">
        <f t="shared" si="65"/>
        <v>0</v>
      </c>
      <c r="AE2891" s="160">
        <v>2889</v>
      </c>
    </row>
    <row r="2892" spans="27:31" x14ac:dyDescent="0.25">
      <c r="AA2892" s="160"/>
      <c r="AB2892" s="162"/>
      <c r="AC2892" s="162"/>
      <c r="AD2892" s="162">
        <f t="shared" si="65"/>
        <v>0</v>
      </c>
      <c r="AE2892" s="160">
        <v>2890</v>
      </c>
    </row>
    <row r="2893" spans="27:31" x14ac:dyDescent="0.25">
      <c r="AA2893" s="160"/>
      <c r="AB2893" s="162"/>
      <c r="AC2893" s="162"/>
      <c r="AD2893" s="162">
        <f t="shared" si="65"/>
        <v>0</v>
      </c>
      <c r="AE2893" s="160">
        <v>2891</v>
      </c>
    </row>
    <row r="2894" spans="27:31" x14ac:dyDescent="0.25">
      <c r="AA2894" s="160"/>
      <c r="AB2894" s="162"/>
      <c r="AC2894" s="162"/>
      <c r="AD2894" s="162">
        <f t="shared" si="65"/>
        <v>0</v>
      </c>
      <c r="AE2894" s="160">
        <v>2892</v>
      </c>
    </row>
    <row r="2895" spans="27:31" x14ac:dyDescent="0.25">
      <c r="AA2895" s="160"/>
      <c r="AB2895" s="162"/>
      <c r="AC2895" s="162"/>
      <c r="AD2895" s="162">
        <f t="shared" si="65"/>
        <v>0</v>
      </c>
      <c r="AE2895" s="160">
        <v>2893</v>
      </c>
    </row>
    <row r="2896" spans="27:31" x14ac:dyDescent="0.25">
      <c r="AA2896" s="160"/>
      <c r="AB2896" s="162"/>
      <c r="AC2896" s="162"/>
      <c r="AD2896" s="162">
        <f t="shared" si="65"/>
        <v>0</v>
      </c>
      <c r="AE2896" s="160">
        <v>2894</v>
      </c>
    </row>
    <row r="2897" spans="27:31" x14ac:dyDescent="0.25">
      <c r="AA2897" s="160"/>
      <c r="AB2897" s="162"/>
      <c r="AC2897" s="162"/>
      <c r="AD2897" s="162">
        <f t="shared" si="65"/>
        <v>0</v>
      </c>
      <c r="AE2897" s="160">
        <v>2895</v>
      </c>
    </row>
    <row r="2898" spans="27:31" x14ac:dyDescent="0.25">
      <c r="AA2898" s="160"/>
      <c r="AB2898" s="162"/>
      <c r="AC2898" s="162"/>
      <c r="AD2898" s="162">
        <f t="shared" si="65"/>
        <v>0</v>
      </c>
      <c r="AE2898" s="160">
        <v>2896</v>
      </c>
    </row>
    <row r="2899" spans="27:31" x14ac:dyDescent="0.25">
      <c r="AA2899" s="160"/>
      <c r="AB2899" s="162"/>
      <c r="AC2899" s="162"/>
      <c r="AD2899" s="162">
        <f t="shared" si="65"/>
        <v>0</v>
      </c>
      <c r="AE2899" s="160">
        <v>2897</v>
      </c>
    </row>
    <row r="2900" spans="27:31" x14ac:dyDescent="0.25">
      <c r="AA2900" s="160"/>
      <c r="AB2900" s="162"/>
      <c r="AC2900" s="162"/>
      <c r="AD2900" s="162">
        <f t="shared" si="65"/>
        <v>0</v>
      </c>
      <c r="AE2900" s="160">
        <v>2898</v>
      </c>
    </row>
    <row r="2901" spans="27:31" x14ac:dyDescent="0.25">
      <c r="AA2901" s="160"/>
      <c r="AB2901" s="162"/>
      <c r="AC2901" s="162"/>
      <c r="AD2901" s="162">
        <f t="shared" si="65"/>
        <v>0</v>
      </c>
      <c r="AE2901" s="160">
        <v>2899</v>
      </c>
    </row>
    <row r="2902" spans="27:31" x14ac:dyDescent="0.25">
      <c r="AA2902" s="160"/>
      <c r="AB2902" s="162"/>
      <c r="AC2902" s="162"/>
      <c r="AD2902" s="162">
        <f t="shared" si="65"/>
        <v>0</v>
      </c>
      <c r="AE2902" s="160">
        <v>2900</v>
      </c>
    </row>
    <row r="2903" spans="27:31" x14ac:dyDescent="0.25">
      <c r="AA2903" s="160"/>
      <c r="AB2903" s="162"/>
      <c r="AC2903" s="162"/>
      <c r="AD2903" s="162">
        <f t="shared" si="65"/>
        <v>0</v>
      </c>
      <c r="AE2903" s="160">
        <v>2901</v>
      </c>
    </row>
    <row r="2904" spans="27:31" x14ac:dyDescent="0.25">
      <c r="AA2904" s="160"/>
      <c r="AB2904" s="162"/>
      <c r="AC2904" s="162"/>
      <c r="AD2904" s="162">
        <f t="shared" si="65"/>
        <v>0</v>
      </c>
      <c r="AE2904" s="160">
        <v>2902</v>
      </c>
    </row>
    <row r="2905" spans="27:31" x14ac:dyDescent="0.25">
      <c r="AA2905" s="160"/>
      <c r="AB2905" s="162"/>
      <c r="AC2905" s="162"/>
      <c r="AD2905" s="162">
        <f t="shared" si="65"/>
        <v>0</v>
      </c>
      <c r="AE2905" s="160">
        <v>2903</v>
      </c>
    </row>
    <row r="2906" spans="27:31" x14ac:dyDescent="0.25">
      <c r="AA2906" s="160"/>
      <c r="AB2906" s="162"/>
      <c r="AC2906" s="162"/>
      <c r="AD2906" s="162">
        <f t="shared" si="65"/>
        <v>0</v>
      </c>
      <c r="AE2906" s="160">
        <v>2904</v>
      </c>
    </row>
    <row r="2907" spans="27:31" x14ac:dyDescent="0.25">
      <c r="AA2907" s="160"/>
      <c r="AB2907" s="162"/>
      <c r="AC2907" s="162"/>
      <c r="AD2907" s="162">
        <f t="shared" si="65"/>
        <v>0</v>
      </c>
      <c r="AE2907" s="160">
        <v>2905</v>
      </c>
    </row>
    <row r="2908" spans="27:31" x14ac:dyDescent="0.25">
      <c r="AA2908" s="160"/>
      <c r="AB2908" s="162"/>
      <c r="AC2908" s="162"/>
      <c r="AD2908" s="162">
        <f t="shared" si="65"/>
        <v>0</v>
      </c>
      <c r="AE2908" s="160">
        <v>2906</v>
      </c>
    </row>
    <row r="2909" spans="27:31" x14ac:dyDescent="0.25">
      <c r="AA2909" s="160"/>
      <c r="AB2909" s="162"/>
      <c r="AC2909" s="162"/>
      <c r="AD2909" s="162">
        <f t="shared" si="65"/>
        <v>0</v>
      </c>
      <c r="AE2909" s="160">
        <v>2907</v>
      </c>
    </row>
    <row r="2910" spans="27:31" x14ac:dyDescent="0.25">
      <c r="AA2910" s="160"/>
      <c r="AB2910" s="162"/>
      <c r="AC2910" s="162"/>
      <c r="AD2910" s="162">
        <f t="shared" si="65"/>
        <v>0</v>
      </c>
      <c r="AE2910" s="160">
        <v>2908</v>
      </c>
    </row>
    <row r="2911" spans="27:31" x14ac:dyDescent="0.25">
      <c r="AA2911" s="160"/>
      <c r="AB2911" s="162"/>
      <c r="AC2911" s="162"/>
      <c r="AD2911" s="162">
        <f t="shared" si="65"/>
        <v>0</v>
      </c>
      <c r="AE2911" s="160">
        <v>2909</v>
      </c>
    </row>
    <row r="2912" spans="27:31" x14ac:dyDescent="0.25">
      <c r="AA2912" s="160"/>
      <c r="AB2912" s="162"/>
      <c r="AC2912" s="162"/>
      <c r="AD2912" s="162">
        <f t="shared" si="65"/>
        <v>0</v>
      </c>
      <c r="AE2912" s="160">
        <v>2910</v>
      </c>
    </row>
    <row r="2913" spans="27:31" x14ac:dyDescent="0.25">
      <c r="AA2913" s="160"/>
      <c r="AB2913" s="162"/>
      <c r="AC2913" s="162"/>
      <c r="AD2913" s="162">
        <f t="shared" si="65"/>
        <v>0</v>
      </c>
      <c r="AE2913" s="160">
        <v>2911</v>
      </c>
    </row>
    <row r="2914" spans="27:31" x14ac:dyDescent="0.25">
      <c r="AA2914" s="160"/>
      <c r="AB2914" s="162"/>
      <c r="AC2914" s="162"/>
      <c r="AD2914" s="162">
        <f t="shared" si="65"/>
        <v>0</v>
      </c>
      <c r="AE2914" s="160">
        <v>2912</v>
      </c>
    </row>
    <row r="2915" spans="27:31" x14ac:dyDescent="0.25">
      <c r="AA2915" s="160"/>
      <c r="AB2915" s="162"/>
      <c r="AC2915" s="162"/>
      <c r="AD2915" s="162">
        <f t="shared" si="65"/>
        <v>0</v>
      </c>
      <c r="AE2915" s="160">
        <v>2913</v>
      </c>
    </row>
    <row r="2916" spans="27:31" x14ac:dyDescent="0.25">
      <c r="AA2916" s="160"/>
      <c r="AB2916" s="162"/>
      <c r="AC2916" s="162"/>
      <c r="AD2916" s="162">
        <f t="shared" si="65"/>
        <v>0</v>
      </c>
      <c r="AE2916" s="160">
        <v>2914</v>
      </c>
    </row>
    <row r="2917" spans="27:31" x14ac:dyDescent="0.25">
      <c r="AA2917" s="160"/>
      <c r="AB2917" s="162"/>
      <c r="AC2917" s="162"/>
      <c r="AD2917" s="162">
        <f t="shared" si="65"/>
        <v>0</v>
      </c>
      <c r="AE2917" s="160">
        <v>2915</v>
      </c>
    </row>
    <row r="2918" spans="27:31" x14ac:dyDescent="0.25">
      <c r="AA2918" s="160"/>
      <c r="AB2918" s="162"/>
      <c r="AC2918" s="162"/>
      <c r="AD2918" s="162">
        <f t="shared" si="65"/>
        <v>0</v>
      </c>
      <c r="AE2918" s="160">
        <v>2916</v>
      </c>
    </row>
    <row r="2919" spans="27:31" x14ac:dyDescent="0.25">
      <c r="AA2919" s="160"/>
      <c r="AB2919" s="162"/>
      <c r="AC2919" s="162"/>
      <c r="AD2919" s="162">
        <f t="shared" si="65"/>
        <v>0</v>
      </c>
      <c r="AE2919" s="160">
        <v>2917</v>
      </c>
    </row>
    <row r="2920" spans="27:31" x14ac:dyDescent="0.25">
      <c r="AA2920" s="160"/>
      <c r="AB2920" s="162"/>
      <c r="AC2920" s="162"/>
      <c r="AD2920" s="162">
        <f t="shared" si="65"/>
        <v>0</v>
      </c>
      <c r="AE2920" s="160">
        <v>2918</v>
      </c>
    </row>
    <row r="2921" spans="27:31" x14ac:dyDescent="0.25">
      <c r="AA2921" s="160"/>
      <c r="AB2921" s="162"/>
      <c r="AC2921" s="162"/>
      <c r="AD2921" s="162">
        <f t="shared" si="65"/>
        <v>0</v>
      </c>
      <c r="AE2921" s="160">
        <v>2919</v>
      </c>
    </row>
    <row r="2922" spans="27:31" x14ac:dyDescent="0.25">
      <c r="AA2922" s="160"/>
      <c r="AB2922" s="162"/>
      <c r="AC2922" s="162"/>
      <c r="AD2922" s="162">
        <f t="shared" si="65"/>
        <v>0</v>
      </c>
      <c r="AE2922" s="160">
        <v>2920</v>
      </c>
    </row>
    <row r="2923" spans="27:31" x14ac:dyDescent="0.25">
      <c r="AA2923" s="160"/>
      <c r="AB2923" s="162"/>
      <c r="AC2923" s="162"/>
      <c r="AD2923" s="162">
        <f t="shared" si="65"/>
        <v>0</v>
      </c>
      <c r="AE2923" s="160">
        <v>2921</v>
      </c>
    </row>
    <row r="2924" spans="27:31" x14ac:dyDescent="0.25">
      <c r="AA2924" s="160"/>
      <c r="AB2924" s="162"/>
      <c r="AC2924" s="162"/>
      <c r="AD2924" s="162">
        <f t="shared" si="65"/>
        <v>0</v>
      </c>
      <c r="AE2924" s="160">
        <v>2922</v>
      </c>
    </row>
    <row r="2925" spans="27:31" x14ac:dyDescent="0.25">
      <c r="AA2925" s="160"/>
      <c r="AB2925" s="162"/>
      <c r="AC2925" s="162"/>
      <c r="AD2925" s="162">
        <f t="shared" si="65"/>
        <v>0</v>
      </c>
      <c r="AE2925" s="160">
        <v>2923</v>
      </c>
    </row>
    <row r="2926" spans="27:31" x14ac:dyDescent="0.25">
      <c r="AA2926" s="160"/>
      <c r="AB2926" s="162"/>
      <c r="AC2926" s="162"/>
      <c r="AD2926" s="162">
        <f t="shared" si="65"/>
        <v>0</v>
      </c>
      <c r="AE2926" s="160">
        <v>2924</v>
      </c>
    </row>
    <row r="2927" spans="27:31" x14ac:dyDescent="0.25">
      <c r="AA2927" s="160"/>
      <c r="AB2927" s="162"/>
      <c r="AC2927" s="162"/>
      <c r="AD2927" s="162">
        <f t="shared" si="65"/>
        <v>0</v>
      </c>
      <c r="AE2927" s="160">
        <v>2925</v>
      </c>
    </row>
    <row r="2928" spans="27:31" x14ac:dyDescent="0.25">
      <c r="AA2928" s="160"/>
      <c r="AB2928" s="162"/>
      <c r="AC2928" s="162"/>
      <c r="AD2928" s="162">
        <f t="shared" si="65"/>
        <v>0</v>
      </c>
      <c r="AE2928" s="160">
        <v>2926</v>
      </c>
    </row>
    <row r="2929" spans="27:31" x14ac:dyDescent="0.25">
      <c r="AA2929" s="160"/>
      <c r="AB2929" s="162"/>
      <c r="AC2929" s="162"/>
      <c r="AD2929" s="162">
        <f t="shared" si="65"/>
        <v>0</v>
      </c>
      <c r="AE2929" s="160">
        <v>2927</v>
      </c>
    </row>
    <row r="2930" spans="27:31" x14ac:dyDescent="0.25">
      <c r="AA2930" s="160"/>
      <c r="AB2930" s="162"/>
      <c r="AC2930" s="162"/>
      <c r="AD2930" s="162">
        <f t="shared" si="65"/>
        <v>0</v>
      </c>
      <c r="AE2930" s="160">
        <v>2928</v>
      </c>
    </row>
    <row r="2931" spans="27:31" x14ac:dyDescent="0.25">
      <c r="AA2931" s="160"/>
      <c r="AB2931" s="162"/>
      <c r="AC2931" s="162"/>
      <c r="AD2931" s="162">
        <f t="shared" si="65"/>
        <v>0</v>
      </c>
      <c r="AE2931" s="160">
        <v>2929</v>
      </c>
    </row>
    <row r="2932" spans="27:31" x14ac:dyDescent="0.25">
      <c r="AA2932" s="160"/>
      <c r="AB2932" s="162"/>
      <c r="AC2932" s="162"/>
      <c r="AD2932" s="162">
        <f t="shared" si="65"/>
        <v>0</v>
      </c>
      <c r="AE2932" s="160">
        <v>2930</v>
      </c>
    </row>
    <row r="2933" spans="27:31" x14ac:dyDescent="0.25">
      <c r="AA2933" s="160"/>
      <c r="AB2933" s="162"/>
      <c r="AC2933" s="162"/>
      <c r="AD2933" s="162">
        <f t="shared" si="65"/>
        <v>0</v>
      </c>
      <c r="AE2933" s="160">
        <v>2931</v>
      </c>
    </row>
    <row r="2934" spans="27:31" x14ac:dyDescent="0.25">
      <c r="AA2934" s="160"/>
      <c r="AB2934" s="162"/>
      <c r="AC2934" s="162"/>
      <c r="AD2934" s="162">
        <f t="shared" si="65"/>
        <v>0</v>
      </c>
      <c r="AE2934" s="160">
        <v>2932</v>
      </c>
    </row>
    <row r="2935" spans="27:31" x14ac:dyDescent="0.25">
      <c r="AA2935" s="160"/>
      <c r="AB2935" s="162"/>
      <c r="AC2935" s="162"/>
      <c r="AD2935" s="162">
        <f t="shared" si="65"/>
        <v>0</v>
      </c>
      <c r="AE2935" s="160">
        <v>2933</v>
      </c>
    </row>
    <row r="2936" spans="27:31" x14ac:dyDescent="0.25">
      <c r="AA2936" s="160"/>
      <c r="AB2936" s="162"/>
      <c r="AC2936" s="162"/>
      <c r="AD2936" s="162">
        <f t="shared" si="65"/>
        <v>0</v>
      </c>
      <c r="AE2936" s="160">
        <v>2934</v>
      </c>
    </row>
    <row r="2937" spans="27:31" x14ac:dyDescent="0.25">
      <c r="AA2937" s="160"/>
      <c r="AB2937" s="162"/>
      <c r="AC2937" s="162"/>
      <c r="AD2937" s="162">
        <f t="shared" si="65"/>
        <v>0</v>
      </c>
      <c r="AE2937" s="160">
        <v>2935</v>
      </c>
    </row>
    <row r="2938" spans="27:31" x14ac:dyDescent="0.25">
      <c r="AA2938" s="160"/>
      <c r="AB2938" s="162"/>
      <c r="AC2938" s="162"/>
      <c r="AD2938" s="162">
        <f t="shared" si="65"/>
        <v>0</v>
      </c>
      <c r="AE2938" s="160">
        <v>2936</v>
      </c>
    </row>
    <row r="2939" spans="27:31" x14ac:dyDescent="0.25">
      <c r="AA2939" s="160"/>
      <c r="AB2939" s="162"/>
      <c r="AC2939" s="162"/>
      <c r="AD2939" s="162">
        <f t="shared" si="65"/>
        <v>0</v>
      </c>
      <c r="AE2939" s="160">
        <v>2937</v>
      </c>
    </row>
    <row r="2940" spans="27:31" x14ac:dyDescent="0.25">
      <c r="AA2940" s="160"/>
      <c r="AB2940" s="162"/>
      <c r="AC2940" s="162"/>
      <c r="AD2940" s="162">
        <f t="shared" si="65"/>
        <v>0</v>
      </c>
      <c r="AE2940" s="160">
        <v>2938</v>
      </c>
    </row>
    <row r="2941" spans="27:31" x14ac:dyDescent="0.25">
      <c r="AA2941" s="160"/>
      <c r="AB2941" s="162"/>
      <c r="AC2941" s="162"/>
      <c r="AD2941" s="162">
        <f t="shared" si="65"/>
        <v>0</v>
      </c>
      <c r="AE2941" s="160">
        <v>2939</v>
      </c>
    </row>
    <row r="2942" spans="27:31" x14ac:dyDescent="0.25">
      <c r="AA2942" s="160"/>
      <c r="AB2942" s="162"/>
      <c r="AC2942" s="162"/>
      <c r="AD2942" s="162">
        <f t="shared" si="65"/>
        <v>0</v>
      </c>
      <c r="AE2942" s="160">
        <v>2940</v>
      </c>
    </row>
    <row r="2943" spans="27:31" x14ac:dyDescent="0.25">
      <c r="AA2943" s="160"/>
      <c r="AB2943" s="162"/>
      <c r="AC2943" s="162"/>
      <c r="AD2943" s="162">
        <f t="shared" si="65"/>
        <v>0</v>
      </c>
      <c r="AE2943" s="160">
        <v>2941</v>
      </c>
    </row>
    <row r="2944" spans="27:31" x14ac:dyDescent="0.25">
      <c r="AA2944" s="160"/>
      <c r="AB2944" s="162"/>
      <c r="AC2944" s="162"/>
      <c r="AD2944" s="162">
        <f t="shared" si="65"/>
        <v>0</v>
      </c>
      <c r="AE2944" s="160">
        <v>2942</v>
      </c>
    </row>
    <row r="2945" spans="27:31" x14ac:dyDescent="0.25">
      <c r="AA2945" s="160"/>
      <c r="AB2945" s="162"/>
      <c r="AC2945" s="162"/>
      <c r="AD2945" s="162">
        <f t="shared" si="65"/>
        <v>0</v>
      </c>
      <c r="AE2945" s="160">
        <v>2943</v>
      </c>
    </row>
    <row r="2946" spans="27:31" x14ac:dyDescent="0.25">
      <c r="AA2946" s="160"/>
      <c r="AB2946" s="162"/>
      <c r="AC2946" s="162"/>
      <c r="AD2946" s="162">
        <f t="shared" si="65"/>
        <v>0</v>
      </c>
      <c r="AE2946" s="160">
        <v>2944</v>
      </c>
    </row>
    <row r="2947" spans="27:31" x14ac:dyDescent="0.25">
      <c r="AA2947" s="160"/>
      <c r="AB2947" s="162"/>
      <c r="AC2947" s="162"/>
      <c r="AD2947" s="162">
        <f t="shared" si="65"/>
        <v>0</v>
      </c>
      <c r="AE2947" s="160">
        <v>2945</v>
      </c>
    </row>
    <row r="2948" spans="27:31" x14ac:dyDescent="0.25">
      <c r="AA2948" s="160"/>
      <c r="AB2948" s="162"/>
      <c r="AC2948" s="162"/>
      <c r="AD2948" s="162">
        <f t="shared" ref="AD2948:AD3011" si="66">AB2948+AC2948</f>
        <v>0</v>
      </c>
      <c r="AE2948" s="160">
        <v>2946</v>
      </c>
    </row>
    <row r="2949" spans="27:31" x14ac:dyDescent="0.25">
      <c r="AA2949" s="160"/>
      <c r="AB2949" s="162"/>
      <c r="AC2949" s="162"/>
      <c r="AD2949" s="162">
        <f t="shared" si="66"/>
        <v>0</v>
      </c>
      <c r="AE2949" s="160">
        <v>2947</v>
      </c>
    </row>
    <row r="2950" spans="27:31" x14ac:dyDescent="0.25">
      <c r="AA2950" s="160"/>
      <c r="AB2950" s="162"/>
      <c r="AC2950" s="162"/>
      <c r="AD2950" s="162">
        <f t="shared" si="66"/>
        <v>0</v>
      </c>
      <c r="AE2950" s="160">
        <v>2948</v>
      </c>
    </row>
    <row r="2951" spans="27:31" x14ac:dyDescent="0.25">
      <c r="AA2951" s="160"/>
      <c r="AB2951" s="162"/>
      <c r="AC2951" s="162"/>
      <c r="AD2951" s="162">
        <f t="shared" si="66"/>
        <v>0</v>
      </c>
      <c r="AE2951" s="160">
        <v>2949</v>
      </c>
    </row>
    <row r="2952" spans="27:31" x14ac:dyDescent="0.25">
      <c r="AA2952" s="160"/>
      <c r="AB2952" s="162"/>
      <c r="AC2952" s="162"/>
      <c r="AD2952" s="162">
        <f t="shared" si="66"/>
        <v>0</v>
      </c>
      <c r="AE2952" s="160">
        <v>2950</v>
      </c>
    </row>
    <row r="2953" spans="27:31" x14ac:dyDescent="0.25">
      <c r="AA2953" s="160"/>
      <c r="AB2953" s="162"/>
      <c r="AC2953" s="162"/>
      <c r="AD2953" s="162">
        <f t="shared" si="66"/>
        <v>0</v>
      </c>
      <c r="AE2953" s="160">
        <v>2951</v>
      </c>
    </row>
    <row r="2954" spans="27:31" x14ac:dyDescent="0.25">
      <c r="AA2954" s="160"/>
      <c r="AB2954" s="162"/>
      <c r="AC2954" s="162"/>
      <c r="AD2954" s="162">
        <f t="shared" si="66"/>
        <v>0</v>
      </c>
      <c r="AE2954" s="160">
        <v>2952</v>
      </c>
    </row>
    <row r="2955" spans="27:31" x14ac:dyDescent="0.25">
      <c r="AA2955" s="160"/>
      <c r="AB2955" s="162"/>
      <c r="AC2955" s="162"/>
      <c r="AD2955" s="162">
        <f t="shared" si="66"/>
        <v>0</v>
      </c>
      <c r="AE2955" s="160">
        <v>2953</v>
      </c>
    </row>
    <row r="2956" spans="27:31" x14ac:dyDescent="0.25">
      <c r="AA2956" s="160"/>
      <c r="AB2956" s="162"/>
      <c r="AC2956" s="162"/>
      <c r="AD2956" s="162">
        <f t="shared" si="66"/>
        <v>0</v>
      </c>
      <c r="AE2956" s="160">
        <v>2954</v>
      </c>
    </row>
    <row r="2957" spans="27:31" x14ac:dyDescent="0.25">
      <c r="AA2957" s="160"/>
      <c r="AB2957" s="162"/>
      <c r="AC2957" s="162"/>
      <c r="AD2957" s="162">
        <f t="shared" si="66"/>
        <v>0</v>
      </c>
      <c r="AE2957" s="160">
        <v>2955</v>
      </c>
    </row>
    <row r="2958" spans="27:31" x14ac:dyDescent="0.25">
      <c r="AA2958" s="160"/>
      <c r="AB2958" s="162"/>
      <c r="AC2958" s="162"/>
      <c r="AD2958" s="162">
        <f t="shared" si="66"/>
        <v>0</v>
      </c>
      <c r="AE2958" s="160">
        <v>2956</v>
      </c>
    </row>
    <row r="2959" spans="27:31" x14ac:dyDescent="0.25">
      <c r="AA2959" s="160"/>
      <c r="AB2959" s="162"/>
      <c r="AC2959" s="162"/>
      <c r="AD2959" s="162">
        <f t="shared" si="66"/>
        <v>0</v>
      </c>
      <c r="AE2959" s="160">
        <v>2957</v>
      </c>
    </row>
    <row r="2960" spans="27:31" x14ac:dyDescent="0.25">
      <c r="AA2960" s="160"/>
      <c r="AB2960" s="162"/>
      <c r="AC2960" s="162"/>
      <c r="AD2960" s="162">
        <f t="shared" si="66"/>
        <v>0</v>
      </c>
      <c r="AE2960" s="160">
        <v>2958</v>
      </c>
    </row>
    <row r="2961" spans="27:31" x14ac:dyDescent="0.25">
      <c r="AA2961" s="160"/>
      <c r="AB2961" s="162"/>
      <c r="AC2961" s="162"/>
      <c r="AD2961" s="162">
        <f t="shared" si="66"/>
        <v>0</v>
      </c>
      <c r="AE2961" s="160">
        <v>2959</v>
      </c>
    </row>
    <row r="2962" spans="27:31" x14ac:dyDescent="0.25">
      <c r="AA2962" s="160"/>
      <c r="AB2962" s="162"/>
      <c r="AC2962" s="162"/>
      <c r="AD2962" s="162">
        <f t="shared" si="66"/>
        <v>0</v>
      </c>
      <c r="AE2962" s="160">
        <v>2960</v>
      </c>
    </row>
    <row r="2963" spans="27:31" x14ac:dyDescent="0.25">
      <c r="AA2963" s="160"/>
      <c r="AB2963" s="162"/>
      <c r="AC2963" s="162"/>
      <c r="AD2963" s="162">
        <f t="shared" si="66"/>
        <v>0</v>
      </c>
      <c r="AE2963" s="160">
        <v>2961</v>
      </c>
    </row>
    <row r="2964" spans="27:31" x14ac:dyDescent="0.25">
      <c r="AA2964" s="160"/>
      <c r="AB2964" s="162"/>
      <c r="AC2964" s="162"/>
      <c r="AD2964" s="162">
        <f t="shared" si="66"/>
        <v>0</v>
      </c>
      <c r="AE2964" s="160">
        <v>2962</v>
      </c>
    </row>
    <row r="2965" spans="27:31" x14ac:dyDescent="0.25">
      <c r="AA2965" s="160"/>
      <c r="AB2965" s="162"/>
      <c r="AC2965" s="162"/>
      <c r="AD2965" s="162">
        <f t="shared" si="66"/>
        <v>0</v>
      </c>
      <c r="AE2965" s="160">
        <v>2963</v>
      </c>
    </row>
    <row r="2966" spans="27:31" x14ac:dyDescent="0.25">
      <c r="AA2966" s="160"/>
      <c r="AB2966" s="162"/>
      <c r="AC2966" s="162"/>
      <c r="AD2966" s="162">
        <f t="shared" si="66"/>
        <v>0</v>
      </c>
      <c r="AE2966" s="160">
        <v>2964</v>
      </c>
    </row>
    <row r="2967" spans="27:31" x14ac:dyDescent="0.25">
      <c r="AA2967" s="160"/>
      <c r="AB2967" s="162"/>
      <c r="AC2967" s="162"/>
      <c r="AD2967" s="162">
        <f t="shared" si="66"/>
        <v>0</v>
      </c>
      <c r="AE2967" s="160">
        <v>2965</v>
      </c>
    </row>
    <row r="2968" spans="27:31" x14ac:dyDescent="0.25">
      <c r="AA2968" s="160"/>
      <c r="AB2968" s="162"/>
      <c r="AC2968" s="162"/>
      <c r="AD2968" s="162">
        <f t="shared" si="66"/>
        <v>0</v>
      </c>
      <c r="AE2968" s="160">
        <v>2966</v>
      </c>
    </row>
    <row r="2969" spans="27:31" x14ac:dyDescent="0.25">
      <c r="AA2969" s="160"/>
      <c r="AB2969" s="162"/>
      <c r="AC2969" s="162"/>
      <c r="AD2969" s="162">
        <f t="shared" si="66"/>
        <v>0</v>
      </c>
      <c r="AE2969" s="160">
        <v>2967</v>
      </c>
    </row>
    <row r="2970" spans="27:31" x14ac:dyDescent="0.25">
      <c r="AA2970" s="160"/>
      <c r="AB2970" s="162"/>
      <c r="AC2970" s="162"/>
      <c r="AD2970" s="162">
        <f t="shared" si="66"/>
        <v>0</v>
      </c>
      <c r="AE2970" s="160">
        <v>2968</v>
      </c>
    </row>
    <row r="2971" spans="27:31" x14ac:dyDescent="0.25">
      <c r="AA2971" s="160"/>
      <c r="AB2971" s="162"/>
      <c r="AC2971" s="162"/>
      <c r="AD2971" s="162">
        <f t="shared" si="66"/>
        <v>0</v>
      </c>
      <c r="AE2971" s="160">
        <v>2969</v>
      </c>
    </row>
    <row r="2972" spans="27:31" x14ac:dyDescent="0.25">
      <c r="AA2972" s="160"/>
      <c r="AB2972" s="162"/>
      <c r="AC2972" s="162"/>
      <c r="AD2972" s="162">
        <f t="shared" si="66"/>
        <v>0</v>
      </c>
      <c r="AE2972" s="160">
        <v>2970</v>
      </c>
    </row>
    <row r="2973" spans="27:31" x14ac:dyDescent="0.25">
      <c r="AA2973" s="160"/>
      <c r="AB2973" s="162"/>
      <c r="AC2973" s="162"/>
      <c r="AD2973" s="162">
        <f t="shared" si="66"/>
        <v>0</v>
      </c>
      <c r="AE2973" s="160">
        <v>2971</v>
      </c>
    </row>
    <row r="2974" spans="27:31" x14ac:dyDescent="0.25">
      <c r="AA2974" s="160"/>
      <c r="AB2974" s="162"/>
      <c r="AC2974" s="162"/>
      <c r="AD2974" s="162">
        <f t="shared" si="66"/>
        <v>0</v>
      </c>
      <c r="AE2974" s="160">
        <v>2972</v>
      </c>
    </row>
    <row r="2975" spans="27:31" x14ac:dyDescent="0.25">
      <c r="AA2975" s="160"/>
      <c r="AB2975" s="162"/>
      <c r="AC2975" s="162"/>
      <c r="AD2975" s="162">
        <f t="shared" si="66"/>
        <v>0</v>
      </c>
      <c r="AE2975" s="160">
        <v>2973</v>
      </c>
    </row>
    <row r="2976" spans="27:31" x14ac:dyDescent="0.25">
      <c r="AA2976" s="160"/>
      <c r="AB2976" s="162"/>
      <c r="AC2976" s="162"/>
      <c r="AD2976" s="162">
        <f t="shared" si="66"/>
        <v>0</v>
      </c>
      <c r="AE2976" s="160">
        <v>2974</v>
      </c>
    </row>
    <row r="2977" spans="27:31" x14ac:dyDescent="0.25">
      <c r="AA2977" s="160"/>
      <c r="AB2977" s="162"/>
      <c r="AC2977" s="162"/>
      <c r="AD2977" s="162">
        <f t="shared" si="66"/>
        <v>0</v>
      </c>
      <c r="AE2977" s="160">
        <v>2975</v>
      </c>
    </row>
    <row r="2978" spans="27:31" x14ac:dyDescent="0.25">
      <c r="AA2978" s="160"/>
      <c r="AB2978" s="162"/>
      <c r="AC2978" s="162"/>
      <c r="AD2978" s="162">
        <f t="shared" si="66"/>
        <v>0</v>
      </c>
      <c r="AE2978" s="160">
        <v>2976</v>
      </c>
    </row>
    <row r="2979" spans="27:31" x14ac:dyDescent="0.25">
      <c r="AA2979" s="160"/>
      <c r="AB2979" s="162"/>
      <c r="AC2979" s="162"/>
      <c r="AD2979" s="162">
        <f t="shared" si="66"/>
        <v>0</v>
      </c>
      <c r="AE2979" s="160">
        <v>2977</v>
      </c>
    </row>
    <row r="2980" spans="27:31" x14ac:dyDescent="0.25">
      <c r="AA2980" s="160"/>
      <c r="AB2980" s="162"/>
      <c r="AC2980" s="162"/>
      <c r="AD2980" s="162">
        <f t="shared" si="66"/>
        <v>0</v>
      </c>
      <c r="AE2980" s="160">
        <v>2978</v>
      </c>
    </row>
    <row r="2981" spans="27:31" x14ac:dyDescent="0.25">
      <c r="AA2981" s="160"/>
      <c r="AB2981" s="162"/>
      <c r="AC2981" s="162"/>
      <c r="AD2981" s="162">
        <f t="shared" si="66"/>
        <v>0</v>
      </c>
      <c r="AE2981" s="160">
        <v>2979</v>
      </c>
    </row>
    <row r="2982" spans="27:31" x14ac:dyDescent="0.25">
      <c r="AA2982" s="160"/>
      <c r="AB2982" s="162"/>
      <c r="AC2982" s="162"/>
      <c r="AD2982" s="162">
        <f t="shared" si="66"/>
        <v>0</v>
      </c>
      <c r="AE2982" s="160">
        <v>2980</v>
      </c>
    </row>
    <row r="2983" spans="27:31" x14ac:dyDescent="0.25">
      <c r="AA2983" s="160"/>
      <c r="AB2983" s="162"/>
      <c r="AC2983" s="162"/>
      <c r="AD2983" s="162">
        <f t="shared" si="66"/>
        <v>0</v>
      </c>
      <c r="AE2983" s="160">
        <v>2981</v>
      </c>
    </row>
    <row r="2984" spans="27:31" x14ac:dyDescent="0.25">
      <c r="AA2984" s="160"/>
      <c r="AB2984" s="162"/>
      <c r="AC2984" s="162"/>
      <c r="AD2984" s="162">
        <f t="shared" si="66"/>
        <v>0</v>
      </c>
      <c r="AE2984" s="160">
        <v>2982</v>
      </c>
    </row>
    <row r="2985" spans="27:31" x14ac:dyDescent="0.25">
      <c r="AA2985" s="160"/>
      <c r="AB2985" s="162"/>
      <c r="AC2985" s="162"/>
      <c r="AD2985" s="162">
        <f t="shared" si="66"/>
        <v>0</v>
      </c>
      <c r="AE2985" s="160">
        <v>2983</v>
      </c>
    </row>
    <row r="2986" spans="27:31" x14ac:dyDescent="0.25">
      <c r="AA2986" s="160"/>
      <c r="AB2986" s="162"/>
      <c r="AC2986" s="162"/>
      <c r="AD2986" s="162">
        <f t="shared" si="66"/>
        <v>0</v>
      </c>
      <c r="AE2986" s="160">
        <v>2984</v>
      </c>
    </row>
    <row r="2987" spans="27:31" x14ac:dyDescent="0.25">
      <c r="AA2987" s="160"/>
      <c r="AB2987" s="162"/>
      <c r="AC2987" s="162"/>
      <c r="AD2987" s="162">
        <f t="shared" si="66"/>
        <v>0</v>
      </c>
      <c r="AE2987" s="160">
        <v>2985</v>
      </c>
    </row>
    <row r="2988" spans="27:31" x14ac:dyDescent="0.25">
      <c r="AA2988" s="160"/>
      <c r="AB2988" s="162"/>
      <c r="AC2988" s="162"/>
      <c r="AD2988" s="162">
        <f t="shared" si="66"/>
        <v>0</v>
      </c>
      <c r="AE2988" s="160">
        <v>2986</v>
      </c>
    </row>
    <row r="2989" spans="27:31" x14ac:dyDescent="0.25">
      <c r="AA2989" s="160"/>
      <c r="AB2989" s="162"/>
      <c r="AC2989" s="162"/>
      <c r="AD2989" s="162">
        <f t="shared" si="66"/>
        <v>0</v>
      </c>
      <c r="AE2989" s="160">
        <v>2987</v>
      </c>
    </row>
    <row r="2990" spans="27:31" x14ac:dyDescent="0.25">
      <c r="AA2990" s="160"/>
      <c r="AB2990" s="162"/>
      <c r="AC2990" s="162"/>
      <c r="AD2990" s="162">
        <f t="shared" si="66"/>
        <v>0</v>
      </c>
      <c r="AE2990" s="160">
        <v>2988</v>
      </c>
    </row>
    <row r="2991" spans="27:31" x14ac:dyDescent="0.25">
      <c r="AA2991" s="160"/>
      <c r="AB2991" s="162"/>
      <c r="AC2991" s="162"/>
      <c r="AD2991" s="162">
        <f t="shared" si="66"/>
        <v>0</v>
      </c>
      <c r="AE2991" s="160">
        <v>2989</v>
      </c>
    </row>
    <row r="2992" spans="27:31" x14ac:dyDescent="0.25">
      <c r="AA2992" s="160"/>
      <c r="AB2992" s="162"/>
      <c r="AC2992" s="162"/>
      <c r="AD2992" s="162">
        <f t="shared" si="66"/>
        <v>0</v>
      </c>
      <c r="AE2992" s="160">
        <v>2990</v>
      </c>
    </row>
    <row r="2993" spans="27:31" x14ac:dyDescent="0.25">
      <c r="AA2993" s="160"/>
      <c r="AB2993" s="162"/>
      <c r="AC2993" s="162"/>
      <c r="AD2993" s="162">
        <f t="shared" si="66"/>
        <v>0</v>
      </c>
      <c r="AE2993" s="160">
        <v>2991</v>
      </c>
    </row>
    <row r="2994" spans="27:31" x14ac:dyDescent="0.25">
      <c r="AA2994" s="160"/>
      <c r="AB2994" s="162"/>
      <c r="AC2994" s="162"/>
      <c r="AD2994" s="162">
        <f t="shared" si="66"/>
        <v>0</v>
      </c>
      <c r="AE2994" s="160">
        <v>2992</v>
      </c>
    </row>
    <row r="2995" spans="27:31" x14ac:dyDescent="0.25">
      <c r="AA2995" s="160"/>
      <c r="AB2995" s="162"/>
      <c r="AC2995" s="162"/>
      <c r="AD2995" s="162">
        <f t="shared" si="66"/>
        <v>0</v>
      </c>
      <c r="AE2995" s="160">
        <v>2993</v>
      </c>
    </row>
    <row r="2996" spans="27:31" x14ac:dyDescent="0.25">
      <c r="AA2996" s="160"/>
      <c r="AB2996" s="162"/>
      <c r="AC2996" s="162"/>
      <c r="AD2996" s="162">
        <f t="shared" si="66"/>
        <v>0</v>
      </c>
      <c r="AE2996" s="160">
        <v>2994</v>
      </c>
    </row>
    <row r="2997" spans="27:31" x14ac:dyDescent="0.25">
      <c r="AA2997" s="160"/>
      <c r="AB2997" s="162"/>
      <c r="AC2997" s="162"/>
      <c r="AD2997" s="162">
        <f t="shared" si="66"/>
        <v>0</v>
      </c>
      <c r="AE2997" s="160">
        <v>2995</v>
      </c>
    </row>
    <row r="2998" spans="27:31" x14ac:dyDescent="0.25">
      <c r="AA2998" s="160"/>
      <c r="AB2998" s="162"/>
      <c r="AC2998" s="162"/>
      <c r="AD2998" s="162">
        <f t="shared" si="66"/>
        <v>0</v>
      </c>
      <c r="AE2998" s="160">
        <v>2996</v>
      </c>
    </row>
    <row r="2999" spans="27:31" x14ac:dyDescent="0.25">
      <c r="AA2999" s="160"/>
      <c r="AB2999" s="162"/>
      <c r="AC2999" s="162"/>
      <c r="AD2999" s="162">
        <f t="shared" si="66"/>
        <v>0</v>
      </c>
      <c r="AE2999" s="160">
        <v>2997</v>
      </c>
    </row>
    <row r="3000" spans="27:31" x14ac:dyDescent="0.25">
      <c r="AA3000" s="160"/>
      <c r="AB3000" s="162"/>
      <c r="AC3000" s="162"/>
      <c r="AD3000" s="162">
        <f t="shared" si="66"/>
        <v>0</v>
      </c>
      <c r="AE3000" s="160">
        <v>2998</v>
      </c>
    </row>
    <row r="3001" spans="27:31" x14ac:dyDescent="0.25">
      <c r="AA3001" s="160"/>
      <c r="AB3001" s="162"/>
      <c r="AC3001" s="162"/>
      <c r="AD3001" s="162">
        <f t="shared" si="66"/>
        <v>0</v>
      </c>
      <c r="AE3001" s="160">
        <v>2999</v>
      </c>
    </row>
    <row r="3002" spans="27:31" x14ac:dyDescent="0.25">
      <c r="AA3002" s="160"/>
      <c r="AB3002" s="162"/>
      <c r="AC3002" s="162"/>
      <c r="AD3002" s="162">
        <f t="shared" si="66"/>
        <v>0</v>
      </c>
      <c r="AE3002" s="160">
        <v>3000</v>
      </c>
    </row>
    <row r="3003" spans="27:31" x14ac:dyDescent="0.25">
      <c r="AA3003" s="160"/>
      <c r="AB3003" s="162"/>
      <c r="AC3003" s="162"/>
      <c r="AD3003" s="162">
        <f t="shared" si="66"/>
        <v>0</v>
      </c>
      <c r="AE3003" s="160">
        <v>3001</v>
      </c>
    </row>
    <row r="3004" spans="27:31" x14ac:dyDescent="0.25">
      <c r="AA3004" s="160"/>
      <c r="AB3004" s="162"/>
      <c r="AC3004" s="162"/>
      <c r="AD3004" s="162">
        <f t="shared" si="66"/>
        <v>0</v>
      </c>
      <c r="AE3004" s="160">
        <v>3002</v>
      </c>
    </row>
    <row r="3005" spans="27:31" x14ac:dyDescent="0.25">
      <c r="AA3005" s="160"/>
      <c r="AB3005" s="162"/>
      <c r="AC3005" s="162"/>
      <c r="AD3005" s="162">
        <f t="shared" si="66"/>
        <v>0</v>
      </c>
      <c r="AE3005" s="160">
        <v>3003</v>
      </c>
    </row>
    <row r="3006" spans="27:31" x14ac:dyDescent="0.25">
      <c r="AA3006" s="160"/>
      <c r="AB3006" s="162"/>
      <c r="AC3006" s="162"/>
      <c r="AD3006" s="162">
        <f t="shared" si="66"/>
        <v>0</v>
      </c>
      <c r="AE3006" s="160">
        <v>3004</v>
      </c>
    </row>
    <row r="3007" spans="27:31" x14ac:dyDescent="0.25">
      <c r="AA3007" s="160"/>
      <c r="AB3007" s="162"/>
      <c r="AC3007" s="162"/>
      <c r="AD3007" s="162">
        <f t="shared" si="66"/>
        <v>0</v>
      </c>
      <c r="AE3007" s="160">
        <v>3005</v>
      </c>
    </row>
    <row r="3008" spans="27:31" x14ac:dyDescent="0.25">
      <c r="AA3008" s="160"/>
      <c r="AB3008" s="162"/>
      <c r="AC3008" s="162"/>
      <c r="AD3008" s="162">
        <f t="shared" si="66"/>
        <v>0</v>
      </c>
      <c r="AE3008" s="160">
        <v>3006</v>
      </c>
    </row>
    <row r="3009" spans="27:31" x14ac:dyDescent="0.25">
      <c r="AA3009" s="160"/>
      <c r="AB3009" s="162"/>
      <c r="AC3009" s="162"/>
      <c r="AD3009" s="162">
        <f t="shared" si="66"/>
        <v>0</v>
      </c>
      <c r="AE3009" s="160">
        <v>3007</v>
      </c>
    </row>
    <row r="3010" spans="27:31" x14ac:dyDescent="0.25">
      <c r="AA3010" s="160"/>
      <c r="AB3010" s="162"/>
      <c r="AC3010" s="162"/>
      <c r="AD3010" s="162">
        <f t="shared" si="66"/>
        <v>0</v>
      </c>
      <c r="AE3010" s="160">
        <v>3008</v>
      </c>
    </row>
    <row r="3011" spans="27:31" x14ac:dyDescent="0.25">
      <c r="AA3011" s="160"/>
      <c r="AB3011" s="162"/>
      <c r="AC3011" s="162"/>
      <c r="AD3011" s="162">
        <f t="shared" si="66"/>
        <v>0</v>
      </c>
      <c r="AE3011" s="160">
        <v>3009</v>
      </c>
    </row>
    <row r="3012" spans="27:31" x14ac:dyDescent="0.25">
      <c r="AA3012" s="160"/>
      <c r="AB3012" s="162"/>
      <c r="AC3012" s="162"/>
      <c r="AD3012" s="162">
        <f t="shared" ref="AD3012:AD3075" si="67">AB3012+AC3012</f>
        <v>0</v>
      </c>
      <c r="AE3012" s="160">
        <v>3010</v>
      </c>
    </row>
    <row r="3013" spans="27:31" x14ac:dyDescent="0.25">
      <c r="AA3013" s="160"/>
      <c r="AB3013" s="162"/>
      <c r="AC3013" s="162"/>
      <c r="AD3013" s="162">
        <f t="shared" si="67"/>
        <v>0</v>
      </c>
      <c r="AE3013" s="160">
        <v>3011</v>
      </c>
    </row>
    <row r="3014" spans="27:31" x14ac:dyDescent="0.25">
      <c r="AA3014" s="160"/>
      <c r="AB3014" s="162"/>
      <c r="AC3014" s="162"/>
      <c r="AD3014" s="162">
        <f t="shared" si="67"/>
        <v>0</v>
      </c>
      <c r="AE3014" s="160">
        <v>3012</v>
      </c>
    </row>
    <row r="3015" spans="27:31" x14ac:dyDescent="0.25">
      <c r="AA3015" s="160"/>
      <c r="AB3015" s="162"/>
      <c r="AC3015" s="162"/>
      <c r="AD3015" s="162">
        <f t="shared" si="67"/>
        <v>0</v>
      </c>
      <c r="AE3015" s="160">
        <v>3013</v>
      </c>
    </row>
    <row r="3016" spans="27:31" x14ac:dyDescent="0.25">
      <c r="AA3016" s="160"/>
      <c r="AB3016" s="162"/>
      <c r="AC3016" s="162"/>
      <c r="AD3016" s="162">
        <f t="shared" si="67"/>
        <v>0</v>
      </c>
      <c r="AE3016" s="160">
        <v>3014</v>
      </c>
    </row>
    <row r="3017" spans="27:31" x14ac:dyDescent="0.25">
      <c r="AA3017" s="160"/>
      <c r="AB3017" s="162"/>
      <c r="AC3017" s="162"/>
      <c r="AD3017" s="162">
        <f t="shared" si="67"/>
        <v>0</v>
      </c>
      <c r="AE3017" s="160">
        <v>3015</v>
      </c>
    </row>
    <row r="3018" spans="27:31" x14ac:dyDescent="0.25">
      <c r="AA3018" s="160"/>
      <c r="AB3018" s="162"/>
      <c r="AC3018" s="162"/>
      <c r="AD3018" s="162">
        <f t="shared" si="67"/>
        <v>0</v>
      </c>
      <c r="AE3018" s="160">
        <v>3016</v>
      </c>
    </row>
    <row r="3019" spans="27:31" x14ac:dyDescent="0.25">
      <c r="AA3019" s="160"/>
      <c r="AB3019" s="162"/>
      <c r="AC3019" s="162"/>
      <c r="AD3019" s="162">
        <f t="shared" si="67"/>
        <v>0</v>
      </c>
      <c r="AE3019" s="160">
        <v>3017</v>
      </c>
    </row>
    <row r="3020" spans="27:31" x14ac:dyDescent="0.25">
      <c r="AA3020" s="160"/>
      <c r="AB3020" s="162"/>
      <c r="AC3020" s="162"/>
      <c r="AD3020" s="162">
        <f t="shared" si="67"/>
        <v>0</v>
      </c>
      <c r="AE3020" s="160">
        <v>3018</v>
      </c>
    </row>
    <row r="3021" spans="27:31" x14ac:dyDescent="0.25">
      <c r="AA3021" s="160"/>
      <c r="AB3021" s="162"/>
      <c r="AC3021" s="162"/>
      <c r="AD3021" s="162">
        <f t="shared" si="67"/>
        <v>0</v>
      </c>
      <c r="AE3021" s="160">
        <v>3019</v>
      </c>
    </row>
    <row r="3022" spans="27:31" x14ac:dyDescent="0.25">
      <c r="AA3022" s="160"/>
      <c r="AB3022" s="162"/>
      <c r="AC3022" s="162"/>
      <c r="AD3022" s="162">
        <f t="shared" si="67"/>
        <v>0</v>
      </c>
      <c r="AE3022" s="160">
        <v>3020</v>
      </c>
    </row>
    <row r="3023" spans="27:31" x14ac:dyDescent="0.25">
      <c r="AA3023" s="160"/>
      <c r="AB3023" s="162"/>
      <c r="AC3023" s="162"/>
      <c r="AD3023" s="162">
        <f t="shared" si="67"/>
        <v>0</v>
      </c>
      <c r="AE3023" s="160">
        <v>3021</v>
      </c>
    </row>
    <row r="3024" spans="27:31" x14ac:dyDescent="0.25">
      <c r="AA3024" s="160"/>
      <c r="AB3024" s="162"/>
      <c r="AC3024" s="162"/>
      <c r="AD3024" s="162">
        <f t="shared" si="67"/>
        <v>0</v>
      </c>
      <c r="AE3024" s="160">
        <v>3022</v>
      </c>
    </row>
    <row r="3025" spans="27:31" x14ac:dyDescent="0.25">
      <c r="AA3025" s="160"/>
      <c r="AB3025" s="162"/>
      <c r="AC3025" s="162"/>
      <c r="AD3025" s="162">
        <f t="shared" si="67"/>
        <v>0</v>
      </c>
      <c r="AE3025" s="160">
        <v>3023</v>
      </c>
    </row>
    <row r="3026" spans="27:31" x14ac:dyDescent="0.25">
      <c r="AA3026" s="160"/>
      <c r="AB3026" s="162"/>
      <c r="AC3026" s="162"/>
      <c r="AD3026" s="162">
        <f t="shared" si="67"/>
        <v>0</v>
      </c>
      <c r="AE3026" s="160">
        <v>3024</v>
      </c>
    </row>
    <row r="3027" spans="27:31" x14ac:dyDescent="0.25">
      <c r="AA3027" s="160"/>
      <c r="AB3027" s="162"/>
      <c r="AC3027" s="162"/>
      <c r="AD3027" s="162">
        <f t="shared" si="67"/>
        <v>0</v>
      </c>
      <c r="AE3027" s="160">
        <v>3025</v>
      </c>
    </row>
    <row r="3028" spans="27:31" x14ac:dyDescent="0.25">
      <c r="AA3028" s="160"/>
      <c r="AB3028" s="162"/>
      <c r="AC3028" s="162"/>
      <c r="AD3028" s="162">
        <f t="shared" si="67"/>
        <v>0</v>
      </c>
      <c r="AE3028" s="160">
        <v>3026</v>
      </c>
    </row>
    <row r="3029" spans="27:31" x14ac:dyDescent="0.25">
      <c r="AA3029" s="160"/>
      <c r="AB3029" s="162"/>
      <c r="AC3029" s="162"/>
      <c r="AD3029" s="162">
        <f t="shared" si="67"/>
        <v>0</v>
      </c>
      <c r="AE3029" s="160">
        <v>3027</v>
      </c>
    </row>
    <row r="3030" spans="27:31" x14ac:dyDescent="0.25">
      <c r="AA3030" s="160"/>
      <c r="AB3030" s="162"/>
      <c r="AC3030" s="162"/>
      <c r="AD3030" s="162">
        <f t="shared" si="67"/>
        <v>0</v>
      </c>
      <c r="AE3030" s="160">
        <v>3028</v>
      </c>
    </row>
    <row r="3031" spans="27:31" x14ac:dyDescent="0.25">
      <c r="AA3031" s="160"/>
      <c r="AB3031" s="162"/>
      <c r="AC3031" s="162"/>
      <c r="AD3031" s="162">
        <f t="shared" si="67"/>
        <v>0</v>
      </c>
      <c r="AE3031" s="160">
        <v>3029</v>
      </c>
    </row>
    <row r="3032" spans="27:31" x14ac:dyDescent="0.25">
      <c r="AA3032" s="160"/>
      <c r="AB3032" s="162"/>
      <c r="AC3032" s="162"/>
      <c r="AD3032" s="162">
        <f t="shared" si="67"/>
        <v>0</v>
      </c>
      <c r="AE3032" s="160">
        <v>3030</v>
      </c>
    </row>
    <row r="3033" spans="27:31" x14ac:dyDescent="0.25">
      <c r="AA3033" s="160"/>
      <c r="AB3033" s="162"/>
      <c r="AC3033" s="162"/>
      <c r="AD3033" s="162">
        <f t="shared" si="67"/>
        <v>0</v>
      </c>
      <c r="AE3033" s="160">
        <v>3031</v>
      </c>
    </row>
    <row r="3034" spans="27:31" x14ac:dyDescent="0.25">
      <c r="AA3034" s="160"/>
      <c r="AB3034" s="162"/>
      <c r="AC3034" s="162"/>
      <c r="AD3034" s="162">
        <f t="shared" si="67"/>
        <v>0</v>
      </c>
      <c r="AE3034" s="160">
        <v>3032</v>
      </c>
    </row>
    <row r="3035" spans="27:31" x14ac:dyDescent="0.25">
      <c r="AA3035" s="160"/>
      <c r="AB3035" s="162"/>
      <c r="AC3035" s="162"/>
      <c r="AD3035" s="162">
        <f t="shared" si="67"/>
        <v>0</v>
      </c>
      <c r="AE3035" s="160">
        <v>3033</v>
      </c>
    </row>
    <row r="3036" spans="27:31" x14ac:dyDescent="0.25">
      <c r="AA3036" s="160"/>
      <c r="AB3036" s="162"/>
      <c r="AC3036" s="162"/>
      <c r="AD3036" s="162">
        <f t="shared" si="67"/>
        <v>0</v>
      </c>
      <c r="AE3036" s="160">
        <v>3034</v>
      </c>
    </row>
    <row r="3037" spans="27:31" x14ac:dyDescent="0.25">
      <c r="AA3037" s="160"/>
      <c r="AB3037" s="162"/>
      <c r="AC3037" s="162"/>
      <c r="AD3037" s="162">
        <f t="shared" si="67"/>
        <v>0</v>
      </c>
      <c r="AE3037" s="160">
        <v>3035</v>
      </c>
    </row>
    <row r="3038" spans="27:31" x14ac:dyDescent="0.25">
      <c r="AA3038" s="160"/>
      <c r="AB3038" s="162"/>
      <c r="AC3038" s="162"/>
      <c r="AD3038" s="162">
        <f t="shared" si="67"/>
        <v>0</v>
      </c>
      <c r="AE3038" s="160">
        <v>3036</v>
      </c>
    </row>
    <row r="3039" spans="27:31" x14ac:dyDescent="0.25">
      <c r="AA3039" s="160"/>
      <c r="AB3039" s="162"/>
      <c r="AC3039" s="162"/>
      <c r="AD3039" s="162">
        <f t="shared" si="67"/>
        <v>0</v>
      </c>
      <c r="AE3039" s="160">
        <v>3037</v>
      </c>
    </row>
    <row r="3040" spans="27:31" x14ac:dyDescent="0.25">
      <c r="AA3040" s="160"/>
      <c r="AB3040" s="162"/>
      <c r="AC3040" s="162"/>
      <c r="AD3040" s="162">
        <f t="shared" si="67"/>
        <v>0</v>
      </c>
      <c r="AE3040" s="160">
        <v>3038</v>
      </c>
    </row>
    <row r="3041" spans="27:31" x14ac:dyDescent="0.25">
      <c r="AA3041" s="160"/>
      <c r="AB3041" s="162"/>
      <c r="AC3041" s="162"/>
      <c r="AD3041" s="162">
        <f t="shared" si="67"/>
        <v>0</v>
      </c>
      <c r="AE3041" s="160">
        <v>3039</v>
      </c>
    </row>
    <row r="3042" spans="27:31" x14ac:dyDescent="0.25">
      <c r="AA3042" s="160"/>
      <c r="AB3042" s="162"/>
      <c r="AC3042" s="162"/>
      <c r="AD3042" s="162">
        <f t="shared" si="67"/>
        <v>0</v>
      </c>
      <c r="AE3042" s="160">
        <v>3040</v>
      </c>
    </row>
    <row r="3043" spans="27:31" x14ac:dyDescent="0.25">
      <c r="AA3043" s="160"/>
      <c r="AB3043" s="162"/>
      <c r="AC3043" s="162"/>
      <c r="AD3043" s="162">
        <f t="shared" si="67"/>
        <v>0</v>
      </c>
      <c r="AE3043" s="160">
        <v>3041</v>
      </c>
    </row>
    <row r="3044" spans="27:31" x14ac:dyDescent="0.25">
      <c r="AA3044" s="160"/>
      <c r="AB3044" s="162"/>
      <c r="AC3044" s="162"/>
      <c r="AD3044" s="162">
        <f t="shared" si="67"/>
        <v>0</v>
      </c>
      <c r="AE3044" s="160">
        <v>3042</v>
      </c>
    </row>
    <row r="3045" spans="27:31" x14ac:dyDescent="0.25">
      <c r="AA3045" s="160"/>
      <c r="AB3045" s="162"/>
      <c r="AC3045" s="162"/>
      <c r="AD3045" s="162">
        <f t="shared" si="67"/>
        <v>0</v>
      </c>
      <c r="AE3045" s="160">
        <v>3043</v>
      </c>
    </row>
    <row r="3046" spans="27:31" x14ac:dyDescent="0.25">
      <c r="AA3046" s="160"/>
      <c r="AB3046" s="162"/>
      <c r="AC3046" s="162"/>
      <c r="AD3046" s="162">
        <f t="shared" si="67"/>
        <v>0</v>
      </c>
      <c r="AE3046" s="160">
        <v>3044</v>
      </c>
    </row>
    <row r="3047" spans="27:31" x14ac:dyDescent="0.25">
      <c r="AA3047" s="160"/>
      <c r="AB3047" s="162"/>
      <c r="AC3047" s="162"/>
      <c r="AD3047" s="162">
        <f t="shared" si="67"/>
        <v>0</v>
      </c>
      <c r="AE3047" s="160">
        <v>3045</v>
      </c>
    </row>
    <row r="3048" spans="27:31" x14ac:dyDescent="0.25">
      <c r="AA3048" s="160"/>
      <c r="AB3048" s="162"/>
      <c r="AC3048" s="162"/>
      <c r="AD3048" s="162">
        <f t="shared" si="67"/>
        <v>0</v>
      </c>
      <c r="AE3048" s="160">
        <v>3046</v>
      </c>
    </row>
    <row r="3049" spans="27:31" x14ac:dyDescent="0.25">
      <c r="AA3049" s="160"/>
      <c r="AB3049" s="162"/>
      <c r="AC3049" s="162"/>
      <c r="AD3049" s="162">
        <f t="shared" si="67"/>
        <v>0</v>
      </c>
      <c r="AE3049" s="160">
        <v>3047</v>
      </c>
    </row>
    <row r="3050" spans="27:31" x14ac:dyDescent="0.25">
      <c r="AA3050" s="160"/>
      <c r="AB3050" s="162"/>
      <c r="AC3050" s="162"/>
      <c r="AD3050" s="162">
        <f t="shared" si="67"/>
        <v>0</v>
      </c>
      <c r="AE3050" s="160">
        <v>3048</v>
      </c>
    </row>
    <row r="3051" spans="27:31" x14ac:dyDescent="0.25">
      <c r="AA3051" s="160"/>
      <c r="AB3051" s="162"/>
      <c r="AC3051" s="162"/>
      <c r="AD3051" s="162">
        <f t="shared" si="67"/>
        <v>0</v>
      </c>
      <c r="AE3051" s="160">
        <v>3049</v>
      </c>
    </row>
    <row r="3052" spans="27:31" x14ac:dyDescent="0.25">
      <c r="AA3052" s="160"/>
      <c r="AB3052" s="162"/>
      <c r="AC3052" s="162"/>
      <c r="AD3052" s="162">
        <f t="shared" si="67"/>
        <v>0</v>
      </c>
      <c r="AE3052" s="160">
        <v>3050</v>
      </c>
    </row>
    <row r="3053" spans="27:31" x14ac:dyDescent="0.25">
      <c r="AA3053" s="160"/>
      <c r="AB3053" s="162"/>
      <c r="AC3053" s="162"/>
      <c r="AD3053" s="162">
        <f t="shared" si="67"/>
        <v>0</v>
      </c>
      <c r="AE3053" s="160">
        <v>3051</v>
      </c>
    </row>
    <row r="3054" spans="27:31" x14ac:dyDescent="0.25">
      <c r="AA3054" s="160"/>
      <c r="AB3054" s="162"/>
      <c r="AC3054" s="162"/>
      <c r="AD3054" s="162">
        <f t="shared" si="67"/>
        <v>0</v>
      </c>
      <c r="AE3054" s="160">
        <v>3052</v>
      </c>
    </row>
    <row r="3055" spans="27:31" x14ac:dyDescent="0.25">
      <c r="AA3055" s="160"/>
      <c r="AB3055" s="162"/>
      <c r="AC3055" s="162"/>
      <c r="AD3055" s="162">
        <f t="shared" si="67"/>
        <v>0</v>
      </c>
      <c r="AE3055" s="160">
        <v>3053</v>
      </c>
    </row>
    <row r="3056" spans="27:31" x14ac:dyDescent="0.25">
      <c r="AA3056" s="160"/>
      <c r="AB3056" s="162"/>
      <c r="AC3056" s="162"/>
      <c r="AD3056" s="162">
        <f t="shared" si="67"/>
        <v>0</v>
      </c>
      <c r="AE3056" s="160">
        <v>3054</v>
      </c>
    </row>
    <row r="3057" spans="27:31" x14ac:dyDescent="0.25">
      <c r="AA3057" s="160"/>
      <c r="AB3057" s="162"/>
      <c r="AC3057" s="162"/>
      <c r="AD3057" s="162">
        <f t="shared" si="67"/>
        <v>0</v>
      </c>
      <c r="AE3057" s="160">
        <v>3055</v>
      </c>
    </row>
    <row r="3058" spans="27:31" x14ac:dyDescent="0.25">
      <c r="AA3058" s="160"/>
      <c r="AB3058" s="162"/>
      <c r="AC3058" s="162"/>
      <c r="AD3058" s="162">
        <f t="shared" si="67"/>
        <v>0</v>
      </c>
      <c r="AE3058" s="160">
        <v>3056</v>
      </c>
    </row>
    <row r="3059" spans="27:31" x14ac:dyDescent="0.25">
      <c r="AA3059" s="160"/>
      <c r="AB3059" s="162"/>
      <c r="AC3059" s="162"/>
      <c r="AD3059" s="162">
        <f t="shared" si="67"/>
        <v>0</v>
      </c>
      <c r="AE3059" s="160">
        <v>3057</v>
      </c>
    </row>
    <row r="3060" spans="27:31" x14ac:dyDescent="0.25">
      <c r="AA3060" s="160"/>
      <c r="AB3060" s="162"/>
      <c r="AC3060" s="162"/>
      <c r="AD3060" s="162">
        <f t="shared" si="67"/>
        <v>0</v>
      </c>
      <c r="AE3060" s="160">
        <v>3058</v>
      </c>
    </row>
    <row r="3061" spans="27:31" x14ac:dyDescent="0.25">
      <c r="AA3061" s="160"/>
      <c r="AB3061" s="162"/>
      <c r="AC3061" s="162"/>
      <c r="AD3061" s="162">
        <f t="shared" si="67"/>
        <v>0</v>
      </c>
      <c r="AE3061" s="160">
        <v>3059</v>
      </c>
    </row>
    <row r="3062" spans="27:31" x14ac:dyDescent="0.25">
      <c r="AA3062" s="160"/>
      <c r="AB3062" s="162"/>
      <c r="AC3062" s="162"/>
      <c r="AD3062" s="162">
        <f t="shared" si="67"/>
        <v>0</v>
      </c>
      <c r="AE3062" s="160">
        <v>3060</v>
      </c>
    </row>
    <row r="3063" spans="27:31" x14ac:dyDescent="0.25">
      <c r="AA3063" s="160"/>
      <c r="AB3063" s="162"/>
      <c r="AC3063" s="162"/>
      <c r="AD3063" s="162">
        <f t="shared" si="67"/>
        <v>0</v>
      </c>
      <c r="AE3063" s="160">
        <v>3061</v>
      </c>
    </row>
    <row r="3064" spans="27:31" x14ac:dyDescent="0.25">
      <c r="AA3064" s="160"/>
      <c r="AB3064" s="162"/>
      <c r="AC3064" s="162"/>
      <c r="AD3064" s="162">
        <f t="shared" si="67"/>
        <v>0</v>
      </c>
      <c r="AE3064" s="160">
        <v>3062</v>
      </c>
    </row>
    <row r="3065" spans="27:31" x14ac:dyDescent="0.25">
      <c r="AA3065" s="160"/>
      <c r="AB3065" s="162"/>
      <c r="AC3065" s="162"/>
      <c r="AD3065" s="162">
        <f t="shared" si="67"/>
        <v>0</v>
      </c>
      <c r="AE3065" s="160">
        <v>3063</v>
      </c>
    </row>
    <row r="3066" spans="27:31" x14ac:dyDescent="0.25">
      <c r="AA3066" s="160"/>
      <c r="AB3066" s="162"/>
      <c r="AC3066" s="162"/>
      <c r="AD3066" s="162">
        <f t="shared" si="67"/>
        <v>0</v>
      </c>
      <c r="AE3066" s="160">
        <v>3064</v>
      </c>
    </row>
    <row r="3067" spans="27:31" x14ac:dyDescent="0.25">
      <c r="AA3067" s="160"/>
      <c r="AB3067" s="162"/>
      <c r="AC3067" s="162"/>
      <c r="AD3067" s="162">
        <f t="shared" si="67"/>
        <v>0</v>
      </c>
      <c r="AE3067" s="160">
        <v>3065</v>
      </c>
    </row>
    <row r="3068" spans="27:31" x14ac:dyDescent="0.25">
      <c r="AA3068" s="160"/>
      <c r="AB3068" s="162"/>
      <c r="AC3068" s="162"/>
      <c r="AD3068" s="162">
        <f t="shared" si="67"/>
        <v>0</v>
      </c>
      <c r="AE3068" s="160">
        <v>3066</v>
      </c>
    </row>
    <row r="3069" spans="27:31" x14ac:dyDescent="0.25">
      <c r="AA3069" s="160"/>
      <c r="AB3069" s="162"/>
      <c r="AC3069" s="162"/>
      <c r="AD3069" s="162">
        <f t="shared" si="67"/>
        <v>0</v>
      </c>
      <c r="AE3069" s="160">
        <v>3067</v>
      </c>
    </row>
    <row r="3070" spans="27:31" x14ac:dyDescent="0.25">
      <c r="AA3070" s="160"/>
      <c r="AB3070" s="162"/>
      <c r="AC3070" s="162"/>
      <c r="AD3070" s="162">
        <f t="shared" si="67"/>
        <v>0</v>
      </c>
      <c r="AE3070" s="160">
        <v>3068</v>
      </c>
    </row>
    <row r="3071" spans="27:31" x14ac:dyDescent="0.25">
      <c r="AA3071" s="160"/>
      <c r="AB3071" s="162"/>
      <c r="AC3071" s="162"/>
      <c r="AD3071" s="162">
        <f t="shared" si="67"/>
        <v>0</v>
      </c>
      <c r="AE3071" s="160">
        <v>3069</v>
      </c>
    </row>
    <row r="3072" spans="27:31" x14ac:dyDescent="0.25">
      <c r="AA3072" s="160"/>
      <c r="AB3072" s="162"/>
      <c r="AC3072" s="162"/>
      <c r="AD3072" s="162">
        <f t="shared" si="67"/>
        <v>0</v>
      </c>
      <c r="AE3072" s="160">
        <v>3070</v>
      </c>
    </row>
    <row r="3073" spans="27:31" x14ac:dyDescent="0.25">
      <c r="AA3073" s="160"/>
      <c r="AB3073" s="162"/>
      <c r="AC3073" s="162"/>
      <c r="AD3073" s="162">
        <f t="shared" si="67"/>
        <v>0</v>
      </c>
      <c r="AE3073" s="160">
        <v>3071</v>
      </c>
    </row>
    <row r="3074" spans="27:31" x14ac:dyDescent="0.25">
      <c r="AA3074" s="160"/>
      <c r="AB3074" s="162"/>
      <c r="AC3074" s="162"/>
      <c r="AD3074" s="162">
        <f t="shared" si="67"/>
        <v>0</v>
      </c>
      <c r="AE3074" s="160">
        <v>3072</v>
      </c>
    </row>
    <row r="3075" spans="27:31" x14ac:dyDescent="0.25">
      <c r="AA3075" s="160"/>
      <c r="AB3075" s="162"/>
      <c r="AC3075" s="162"/>
      <c r="AD3075" s="162">
        <f t="shared" si="67"/>
        <v>0</v>
      </c>
      <c r="AE3075" s="160">
        <v>3073</v>
      </c>
    </row>
    <row r="3076" spans="27:31" x14ac:dyDescent="0.25">
      <c r="AA3076" s="160"/>
      <c r="AB3076" s="162"/>
      <c r="AC3076" s="162"/>
      <c r="AD3076" s="162">
        <f t="shared" ref="AD3076:AD3139" si="68">AB3076+AC3076</f>
        <v>0</v>
      </c>
      <c r="AE3076" s="160">
        <v>3074</v>
      </c>
    </row>
    <row r="3077" spans="27:31" x14ac:dyDescent="0.25">
      <c r="AA3077" s="160"/>
      <c r="AB3077" s="162"/>
      <c r="AC3077" s="162"/>
      <c r="AD3077" s="162">
        <f t="shared" si="68"/>
        <v>0</v>
      </c>
      <c r="AE3077" s="160">
        <v>3075</v>
      </c>
    </row>
    <row r="3078" spans="27:31" x14ac:dyDescent="0.25">
      <c r="AA3078" s="160"/>
      <c r="AB3078" s="162"/>
      <c r="AC3078" s="162"/>
      <c r="AD3078" s="162">
        <f t="shared" si="68"/>
        <v>0</v>
      </c>
      <c r="AE3078" s="160">
        <v>3076</v>
      </c>
    </row>
    <row r="3079" spans="27:31" x14ac:dyDescent="0.25">
      <c r="AA3079" s="160"/>
      <c r="AB3079" s="162"/>
      <c r="AC3079" s="162"/>
      <c r="AD3079" s="162">
        <f t="shared" si="68"/>
        <v>0</v>
      </c>
      <c r="AE3079" s="160">
        <v>3077</v>
      </c>
    </row>
    <row r="3080" spans="27:31" x14ac:dyDescent="0.25">
      <c r="AA3080" s="160"/>
      <c r="AB3080" s="162"/>
      <c r="AC3080" s="162"/>
      <c r="AD3080" s="162">
        <f t="shared" si="68"/>
        <v>0</v>
      </c>
      <c r="AE3080" s="160">
        <v>3078</v>
      </c>
    </row>
    <row r="3081" spans="27:31" x14ac:dyDescent="0.25">
      <c r="AA3081" s="160"/>
      <c r="AB3081" s="162"/>
      <c r="AC3081" s="162"/>
      <c r="AD3081" s="162">
        <f t="shared" si="68"/>
        <v>0</v>
      </c>
      <c r="AE3081" s="160">
        <v>3079</v>
      </c>
    </row>
    <row r="3082" spans="27:31" x14ac:dyDescent="0.25">
      <c r="AA3082" s="160"/>
      <c r="AB3082" s="162"/>
      <c r="AC3082" s="162"/>
      <c r="AD3082" s="162">
        <f t="shared" si="68"/>
        <v>0</v>
      </c>
      <c r="AE3082" s="160">
        <v>3080</v>
      </c>
    </row>
    <row r="3083" spans="27:31" x14ac:dyDescent="0.25">
      <c r="AA3083" s="160"/>
      <c r="AB3083" s="162"/>
      <c r="AC3083" s="162"/>
      <c r="AD3083" s="162">
        <f t="shared" si="68"/>
        <v>0</v>
      </c>
      <c r="AE3083" s="160">
        <v>3081</v>
      </c>
    </row>
    <row r="3084" spans="27:31" x14ac:dyDescent="0.25">
      <c r="AA3084" s="160"/>
      <c r="AB3084" s="162"/>
      <c r="AC3084" s="162"/>
      <c r="AD3084" s="162">
        <f t="shared" si="68"/>
        <v>0</v>
      </c>
      <c r="AE3084" s="160">
        <v>3082</v>
      </c>
    </row>
    <row r="3085" spans="27:31" x14ac:dyDescent="0.25">
      <c r="AA3085" s="160"/>
      <c r="AB3085" s="162"/>
      <c r="AC3085" s="162"/>
      <c r="AD3085" s="162">
        <f t="shared" si="68"/>
        <v>0</v>
      </c>
      <c r="AE3085" s="160">
        <v>3083</v>
      </c>
    </row>
    <row r="3086" spans="27:31" x14ac:dyDescent="0.25">
      <c r="AA3086" s="160"/>
      <c r="AB3086" s="162"/>
      <c r="AC3086" s="162"/>
      <c r="AD3086" s="162">
        <f t="shared" si="68"/>
        <v>0</v>
      </c>
      <c r="AE3086" s="160">
        <v>3084</v>
      </c>
    </row>
    <row r="3087" spans="27:31" x14ac:dyDescent="0.25">
      <c r="AA3087" s="160"/>
      <c r="AB3087" s="162"/>
      <c r="AC3087" s="162"/>
      <c r="AD3087" s="162">
        <f t="shared" si="68"/>
        <v>0</v>
      </c>
      <c r="AE3087" s="160">
        <v>3085</v>
      </c>
    </row>
    <row r="3088" spans="27:31" x14ac:dyDescent="0.25">
      <c r="AA3088" s="160"/>
      <c r="AB3088" s="162"/>
      <c r="AC3088" s="162"/>
      <c r="AD3088" s="162">
        <f t="shared" si="68"/>
        <v>0</v>
      </c>
      <c r="AE3088" s="160">
        <v>3086</v>
      </c>
    </row>
    <row r="3089" spans="27:31" x14ac:dyDescent="0.25">
      <c r="AA3089" s="160"/>
      <c r="AB3089" s="162"/>
      <c r="AC3089" s="162"/>
      <c r="AD3089" s="162">
        <f t="shared" si="68"/>
        <v>0</v>
      </c>
      <c r="AE3089" s="160">
        <v>3087</v>
      </c>
    </row>
    <row r="3090" spans="27:31" x14ac:dyDescent="0.25">
      <c r="AA3090" s="160"/>
      <c r="AB3090" s="162"/>
      <c r="AC3090" s="162"/>
      <c r="AD3090" s="162">
        <f t="shared" si="68"/>
        <v>0</v>
      </c>
      <c r="AE3090" s="160">
        <v>3088</v>
      </c>
    </row>
    <row r="3091" spans="27:31" x14ac:dyDescent="0.25">
      <c r="AA3091" s="160"/>
      <c r="AB3091" s="162"/>
      <c r="AC3091" s="162"/>
      <c r="AD3091" s="162">
        <f t="shared" si="68"/>
        <v>0</v>
      </c>
      <c r="AE3091" s="160">
        <v>3089</v>
      </c>
    </row>
    <row r="3092" spans="27:31" x14ac:dyDescent="0.25">
      <c r="AA3092" s="160"/>
      <c r="AB3092" s="162"/>
      <c r="AC3092" s="162"/>
      <c r="AD3092" s="162">
        <f t="shared" si="68"/>
        <v>0</v>
      </c>
      <c r="AE3092" s="160">
        <v>3090</v>
      </c>
    </row>
    <row r="3093" spans="27:31" x14ac:dyDescent="0.25">
      <c r="AA3093" s="160"/>
      <c r="AB3093" s="162"/>
      <c r="AC3093" s="162"/>
      <c r="AD3093" s="162">
        <f t="shared" si="68"/>
        <v>0</v>
      </c>
      <c r="AE3093" s="160">
        <v>3091</v>
      </c>
    </row>
    <row r="3094" spans="27:31" x14ac:dyDescent="0.25">
      <c r="AA3094" s="160"/>
      <c r="AB3094" s="162"/>
      <c r="AC3094" s="162"/>
      <c r="AD3094" s="162">
        <f t="shared" si="68"/>
        <v>0</v>
      </c>
      <c r="AE3094" s="160">
        <v>3092</v>
      </c>
    </row>
    <row r="3095" spans="27:31" x14ac:dyDescent="0.25">
      <c r="AA3095" s="160"/>
      <c r="AB3095" s="162"/>
      <c r="AC3095" s="162"/>
      <c r="AD3095" s="162">
        <f t="shared" si="68"/>
        <v>0</v>
      </c>
      <c r="AE3095" s="160">
        <v>3093</v>
      </c>
    </row>
    <row r="3096" spans="27:31" x14ac:dyDescent="0.25">
      <c r="AA3096" s="160"/>
      <c r="AB3096" s="162"/>
      <c r="AC3096" s="162"/>
      <c r="AD3096" s="162">
        <f t="shared" si="68"/>
        <v>0</v>
      </c>
      <c r="AE3096" s="160">
        <v>3094</v>
      </c>
    </row>
    <row r="3097" spans="27:31" x14ac:dyDescent="0.25">
      <c r="AA3097" s="160"/>
      <c r="AB3097" s="162"/>
      <c r="AC3097" s="162"/>
      <c r="AD3097" s="162">
        <f t="shared" si="68"/>
        <v>0</v>
      </c>
      <c r="AE3097" s="160">
        <v>3095</v>
      </c>
    </row>
    <row r="3098" spans="27:31" x14ac:dyDescent="0.25">
      <c r="AA3098" s="160"/>
      <c r="AB3098" s="162"/>
      <c r="AC3098" s="162"/>
      <c r="AD3098" s="162">
        <f t="shared" si="68"/>
        <v>0</v>
      </c>
      <c r="AE3098" s="160">
        <v>3096</v>
      </c>
    </row>
    <row r="3099" spans="27:31" x14ac:dyDescent="0.25">
      <c r="AA3099" s="160"/>
      <c r="AB3099" s="162"/>
      <c r="AC3099" s="162"/>
      <c r="AD3099" s="162">
        <f t="shared" si="68"/>
        <v>0</v>
      </c>
      <c r="AE3099" s="160">
        <v>3097</v>
      </c>
    </row>
    <row r="3100" spans="27:31" x14ac:dyDescent="0.25">
      <c r="AA3100" s="160"/>
      <c r="AB3100" s="162"/>
      <c r="AC3100" s="162"/>
      <c r="AD3100" s="162">
        <f t="shared" si="68"/>
        <v>0</v>
      </c>
      <c r="AE3100" s="160">
        <v>3098</v>
      </c>
    </row>
    <row r="3101" spans="27:31" x14ac:dyDescent="0.25">
      <c r="AA3101" s="160"/>
      <c r="AB3101" s="162"/>
      <c r="AC3101" s="162"/>
      <c r="AD3101" s="162">
        <f t="shared" si="68"/>
        <v>0</v>
      </c>
      <c r="AE3101" s="160">
        <v>3099</v>
      </c>
    </row>
    <row r="3102" spans="27:31" x14ac:dyDescent="0.25">
      <c r="AA3102" s="160"/>
      <c r="AB3102" s="162"/>
      <c r="AC3102" s="162"/>
      <c r="AD3102" s="162">
        <f t="shared" si="68"/>
        <v>0</v>
      </c>
      <c r="AE3102" s="160">
        <v>3100</v>
      </c>
    </row>
    <row r="3103" spans="27:31" x14ac:dyDescent="0.25">
      <c r="AA3103" s="160"/>
      <c r="AB3103" s="162"/>
      <c r="AC3103" s="162"/>
      <c r="AD3103" s="162">
        <f t="shared" si="68"/>
        <v>0</v>
      </c>
      <c r="AE3103" s="160">
        <v>3101</v>
      </c>
    </row>
    <row r="3104" spans="27:31" x14ac:dyDescent="0.25">
      <c r="AA3104" s="160"/>
      <c r="AB3104" s="162"/>
      <c r="AC3104" s="162"/>
      <c r="AD3104" s="162">
        <f t="shared" si="68"/>
        <v>0</v>
      </c>
      <c r="AE3104" s="160">
        <v>3102</v>
      </c>
    </row>
    <row r="3105" spans="27:31" x14ac:dyDescent="0.25">
      <c r="AA3105" s="160"/>
      <c r="AB3105" s="162"/>
      <c r="AC3105" s="162"/>
      <c r="AD3105" s="162">
        <f t="shared" si="68"/>
        <v>0</v>
      </c>
      <c r="AE3105" s="160">
        <v>3103</v>
      </c>
    </row>
    <row r="3106" spans="27:31" x14ac:dyDescent="0.25">
      <c r="AA3106" s="160"/>
      <c r="AB3106" s="162"/>
      <c r="AC3106" s="162"/>
      <c r="AD3106" s="162">
        <f t="shared" si="68"/>
        <v>0</v>
      </c>
      <c r="AE3106" s="160">
        <v>3104</v>
      </c>
    </row>
    <row r="3107" spans="27:31" x14ac:dyDescent="0.25">
      <c r="AA3107" s="160"/>
      <c r="AB3107" s="162"/>
      <c r="AC3107" s="162"/>
      <c r="AD3107" s="162">
        <f t="shared" si="68"/>
        <v>0</v>
      </c>
      <c r="AE3107" s="160">
        <v>3105</v>
      </c>
    </row>
    <row r="3108" spans="27:31" x14ac:dyDescent="0.25">
      <c r="AA3108" s="160"/>
      <c r="AB3108" s="162"/>
      <c r="AC3108" s="162"/>
      <c r="AD3108" s="162">
        <f t="shared" si="68"/>
        <v>0</v>
      </c>
      <c r="AE3108" s="160">
        <v>3106</v>
      </c>
    </row>
    <row r="3109" spans="27:31" x14ac:dyDescent="0.25">
      <c r="AA3109" s="160"/>
      <c r="AB3109" s="162"/>
      <c r="AC3109" s="162"/>
      <c r="AD3109" s="162">
        <f t="shared" si="68"/>
        <v>0</v>
      </c>
      <c r="AE3109" s="160">
        <v>3107</v>
      </c>
    </row>
    <row r="3110" spans="27:31" x14ac:dyDescent="0.25">
      <c r="AA3110" s="160"/>
      <c r="AB3110" s="162"/>
      <c r="AC3110" s="162"/>
      <c r="AD3110" s="162">
        <f t="shared" si="68"/>
        <v>0</v>
      </c>
      <c r="AE3110" s="160">
        <v>3108</v>
      </c>
    </row>
    <row r="3111" spans="27:31" x14ac:dyDescent="0.25">
      <c r="AA3111" s="160"/>
      <c r="AB3111" s="162"/>
      <c r="AC3111" s="162"/>
      <c r="AD3111" s="162">
        <f t="shared" si="68"/>
        <v>0</v>
      </c>
      <c r="AE3111" s="160">
        <v>3109</v>
      </c>
    </row>
    <row r="3112" spans="27:31" x14ac:dyDescent="0.25">
      <c r="AA3112" s="160"/>
      <c r="AB3112" s="162"/>
      <c r="AC3112" s="162"/>
      <c r="AD3112" s="162">
        <f t="shared" si="68"/>
        <v>0</v>
      </c>
      <c r="AE3112" s="160">
        <v>3110</v>
      </c>
    </row>
    <row r="3113" spans="27:31" x14ac:dyDescent="0.25">
      <c r="AA3113" s="160"/>
      <c r="AB3113" s="162"/>
      <c r="AC3113" s="162"/>
      <c r="AD3113" s="162">
        <f t="shared" si="68"/>
        <v>0</v>
      </c>
      <c r="AE3113" s="160">
        <v>3111</v>
      </c>
    </row>
    <row r="3114" spans="27:31" x14ac:dyDescent="0.25">
      <c r="AA3114" s="160"/>
      <c r="AB3114" s="162"/>
      <c r="AC3114" s="162"/>
      <c r="AD3114" s="162">
        <f t="shared" si="68"/>
        <v>0</v>
      </c>
      <c r="AE3114" s="160">
        <v>3112</v>
      </c>
    </row>
    <row r="3115" spans="27:31" x14ac:dyDescent="0.25">
      <c r="AA3115" s="160"/>
      <c r="AB3115" s="162"/>
      <c r="AC3115" s="162"/>
      <c r="AD3115" s="162">
        <f t="shared" si="68"/>
        <v>0</v>
      </c>
      <c r="AE3115" s="160">
        <v>3113</v>
      </c>
    </row>
    <row r="3116" spans="27:31" x14ac:dyDescent="0.25">
      <c r="AA3116" s="160"/>
      <c r="AB3116" s="162"/>
      <c r="AC3116" s="162"/>
      <c r="AD3116" s="162">
        <f t="shared" si="68"/>
        <v>0</v>
      </c>
      <c r="AE3116" s="160">
        <v>3114</v>
      </c>
    </row>
    <row r="3117" spans="27:31" x14ac:dyDescent="0.25">
      <c r="AA3117" s="160"/>
      <c r="AB3117" s="162"/>
      <c r="AC3117" s="162"/>
      <c r="AD3117" s="162">
        <f t="shared" si="68"/>
        <v>0</v>
      </c>
      <c r="AE3117" s="160">
        <v>3115</v>
      </c>
    </row>
    <row r="3118" spans="27:31" x14ac:dyDescent="0.25">
      <c r="AA3118" s="160"/>
      <c r="AB3118" s="162"/>
      <c r="AC3118" s="162"/>
      <c r="AD3118" s="162">
        <f t="shared" si="68"/>
        <v>0</v>
      </c>
      <c r="AE3118" s="160">
        <v>3116</v>
      </c>
    </row>
    <row r="3119" spans="27:31" x14ac:dyDescent="0.25">
      <c r="AA3119" s="160"/>
      <c r="AB3119" s="162"/>
      <c r="AC3119" s="162"/>
      <c r="AD3119" s="162">
        <f t="shared" si="68"/>
        <v>0</v>
      </c>
      <c r="AE3119" s="160">
        <v>3117</v>
      </c>
    </row>
    <row r="3120" spans="27:31" x14ac:dyDescent="0.25">
      <c r="AA3120" s="160"/>
      <c r="AB3120" s="162"/>
      <c r="AC3120" s="162"/>
      <c r="AD3120" s="162">
        <f t="shared" si="68"/>
        <v>0</v>
      </c>
      <c r="AE3120" s="160">
        <v>3118</v>
      </c>
    </row>
    <row r="3121" spans="27:31" x14ac:dyDescent="0.25">
      <c r="AA3121" s="160"/>
      <c r="AB3121" s="162"/>
      <c r="AC3121" s="162"/>
      <c r="AD3121" s="162">
        <f t="shared" si="68"/>
        <v>0</v>
      </c>
      <c r="AE3121" s="160">
        <v>3119</v>
      </c>
    </row>
    <row r="3122" spans="27:31" x14ac:dyDescent="0.25">
      <c r="AA3122" s="160"/>
      <c r="AB3122" s="162"/>
      <c r="AC3122" s="162"/>
      <c r="AD3122" s="162">
        <f t="shared" si="68"/>
        <v>0</v>
      </c>
      <c r="AE3122" s="160">
        <v>3120</v>
      </c>
    </row>
    <row r="3123" spans="27:31" x14ac:dyDescent="0.25">
      <c r="AA3123" s="160"/>
      <c r="AB3123" s="162"/>
      <c r="AC3123" s="162"/>
      <c r="AD3123" s="162">
        <f t="shared" si="68"/>
        <v>0</v>
      </c>
      <c r="AE3123" s="160">
        <v>3121</v>
      </c>
    </row>
    <row r="3124" spans="27:31" x14ac:dyDescent="0.25">
      <c r="AA3124" s="160"/>
      <c r="AB3124" s="162"/>
      <c r="AC3124" s="162"/>
      <c r="AD3124" s="162">
        <f t="shared" si="68"/>
        <v>0</v>
      </c>
      <c r="AE3124" s="160">
        <v>3122</v>
      </c>
    </row>
    <row r="3125" spans="27:31" x14ac:dyDescent="0.25">
      <c r="AA3125" s="160"/>
      <c r="AB3125" s="162"/>
      <c r="AC3125" s="162"/>
      <c r="AD3125" s="162">
        <f t="shared" si="68"/>
        <v>0</v>
      </c>
      <c r="AE3125" s="160">
        <v>3123</v>
      </c>
    </row>
    <row r="3126" spans="27:31" x14ac:dyDescent="0.25">
      <c r="AA3126" s="160"/>
      <c r="AB3126" s="162"/>
      <c r="AC3126" s="162"/>
      <c r="AD3126" s="162">
        <f t="shared" si="68"/>
        <v>0</v>
      </c>
      <c r="AE3126" s="160">
        <v>3124</v>
      </c>
    </row>
    <row r="3127" spans="27:31" x14ac:dyDescent="0.25">
      <c r="AA3127" s="160"/>
      <c r="AB3127" s="162"/>
      <c r="AC3127" s="162"/>
      <c r="AD3127" s="162">
        <f t="shared" si="68"/>
        <v>0</v>
      </c>
      <c r="AE3127" s="160">
        <v>3125</v>
      </c>
    </row>
    <row r="3128" spans="27:31" x14ac:dyDescent="0.25">
      <c r="AA3128" s="160"/>
      <c r="AB3128" s="162"/>
      <c r="AC3128" s="162"/>
      <c r="AD3128" s="162">
        <f t="shared" si="68"/>
        <v>0</v>
      </c>
      <c r="AE3128" s="160">
        <v>3126</v>
      </c>
    </row>
    <row r="3129" spans="27:31" x14ac:dyDescent="0.25">
      <c r="AA3129" s="160"/>
      <c r="AB3129" s="162"/>
      <c r="AC3129" s="162"/>
      <c r="AD3129" s="162">
        <f t="shared" si="68"/>
        <v>0</v>
      </c>
      <c r="AE3129" s="160">
        <v>3127</v>
      </c>
    </row>
    <row r="3130" spans="27:31" x14ac:dyDescent="0.25">
      <c r="AA3130" s="160"/>
      <c r="AB3130" s="162"/>
      <c r="AC3130" s="162"/>
      <c r="AD3130" s="162">
        <f t="shared" si="68"/>
        <v>0</v>
      </c>
      <c r="AE3130" s="160">
        <v>3128</v>
      </c>
    </row>
    <row r="3131" spans="27:31" x14ac:dyDescent="0.25">
      <c r="AA3131" s="160"/>
      <c r="AB3131" s="162"/>
      <c r="AC3131" s="162"/>
      <c r="AD3131" s="162">
        <f t="shared" si="68"/>
        <v>0</v>
      </c>
      <c r="AE3131" s="160">
        <v>3129</v>
      </c>
    </row>
    <row r="3132" spans="27:31" x14ac:dyDescent="0.25">
      <c r="AA3132" s="160"/>
      <c r="AB3132" s="162"/>
      <c r="AC3132" s="162"/>
      <c r="AD3132" s="162">
        <f t="shared" si="68"/>
        <v>0</v>
      </c>
      <c r="AE3132" s="160">
        <v>3130</v>
      </c>
    </row>
    <row r="3133" spans="27:31" x14ac:dyDescent="0.25">
      <c r="AA3133" s="160"/>
      <c r="AB3133" s="162"/>
      <c r="AC3133" s="162"/>
      <c r="AD3133" s="162">
        <f t="shared" si="68"/>
        <v>0</v>
      </c>
      <c r="AE3133" s="160">
        <v>3131</v>
      </c>
    </row>
    <row r="3134" spans="27:31" x14ac:dyDescent="0.25">
      <c r="AA3134" s="160"/>
      <c r="AB3134" s="162"/>
      <c r="AC3134" s="162"/>
      <c r="AD3134" s="162">
        <f t="shared" si="68"/>
        <v>0</v>
      </c>
      <c r="AE3134" s="160">
        <v>3132</v>
      </c>
    </row>
    <row r="3135" spans="27:31" x14ac:dyDescent="0.25">
      <c r="AA3135" s="160"/>
      <c r="AB3135" s="162"/>
      <c r="AC3135" s="162"/>
      <c r="AD3135" s="162">
        <f t="shared" si="68"/>
        <v>0</v>
      </c>
      <c r="AE3135" s="160">
        <v>3133</v>
      </c>
    </row>
    <row r="3136" spans="27:31" x14ac:dyDescent="0.25">
      <c r="AA3136" s="160"/>
      <c r="AB3136" s="162"/>
      <c r="AC3136" s="162"/>
      <c r="AD3136" s="162">
        <f t="shared" si="68"/>
        <v>0</v>
      </c>
      <c r="AE3136" s="160">
        <v>3134</v>
      </c>
    </row>
    <row r="3137" spans="27:31" x14ac:dyDescent="0.25">
      <c r="AA3137" s="160"/>
      <c r="AB3137" s="162"/>
      <c r="AC3137" s="162"/>
      <c r="AD3137" s="162">
        <f t="shared" si="68"/>
        <v>0</v>
      </c>
      <c r="AE3137" s="160">
        <v>3135</v>
      </c>
    </row>
    <row r="3138" spans="27:31" x14ac:dyDescent="0.25">
      <c r="AA3138" s="160"/>
      <c r="AB3138" s="162"/>
      <c r="AC3138" s="162"/>
      <c r="AD3138" s="162">
        <f t="shared" si="68"/>
        <v>0</v>
      </c>
      <c r="AE3138" s="160">
        <v>3136</v>
      </c>
    </row>
    <row r="3139" spans="27:31" x14ac:dyDescent="0.25">
      <c r="AA3139" s="160"/>
      <c r="AB3139" s="162"/>
      <c r="AC3139" s="162"/>
      <c r="AD3139" s="162">
        <f t="shared" si="68"/>
        <v>0</v>
      </c>
      <c r="AE3139" s="160">
        <v>3137</v>
      </c>
    </row>
    <row r="3140" spans="27:31" x14ac:dyDescent="0.25">
      <c r="AA3140" s="160"/>
      <c r="AB3140" s="162"/>
      <c r="AC3140" s="162"/>
      <c r="AD3140" s="162">
        <f t="shared" ref="AD3140:AD3203" si="69">AB3140+AC3140</f>
        <v>0</v>
      </c>
      <c r="AE3140" s="160">
        <v>3138</v>
      </c>
    </row>
    <row r="3141" spans="27:31" x14ac:dyDescent="0.25">
      <c r="AA3141" s="160"/>
      <c r="AB3141" s="162"/>
      <c r="AC3141" s="162"/>
      <c r="AD3141" s="162">
        <f t="shared" si="69"/>
        <v>0</v>
      </c>
      <c r="AE3141" s="160">
        <v>3139</v>
      </c>
    </row>
    <row r="3142" spans="27:31" x14ac:dyDescent="0.25">
      <c r="AA3142" s="160"/>
      <c r="AB3142" s="162"/>
      <c r="AC3142" s="162"/>
      <c r="AD3142" s="162">
        <f t="shared" si="69"/>
        <v>0</v>
      </c>
      <c r="AE3142" s="160">
        <v>3140</v>
      </c>
    </row>
    <row r="3143" spans="27:31" x14ac:dyDescent="0.25">
      <c r="AA3143" s="160"/>
      <c r="AB3143" s="162"/>
      <c r="AC3143" s="162"/>
      <c r="AD3143" s="162">
        <f t="shared" si="69"/>
        <v>0</v>
      </c>
      <c r="AE3143" s="160">
        <v>3141</v>
      </c>
    </row>
    <row r="3144" spans="27:31" x14ac:dyDescent="0.25">
      <c r="AA3144" s="160"/>
      <c r="AB3144" s="162"/>
      <c r="AC3144" s="162"/>
      <c r="AD3144" s="162">
        <f t="shared" si="69"/>
        <v>0</v>
      </c>
      <c r="AE3144" s="160">
        <v>3142</v>
      </c>
    </row>
    <row r="3145" spans="27:31" x14ac:dyDescent="0.25">
      <c r="AA3145" s="160"/>
      <c r="AB3145" s="162"/>
      <c r="AC3145" s="162"/>
      <c r="AD3145" s="162">
        <f t="shared" si="69"/>
        <v>0</v>
      </c>
      <c r="AE3145" s="160">
        <v>3143</v>
      </c>
    </row>
    <row r="3146" spans="27:31" x14ac:dyDescent="0.25">
      <c r="AA3146" s="160"/>
      <c r="AB3146" s="162"/>
      <c r="AC3146" s="162"/>
      <c r="AD3146" s="162">
        <f t="shared" si="69"/>
        <v>0</v>
      </c>
      <c r="AE3146" s="160">
        <v>3144</v>
      </c>
    </row>
    <row r="3147" spans="27:31" x14ac:dyDescent="0.25">
      <c r="AA3147" s="160"/>
      <c r="AB3147" s="162"/>
      <c r="AC3147" s="162"/>
      <c r="AD3147" s="162">
        <f t="shared" si="69"/>
        <v>0</v>
      </c>
      <c r="AE3147" s="160">
        <v>3145</v>
      </c>
    </row>
    <row r="3148" spans="27:31" x14ac:dyDescent="0.25">
      <c r="AA3148" s="160"/>
      <c r="AB3148" s="162"/>
      <c r="AC3148" s="162"/>
      <c r="AD3148" s="162">
        <f t="shared" si="69"/>
        <v>0</v>
      </c>
      <c r="AE3148" s="160">
        <v>3146</v>
      </c>
    </row>
    <row r="3149" spans="27:31" x14ac:dyDescent="0.25">
      <c r="AA3149" s="160"/>
      <c r="AB3149" s="162"/>
      <c r="AC3149" s="162"/>
      <c r="AD3149" s="162">
        <f t="shared" si="69"/>
        <v>0</v>
      </c>
      <c r="AE3149" s="160">
        <v>3147</v>
      </c>
    </row>
    <row r="3150" spans="27:31" x14ac:dyDescent="0.25">
      <c r="AA3150" s="160"/>
      <c r="AB3150" s="162"/>
      <c r="AC3150" s="162"/>
      <c r="AD3150" s="162">
        <f t="shared" si="69"/>
        <v>0</v>
      </c>
      <c r="AE3150" s="160">
        <v>3148</v>
      </c>
    </row>
    <row r="3151" spans="27:31" x14ac:dyDescent="0.25">
      <c r="AA3151" s="160"/>
      <c r="AB3151" s="162"/>
      <c r="AC3151" s="162"/>
      <c r="AD3151" s="162">
        <f t="shared" si="69"/>
        <v>0</v>
      </c>
      <c r="AE3151" s="160">
        <v>3149</v>
      </c>
    </row>
    <row r="3152" spans="27:31" x14ac:dyDescent="0.25">
      <c r="AA3152" s="160"/>
      <c r="AB3152" s="162"/>
      <c r="AC3152" s="162"/>
      <c r="AD3152" s="162">
        <f t="shared" si="69"/>
        <v>0</v>
      </c>
      <c r="AE3152" s="160">
        <v>3150</v>
      </c>
    </row>
    <row r="3153" spans="27:31" x14ac:dyDescent="0.25">
      <c r="AA3153" s="160"/>
      <c r="AB3153" s="162"/>
      <c r="AC3153" s="162"/>
      <c r="AD3153" s="162">
        <f t="shared" si="69"/>
        <v>0</v>
      </c>
      <c r="AE3153" s="160">
        <v>3151</v>
      </c>
    </row>
    <row r="3154" spans="27:31" x14ac:dyDescent="0.25">
      <c r="AA3154" s="160"/>
      <c r="AB3154" s="162"/>
      <c r="AC3154" s="162"/>
      <c r="AD3154" s="162">
        <f t="shared" si="69"/>
        <v>0</v>
      </c>
      <c r="AE3154" s="160">
        <v>3152</v>
      </c>
    </row>
    <row r="3155" spans="27:31" x14ac:dyDescent="0.25">
      <c r="AA3155" s="160"/>
      <c r="AB3155" s="162"/>
      <c r="AC3155" s="162"/>
      <c r="AD3155" s="162">
        <f t="shared" si="69"/>
        <v>0</v>
      </c>
      <c r="AE3155" s="160">
        <v>3153</v>
      </c>
    </row>
    <row r="3156" spans="27:31" x14ac:dyDescent="0.25">
      <c r="AA3156" s="160"/>
      <c r="AB3156" s="162"/>
      <c r="AC3156" s="162"/>
      <c r="AD3156" s="162">
        <f t="shared" si="69"/>
        <v>0</v>
      </c>
      <c r="AE3156" s="160">
        <v>3154</v>
      </c>
    </row>
    <row r="3157" spans="27:31" x14ac:dyDescent="0.25">
      <c r="AA3157" s="160"/>
      <c r="AB3157" s="162"/>
      <c r="AC3157" s="162"/>
      <c r="AD3157" s="162">
        <f t="shared" si="69"/>
        <v>0</v>
      </c>
      <c r="AE3157" s="160">
        <v>3155</v>
      </c>
    </row>
    <row r="3158" spans="27:31" x14ac:dyDescent="0.25">
      <c r="AA3158" s="160"/>
      <c r="AB3158" s="162"/>
      <c r="AC3158" s="162"/>
      <c r="AD3158" s="162">
        <f t="shared" si="69"/>
        <v>0</v>
      </c>
      <c r="AE3158" s="160">
        <v>3156</v>
      </c>
    </row>
    <row r="3159" spans="27:31" x14ac:dyDescent="0.25">
      <c r="AA3159" s="160"/>
      <c r="AB3159" s="162"/>
      <c r="AC3159" s="162"/>
      <c r="AD3159" s="162">
        <f t="shared" si="69"/>
        <v>0</v>
      </c>
      <c r="AE3159" s="160">
        <v>3157</v>
      </c>
    </row>
    <row r="3160" spans="27:31" x14ac:dyDescent="0.25">
      <c r="AA3160" s="160"/>
      <c r="AB3160" s="162"/>
      <c r="AC3160" s="162"/>
      <c r="AD3160" s="162">
        <f t="shared" si="69"/>
        <v>0</v>
      </c>
      <c r="AE3160" s="160">
        <v>3158</v>
      </c>
    </row>
    <row r="3161" spans="27:31" x14ac:dyDescent="0.25">
      <c r="AA3161" s="160"/>
      <c r="AB3161" s="162"/>
      <c r="AC3161" s="162"/>
      <c r="AD3161" s="162">
        <f t="shared" si="69"/>
        <v>0</v>
      </c>
      <c r="AE3161" s="160">
        <v>3159</v>
      </c>
    </row>
    <row r="3162" spans="27:31" x14ac:dyDescent="0.25">
      <c r="AA3162" s="160"/>
      <c r="AB3162" s="162"/>
      <c r="AC3162" s="162"/>
      <c r="AD3162" s="162">
        <f t="shared" si="69"/>
        <v>0</v>
      </c>
      <c r="AE3162" s="160">
        <v>3160</v>
      </c>
    </row>
    <row r="3163" spans="27:31" x14ac:dyDescent="0.25">
      <c r="AA3163" s="160"/>
      <c r="AB3163" s="162"/>
      <c r="AC3163" s="162"/>
      <c r="AD3163" s="162">
        <f t="shared" si="69"/>
        <v>0</v>
      </c>
      <c r="AE3163" s="160">
        <v>3161</v>
      </c>
    </row>
    <row r="3164" spans="27:31" x14ac:dyDescent="0.25">
      <c r="AA3164" s="160"/>
      <c r="AB3164" s="162"/>
      <c r="AC3164" s="162"/>
      <c r="AD3164" s="162">
        <f t="shared" si="69"/>
        <v>0</v>
      </c>
      <c r="AE3164" s="160">
        <v>3162</v>
      </c>
    </row>
    <row r="3165" spans="27:31" x14ac:dyDescent="0.25">
      <c r="AA3165" s="160"/>
      <c r="AB3165" s="162"/>
      <c r="AC3165" s="162"/>
      <c r="AD3165" s="162">
        <f t="shared" si="69"/>
        <v>0</v>
      </c>
      <c r="AE3165" s="160">
        <v>3163</v>
      </c>
    </row>
    <row r="3166" spans="27:31" x14ac:dyDescent="0.25">
      <c r="AA3166" s="160"/>
      <c r="AB3166" s="162"/>
      <c r="AC3166" s="162"/>
      <c r="AD3166" s="162">
        <f t="shared" si="69"/>
        <v>0</v>
      </c>
      <c r="AE3166" s="160">
        <v>3164</v>
      </c>
    </row>
    <row r="3167" spans="27:31" x14ac:dyDescent="0.25">
      <c r="AA3167" s="160"/>
      <c r="AB3167" s="162"/>
      <c r="AC3167" s="162"/>
      <c r="AD3167" s="162">
        <f t="shared" si="69"/>
        <v>0</v>
      </c>
      <c r="AE3167" s="160">
        <v>3165</v>
      </c>
    </row>
    <row r="3168" spans="27:31" x14ac:dyDescent="0.25">
      <c r="AA3168" s="160"/>
      <c r="AB3168" s="162"/>
      <c r="AC3168" s="162"/>
      <c r="AD3168" s="162">
        <f t="shared" si="69"/>
        <v>0</v>
      </c>
      <c r="AE3168" s="160">
        <v>3166</v>
      </c>
    </row>
    <row r="3169" spans="27:31" x14ac:dyDescent="0.25">
      <c r="AA3169" s="160"/>
      <c r="AB3169" s="162"/>
      <c r="AC3169" s="162"/>
      <c r="AD3169" s="162">
        <f t="shared" si="69"/>
        <v>0</v>
      </c>
      <c r="AE3169" s="160">
        <v>3167</v>
      </c>
    </row>
    <row r="3170" spans="27:31" x14ac:dyDescent="0.25">
      <c r="AA3170" s="160"/>
      <c r="AB3170" s="162"/>
      <c r="AC3170" s="162"/>
      <c r="AD3170" s="162">
        <f t="shared" si="69"/>
        <v>0</v>
      </c>
      <c r="AE3170" s="160">
        <v>3168</v>
      </c>
    </row>
    <row r="3171" spans="27:31" x14ac:dyDescent="0.25">
      <c r="AA3171" s="160"/>
      <c r="AB3171" s="162"/>
      <c r="AC3171" s="162"/>
      <c r="AD3171" s="162">
        <f t="shared" si="69"/>
        <v>0</v>
      </c>
      <c r="AE3171" s="160">
        <v>3169</v>
      </c>
    </row>
    <row r="3172" spans="27:31" x14ac:dyDescent="0.25">
      <c r="AA3172" s="160"/>
      <c r="AB3172" s="162"/>
      <c r="AC3172" s="162"/>
      <c r="AD3172" s="162">
        <f t="shared" si="69"/>
        <v>0</v>
      </c>
      <c r="AE3172" s="160">
        <v>3170</v>
      </c>
    </row>
    <row r="3173" spans="27:31" x14ac:dyDescent="0.25">
      <c r="AA3173" s="160"/>
      <c r="AB3173" s="162"/>
      <c r="AC3173" s="162"/>
      <c r="AD3173" s="162">
        <f t="shared" si="69"/>
        <v>0</v>
      </c>
      <c r="AE3173" s="160">
        <v>3171</v>
      </c>
    </row>
    <row r="3174" spans="27:31" x14ac:dyDescent="0.25">
      <c r="AA3174" s="160"/>
      <c r="AB3174" s="162"/>
      <c r="AC3174" s="162"/>
      <c r="AD3174" s="162">
        <f t="shared" si="69"/>
        <v>0</v>
      </c>
      <c r="AE3174" s="160">
        <v>3172</v>
      </c>
    </row>
    <row r="3175" spans="27:31" x14ac:dyDescent="0.25">
      <c r="AA3175" s="160"/>
      <c r="AB3175" s="162"/>
      <c r="AC3175" s="162"/>
      <c r="AD3175" s="162">
        <f t="shared" si="69"/>
        <v>0</v>
      </c>
      <c r="AE3175" s="160">
        <v>3173</v>
      </c>
    </row>
    <row r="3176" spans="27:31" x14ac:dyDescent="0.25">
      <c r="AA3176" s="160"/>
      <c r="AB3176" s="162"/>
      <c r="AC3176" s="162"/>
      <c r="AD3176" s="162">
        <f t="shared" si="69"/>
        <v>0</v>
      </c>
      <c r="AE3176" s="160">
        <v>3174</v>
      </c>
    </row>
    <row r="3177" spans="27:31" x14ac:dyDescent="0.25">
      <c r="AA3177" s="160"/>
      <c r="AB3177" s="162"/>
      <c r="AC3177" s="162"/>
      <c r="AD3177" s="162">
        <f t="shared" si="69"/>
        <v>0</v>
      </c>
      <c r="AE3177" s="160">
        <v>3175</v>
      </c>
    </row>
    <row r="3178" spans="27:31" x14ac:dyDescent="0.25">
      <c r="AA3178" s="160"/>
      <c r="AB3178" s="162"/>
      <c r="AC3178" s="162"/>
      <c r="AD3178" s="162">
        <f t="shared" si="69"/>
        <v>0</v>
      </c>
      <c r="AE3178" s="160">
        <v>3176</v>
      </c>
    </row>
    <row r="3179" spans="27:31" x14ac:dyDescent="0.25">
      <c r="AA3179" s="160"/>
      <c r="AB3179" s="162"/>
      <c r="AC3179" s="162"/>
      <c r="AD3179" s="162">
        <f t="shared" si="69"/>
        <v>0</v>
      </c>
      <c r="AE3179" s="160">
        <v>3177</v>
      </c>
    </row>
    <row r="3180" spans="27:31" x14ac:dyDescent="0.25">
      <c r="AA3180" s="160"/>
      <c r="AB3180" s="162"/>
      <c r="AC3180" s="162"/>
      <c r="AD3180" s="162">
        <f t="shared" si="69"/>
        <v>0</v>
      </c>
      <c r="AE3180" s="160">
        <v>3178</v>
      </c>
    </row>
    <row r="3181" spans="27:31" x14ac:dyDescent="0.25">
      <c r="AA3181" s="160"/>
      <c r="AB3181" s="162"/>
      <c r="AC3181" s="162"/>
      <c r="AD3181" s="162">
        <f t="shared" si="69"/>
        <v>0</v>
      </c>
      <c r="AE3181" s="160">
        <v>3179</v>
      </c>
    </row>
    <row r="3182" spans="27:31" x14ac:dyDescent="0.25">
      <c r="AA3182" s="160"/>
      <c r="AB3182" s="162"/>
      <c r="AC3182" s="162"/>
      <c r="AD3182" s="162">
        <f t="shared" si="69"/>
        <v>0</v>
      </c>
      <c r="AE3182" s="160">
        <v>3180</v>
      </c>
    </row>
    <row r="3183" spans="27:31" x14ac:dyDescent="0.25">
      <c r="AA3183" s="160"/>
      <c r="AB3183" s="162"/>
      <c r="AC3183" s="162"/>
      <c r="AD3183" s="162">
        <f t="shared" si="69"/>
        <v>0</v>
      </c>
      <c r="AE3183" s="160">
        <v>3181</v>
      </c>
    </row>
    <row r="3184" spans="27:31" x14ac:dyDescent="0.25">
      <c r="AA3184" s="160"/>
      <c r="AB3184" s="162"/>
      <c r="AC3184" s="162"/>
      <c r="AD3184" s="162">
        <f t="shared" si="69"/>
        <v>0</v>
      </c>
      <c r="AE3184" s="160">
        <v>3182</v>
      </c>
    </row>
    <row r="3185" spans="27:31" x14ac:dyDescent="0.25">
      <c r="AA3185" s="160"/>
      <c r="AB3185" s="162"/>
      <c r="AC3185" s="162"/>
      <c r="AD3185" s="162">
        <f t="shared" si="69"/>
        <v>0</v>
      </c>
      <c r="AE3185" s="160">
        <v>3183</v>
      </c>
    </row>
    <row r="3186" spans="27:31" x14ac:dyDescent="0.25">
      <c r="AA3186" s="160"/>
      <c r="AB3186" s="162"/>
      <c r="AC3186" s="162"/>
      <c r="AD3186" s="162">
        <f t="shared" si="69"/>
        <v>0</v>
      </c>
      <c r="AE3186" s="160">
        <v>3184</v>
      </c>
    </row>
    <row r="3187" spans="27:31" x14ac:dyDescent="0.25">
      <c r="AA3187" s="160"/>
      <c r="AB3187" s="162"/>
      <c r="AC3187" s="162"/>
      <c r="AD3187" s="162">
        <f t="shared" si="69"/>
        <v>0</v>
      </c>
      <c r="AE3187" s="160">
        <v>3185</v>
      </c>
    </row>
    <row r="3188" spans="27:31" x14ac:dyDescent="0.25">
      <c r="AA3188" s="160"/>
      <c r="AB3188" s="162"/>
      <c r="AC3188" s="162"/>
      <c r="AD3188" s="162">
        <f t="shared" si="69"/>
        <v>0</v>
      </c>
      <c r="AE3188" s="160">
        <v>3186</v>
      </c>
    </row>
    <row r="3189" spans="27:31" x14ac:dyDescent="0.25">
      <c r="AA3189" s="160"/>
      <c r="AB3189" s="162"/>
      <c r="AC3189" s="162"/>
      <c r="AD3189" s="162">
        <f t="shared" si="69"/>
        <v>0</v>
      </c>
      <c r="AE3189" s="160">
        <v>3187</v>
      </c>
    </row>
    <row r="3190" spans="27:31" x14ac:dyDescent="0.25">
      <c r="AA3190" s="160"/>
      <c r="AB3190" s="162"/>
      <c r="AC3190" s="162"/>
      <c r="AD3190" s="162">
        <f t="shared" si="69"/>
        <v>0</v>
      </c>
      <c r="AE3190" s="160">
        <v>3188</v>
      </c>
    </row>
    <row r="3191" spans="27:31" x14ac:dyDescent="0.25">
      <c r="AA3191" s="160"/>
      <c r="AB3191" s="162"/>
      <c r="AC3191" s="162"/>
      <c r="AD3191" s="162">
        <f t="shared" si="69"/>
        <v>0</v>
      </c>
      <c r="AE3191" s="160">
        <v>3189</v>
      </c>
    </row>
    <row r="3192" spans="27:31" x14ac:dyDescent="0.25">
      <c r="AA3192" s="160"/>
      <c r="AB3192" s="162"/>
      <c r="AC3192" s="162"/>
      <c r="AD3192" s="162">
        <f t="shared" si="69"/>
        <v>0</v>
      </c>
      <c r="AE3192" s="160">
        <v>3190</v>
      </c>
    </row>
    <row r="3193" spans="27:31" x14ac:dyDescent="0.25">
      <c r="AA3193" s="160"/>
      <c r="AB3193" s="162"/>
      <c r="AC3193" s="162"/>
      <c r="AD3193" s="162">
        <f t="shared" si="69"/>
        <v>0</v>
      </c>
      <c r="AE3193" s="160">
        <v>3191</v>
      </c>
    </row>
    <row r="3194" spans="27:31" x14ac:dyDescent="0.25">
      <c r="AA3194" s="160"/>
      <c r="AB3194" s="162"/>
      <c r="AC3194" s="162"/>
      <c r="AD3194" s="162">
        <f t="shared" si="69"/>
        <v>0</v>
      </c>
      <c r="AE3194" s="160">
        <v>3192</v>
      </c>
    </row>
    <row r="3195" spans="27:31" x14ac:dyDescent="0.25">
      <c r="AA3195" s="160"/>
      <c r="AB3195" s="162"/>
      <c r="AC3195" s="162"/>
      <c r="AD3195" s="162">
        <f t="shared" si="69"/>
        <v>0</v>
      </c>
      <c r="AE3195" s="160">
        <v>3193</v>
      </c>
    </row>
    <row r="3196" spans="27:31" x14ac:dyDescent="0.25">
      <c r="AA3196" s="160"/>
      <c r="AB3196" s="162"/>
      <c r="AC3196" s="162"/>
      <c r="AD3196" s="162">
        <f t="shared" si="69"/>
        <v>0</v>
      </c>
      <c r="AE3196" s="160">
        <v>3194</v>
      </c>
    </row>
    <row r="3197" spans="27:31" x14ac:dyDescent="0.25">
      <c r="AA3197" s="160"/>
      <c r="AB3197" s="162"/>
      <c r="AC3197" s="162"/>
      <c r="AD3197" s="162">
        <f t="shared" si="69"/>
        <v>0</v>
      </c>
      <c r="AE3197" s="160">
        <v>3195</v>
      </c>
    </row>
    <row r="3198" spans="27:31" x14ac:dyDescent="0.25">
      <c r="AA3198" s="160"/>
      <c r="AB3198" s="162"/>
      <c r="AC3198" s="162"/>
      <c r="AD3198" s="162">
        <f t="shared" si="69"/>
        <v>0</v>
      </c>
      <c r="AE3198" s="160">
        <v>3196</v>
      </c>
    </row>
    <row r="3199" spans="27:31" x14ac:dyDescent="0.25">
      <c r="AA3199" s="160"/>
      <c r="AB3199" s="162"/>
      <c r="AC3199" s="162"/>
      <c r="AD3199" s="162">
        <f t="shared" si="69"/>
        <v>0</v>
      </c>
      <c r="AE3199" s="160">
        <v>3197</v>
      </c>
    </row>
    <row r="3200" spans="27:31" x14ac:dyDescent="0.25">
      <c r="AA3200" s="160"/>
      <c r="AB3200" s="162"/>
      <c r="AC3200" s="162"/>
      <c r="AD3200" s="162">
        <f t="shared" si="69"/>
        <v>0</v>
      </c>
      <c r="AE3200" s="160">
        <v>3198</v>
      </c>
    </row>
    <row r="3201" spans="27:31" x14ac:dyDescent="0.25">
      <c r="AA3201" s="160"/>
      <c r="AB3201" s="162"/>
      <c r="AC3201" s="162"/>
      <c r="AD3201" s="162">
        <f t="shared" si="69"/>
        <v>0</v>
      </c>
      <c r="AE3201" s="160">
        <v>3199</v>
      </c>
    </row>
    <row r="3202" spans="27:31" x14ac:dyDescent="0.25">
      <c r="AA3202" s="160"/>
      <c r="AB3202" s="162"/>
      <c r="AC3202" s="162"/>
      <c r="AD3202" s="162">
        <f t="shared" si="69"/>
        <v>0</v>
      </c>
      <c r="AE3202" s="160">
        <v>3200</v>
      </c>
    </row>
    <row r="3203" spans="27:31" x14ac:dyDescent="0.25">
      <c r="AA3203" s="160"/>
      <c r="AB3203" s="162"/>
      <c r="AC3203" s="162"/>
      <c r="AD3203" s="162">
        <f t="shared" si="69"/>
        <v>0</v>
      </c>
      <c r="AE3203" s="160">
        <v>3201</v>
      </c>
    </row>
    <row r="3204" spans="27:31" x14ac:dyDescent="0.25">
      <c r="AA3204" s="160"/>
      <c r="AB3204" s="162"/>
      <c r="AC3204" s="162"/>
      <c r="AD3204" s="162">
        <f t="shared" ref="AD3204:AD3267" si="70">AB3204+AC3204</f>
        <v>0</v>
      </c>
      <c r="AE3204" s="160">
        <v>3202</v>
      </c>
    </row>
    <row r="3205" spans="27:31" x14ac:dyDescent="0.25">
      <c r="AA3205" s="160"/>
      <c r="AB3205" s="162"/>
      <c r="AC3205" s="162"/>
      <c r="AD3205" s="162">
        <f t="shared" si="70"/>
        <v>0</v>
      </c>
      <c r="AE3205" s="160">
        <v>3203</v>
      </c>
    </row>
    <row r="3206" spans="27:31" x14ac:dyDescent="0.25">
      <c r="AA3206" s="160"/>
      <c r="AB3206" s="162"/>
      <c r="AC3206" s="162"/>
      <c r="AD3206" s="162">
        <f t="shared" si="70"/>
        <v>0</v>
      </c>
      <c r="AE3206" s="160">
        <v>3204</v>
      </c>
    </row>
    <row r="3207" spans="27:31" x14ac:dyDescent="0.25">
      <c r="AA3207" s="160"/>
      <c r="AB3207" s="162"/>
      <c r="AC3207" s="162"/>
      <c r="AD3207" s="162">
        <f t="shared" si="70"/>
        <v>0</v>
      </c>
      <c r="AE3207" s="160">
        <v>3205</v>
      </c>
    </row>
    <row r="3208" spans="27:31" x14ac:dyDescent="0.25">
      <c r="AA3208" s="160"/>
      <c r="AB3208" s="162"/>
      <c r="AC3208" s="162"/>
      <c r="AD3208" s="162">
        <f t="shared" si="70"/>
        <v>0</v>
      </c>
      <c r="AE3208" s="160">
        <v>3206</v>
      </c>
    </row>
    <row r="3209" spans="27:31" x14ac:dyDescent="0.25">
      <c r="AA3209" s="160"/>
      <c r="AB3209" s="162"/>
      <c r="AC3209" s="162"/>
      <c r="AD3209" s="162">
        <f t="shared" si="70"/>
        <v>0</v>
      </c>
      <c r="AE3209" s="160">
        <v>3207</v>
      </c>
    </row>
    <row r="3210" spans="27:31" x14ac:dyDescent="0.25">
      <c r="AA3210" s="160"/>
      <c r="AB3210" s="162"/>
      <c r="AC3210" s="162"/>
      <c r="AD3210" s="162">
        <f t="shared" si="70"/>
        <v>0</v>
      </c>
      <c r="AE3210" s="160">
        <v>3208</v>
      </c>
    </row>
    <row r="3211" spans="27:31" x14ac:dyDescent="0.25">
      <c r="AA3211" s="160"/>
      <c r="AB3211" s="162"/>
      <c r="AC3211" s="162"/>
      <c r="AD3211" s="162">
        <f t="shared" si="70"/>
        <v>0</v>
      </c>
      <c r="AE3211" s="160">
        <v>3209</v>
      </c>
    </row>
    <row r="3212" spans="27:31" x14ac:dyDescent="0.25">
      <c r="AA3212" s="160"/>
      <c r="AB3212" s="162"/>
      <c r="AC3212" s="162"/>
      <c r="AD3212" s="162">
        <f t="shared" si="70"/>
        <v>0</v>
      </c>
      <c r="AE3212" s="160">
        <v>3210</v>
      </c>
    </row>
    <row r="3213" spans="27:31" x14ac:dyDescent="0.25">
      <c r="AA3213" s="160"/>
      <c r="AB3213" s="162"/>
      <c r="AC3213" s="162"/>
      <c r="AD3213" s="162">
        <f t="shared" si="70"/>
        <v>0</v>
      </c>
      <c r="AE3213" s="160">
        <v>3211</v>
      </c>
    </row>
    <row r="3214" spans="27:31" x14ac:dyDescent="0.25">
      <c r="AA3214" s="160"/>
      <c r="AB3214" s="162"/>
      <c r="AC3214" s="162"/>
      <c r="AD3214" s="162">
        <f t="shared" si="70"/>
        <v>0</v>
      </c>
      <c r="AE3214" s="160">
        <v>3212</v>
      </c>
    </row>
    <row r="3215" spans="27:31" x14ac:dyDescent="0.25">
      <c r="AA3215" s="160"/>
      <c r="AB3215" s="162"/>
      <c r="AC3215" s="162"/>
      <c r="AD3215" s="162">
        <f t="shared" si="70"/>
        <v>0</v>
      </c>
      <c r="AE3215" s="160">
        <v>3213</v>
      </c>
    </row>
    <row r="3216" spans="27:31" x14ac:dyDescent="0.25">
      <c r="AA3216" s="160"/>
      <c r="AB3216" s="162"/>
      <c r="AC3216" s="162"/>
      <c r="AD3216" s="162">
        <f t="shared" si="70"/>
        <v>0</v>
      </c>
      <c r="AE3216" s="160">
        <v>3214</v>
      </c>
    </row>
    <row r="3217" spans="27:31" x14ac:dyDescent="0.25">
      <c r="AA3217" s="160"/>
      <c r="AB3217" s="162"/>
      <c r="AC3217" s="162"/>
      <c r="AD3217" s="162">
        <f t="shared" si="70"/>
        <v>0</v>
      </c>
      <c r="AE3217" s="160">
        <v>3215</v>
      </c>
    </row>
    <row r="3218" spans="27:31" x14ac:dyDescent="0.25">
      <c r="AA3218" s="160"/>
      <c r="AB3218" s="162"/>
      <c r="AC3218" s="162"/>
      <c r="AD3218" s="162">
        <f t="shared" si="70"/>
        <v>0</v>
      </c>
      <c r="AE3218" s="160">
        <v>3216</v>
      </c>
    </row>
    <row r="3219" spans="27:31" x14ac:dyDescent="0.25">
      <c r="AA3219" s="160"/>
      <c r="AB3219" s="162"/>
      <c r="AC3219" s="162"/>
      <c r="AD3219" s="162">
        <f t="shared" si="70"/>
        <v>0</v>
      </c>
      <c r="AE3219" s="160">
        <v>3217</v>
      </c>
    </row>
    <row r="3220" spans="27:31" x14ac:dyDescent="0.25">
      <c r="AA3220" s="160"/>
      <c r="AB3220" s="162"/>
      <c r="AC3220" s="162"/>
      <c r="AD3220" s="162">
        <f t="shared" si="70"/>
        <v>0</v>
      </c>
      <c r="AE3220" s="160">
        <v>3218</v>
      </c>
    </row>
    <row r="3221" spans="27:31" x14ac:dyDescent="0.25">
      <c r="AA3221" s="160"/>
      <c r="AB3221" s="162"/>
      <c r="AC3221" s="162"/>
      <c r="AD3221" s="162">
        <f t="shared" si="70"/>
        <v>0</v>
      </c>
      <c r="AE3221" s="160">
        <v>3219</v>
      </c>
    </row>
    <row r="3222" spans="27:31" x14ac:dyDescent="0.25">
      <c r="AA3222" s="160"/>
      <c r="AB3222" s="162"/>
      <c r="AC3222" s="162"/>
      <c r="AD3222" s="162">
        <f t="shared" si="70"/>
        <v>0</v>
      </c>
      <c r="AE3222" s="160">
        <v>3220</v>
      </c>
    </row>
    <row r="3223" spans="27:31" x14ac:dyDescent="0.25">
      <c r="AA3223" s="160"/>
      <c r="AB3223" s="162"/>
      <c r="AC3223" s="162"/>
      <c r="AD3223" s="162">
        <f t="shared" si="70"/>
        <v>0</v>
      </c>
      <c r="AE3223" s="160">
        <v>3221</v>
      </c>
    </row>
    <row r="3224" spans="27:31" x14ac:dyDescent="0.25">
      <c r="AA3224" s="160"/>
      <c r="AB3224" s="162"/>
      <c r="AC3224" s="162"/>
      <c r="AD3224" s="162">
        <f t="shared" si="70"/>
        <v>0</v>
      </c>
      <c r="AE3224" s="160">
        <v>3222</v>
      </c>
    </row>
    <row r="3225" spans="27:31" x14ac:dyDescent="0.25">
      <c r="AA3225" s="160"/>
      <c r="AB3225" s="162"/>
      <c r="AC3225" s="162"/>
      <c r="AD3225" s="162">
        <f t="shared" si="70"/>
        <v>0</v>
      </c>
      <c r="AE3225" s="160">
        <v>3223</v>
      </c>
    </row>
    <row r="3226" spans="27:31" x14ac:dyDescent="0.25">
      <c r="AA3226" s="160"/>
      <c r="AB3226" s="162"/>
      <c r="AC3226" s="162"/>
      <c r="AD3226" s="162">
        <f t="shared" si="70"/>
        <v>0</v>
      </c>
      <c r="AE3226" s="160">
        <v>3224</v>
      </c>
    </row>
    <row r="3227" spans="27:31" x14ac:dyDescent="0.25">
      <c r="AA3227" s="160"/>
      <c r="AB3227" s="162"/>
      <c r="AC3227" s="162"/>
      <c r="AD3227" s="162">
        <f t="shared" si="70"/>
        <v>0</v>
      </c>
      <c r="AE3227" s="160">
        <v>3225</v>
      </c>
    </row>
    <row r="3228" spans="27:31" x14ac:dyDescent="0.25">
      <c r="AA3228" s="160"/>
      <c r="AB3228" s="162"/>
      <c r="AC3228" s="162"/>
      <c r="AD3228" s="162">
        <f t="shared" si="70"/>
        <v>0</v>
      </c>
      <c r="AE3228" s="160">
        <v>3226</v>
      </c>
    </row>
    <row r="3229" spans="27:31" x14ac:dyDescent="0.25">
      <c r="AA3229" s="160"/>
      <c r="AB3229" s="162"/>
      <c r="AC3229" s="162"/>
      <c r="AD3229" s="162">
        <f t="shared" si="70"/>
        <v>0</v>
      </c>
      <c r="AE3229" s="160">
        <v>3227</v>
      </c>
    </row>
    <row r="3230" spans="27:31" x14ac:dyDescent="0.25">
      <c r="AA3230" s="160"/>
      <c r="AB3230" s="162"/>
      <c r="AC3230" s="162"/>
      <c r="AD3230" s="162">
        <f t="shared" si="70"/>
        <v>0</v>
      </c>
      <c r="AE3230" s="160">
        <v>3228</v>
      </c>
    </row>
    <row r="3231" spans="27:31" x14ac:dyDescent="0.25">
      <c r="AA3231" s="160"/>
      <c r="AB3231" s="162"/>
      <c r="AC3231" s="162"/>
      <c r="AD3231" s="162">
        <f t="shared" si="70"/>
        <v>0</v>
      </c>
      <c r="AE3231" s="160">
        <v>3229</v>
      </c>
    </row>
    <row r="3232" spans="27:31" x14ac:dyDescent="0.25">
      <c r="AA3232" s="160"/>
      <c r="AB3232" s="162"/>
      <c r="AC3232" s="162"/>
      <c r="AD3232" s="162">
        <f t="shared" si="70"/>
        <v>0</v>
      </c>
      <c r="AE3232" s="160">
        <v>3230</v>
      </c>
    </row>
    <row r="3233" spans="27:31" x14ac:dyDescent="0.25">
      <c r="AA3233" s="160"/>
      <c r="AB3233" s="162"/>
      <c r="AC3233" s="162"/>
      <c r="AD3233" s="162">
        <f t="shared" si="70"/>
        <v>0</v>
      </c>
      <c r="AE3233" s="160">
        <v>3231</v>
      </c>
    </row>
    <row r="3234" spans="27:31" x14ac:dyDescent="0.25">
      <c r="AA3234" s="160"/>
      <c r="AB3234" s="162"/>
      <c r="AC3234" s="162"/>
      <c r="AD3234" s="162">
        <f t="shared" si="70"/>
        <v>0</v>
      </c>
      <c r="AE3234" s="160">
        <v>3232</v>
      </c>
    </row>
    <row r="3235" spans="27:31" x14ac:dyDescent="0.25">
      <c r="AA3235" s="160"/>
      <c r="AB3235" s="162"/>
      <c r="AC3235" s="162"/>
      <c r="AD3235" s="162">
        <f t="shared" si="70"/>
        <v>0</v>
      </c>
      <c r="AE3235" s="160">
        <v>3233</v>
      </c>
    </row>
    <row r="3236" spans="27:31" x14ac:dyDescent="0.25">
      <c r="AA3236" s="160"/>
      <c r="AB3236" s="162"/>
      <c r="AC3236" s="162"/>
      <c r="AD3236" s="162">
        <f t="shared" si="70"/>
        <v>0</v>
      </c>
      <c r="AE3236" s="160">
        <v>3234</v>
      </c>
    </row>
    <row r="3237" spans="27:31" x14ac:dyDescent="0.25">
      <c r="AA3237" s="160"/>
      <c r="AB3237" s="162"/>
      <c r="AC3237" s="162"/>
      <c r="AD3237" s="162">
        <f t="shared" si="70"/>
        <v>0</v>
      </c>
      <c r="AE3237" s="160">
        <v>3235</v>
      </c>
    </row>
    <row r="3238" spans="27:31" x14ac:dyDescent="0.25">
      <c r="AA3238" s="160"/>
      <c r="AB3238" s="162"/>
      <c r="AC3238" s="162"/>
      <c r="AD3238" s="162">
        <f t="shared" si="70"/>
        <v>0</v>
      </c>
      <c r="AE3238" s="160">
        <v>3236</v>
      </c>
    </row>
    <row r="3239" spans="27:31" x14ac:dyDescent="0.25">
      <c r="AA3239" s="160"/>
      <c r="AB3239" s="162"/>
      <c r="AC3239" s="162"/>
      <c r="AD3239" s="162">
        <f t="shared" si="70"/>
        <v>0</v>
      </c>
      <c r="AE3239" s="160">
        <v>3237</v>
      </c>
    </row>
    <row r="3240" spans="27:31" x14ac:dyDescent="0.25">
      <c r="AA3240" s="160"/>
      <c r="AB3240" s="162"/>
      <c r="AC3240" s="162"/>
      <c r="AD3240" s="162">
        <f t="shared" si="70"/>
        <v>0</v>
      </c>
      <c r="AE3240" s="160">
        <v>3238</v>
      </c>
    </row>
    <row r="3241" spans="27:31" x14ac:dyDescent="0.25">
      <c r="AA3241" s="160"/>
      <c r="AB3241" s="162"/>
      <c r="AC3241" s="162"/>
      <c r="AD3241" s="162">
        <f t="shared" si="70"/>
        <v>0</v>
      </c>
      <c r="AE3241" s="160">
        <v>3239</v>
      </c>
    </row>
    <row r="3242" spans="27:31" x14ac:dyDescent="0.25">
      <c r="AA3242" s="160"/>
      <c r="AB3242" s="162"/>
      <c r="AC3242" s="162"/>
      <c r="AD3242" s="162">
        <f t="shared" si="70"/>
        <v>0</v>
      </c>
      <c r="AE3242" s="160">
        <v>3240</v>
      </c>
    </row>
    <row r="3243" spans="27:31" x14ac:dyDescent="0.25">
      <c r="AA3243" s="160"/>
      <c r="AB3243" s="162"/>
      <c r="AC3243" s="162"/>
      <c r="AD3243" s="162">
        <f t="shared" si="70"/>
        <v>0</v>
      </c>
      <c r="AE3243" s="160">
        <v>3241</v>
      </c>
    </row>
    <row r="3244" spans="27:31" x14ac:dyDescent="0.25">
      <c r="AA3244" s="160"/>
      <c r="AB3244" s="162"/>
      <c r="AC3244" s="162"/>
      <c r="AD3244" s="162">
        <f t="shared" si="70"/>
        <v>0</v>
      </c>
      <c r="AE3244" s="160">
        <v>3242</v>
      </c>
    </row>
    <row r="3245" spans="27:31" x14ac:dyDescent="0.25">
      <c r="AA3245" s="160"/>
      <c r="AB3245" s="162"/>
      <c r="AC3245" s="162"/>
      <c r="AD3245" s="162">
        <f t="shared" si="70"/>
        <v>0</v>
      </c>
      <c r="AE3245" s="160">
        <v>3243</v>
      </c>
    </row>
    <row r="3246" spans="27:31" x14ac:dyDescent="0.25">
      <c r="AA3246" s="160"/>
      <c r="AB3246" s="162"/>
      <c r="AC3246" s="162"/>
      <c r="AD3246" s="162">
        <f t="shared" si="70"/>
        <v>0</v>
      </c>
      <c r="AE3246" s="160">
        <v>3244</v>
      </c>
    </row>
    <row r="3247" spans="27:31" x14ac:dyDescent="0.25">
      <c r="AA3247" s="160"/>
      <c r="AB3247" s="162"/>
      <c r="AC3247" s="162"/>
      <c r="AD3247" s="162">
        <f t="shared" si="70"/>
        <v>0</v>
      </c>
      <c r="AE3247" s="160">
        <v>3245</v>
      </c>
    </row>
    <row r="3248" spans="27:31" x14ac:dyDescent="0.25">
      <c r="AA3248" s="160"/>
      <c r="AB3248" s="162"/>
      <c r="AC3248" s="162"/>
      <c r="AD3248" s="162">
        <f t="shared" si="70"/>
        <v>0</v>
      </c>
      <c r="AE3248" s="160">
        <v>3246</v>
      </c>
    </row>
    <row r="3249" spans="27:31" x14ac:dyDescent="0.25">
      <c r="AA3249" s="160"/>
      <c r="AB3249" s="162"/>
      <c r="AC3249" s="162"/>
      <c r="AD3249" s="162">
        <f t="shared" si="70"/>
        <v>0</v>
      </c>
      <c r="AE3249" s="160">
        <v>3247</v>
      </c>
    </row>
    <row r="3250" spans="27:31" x14ac:dyDescent="0.25">
      <c r="AA3250" s="160"/>
      <c r="AB3250" s="162"/>
      <c r="AC3250" s="162"/>
      <c r="AD3250" s="162">
        <f t="shared" si="70"/>
        <v>0</v>
      </c>
      <c r="AE3250" s="160">
        <v>3248</v>
      </c>
    </row>
    <row r="3251" spans="27:31" x14ac:dyDescent="0.25">
      <c r="AA3251" s="160"/>
      <c r="AB3251" s="162"/>
      <c r="AC3251" s="162"/>
      <c r="AD3251" s="162">
        <f t="shared" si="70"/>
        <v>0</v>
      </c>
      <c r="AE3251" s="160">
        <v>3249</v>
      </c>
    </row>
    <row r="3252" spans="27:31" x14ac:dyDescent="0.25">
      <c r="AA3252" s="160"/>
      <c r="AB3252" s="162"/>
      <c r="AC3252" s="162"/>
      <c r="AD3252" s="162">
        <f t="shared" si="70"/>
        <v>0</v>
      </c>
      <c r="AE3252" s="160">
        <v>3250</v>
      </c>
    </row>
    <row r="3253" spans="27:31" x14ac:dyDescent="0.25">
      <c r="AA3253" s="160"/>
      <c r="AB3253" s="162"/>
      <c r="AC3253" s="162"/>
      <c r="AD3253" s="162">
        <f t="shared" si="70"/>
        <v>0</v>
      </c>
      <c r="AE3253" s="160">
        <v>3251</v>
      </c>
    </row>
    <row r="3254" spans="27:31" x14ac:dyDescent="0.25">
      <c r="AA3254" s="160"/>
      <c r="AB3254" s="162"/>
      <c r="AC3254" s="162"/>
      <c r="AD3254" s="162">
        <f t="shared" si="70"/>
        <v>0</v>
      </c>
      <c r="AE3254" s="160">
        <v>3252</v>
      </c>
    </row>
    <row r="3255" spans="27:31" x14ac:dyDescent="0.25">
      <c r="AA3255" s="160"/>
      <c r="AB3255" s="162"/>
      <c r="AC3255" s="162"/>
      <c r="AD3255" s="162">
        <f t="shared" si="70"/>
        <v>0</v>
      </c>
      <c r="AE3255" s="160">
        <v>3253</v>
      </c>
    </row>
    <row r="3256" spans="27:31" x14ac:dyDescent="0.25">
      <c r="AA3256" s="160"/>
      <c r="AB3256" s="162"/>
      <c r="AC3256" s="162"/>
      <c r="AD3256" s="162">
        <f t="shared" si="70"/>
        <v>0</v>
      </c>
      <c r="AE3256" s="160">
        <v>3254</v>
      </c>
    </row>
    <row r="3257" spans="27:31" x14ac:dyDescent="0.25">
      <c r="AA3257" s="160"/>
      <c r="AB3257" s="162"/>
      <c r="AC3257" s="162"/>
      <c r="AD3257" s="162">
        <f t="shared" si="70"/>
        <v>0</v>
      </c>
      <c r="AE3257" s="160">
        <v>3255</v>
      </c>
    </row>
    <row r="3258" spans="27:31" x14ac:dyDescent="0.25">
      <c r="AA3258" s="160"/>
      <c r="AB3258" s="162"/>
      <c r="AC3258" s="162"/>
      <c r="AD3258" s="162">
        <f t="shared" si="70"/>
        <v>0</v>
      </c>
      <c r="AE3258" s="160">
        <v>3256</v>
      </c>
    </row>
    <row r="3259" spans="27:31" x14ac:dyDescent="0.25">
      <c r="AA3259" s="160"/>
      <c r="AB3259" s="162"/>
      <c r="AC3259" s="162"/>
      <c r="AD3259" s="162">
        <f t="shared" si="70"/>
        <v>0</v>
      </c>
      <c r="AE3259" s="160">
        <v>3257</v>
      </c>
    </row>
    <row r="3260" spans="27:31" x14ac:dyDescent="0.25">
      <c r="AA3260" s="160"/>
      <c r="AB3260" s="162"/>
      <c r="AC3260" s="162"/>
      <c r="AD3260" s="162">
        <f t="shared" si="70"/>
        <v>0</v>
      </c>
      <c r="AE3260" s="160">
        <v>3258</v>
      </c>
    </row>
    <row r="3261" spans="27:31" x14ac:dyDescent="0.25">
      <c r="AA3261" s="160"/>
      <c r="AB3261" s="162"/>
      <c r="AC3261" s="162"/>
      <c r="AD3261" s="162">
        <f t="shared" si="70"/>
        <v>0</v>
      </c>
      <c r="AE3261" s="160">
        <v>3259</v>
      </c>
    </row>
    <row r="3262" spans="27:31" x14ac:dyDescent="0.25">
      <c r="AA3262" s="160"/>
      <c r="AB3262" s="162"/>
      <c r="AC3262" s="162"/>
      <c r="AD3262" s="162">
        <f t="shared" si="70"/>
        <v>0</v>
      </c>
      <c r="AE3262" s="160">
        <v>3260</v>
      </c>
    </row>
    <row r="3263" spans="27:31" x14ac:dyDescent="0.25">
      <c r="AA3263" s="160"/>
      <c r="AB3263" s="162"/>
      <c r="AC3263" s="162"/>
      <c r="AD3263" s="162">
        <f t="shared" si="70"/>
        <v>0</v>
      </c>
      <c r="AE3263" s="160">
        <v>3261</v>
      </c>
    </row>
    <row r="3264" spans="27:31" x14ac:dyDescent="0.25">
      <c r="AA3264" s="160"/>
      <c r="AB3264" s="162"/>
      <c r="AC3264" s="162"/>
      <c r="AD3264" s="162">
        <f t="shared" si="70"/>
        <v>0</v>
      </c>
      <c r="AE3264" s="160">
        <v>3262</v>
      </c>
    </row>
    <row r="3265" spans="27:31" x14ac:dyDescent="0.25">
      <c r="AA3265" s="160"/>
      <c r="AB3265" s="162"/>
      <c r="AC3265" s="162"/>
      <c r="AD3265" s="162">
        <f t="shared" si="70"/>
        <v>0</v>
      </c>
      <c r="AE3265" s="160">
        <v>3263</v>
      </c>
    </row>
    <row r="3266" spans="27:31" x14ac:dyDescent="0.25">
      <c r="AA3266" s="160"/>
      <c r="AB3266" s="162"/>
      <c r="AC3266" s="162"/>
      <c r="AD3266" s="162">
        <f t="shared" si="70"/>
        <v>0</v>
      </c>
      <c r="AE3266" s="160">
        <v>3264</v>
      </c>
    </row>
    <row r="3267" spans="27:31" x14ac:dyDescent="0.25">
      <c r="AA3267" s="160"/>
      <c r="AB3267" s="162"/>
      <c r="AC3267" s="162"/>
      <c r="AD3267" s="162">
        <f t="shared" si="70"/>
        <v>0</v>
      </c>
      <c r="AE3267" s="160">
        <v>3265</v>
      </c>
    </row>
    <row r="3268" spans="27:31" x14ac:dyDescent="0.25">
      <c r="AA3268" s="160"/>
      <c r="AB3268" s="162"/>
      <c r="AC3268" s="162"/>
      <c r="AD3268" s="162">
        <f t="shared" ref="AD3268:AD3331" si="71">AB3268+AC3268</f>
        <v>0</v>
      </c>
      <c r="AE3268" s="160">
        <v>3266</v>
      </c>
    </row>
    <row r="3269" spans="27:31" x14ac:dyDescent="0.25">
      <c r="AA3269" s="160"/>
      <c r="AB3269" s="162"/>
      <c r="AC3269" s="162"/>
      <c r="AD3269" s="162">
        <f t="shared" si="71"/>
        <v>0</v>
      </c>
      <c r="AE3269" s="160">
        <v>3267</v>
      </c>
    </row>
    <row r="3270" spans="27:31" x14ac:dyDescent="0.25">
      <c r="AA3270" s="160"/>
      <c r="AB3270" s="162"/>
      <c r="AC3270" s="162"/>
      <c r="AD3270" s="162">
        <f t="shared" si="71"/>
        <v>0</v>
      </c>
      <c r="AE3270" s="160">
        <v>3268</v>
      </c>
    </row>
    <row r="3271" spans="27:31" x14ac:dyDescent="0.25">
      <c r="AA3271" s="160"/>
      <c r="AB3271" s="162"/>
      <c r="AC3271" s="162"/>
      <c r="AD3271" s="162">
        <f t="shared" si="71"/>
        <v>0</v>
      </c>
      <c r="AE3271" s="160">
        <v>3269</v>
      </c>
    </row>
    <row r="3272" spans="27:31" x14ac:dyDescent="0.25">
      <c r="AA3272" s="160"/>
      <c r="AB3272" s="162"/>
      <c r="AC3272" s="162"/>
      <c r="AD3272" s="162">
        <f t="shared" si="71"/>
        <v>0</v>
      </c>
      <c r="AE3272" s="160">
        <v>3270</v>
      </c>
    </row>
    <row r="3273" spans="27:31" x14ac:dyDescent="0.25">
      <c r="AA3273" s="160"/>
      <c r="AB3273" s="162"/>
      <c r="AC3273" s="162"/>
      <c r="AD3273" s="162">
        <f t="shared" si="71"/>
        <v>0</v>
      </c>
      <c r="AE3273" s="160">
        <v>3271</v>
      </c>
    </row>
    <row r="3274" spans="27:31" x14ac:dyDescent="0.25">
      <c r="AA3274" s="160"/>
      <c r="AB3274" s="162"/>
      <c r="AC3274" s="162"/>
      <c r="AD3274" s="162">
        <f t="shared" si="71"/>
        <v>0</v>
      </c>
      <c r="AE3274" s="160">
        <v>3272</v>
      </c>
    </row>
    <row r="3275" spans="27:31" x14ac:dyDescent="0.25">
      <c r="AA3275" s="160"/>
      <c r="AB3275" s="162"/>
      <c r="AC3275" s="162"/>
      <c r="AD3275" s="162">
        <f t="shared" si="71"/>
        <v>0</v>
      </c>
      <c r="AE3275" s="160">
        <v>3273</v>
      </c>
    </row>
    <row r="3276" spans="27:31" x14ac:dyDescent="0.25">
      <c r="AA3276" s="160"/>
      <c r="AB3276" s="162"/>
      <c r="AC3276" s="162"/>
      <c r="AD3276" s="162">
        <f t="shared" si="71"/>
        <v>0</v>
      </c>
      <c r="AE3276" s="160">
        <v>3274</v>
      </c>
    </row>
    <row r="3277" spans="27:31" x14ac:dyDescent="0.25">
      <c r="AA3277" s="160"/>
      <c r="AB3277" s="162"/>
      <c r="AC3277" s="162"/>
      <c r="AD3277" s="162">
        <f t="shared" si="71"/>
        <v>0</v>
      </c>
      <c r="AE3277" s="160">
        <v>3275</v>
      </c>
    </row>
    <row r="3278" spans="27:31" x14ac:dyDescent="0.25">
      <c r="AA3278" s="160"/>
      <c r="AB3278" s="162"/>
      <c r="AC3278" s="162"/>
      <c r="AD3278" s="162">
        <f t="shared" si="71"/>
        <v>0</v>
      </c>
      <c r="AE3278" s="160">
        <v>3276</v>
      </c>
    </row>
    <row r="3279" spans="27:31" x14ac:dyDescent="0.25">
      <c r="AA3279" s="160"/>
      <c r="AB3279" s="162"/>
      <c r="AC3279" s="162"/>
      <c r="AD3279" s="162">
        <f t="shared" si="71"/>
        <v>0</v>
      </c>
      <c r="AE3279" s="160">
        <v>3277</v>
      </c>
    </row>
    <row r="3280" spans="27:31" x14ac:dyDescent="0.25">
      <c r="AA3280" s="160"/>
      <c r="AB3280" s="162"/>
      <c r="AC3280" s="162"/>
      <c r="AD3280" s="162">
        <f t="shared" si="71"/>
        <v>0</v>
      </c>
      <c r="AE3280" s="160">
        <v>3278</v>
      </c>
    </row>
    <row r="3281" spans="27:31" x14ac:dyDescent="0.25">
      <c r="AA3281" s="160"/>
      <c r="AB3281" s="162"/>
      <c r="AC3281" s="162"/>
      <c r="AD3281" s="162">
        <f t="shared" si="71"/>
        <v>0</v>
      </c>
      <c r="AE3281" s="160">
        <v>3279</v>
      </c>
    </row>
    <row r="3282" spans="27:31" x14ac:dyDescent="0.25">
      <c r="AA3282" s="160"/>
      <c r="AB3282" s="162"/>
      <c r="AC3282" s="162"/>
      <c r="AD3282" s="162">
        <f t="shared" si="71"/>
        <v>0</v>
      </c>
      <c r="AE3282" s="160">
        <v>3280</v>
      </c>
    </row>
    <row r="3283" spans="27:31" x14ac:dyDescent="0.25">
      <c r="AA3283" s="160"/>
      <c r="AB3283" s="162"/>
      <c r="AC3283" s="162"/>
      <c r="AD3283" s="162">
        <f t="shared" si="71"/>
        <v>0</v>
      </c>
      <c r="AE3283" s="160">
        <v>3281</v>
      </c>
    </row>
    <row r="3284" spans="27:31" x14ac:dyDescent="0.25">
      <c r="AA3284" s="160"/>
      <c r="AB3284" s="162"/>
      <c r="AC3284" s="162"/>
      <c r="AD3284" s="162">
        <f t="shared" si="71"/>
        <v>0</v>
      </c>
      <c r="AE3284" s="160">
        <v>3282</v>
      </c>
    </row>
    <row r="3285" spans="27:31" x14ac:dyDescent="0.25">
      <c r="AA3285" s="160"/>
      <c r="AB3285" s="162"/>
      <c r="AC3285" s="162"/>
      <c r="AD3285" s="162">
        <f t="shared" si="71"/>
        <v>0</v>
      </c>
      <c r="AE3285" s="160">
        <v>3283</v>
      </c>
    </row>
    <row r="3286" spans="27:31" x14ac:dyDescent="0.25">
      <c r="AA3286" s="160"/>
      <c r="AB3286" s="162"/>
      <c r="AC3286" s="162"/>
      <c r="AD3286" s="162">
        <f t="shared" si="71"/>
        <v>0</v>
      </c>
      <c r="AE3286" s="160">
        <v>3284</v>
      </c>
    </row>
    <row r="3287" spans="27:31" x14ac:dyDescent="0.25">
      <c r="AA3287" s="160"/>
      <c r="AB3287" s="162"/>
      <c r="AC3287" s="162"/>
      <c r="AD3287" s="162">
        <f t="shared" si="71"/>
        <v>0</v>
      </c>
      <c r="AE3287" s="160">
        <v>3285</v>
      </c>
    </row>
    <row r="3288" spans="27:31" x14ac:dyDescent="0.25">
      <c r="AA3288" s="160"/>
      <c r="AB3288" s="162"/>
      <c r="AC3288" s="162"/>
      <c r="AD3288" s="162">
        <f t="shared" si="71"/>
        <v>0</v>
      </c>
      <c r="AE3288" s="160">
        <v>3286</v>
      </c>
    </row>
    <row r="3289" spans="27:31" x14ac:dyDescent="0.25">
      <c r="AA3289" s="160"/>
      <c r="AB3289" s="162"/>
      <c r="AC3289" s="162"/>
      <c r="AD3289" s="162">
        <f t="shared" si="71"/>
        <v>0</v>
      </c>
      <c r="AE3289" s="160">
        <v>3287</v>
      </c>
    </row>
    <row r="3290" spans="27:31" x14ac:dyDescent="0.25">
      <c r="AA3290" s="160"/>
      <c r="AB3290" s="162"/>
      <c r="AC3290" s="162"/>
      <c r="AD3290" s="162">
        <f t="shared" si="71"/>
        <v>0</v>
      </c>
      <c r="AE3290" s="160">
        <v>3288</v>
      </c>
    </row>
    <row r="3291" spans="27:31" x14ac:dyDescent="0.25">
      <c r="AA3291" s="160"/>
      <c r="AB3291" s="162"/>
      <c r="AC3291" s="162"/>
      <c r="AD3291" s="162">
        <f t="shared" si="71"/>
        <v>0</v>
      </c>
      <c r="AE3291" s="160">
        <v>3289</v>
      </c>
    </row>
    <row r="3292" spans="27:31" x14ac:dyDescent="0.25">
      <c r="AA3292" s="160"/>
      <c r="AB3292" s="162"/>
      <c r="AC3292" s="162"/>
      <c r="AD3292" s="162">
        <f t="shared" si="71"/>
        <v>0</v>
      </c>
      <c r="AE3292" s="160">
        <v>3290</v>
      </c>
    </row>
    <row r="3293" spans="27:31" x14ac:dyDescent="0.25">
      <c r="AA3293" s="160"/>
      <c r="AB3293" s="162"/>
      <c r="AC3293" s="162"/>
      <c r="AD3293" s="162">
        <f t="shared" si="71"/>
        <v>0</v>
      </c>
      <c r="AE3293" s="160">
        <v>3291</v>
      </c>
    </row>
    <row r="3294" spans="27:31" x14ac:dyDescent="0.25">
      <c r="AA3294" s="160"/>
      <c r="AB3294" s="162"/>
      <c r="AC3294" s="162"/>
      <c r="AD3294" s="162">
        <f t="shared" si="71"/>
        <v>0</v>
      </c>
      <c r="AE3294" s="160">
        <v>3292</v>
      </c>
    </row>
    <row r="3295" spans="27:31" x14ac:dyDescent="0.25">
      <c r="AA3295" s="160"/>
      <c r="AB3295" s="162"/>
      <c r="AC3295" s="162"/>
      <c r="AD3295" s="162">
        <f t="shared" si="71"/>
        <v>0</v>
      </c>
      <c r="AE3295" s="160">
        <v>3293</v>
      </c>
    </row>
    <row r="3296" spans="27:31" x14ac:dyDescent="0.25">
      <c r="AA3296" s="160"/>
      <c r="AB3296" s="162"/>
      <c r="AC3296" s="162"/>
      <c r="AD3296" s="162">
        <f t="shared" si="71"/>
        <v>0</v>
      </c>
      <c r="AE3296" s="160">
        <v>3294</v>
      </c>
    </row>
    <row r="3297" spans="27:31" x14ac:dyDescent="0.25">
      <c r="AA3297" s="160"/>
      <c r="AB3297" s="162"/>
      <c r="AC3297" s="162"/>
      <c r="AD3297" s="162">
        <f t="shared" si="71"/>
        <v>0</v>
      </c>
      <c r="AE3297" s="160">
        <v>3295</v>
      </c>
    </row>
    <row r="3298" spans="27:31" x14ac:dyDescent="0.25">
      <c r="AA3298" s="160"/>
      <c r="AB3298" s="162"/>
      <c r="AC3298" s="162"/>
      <c r="AD3298" s="162">
        <f t="shared" si="71"/>
        <v>0</v>
      </c>
      <c r="AE3298" s="160">
        <v>3296</v>
      </c>
    </row>
    <row r="3299" spans="27:31" x14ac:dyDescent="0.25">
      <c r="AA3299" s="160"/>
      <c r="AB3299" s="162"/>
      <c r="AC3299" s="162"/>
      <c r="AD3299" s="162">
        <f t="shared" si="71"/>
        <v>0</v>
      </c>
      <c r="AE3299" s="160">
        <v>3297</v>
      </c>
    </row>
    <row r="3300" spans="27:31" x14ac:dyDescent="0.25">
      <c r="AA3300" s="160"/>
      <c r="AB3300" s="162"/>
      <c r="AC3300" s="162"/>
      <c r="AD3300" s="162">
        <f t="shared" si="71"/>
        <v>0</v>
      </c>
      <c r="AE3300" s="160">
        <v>3298</v>
      </c>
    </row>
    <row r="3301" spans="27:31" x14ac:dyDescent="0.25">
      <c r="AA3301" s="160"/>
      <c r="AB3301" s="162"/>
      <c r="AC3301" s="162"/>
      <c r="AD3301" s="162">
        <f t="shared" si="71"/>
        <v>0</v>
      </c>
      <c r="AE3301" s="160">
        <v>3299</v>
      </c>
    </row>
    <row r="3302" spans="27:31" x14ac:dyDescent="0.25">
      <c r="AA3302" s="160"/>
      <c r="AB3302" s="162"/>
      <c r="AC3302" s="162"/>
      <c r="AD3302" s="162">
        <f t="shared" si="71"/>
        <v>0</v>
      </c>
      <c r="AE3302" s="160">
        <v>3300</v>
      </c>
    </row>
    <row r="3303" spans="27:31" x14ac:dyDescent="0.25">
      <c r="AA3303" s="160"/>
      <c r="AB3303" s="162"/>
      <c r="AC3303" s="162"/>
      <c r="AD3303" s="162">
        <f t="shared" si="71"/>
        <v>0</v>
      </c>
      <c r="AE3303" s="160">
        <v>3301</v>
      </c>
    </row>
    <row r="3304" spans="27:31" x14ac:dyDescent="0.25">
      <c r="AA3304" s="160"/>
      <c r="AB3304" s="162"/>
      <c r="AC3304" s="162"/>
      <c r="AD3304" s="162">
        <f t="shared" si="71"/>
        <v>0</v>
      </c>
      <c r="AE3304" s="160">
        <v>3302</v>
      </c>
    </row>
    <row r="3305" spans="27:31" x14ac:dyDescent="0.25">
      <c r="AA3305" s="160"/>
      <c r="AB3305" s="162"/>
      <c r="AC3305" s="162"/>
      <c r="AD3305" s="162">
        <f t="shared" si="71"/>
        <v>0</v>
      </c>
      <c r="AE3305" s="160">
        <v>3303</v>
      </c>
    </row>
    <row r="3306" spans="27:31" x14ac:dyDescent="0.25">
      <c r="AA3306" s="160"/>
      <c r="AB3306" s="162"/>
      <c r="AC3306" s="162"/>
      <c r="AD3306" s="162">
        <f t="shared" si="71"/>
        <v>0</v>
      </c>
      <c r="AE3306" s="160">
        <v>3304</v>
      </c>
    </row>
    <row r="3307" spans="27:31" x14ac:dyDescent="0.25">
      <c r="AA3307" s="160"/>
      <c r="AB3307" s="162"/>
      <c r="AC3307" s="162"/>
      <c r="AD3307" s="162">
        <f t="shared" si="71"/>
        <v>0</v>
      </c>
      <c r="AE3307" s="160">
        <v>3305</v>
      </c>
    </row>
    <row r="3308" spans="27:31" x14ac:dyDescent="0.25">
      <c r="AA3308" s="160"/>
      <c r="AB3308" s="162"/>
      <c r="AC3308" s="162"/>
      <c r="AD3308" s="162">
        <f t="shared" si="71"/>
        <v>0</v>
      </c>
      <c r="AE3308" s="160">
        <v>3306</v>
      </c>
    </row>
    <row r="3309" spans="27:31" x14ac:dyDescent="0.25">
      <c r="AA3309" s="160"/>
      <c r="AB3309" s="162"/>
      <c r="AC3309" s="162"/>
      <c r="AD3309" s="162">
        <f t="shared" si="71"/>
        <v>0</v>
      </c>
      <c r="AE3309" s="160">
        <v>3307</v>
      </c>
    </row>
    <row r="3310" spans="27:31" x14ac:dyDescent="0.25">
      <c r="AA3310" s="160"/>
      <c r="AB3310" s="162"/>
      <c r="AC3310" s="162"/>
      <c r="AD3310" s="162">
        <f t="shared" si="71"/>
        <v>0</v>
      </c>
      <c r="AE3310" s="160">
        <v>3308</v>
      </c>
    </row>
    <row r="3311" spans="27:31" x14ac:dyDescent="0.25">
      <c r="AA3311" s="160"/>
      <c r="AB3311" s="162"/>
      <c r="AC3311" s="162"/>
      <c r="AD3311" s="162">
        <f t="shared" si="71"/>
        <v>0</v>
      </c>
      <c r="AE3311" s="160">
        <v>3309</v>
      </c>
    </row>
    <row r="3312" spans="27:31" x14ac:dyDescent="0.25">
      <c r="AA3312" s="160"/>
      <c r="AB3312" s="162"/>
      <c r="AC3312" s="162"/>
      <c r="AD3312" s="162">
        <f t="shared" si="71"/>
        <v>0</v>
      </c>
      <c r="AE3312" s="160">
        <v>3310</v>
      </c>
    </row>
    <row r="3313" spans="27:31" x14ac:dyDescent="0.25">
      <c r="AA3313" s="160"/>
      <c r="AB3313" s="162"/>
      <c r="AC3313" s="162"/>
      <c r="AD3313" s="162">
        <f t="shared" si="71"/>
        <v>0</v>
      </c>
      <c r="AE3313" s="160">
        <v>3311</v>
      </c>
    </row>
    <row r="3314" spans="27:31" x14ac:dyDescent="0.25">
      <c r="AA3314" s="160"/>
      <c r="AB3314" s="162"/>
      <c r="AC3314" s="162"/>
      <c r="AD3314" s="162">
        <f t="shared" si="71"/>
        <v>0</v>
      </c>
      <c r="AE3314" s="160">
        <v>3312</v>
      </c>
    </row>
    <row r="3315" spans="27:31" x14ac:dyDescent="0.25">
      <c r="AA3315" s="160"/>
      <c r="AB3315" s="162"/>
      <c r="AC3315" s="162"/>
      <c r="AD3315" s="162">
        <f t="shared" si="71"/>
        <v>0</v>
      </c>
      <c r="AE3315" s="160">
        <v>3313</v>
      </c>
    </row>
    <row r="3316" spans="27:31" x14ac:dyDescent="0.25">
      <c r="AA3316" s="160"/>
      <c r="AB3316" s="162"/>
      <c r="AC3316" s="162"/>
      <c r="AD3316" s="162">
        <f t="shared" si="71"/>
        <v>0</v>
      </c>
      <c r="AE3316" s="160">
        <v>3314</v>
      </c>
    </row>
    <row r="3317" spans="27:31" x14ac:dyDescent="0.25">
      <c r="AA3317" s="160"/>
      <c r="AB3317" s="162"/>
      <c r="AC3317" s="162"/>
      <c r="AD3317" s="162">
        <f t="shared" si="71"/>
        <v>0</v>
      </c>
      <c r="AE3317" s="160">
        <v>3315</v>
      </c>
    </row>
    <row r="3318" spans="27:31" x14ac:dyDescent="0.25">
      <c r="AA3318" s="160"/>
      <c r="AB3318" s="162"/>
      <c r="AC3318" s="162"/>
      <c r="AD3318" s="162">
        <f t="shared" si="71"/>
        <v>0</v>
      </c>
      <c r="AE3318" s="160">
        <v>3316</v>
      </c>
    </row>
    <row r="3319" spans="27:31" x14ac:dyDescent="0.25">
      <c r="AA3319" s="160"/>
      <c r="AB3319" s="162"/>
      <c r="AC3319" s="162"/>
      <c r="AD3319" s="162">
        <f t="shared" si="71"/>
        <v>0</v>
      </c>
      <c r="AE3319" s="160">
        <v>3317</v>
      </c>
    </row>
    <row r="3320" spans="27:31" x14ac:dyDescent="0.25">
      <c r="AA3320" s="160"/>
      <c r="AB3320" s="162"/>
      <c r="AC3320" s="162"/>
      <c r="AD3320" s="162">
        <f t="shared" si="71"/>
        <v>0</v>
      </c>
      <c r="AE3320" s="160">
        <v>3318</v>
      </c>
    </row>
    <row r="3321" spans="27:31" x14ac:dyDescent="0.25">
      <c r="AA3321" s="160"/>
      <c r="AB3321" s="162"/>
      <c r="AC3321" s="162"/>
      <c r="AD3321" s="162">
        <f t="shared" si="71"/>
        <v>0</v>
      </c>
      <c r="AE3321" s="160">
        <v>3319</v>
      </c>
    </row>
    <row r="3322" spans="27:31" x14ac:dyDescent="0.25">
      <c r="AA3322" s="160"/>
      <c r="AB3322" s="162"/>
      <c r="AC3322" s="162"/>
      <c r="AD3322" s="162">
        <f t="shared" si="71"/>
        <v>0</v>
      </c>
      <c r="AE3322" s="160">
        <v>3320</v>
      </c>
    </row>
    <row r="3323" spans="27:31" x14ac:dyDescent="0.25">
      <c r="AA3323" s="160"/>
      <c r="AB3323" s="162"/>
      <c r="AC3323" s="162"/>
      <c r="AD3323" s="162">
        <f t="shared" si="71"/>
        <v>0</v>
      </c>
      <c r="AE3323" s="160">
        <v>3321</v>
      </c>
    </row>
    <row r="3324" spans="27:31" x14ac:dyDescent="0.25">
      <c r="AA3324" s="160"/>
      <c r="AB3324" s="162"/>
      <c r="AC3324" s="162"/>
      <c r="AD3324" s="162">
        <f t="shared" si="71"/>
        <v>0</v>
      </c>
      <c r="AE3324" s="160">
        <v>3322</v>
      </c>
    </row>
    <row r="3325" spans="27:31" x14ac:dyDescent="0.25">
      <c r="AA3325" s="160"/>
      <c r="AB3325" s="162"/>
      <c r="AC3325" s="162"/>
      <c r="AD3325" s="162">
        <f t="shared" si="71"/>
        <v>0</v>
      </c>
      <c r="AE3325" s="160">
        <v>3323</v>
      </c>
    </row>
    <row r="3326" spans="27:31" x14ac:dyDescent="0.25">
      <c r="AA3326" s="160"/>
      <c r="AB3326" s="162"/>
      <c r="AC3326" s="162"/>
      <c r="AD3326" s="162">
        <f t="shared" si="71"/>
        <v>0</v>
      </c>
      <c r="AE3326" s="160">
        <v>3324</v>
      </c>
    </row>
    <row r="3327" spans="27:31" x14ac:dyDescent="0.25">
      <c r="AA3327" s="160"/>
      <c r="AB3327" s="162"/>
      <c r="AC3327" s="162"/>
      <c r="AD3327" s="162">
        <f t="shared" si="71"/>
        <v>0</v>
      </c>
      <c r="AE3327" s="160">
        <v>3325</v>
      </c>
    </row>
    <row r="3328" spans="27:31" x14ac:dyDescent="0.25">
      <c r="AA3328" s="160"/>
      <c r="AB3328" s="162"/>
      <c r="AC3328" s="162"/>
      <c r="AD3328" s="162">
        <f t="shared" si="71"/>
        <v>0</v>
      </c>
      <c r="AE3328" s="160">
        <v>3326</v>
      </c>
    </row>
    <row r="3329" spans="27:31" x14ac:dyDescent="0.25">
      <c r="AA3329" s="160"/>
      <c r="AB3329" s="162"/>
      <c r="AC3329" s="162"/>
      <c r="AD3329" s="162">
        <f t="shared" si="71"/>
        <v>0</v>
      </c>
      <c r="AE3329" s="160">
        <v>3327</v>
      </c>
    </row>
    <row r="3330" spans="27:31" x14ac:dyDescent="0.25">
      <c r="AA3330" s="160"/>
      <c r="AB3330" s="162"/>
      <c r="AC3330" s="162"/>
      <c r="AD3330" s="162">
        <f t="shared" si="71"/>
        <v>0</v>
      </c>
      <c r="AE3330" s="160">
        <v>3328</v>
      </c>
    </row>
    <row r="3331" spans="27:31" x14ac:dyDescent="0.25">
      <c r="AA3331" s="160"/>
      <c r="AB3331" s="162"/>
      <c r="AC3331" s="162"/>
      <c r="AD3331" s="162">
        <f t="shared" si="71"/>
        <v>0</v>
      </c>
      <c r="AE3331" s="160">
        <v>3329</v>
      </c>
    </row>
    <row r="3332" spans="27:31" x14ac:dyDescent="0.25">
      <c r="AA3332" s="160"/>
      <c r="AB3332" s="162"/>
      <c r="AC3332" s="162"/>
      <c r="AD3332" s="162">
        <f t="shared" ref="AD3332:AD3395" si="72">AB3332+AC3332</f>
        <v>0</v>
      </c>
      <c r="AE3332" s="160">
        <v>3330</v>
      </c>
    </row>
    <row r="3333" spans="27:31" x14ac:dyDescent="0.25">
      <c r="AA3333" s="160"/>
      <c r="AB3333" s="162"/>
      <c r="AC3333" s="162"/>
      <c r="AD3333" s="162">
        <f t="shared" si="72"/>
        <v>0</v>
      </c>
      <c r="AE3333" s="160">
        <v>3331</v>
      </c>
    </row>
    <row r="3334" spans="27:31" x14ac:dyDescent="0.25">
      <c r="AA3334" s="160"/>
      <c r="AB3334" s="162"/>
      <c r="AC3334" s="162"/>
      <c r="AD3334" s="162">
        <f t="shared" si="72"/>
        <v>0</v>
      </c>
      <c r="AE3334" s="160">
        <v>3332</v>
      </c>
    </row>
    <row r="3335" spans="27:31" x14ac:dyDescent="0.25">
      <c r="AA3335" s="160"/>
      <c r="AB3335" s="162"/>
      <c r="AC3335" s="162"/>
      <c r="AD3335" s="162">
        <f t="shared" si="72"/>
        <v>0</v>
      </c>
      <c r="AE3335" s="160">
        <v>3333</v>
      </c>
    </row>
    <row r="3336" spans="27:31" x14ac:dyDescent="0.25">
      <c r="AA3336" s="160"/>
      <c r="AB3336" s="162"/>
      <c r="AC3336" s="162"/>
      <c r="AD3336" s="162">
        <f t="shared" si="72"/>
        <v>0</v>
      </c>
      <c r="AE3336" s="160">
        <v>3334</v>
      </c>
    </row>
    <row r="3337" spans="27:31" x14ac:dyDescent="0.25">
      <c r="AA3337" s="160"/>
      <c r="AB3337" s="162"/>
      <c r="AC3337" s="162"/>
      <c r="AD3337" s="162">
        <f t="shared" si="72"/>
        <v>0</v>
      </c>
      <c r="AE3337" s="160">
        <v>3335</v>
      </c>
    </row>
    <row r="3338" spans="27:31" x14ac:dyDescent="0.25">
      <c r="AA3338" s="160"/>
      <c r="AB3338" s="162"/>
      <c r="AC3338" s="162"/>
      <c r="AD3338" s="162">
        <f t="shared" si="72"/>
        <v>0</v>
      </c>
      <c r="AE3338" s="160">
        <v>3336</v>
      </c>
    </row>
    <row r="3339" spans="27:31" x14ac:dyDescent="0.25">
      <c r="AA3339" s="160"/>
      <c r="AB3339" s="162"/>
      <c r="AC3339" s="162"/>
      <c r="AD3339" s="162">
        <f t="shared" si="72"/>
        <v>0</v>
      </c>
      <c r="AE3339" s="160">
        <v>3337</v>
      </c>
    </row>
    <row r="3340" spans="27:31" x14ac:dyDescent="0.25">
      <c r="AA3340" s="160"/>
      <c r="AB3340" s="162"/>
      <c r="AC3340" s="162"/>
      <c r="AD3340" s="162">
        <f t="shared" si="72"/>
        <v>0</v>
      </c>
      <c r="AE3340" s="160">
        <v>3338</v>
      </c>
    </row>
    <row r="3341" spans="27:31" x14ac:dyDescent="0.25">
      <c r="AA3341" s="160"/>
      <c r="AB3341" s="162"/>
      <c r="AC3341" s="162"/>
      <c r="AD3341" s="162">
        <f t="shared" si="72"/>
        <v>0</v>
      </c>
      <c r="AE3341" s="160">
        <v>3339</v>
      </c>
    </row>
    <row r="3342" spans="27:31" x14ac:dyDescent="0.25">
      <c r="AA3342" s="160"/>
      <c r="AB3342" s="162"/>
      <c r="AC3342" s="162"/>
      <c r="AD3342" s="162">
        <f t="shared" si="72"/>
        <v>0</v>
      </c>
      <c r="AE3342" s="160">
        <v>3340</v>
      </c>
    </row>
    <row r="3343" spans="27:31" x14ac:dyDescent="0.25">
      <c r="AA3343" s="160"/>
      <c r="AB3343" s="162"/>
      <c r="AC3343" s="162"/>
      <c r="AD3343" s="162">
        <f t="shared" si="72"/>
        <v>0</v>
      </c>
      <c r="AE3343" s="160">
        <v>3341</v>
      </c>
    </row>
    <row r="3344" spans="27:31" x14ac:dyDescent="0.25">
      <c r="AA3344" s="160"/>
      <c r="AB3344" s="162"/>
      <c r="AC3344" s="162"/>
      <c r="AD3344" s="162">
        <f t="shared" si="72"/>
        <v>0</v>
      </c>
      <c r="AE3344" s="160">
        <v>3342</v>
      </c>
    </row>
    <row r="3345" spans="27:31" x14ac:dyDescent="0.25">
      <c r="AA3345" s="160"/>
      <c r="AB3345" s="162"/>
      <c r="AC3345" s="162"/>
      <c r="AD3345" s="162">
        <f t="shared" si="72"/>
        <v>0</v>
      </c>
      <c r="AE3345" s="160">
        <v>3343</v>
      </c>
    </row>
    <row r="3346" spans="27:31" x14ac:dyDescent="0.25">
      <c r="AA3346" s="160"/>
      <c r="AB3346" s="162"/>
      <c r="AC3346" s="162"/>
      <c r="AD3346" s="162">
        <f t="shared" si="72"/>
        <v>0</v>
      </c>
      <c r="AE3346" s="160">
        <v>3344</v>
      </c>
    </row>
    <row r="3347" spans="27:31" x14ac:dyDescent="0.25">
      <c r="AA3347" s="160"/>
      <c r="AB3347" s="162"/>
      <c r="AC3347" s="162"/>
      <c r="AD3347" s="162">
        <f t="shared" si="72"/>
        <v>0</v>
      </c>
      <c r="AE3347" s="160">
        <v>3345</v>
      </c>
    </row>
    <row r="3348" spans="27:31" x14ac:dyDescent="0.25">
      <c r="AA3348" s="160"/>
      <c r="AB3348" s="162"/>
      <c r="AC3348" s="162"/>
      <c r="AD3348" s="162">
        <f t="shared" si="72"/>
        <v>0</v>
      </c>
      <c r="AE3348" s="160">
        <v>3346</v>
      </c>
    </row>
    <row r="3349" spans="27:31" x14ac:dyDescent="0.25">
      <c r="AA3349" s="160"/>
      <c r="AB3349" s="162"/>
      <c r="AC3349" s="162"/>
      <c r="AD3349" s="162">
        <f t="shared" si="72"/>
        <v>0</v>
      </c>
      <c r="AE3349" s="160">
        <v>3347</v>
      </c>
    </row>
    <row r="3350" spans="27:31" x14ac:dyDescent="0.25">
      <c r="AA3350" s="160"/>
      <c r="AB3350" s="162"/>
      <c r="AC3350" s="162"/>
      <c r="AD3350" s="162">
        <f t="shared" si="72"/>
        <v>0</v>
      </c>
      <c r="AE3350" s="160">
        <v>3348</v>
      </c>
    </row>
    <row r="3351" spans="27:31" x14ac:dyDescent="0.25">
      <c r="AA3351" s="160"/>
      <c r="AB3351" s="162"/>
      <c r="AC3351" s="162"/>
      <c r="AD3351" s="162">
        <f t="shared" si="72"/>
        <v>0</v>
      </c>
      <c r="AE3351" s="160">
        <v>3349</v>
      </c>
    </row>
    <row r="3352" spans="27:31" x14ac:dyDescent="0.25">
      <c r="AA3352" s="160"/>
      <c r="AB3352" s="162"/>
      <c r="AC3352" s="162"/>
      <c r="AD3352" s="162">
        <f t="shared" si="72"/>
        <v>0</v>
      </c>
      <c r="AE3352" s="160">
        <v>3350</v>
      </c>
    </row>
    <row r="3353" spans="27:31" x14ac:dyDescent="0.25">
      <c r="AA3353" s="160"/>
      <c r="AB3353" s="162"/>
      <c r="AC3353" s="162"/>
      <c r="AD3353" s="162">
        <f t="shared" si="72"/>
        <v>0</v>
      </c>
      <c r="AE3353" s="160">
        <v>3351</v>
      </c>
    </row>
    <row r="3354" spans="27:31" x14ac:dyDescent="0.25">
      <c r="AA3354" s="160"/>
      <c r="AB3354" s="162"/>
      <c r="AC3354" s="162"/>
      <c r="AD3354" s="162">
        <f t="shared" si="72"/>
        <v>0</v>
      </c>
      <c r="AE3354" s="160">
        <v>3352</v>
      </c>
    </row>
    <row r="3355" spans="27:31" x14ac:dyDescent="0.25">
      <c r="AA3355" s="160"/>
      <c r="AB3355" s="162"/>
      <c r="AC3355" s="162"/>
      <c r="AD3355" s="162">
        <f t="shared" si="72"/>
        <v>0</v>
      </c>
      <c r="AE3355" s="160">
        <v>3353</v>
      </c>
    </row>
    <row r="3356" spans="27:31" x14ac:dyDescent="0.25">
      <c r="AA3356" s="160"/>
      <c r="AB3356" s="162"/>
      <c r="AC3356" s="162"/>
      <c r="AD3356" s="162">
        <f t="shared" si="72"/>
        <v>0</v>
      </c>
      <c r="AE3356" s="160">
        <v>3354</v>
      </c>
    </row>
    <row r="3357" spans="27:31" x14ac:dyDescent="0.25">
      <c r="AA3357" s="160"/>
      <c r="AB3357" s="162"/>
      <c r="AC3357" s="162"/>
      <c r="AD3357" s="162">
        <f t="shared" si="72"/>
        <v>0</v>
      </c>
      <c r="AE3357" s="160">
        <v>3355</v>
      </c>
    </row>
    <row r="3358" spans="27:31" x14ac:dyDescent="0.25">
      <c r="AA3358" s="160"/>
      <c r="AB3358" s="162"/>
      <c r="AC3358" s="162"/>
      <c r="AD3358" s="162">
        <f t="shared" si="72"/>
        <v>0</v>
      </c>
      <c r="AE3358" s="160">
        <v>3356</v>
      </c>
    </row>
    <row r="3359" spans="27:31" x14ac:dyDescent="0.25">
      <c r="AA3359" s="160"/>
      <c r="AB3359" s="162"/>
      <c r="AC3359" s="162"/>
      <c r="AD3359" s="162">
        <f t="shared" si="72"/>
        <v>0</v>
      </c>
      <c r="AE3359" s="160">
        <v>3357</v>
      </c>
    </row>
    <row r="3360" spans="27:31" x14ac:dyDescent="0.25">
      <c r="AA3360" s="160"/>
      <c r="AB3360" s="162"/>
      <c r="AC3360" s="162"/>
      <c r="AD3360" s="162">
        <f t="shared" si="72"/>
        <v>0</v>
      </c>
      <c r="AE3360" s="160">
        <v>3358</v>
      </c>
    </row>
    <row r="3361" spans="27:31" x14ac:dyDescent="0.25">
      <c r="AA3361" s="160"/>
      <c r="AB3361" s="162"/>
      <c r="AC3361" s="162"/>
      <c r="AD3361" s="162">
        <f t="shared" si="72"/>
        <v>0</v>
      </c>
      <c r="AE3361" s="160">
        <v>3359</v>
      </c>
    </row>
    <row r="3362" spans="27:31" x14ac:dyDescent="0.25">
      <c r="AA3362" s="160"/>
      <c r="AB3362" s="162"/>
      <c r="AC3362" s="162"/>
      <c r="AD3362" s="162">
        <f t="shared" si="72"/>
        <v>0</v>
      </c>
      <c r="AE3362" s="160">
        <v>3360</v>
      </c>
    </row>
    <row r="3363" spans="27:31" x14ac:dyDescent="0.25">
      <c r="AA3363" s="160"/>
      <c r="AB3363" s="162"/>
      <c r="AC3363" s="162"/>
      <c r="AD3363" s="162">
        <f t="shared" si="72"/>
        <v>0</v>
      </c>
      <c r="AE3363" s="160">
        <v>3361</v>
      </c>
    </row>
    <row r="3364" spans="27:31" x14ac:dyDescent="0.25">
      <c r="AA3364" s="160"/>
      <c r="AB3364" s="162"/>
      <c r="AC3364" s="162"/>
      <c r="AD3364" s="162">
        <f t="shared" si="72"/>
        <v>0</v>
      </c>
      <c r="AE3364" s="160">
        <v>3362</v>
      </c>
    </row>
    <row r="3365" spans="27:31" x14ac:dyDescent="0.25">
      <c r="AA3365" s="160"/>
      <c r="AB3365" s="162"/>
      <c r="AC3365" s="162"/>
      <c r="AD3365" s="162">
        <f t="shared" si="72"/>
        <v>0</v>
      </c>
      <c r="AE3365" s="160">
        <v>3363</v>
      </c>
    </row>
    <row r="3366" spans="27:31" x14ac:dyDescent="0.25">
      <c r="AA3366" s="160"/>
      <c r="AB3366" s="162"/>
      <c r="AC3366" s="162"/>
      <c r="AD3366" s="162">
        <f t="shared" si="72"/>
        <v>0</v>
      </c>
      <c r="AE3366" s="160">
        <v>3364</v>
      </c>
    </row>
    <row r="3367" spans="27:31" x14ac:dyDescent="0.25">
      <c r="AA3367" s="160"/>
      <c r="AB3367" s="162"/>
      <c r="AC3367" s="162"/>
      <c r="AD3367" s="162">
        <f t="shared" si="72"/>
        <v>0</v>
      </c>
      <c r="AE3367" s="160">
        <v>3365</v>
      </c>
    </row>
    <row r="3368" spans="27:31" x14ac:dyDescent="0.25">
      <c r="AA3368" s="160"/>
      <c r="AB3368" s="162"/>
      <c r="AC3368" s="162"/>
      <c r="AD3368" s="162">
        <f t="shared" si="72"/>
        <v>0</v>
      </c>
      <c r="AE3368" s="160">
        <v>3366</v>
      </c>
    </row>
    <row r="3369" spans="27:31" x14ac:dyDescent="0.25">
      <c r="AA3369" s="160"/>
      <c r="AB3369" s="162"/>
      <c r="AC3369" s="162"/>
      <c r="AD3369" s="162">
        <f t="shared" si="72"/>
        <v>0</v>
      </c>
      <c r="AE3369" s="160">
        <v>3367</v>
      </c>
    </row>
    <row r="3370" spans="27:31" x14ac:dyDescent="0.25">
      <c r="AA3370" s="160"/>
      <c r="AB3370" s="162"/>
      <c r="AC3370" s="162"/>
      <c r="AD3370" s="162">
        <f t="shared" si="72"/>
        <v>0</v>
      </c>
      <c r="AE3370" s="160">
        <v>3368</v>
      </c>
    </row>
    <row r="3371" spans="27:31" x14ac:dyDescent="0.25">
      <c r="AA3371" s="160"/>
      <c r="AB3371" s="162"/>
      <c r="AC3371" s="162"/>
      <c r="AD3371" s="162">
        <f t="shared" si="72"/>
        <v>0</v>
      </c>
      <c r="AE3371" s="160">
        <v>3369</v>
      </c>
    </row>
    <row r="3372" spans="27:31" x14ac:dyDescent="0.25">
      <c r="AA3372" s="160"/>
      <c r="AB3372" s="162"/>
      <c r="AC3372" s="162"/>
      <c r="AD3372" s="162">
        <f t="shared" si="72"/>
        <v>0</v>
      </c>
      <c r="AE3372" s="160">
        <v>3370</v>
      </c>
    </row>
    <row r="3373" spans="27:31" x14ac:dyDescent="0.25">
      <c r="AA3373" s="160"/>
      <c r="AB3373" s="162"/>
      <c r="AC3373" s="162"/>
      <c r="AD3373" s="162">
        <f t="shared" si="72"/>
        <v>0</v>
      </c>
      <c r="AE3373" s="160">
        <v>3371</v>
      </c>
    </row>
    <row r="3374" spans="27:31" x14ac:dyDescent="0.25">
      <c r="AA3374" s="160"/>
      <c r="AB3374" s="162"/>
      <c r="AC3374" s="162"/>
      <c r="AD3374" s="162">
        <f t="shared" si="72"/>
        <v>0</v>
      </c>
      <c r="AE3374" s="160">
        <v>3372</v>
      </c>
    </row>
    <row r="3375" spans="27:31" x14ac:dyDescent="0.25">
      <c r="AA3375" s="160"/>
      <c r="AB3375" s="162"/>
      <c r="AC3375" s="162"/>
      <c r="AD3375" s="162">
        <f t="shared" si="72"/>
        <v>0</v>
      </c>
      <c r="AE3375" s="160">
        <v>3373</v>
      </c>
    </row>
    <row r="3376" spans="27:31" x14ac:dyDescent="0.25">
      <c r="AA3376" s="160"/>
      <c r="AB3376" s="162"/>
      <c r="AC3376" s="162"/>
      <c r="AD3376" s="162">
        <f t="shared" si="72"/>
        <v>0</v>
      </c>
      <c r="AE3376" s="160">
        <v>3374</v>
      </c>
    </row>
    <row r="3377" spans="27:31" x14ac:dyDescent="0.25">
      <c r="AA3377" s="160"/>
      <c r="AB3377" s="162"/>
      <c r="AC3377" s="162"/>
      <c r="AD3377" s="162">
        <f t="shared" si="72"/>
        <v>0</v>
      </c>
      <c r="AE3377" s="160">
        <v>3375</v>
      </c>
    </row>
    <row r="3378" spans="27:31" x14ac:dyDescent="0.25">
      <c r="AA3378" s="160"/>
      <c r="AB3378" s="162"/>
      <c r="AC3378" s="162"/>
      <c r="AD3378" s="162">
        <f t="shared" si="72"/>
        <v>0</v>
      </c>
      <c r="AE3378" s="160">
        <v>3376</v>
      </c>
    </row>
    <row r="3379" spans="27:31" x14ac:dyDescent="0.25">
      <c r="AA3379" s="160"/>
      <c r="AB3379" s="162"/>
      <c r="AC3379" s="162"/>
      <c r="AD3379" s="162">
        <f t="shared" si="72"/>
        <v>0</v>
      </c>
      <c r="AE3379" s="160">
        <v>3377</v>
      </c>
    </row>
    <row r="3380" spans="27:31" x14ac:dyDescent="0.25">
      <c r="AA3380" s="160"/>
      <c r="AB3380" s="162"/>
      <c r="AC3380" s="162"/>
      <c r="AD3380" s="162">
        <f t="shared" si="72"/>
        <v>0</v>
      </c>
      <c r="AE3380" s="160">
        <v>3378</v>
      </c>
    </row>
    <row r="3381" spans="27:31" x14ac:dyDescent="0.25">
      <c r="AA3381" s="160"/>
      <c r="AB3381" s="162"/>
      <c r="AC3381" s="162"/>
      <c r="AD3381" s="162">
        <f t="shared" si="72"/>
        <v>0</v>
      </c>
      <c r="AE3381" s="160">
        <v>3379</v>
      </c>
    </row>
    <row r="3382" spans="27:31" x14ac:dyDescent="0.25">
      <c r="AA3382" s="160"/>
      <c r="AB3382" s="162"/>
      <c r="AC3382" s="162"/>
      <c r="AD3382" s="162">
        <f t="shared" si="72"/>
        <v>0</v>
      </c>
      <c r="AE3382" s="160">
        <v>3380</v>
      </c>
    </row>
    <row r="3383" spans="27:31" x14ac:dyDescent="0.25">
      <c r="AA3383" s="160"/>
      <c r="AB3383" s="162"/>
      <c r="AC3383" s="162"/>
      <c r="AD3383" s="162">
        <f t="shared" si="72"/>
        <v>0</v>
      </c>
      <c r="AE3383" s="160">
        <v>3381</v>
      </c>
    </row>
    <row r="3384" spans="27:31" x14ac:dyDescent="0.25">
      <c r="AA3384" s="160"/>
      <c r="AB3384" s="162"/>
      <c r="AC3384" s="162"/>
      <c r="AD3384" s="162">
        <f t="shared" si="72"/>
        <v>0</v>
      </c>
      <c r="AE3384" s="160">
        <v>3382</v>
      </c>
    </row>
    <row r="3385" spans="27:31" x14ac:dyDescent="0.25">
      <c r="AA3385" s="160"/>
      <c r="AB3385" s="162"/>
      <c r="AC3385" s="162"/>
      <c r="AD3385" s="162">
        <f t="shared" si="72"/>
        <v>0</v>
      </c>
      <c r="AE3385" s="160">
        <v>3383</v>
      </c>
    </row>
    <row r="3386" spans="27:31" x14ac:dyDescent="0.25">
      <c r="AA3386" s="160"/>
      <c r="AB3386" s="162"/>
      <c r="AC3386" s="162"/>
      <c r="AD3386" s="162">
        <f t="shared" si="72"/>
        <v>0</v>
      </c>
      <c r="AE3386" s="160">
        <v>3384</v>
      </c>
    </row>
    <row r="3387" spans="27:31" x14ac:dyDescent="0.25">
      <c r="AA3387" s="160"/>
      <c r="AB3387" s="162"/>
      <c r="AC3387" s="162"/>
      <c r="AD3387" s="162">
        <f t="shared" si="72"/>
        <v>0</v>
      </c>
      <c r="AE3387" s="160">
        <v>3385</v>
      </c>
    </row>
    <row r="3388" spans="27:31" x14ac:dyDescent="0.25">
      <c r="AA3388" s="160"/>
      <c r="AB3388" s="162"/>
      <c r="AC3388" s="162"/>
      <c r="AD3388" s="162">
        <f t="shared" si="72"/>
        <v>0</v>
      </c>
      <c r="AE3388" s="160">
        <v>3386</v>
      </c>
    </row>
    <row r="3389" spans="27:31" x14ac:dyDescent="0.25">
      <c r="AA3389" s="160"/>
      <c r="AB3389" s="162"/>
      <c r="AC3389" s="162"/>
      <c r="AD3389" s="162">
        <f t="shared" si="72"/>
        <v>0</v>
      </c>
      <c r="AE3389" s="160">
        <v>3387</v>
      </c>
    </row>
    <row r="3390" spans="27:31" x14ac:dyDescent="0.25">
      <c r="AA3390" s="160"/>
      <c r="AB3390" s="162"/>
      <c r="AC3390" s="162"/>
      <c r="AD3390" s="162">
        <f t="shared" si="72"/>
        <v>0</v>
      </c>
      <c r="AE3390" s="160">
        <v>3388</v>
      </c>
    </row>
    <row r="3391" spans="27:31" x14ac:dyDescent="0.25">
      <c r="AA3391" s="160"/>
      <c r="AB3391" s="162"/>
      <c r="AC3391" s="162"/>
      <c r="AD3391" s="162">
        <f t="shared" si="72"/>
        <v>0</v>
      </c>
      <c r="AE3391" s="160">
        <v>3389</v>
      </c>
    </row>
    <row r="3392" spans="27:31" x14ac:dyDescent="0.25">
      <c r="AA3392" s="160"/>
      <c r="AB3392" s="162"/>
      <c r="AC3392" s="162"/>
      <c r="AD3392" s="162">
        <f t="shared" si="72"/>
        <v>0</v>
      </c>
      <c r="AE3392" s="160">
        <v>3390</v>
      </c>
    </row>
    <row r="3393" spans="27:31" x14ac:dyDescent="0.25">
      <c r="AA3393" s="160"/>
      <c r="AB3393" s="162"/>
      <c r="AC3393" s="162"/>
      <c r="AD3393" s="162">
        <f t="shared" si="72"/>
        <v>0</v>
      </c>
      <c r="AE3393" s="160">
        <v>3391</v>
      </c>
    </row>
    <row r="3394" spans="27:31" x14ac:dyDescent="0.25">
      <c r="AA3394" s="160"/>
      <c r="AB3394" s="162"/>
      <c r="AC3394" s="162"/>
      <c r="AD3394" s="162">
        <f t="shared" si="72"/>
        <v>0</v>
      </c>
      <c r="AE3394" s="160">
        <v>3392</v>
      </c>
    </row>
    <row r="3395" spans="27:31" x14ac:dyDescent="0.25">
      <c r="AA3395" s="160"/>
      <c r="AB3395" s="162"/>
      <c r="AC3395" s="162"/>
      <c r="AD3395" s="162">
        <f t="shared" si="72"/>
        <v>0</v>
      </c>
      <c r="AE3395" s="160">
        <v>3393</v>
      </c>
    </row>
    <row r="3396" spans="27:31" x14ac:dyDescent="0.25">
      <c r="AA3396" s="160"/>
      <c r="AB3396" s="162"/>
      <c r="AC3396" s="162"/>
      <c r="AD3396" s="162">
        <f t="shared" ref="AD3396:AD3459" si="73">AB3396+AC3396</f>
        <v>0</v>
      </c>
      <c r="AE3396" s="160">
        <v>3394</v>
      </c>
    </row>
    <row r="3397" spans="27:31" x14ac:dyDescent="0.25">
      <c r="AA3397" s="160"/>
      <c r="AB3397" s="162"/>
      <c r="AC3397" s="162"/>
      <c r="AD3397" s="162">
        <f t="shared" si="73"/>
        <v>0</v>
      </c>
      <c r="AE3397" s="160">
        <v>3395</v>
      </c>
    </row>
    <row r="3398" spans="27:31" x14ac:dyDescent="0.25">
      <c r="AA3398" s="160"/>
      <c r="AB3398" s="162"/>
      <c r="AC3398" s="162"/>
      <c r="AD3398" s="162">
        <f t="shared" si="73"/>
        <v>0</v>
      </c>
      <c r="AE3398" s="160">
        <v>3396</v>
      </c>
    </row>
    <row r="3399" spans="27:31" x14ac:dyDescent="0.25">
      <c r="AA3399" s="160"/>
      <c r="AB3399" s="162"/>
      <c r="AC3399" s="162"/>
      <c r="AD3399" s="162">
        <f t="shared" si="73"/>
        <v>0</v>
      </c>
      <c r="AE3399" s="160">
        <v>3397</v>
      </c>
    </row>
    <row r="3400" spans="27:31" x14ac:dyDescent="0.25">
      <c r="AA3400" s="160"/>
      <c r="AB3400" s="162"/>
      <c r="AC3400" s="162"/>
      <c r="AD3400" s="162">
        <f t="shared" si="73"/>
        <v>0</v>
      </c>
      <c r="AE3400" s="160">
        <v>3398</v>
      </c>
    </row>
    <row r="3401" spans="27:31" x14ac:dyDescent="0.25">
      <c r="AA3401" s="160"/>
      <c r="AB3401" s="162"/>
      <c r="AC3401" s="162"/>
      <c r="AD3401" s="162">
        <f t="shared" si="73"/>
        <v>0</v>
      </c>
      <c r="AE3401" s="160">
        <v>3399</v>
      </c>
    </row>
    <row r="3402" spans="27:31" x14ac:dyDescent="0.25">
      <c r="AA3402" s="160"/>
      <c r="AB3402" s="162"/>
      <c r="AC3402" s="162"/>
      <c r="AD3402" s="162">
        <f t="shared" si="73"/>
        <v>0</v>
      </c>
      <c r="AE3402" s="160">
        <v>3400</v>
      </c>
    </row>
    <row r="3403" spans="27:31" x14ac:dyDescent="0.25">
      <c r="AA3403" s="160"/>
      <c r="AB3403" s="162"/>
      <c r="AC3403" s="162"/>
      <c r="AD3403" s="162">
        <f t="shared" si="73"/>
        <v>0</v>
      </c>
      <c r="AE3403" s="160">
        <v>3401</v>
      </c>
    </row>
    <row r="3404" spans="27:31" x14ac:dyDescent="0.25">
      <c r="AA3404" s="160"/>
      <c r="AB3404" s="162"/>
      <c r="AC3404" s="162"/>
      <c r="AD3404" s="162">
        <f t="shared" si="73"/>
        <v>0</v>
      </c>
      <c r="AE3404" s="160">
        <v>3402</v>
      </c>
    </row>
    <row r="3405" spans="27:31" x14ac:dyDescent="0.25">
      <c r="AA3405" s="160"/>
      <c r="AB3405" s="162"/>
      <c r="AC3405" s="162"/>
      <c r="AD3405" s="162">
        <f t="shared" si="73"/>
        <v>0</v>
      </c>
      <c r="AE3405" s="160">
        <v>3403</v>
      </c>
    </row>
    <row r="3406" spans="27:31" x14ac:dyDescent="0.25">
      <c r="AA3406" s="160"/>
      <c r="AB3406" s="162"/>
      <c r="AC3406" s="162"/>
      <c r="AD3406" s="162">
        <f t="shared" si="73"/>
        <v>0</v>
      </c>
      <c r="AE3406" s="160">
        <v>3404</v>
      </c>
    </row>
    <row r="3407" spans="27:31" x14ac:dyDescent="0.25">
      <c r="AA3407" s="160"/>
      <c r="AB3407" s="162"/>
      <c r="AC3407" s="162"/>
      <c r="AD3407" s="162">
        <f t="shared" si="73"/>
        <v>0</v>
      </c>
      <c r="AE3407" s="160">
        <v>3405</v>
      </c>
    </row>
    <row r="3408" spans="27:31" x14ac:dyDescent="0.25">
      <c r="AA3408" s="160"/>
      <c r="AB3408" s="162"/>
      <c r="AC3408" s="162"/>
      <c r="AD3408" s="162">
        <f t="shared" si="73"/>
        <v>0</v>
      </c>
      <c r="AE3408" s="160">
        <v>3406</v>
      </c>
    </row>
    <row r="3409" spans="27:31" x14ac:dyDescent="0.25">
      <c r="AA3409" s="160"/>
      <c r="AB3409" s="162"/>
      <c r="AC3409" s="162"/>
      <c r="AD3409" s="162">
        <f t="shared" si="73"/>
        <v>0</v>
      </c>
      <c r="AE3409" s="160">
        <v>3407</v>
      </c>
    </row>
    <row r="3410" spans="27:31" x14ac:dyDescent="0.25">
      <c r="AA3410" s="160"/>
      <c r="AB3410" s="162"/>
      <c r="AC3410" s="162"/>
      <c r="AD3410" s="162">
        <f t="shared" si="73"/>
        <v>0</v>
      </c>
      <c r="AE3410" s="160">
        <v>3408</v>
      </c>
    </row>
    <row r="3411" spans="27:31" x14ac:dyDescent="0.25">
      <c r="AA3411" s="160"/>
      <c r="AB3411" s="162"/>
      <c r="AC3411" s="162"/>
      <c r="AD3411" s="162">
        <f t="shared" si="73"/>
        <v>0</v>
      </c>
      <c r="AE3411" s="160">
        <v>3409</v>
      </c>
    </row>
    <row r="3412" spans="27:31" x14ac:dyDescent="0.25">
      <c r="AA3412" s="160"/>
      <c r="AB3412" s="162"/>
      <c r="AC3412" s="162"/>
      <c r="AD3412" s="162">
        <f t="shared" si="73"/>
        <v>0</v>
      </c>
      <c r="AE3412" s="160">
        <v>3410</v>
      </c>
    </row>
    <row r="3413" spans="27:31" x14ac:dyDescent="0.25">
      <c r="AA3413" s="160"/>
      <c r="AB3413" s="162"/>
      <c r="AC3413" s="162"/>
      <c r="AD3413" s="162">
        <f t="shared" si="73"/>
        <v>0</v>
      </c>
      <c r="AE3413" s="160">
        <v>3411</v>
      </c>
    </row>
    <row r="3414" spans="27:31" x14ac:dyDescent="0.25">
      <c r="AA3414" s="160"/>
      <c r="AB3414" s="162"/>
      <c r="AC3414" s="162"/>
      <c r="AD3414" s="162">
        <f t="shared" si="73"/>
        <v>0</v>
      </c>
      <c r="AE3414" s="160">
        <v>3412</v>
      </c>
    </row>
    <row r="3415" spans="27:31" x14ac:dyDescent="0.25">
      <c r="AA3415" s="160"/>
      <c r="AB3415" s="162"/>
      <c r="AC3415" s="162"/>
      <c r="AD3415" s="162">
        <f t="shared" si="73"/>
        <v>0</v>
      </c>
      <c r="AE3415" s="160">
        <v>3413</v>
      </c>
    </row>
    <row r="3416" spans="27:31" x14ac:dyDescent="0.25">
      <c r="AA3416" s="160"/>
      <c r="AB3416" s="162"/>
      <c r="AC3416" s="162"/>
      <c r="AD3416" s="162">
        <f t="shared" si="73"/>
        <v>0</v>
      </c>
      <c r="AE3416" s="160">
        <v>3414</v>
      </c>
    </row>
    <row r="3417" spans="27:31" x14ac:dyDescent="0.25">
      <c r="AA3417" s="160"/>
      <c r="AB3417" s="162"/>
      <c r="AC3417" s="162"/>
      <c r="AD3417" s="162">
        <f t="shared" si="73"/>
        <v>0</v>
      </c>
      <c r="AE3417" s="160">
        <v>3415</v>
      </c>
    </row>
    <row r="3418" spans="27:31" x14ac:dyDescent="0.25">
      <c r="AA3418" s="160"/>
      <c r="AB3418" s="162"/>
      <c r="AC3418" s="162"/>
      <c r="AD3418" s="162">
        <f t="shared" si="73"/>
        <v>0</v>
      </c>
      <c r="AE3418" s="160">
        <v>3416</v>
      </c>
    </row>
    <row r="3419" spans="27:31" x14ac:dyDescent="0.25">
      <c r="AA3419" s="160"/>
      <c r="AB3419" s="162"/>
      <c r="AC3419" s="162"/>
      <c r="AD3419" s="162">
        <f t="shared" si="73"/>
        <v>0</v>
      </c>
      <c r="AE3419" s="160">
        <v>3417</v>
      </c>
    </row>
    <row r="3420" spans="27:31" x14ac:dyDescent="0.25">
      <c r="AA3420" s="160"/>
      <c r="AB3420" s="162"/>
      <c r="AC3420" s="162"/>
      <c r="AD3420" s="162">
        <f t="shared" si="73"/>
        <v>0</v>
      </c>
      <c r="AE3420" s="160">
        <v>3418</v>
      </c>
    </row>
    <row r="3421" spans="27:31" x14ac:dyDescent="0.25">
      <c r="AA3421" s="160"/>
      <c r="AB3421" s="162"/>
      <c r="AC3421" s="162"/>
      <c r="AD3421" s="162">
        <f t="shared" si="73"/>
        <v>0</v>
      </c>
      <c r="AE3421" s="160">
        <v>3419</v>
      </c>
    </row>
    <row r="3422" spans="27:31" x14ac:dyDescent="0.25">
      <c r="AA3422" s="160"/>
      <c r="AB3422" s="162"/>
      <c r="AC3422" s="162"/>
      <c r="AD3422" s="162">
        <f t="shared" si="73"/>
        <v>0</v>
      </c>
      <c r="AE3422" s="160">
        <v>3420</v>
      </c>
    </row>
    <row r="3423" spans="27:31" x14ac:dyDescent="0.25">
      <c r="AA3423" s="160"/>
      <c r="AB3423" s="162"/>
      <c r="AC3423" s="162"/>
      <c r="AD3423" s="162">
        <f t="shared" si="73"/>
        <v>0</v>
      </c>
      <c r="AE3423" s="160">
        <v>3421</v>
      </c>
    </row>
    <row r="3424" spans="27:31" x14ac:dyDescent="0.25">
      <c r="AA3424" s="160"/>
      <c r="AB3424" s="162"/>
      <c r="AC3424" s="162"/>
      <c r="AD3424" s="162">
        <f t="shared" si="73"/>
        <v>0</v>
      </c>
      <c r="AE3424" s="160">
        <v>3422</v>
      </c>
    </row>
    <row r="3425" spans="27:31" x14ac:dyDescent="0.25">
      <c r="AA3425" s="160"/>
      <c r="AB3425" s="162"/>
      <c r="AC3425" s="162"/>
      <c r="AD3425" s="162">
        <f t="shared" si="73"/>
        <v>0</v>
      </c>
      <c r="AE3425" s="160">
        <v>3423</v>
      </c>
    </row>
    <row r="3426" spans="27:31" x14ac:dyDescent="0.25">
      <c r="AA3426" s="160"/>
      <c r="AB3426" s="162"/>
      <c r="AC3426" s="162"/>
      <c r="AD3426" s="162">
        <f t="shared" si="73"/>
        <v>0</v>
      </c>
      <c r="AE3426" s="160">
        <v>3424</v>
      </c>
    </row>
    <row r="3427" spans="27:31" x14ac:dyDescent="0.25">
      <c r="AA3427" s="160"/>
      <c r="AB3427" s="162"/>
      <c r="AC3427" s="162"/>
      <c r="AD3427" s="162">
        <f t="shared" si="73"/>
        <v>0</v>
      </c>
      <c r="AE3427" s="160">
        <v>3425</v>
      </c>
    </row>
    <row r="3428" spans="27:31" x14ac:dyDescent="0.25">
      <c r="AA3428" s="160"/>
      <c r="AB3428" s="162"/>
      <c r="AC3428" s="162"/>
      <c r="AD3428" s="162">
        <f t="shared" si="73"/>
        <v>0</v>
      </c>
      <c r="AE3428" s="160">
        <v>3426</v>
      </c>
    </row>
    <row r="3429" spans="27:31" x14ac:dyDescent="0.25">
      <c r="AA3429" s="160"/>
      <c r="AB3429" s="162"/>
      <c r="AC3429" s="162"/>
      <c r="AD3429" s="162">
        <f t="shared" si="73"/>
        <v>0</v>
      </c>
      <c r="AE3429" s="160">
        <v>3427</v>
      </c>
    </row>
    <row r="3430" spans="27:31" x14ac:dyDescent="0.25">
      <c r="AA3430" s="160"/>
      <c r="AB3430" s="162"/>
      <c r="AC3430" s="162"/>
      <c r="AD3430" s="162">
        <f t="shared" si="73"/>
        <v>0</v>
      </c>
      <c r="AE3430" s="160">
        <v>3428</v>
      </c>
    </row>
    <row r="3431" spans="27:31" x14ac:dyDescent="0.25">
      <c r="AA3431" s="160"/>
      <c r="AB3431" s="162"/>
      <c r="AC3431" s="162"/>
      <c r="AD3431" s="162">
        <f t="shared" si="73"/>
        <v>0</v>
      </c>
      <c r="AE3431" s="160">
        <v>3429</v>
      </c>
    </row>
    <row r="3432" spans="27:31" x14ac:dyDescent="0.25">
      <c r="AA3432" s="160"/>
      <c r="AB3432" s="162"/>
      <c r="AC3432" s="162"/>
      <c r="AD3432" s="162">
        <f t="shared" si="73"/>
        <v>0</v>
      </c>
      <c r="AE3432" s="160">
        <v>3430</v>
      </c>
    </row>
    <row r="3433" spans="27:31" x14ac:dyDescent="0.25">
      <c r="AA3433" s="160"/>
      <c r="AB3433" s="162"/>
      <c r="AC3433" s="162"/>
      <c r="AD3433" s="162">
        <f t="shared" si="73"/>
        <v>0</v>
      </c>
      <c r="AE3433" s="160">
        <v>3431</v>
      </c>
    </row>
    <row r="3434" spans="27:31" x14ac:dyDescent="0.25">
      <c r="AA3434" s="160"/>
      <c r="AB3434" s="162"/>
      <c r="AC3434" s="162"/>
      <c r="AD3434" s="162">
        <f t="shared" si="73"/>
        <v>0</v>
      </c>
      <c r="AE3434" s="160">
        <v>3432</v>
      </c>
    </row>
    <row r="3435" spans="27:31" x14ac:dyDescent="0.25">
      <c r="AA3435" s="160"/>
      <c r="AB3435" s="162"/>
      <c r="AC3435" s="162"/>
      <c r="AD3435" s="162">
        <f t="shared" si="73"/>
        <v>0</v>
      </c>
      <c r="AE3435" s="160">
        <v>3433</v>
      </c>
    </row>
    <row r="3436" spans="27:31" x14ac:dyDescent="0.25">
      <c r="AA3436" s="160"/>
      <c r="AB3436" s="162"/>
      <c r="AC3436" s="162"/>
      <c r="AD3436" s="162">
        <f t="shared" si="73"/>
        <v>0</v>
      </c>
      <c r="AE3436" s="160">
        <v>3434</v>
      </c>
    </row>
    <row r="3437" spans="27:31" x14ac:dyDescent="0.25">
      <c r="AA3437" s="160"/>
      <c r="AB3437" s="162"/>
      <c r="AC3437" s="162"/>
      <c r="AD3437" s="162">
        <f t="shared" si="73"/>
        <v>0</v>
      </c>
      <c r="AE3437" s="160">
        <v>3435</v>
      </c>
    </row>
    <row r="3438" spans="27:31" x14ac:dyDescent="0.25">
      <c r="AA3438" s="160"/>
      <c r="AB3438" s="162"/>
      <c r="AC3438" s="162"/>
      <c r="AD3438" s="162">
        <f t="shared" si="73"/>
        <v>0</v>
      </c>
      <c r="AE3438" s="160">
        <v>3436</v>
      </c>
    </row>
    <row r="3439" spans="27:31" x14ac:dyDescent="0.25">
      <c r="AA3439" s="160"/>
      <c r="AB3439" s="162"/>
      <c r="AC3439" s="162"/>
      <c r="AD3439" s="162">
        <f t="shared" si="73"/>
        <v>0</v>
      </c>
      <c r="AE3439" s="160">
        <v>3437</v>
      </c>
    </row>
    <row r="3440" spans="27:31" x14ac:dyDescent="0.25">
      <c r="AA3440" s="160"/>
      <c r="AB3440" s="162"/>
      <c r="AC3440" s="162"/>
      <c r="AD3440" s="162">
        <f t="shared" si="73"/>
        <v>0</v>
      </c>
      <c r="AE3440" s="160">
        <v>3438</v>
      </c>
    </row>
    <row r="3441" spans="27:31" x14ac:dyDescent="0.25">
      <c r="AA3441" s="160"/>
      <c r="AB3441" s="162"/>
      <c r="AC3441" s="162"/>
      <c r="AD3441" s="162">
        <f t="shared" si="73"/>
        <v>0</v>
      </c>
      <c r="AE3441" s="160">
        <v>3439</v>
      </c>
    </row>
    <row r="3442" spans="27:31" x14ac:dyDescent="0.25">
      <c r="AA3442" s="160"/>
      <c r="AB3442" s="162"/>
      <c r="AC3442" s="162"/>
      <c r="AD3442" s="162">
        <f t="shared" si="73"/>
        <v>0</v>
      </c>
      <c r="AE3442" s="160">
        <v>3440</v>
      </c>
    </row>
    <row r="3443" spans="27:31" x14ac:dyDescent="0.25">
      <c r="AA3443" s="160"/>
      <c r="AB3443" s="162"/>
      <c r="AC3443" s="162"/>
      <c r="AD3443" s="162">
        <f t="shared" si="73"/>
        <v>0</v>
      </c>
      <c r="AE3443" s="160">
        <v>3441</v>
      </c>
    </row>
    <row r="3444" spans="27:31" x14ac:dyDescent="0.25">
      <c r="AA3444" s="160"/>
      <c r="AB3444" s="162"/>
      <c r="AC3444" s="162"/>
      <c r="AD3444" s="162">
        <f t="shared" si="73"/>
        <v>0</v>
      </c>
      <c r="AE3444" s="160">
        <v>3442</v>
      </c>
    </row>
    <row r="3445" spans="27:31" x14ac:dyDescent="0.25">
      <c r="AA3445" s="160"/>
      <c r="AB3445" s="162"/>
      <c r="AC3445" s="162"/>
      <c r="AD3445" s="162">
        <f t="shared" si="73"/>
        <v>0</v>
      </c>
      <c r="AE3445" s="160">
        <v>3443</v>
      </c>
    </row>
    <row r="3446" spans="27:31" x14ac:dyDescent="0.25">
      <c r="AA3446" s="160"/>
      <c r="AB3446" s="162"/>
      <c r="AC3446" s="162"/>
      <c r="AD3446" s="162">
        <f t="shared" si="73"/>
        <v>0</v>
      </c>
      <c r="AE3446" s="160">
        <v>3444</v>
      </c>
    </row>
    <row r="3447" spans="27:31" x14ac:dyDescent="0.25">
      <c r="AA3447" s="160"/>
      <c r="AB3447" s="162"/>
      <c r="AC3447" s="162"/>
      <c r="AD3447" s="162">
        <f t="shared" si="73"/>
        <v>0</v>
      </c>
      <c r="AE3447" s="160">
        <v>3445</v>
      </c>
    </row>
    <row r="3448" spans="27:31" x14ac:dyDescent="0.25">
      <c r="AA3448" s="160"/>
      <c r="AB3448" s="162"/>
      <c r="AC3448" s="162"/>
      <c r="AD3448" s="162">
        <f t="shared" si="73"/>
        <v>0</v>
      </c>
      <c r="AE3448" s="160">
        <v>3446</v>
      </c>
    </row>
    <row r="3449" spans="27:31" x14ac:dyDescent="0.25">
      <c r="AA3449" s="160"/>
      <c r="AB3449" s="162"/>
      <c r="AC3449" s="162"/>
      <c r="AD3449" s="162">
        <f t="shared" si="73"/>
        <v>0</v>
      </c>
      <c r="AE3449" s="160">
        <v>3447</v>
      </c>
    </row>
    <row r="3450" spans="27:31" x14ac:dyDescent="0.25">
      <c r="AA3450" s="160"/>
      <c r="AB3450" s="162"/>
      <c r="AC3450" s="162"/>
      <c r="AD3450" s="162">
        <f t="shared" si="73"/>
        <v>0</v>
      </c>
      <c r="AE3450" s="160">
        <v>3448</v>
      </c>
    </row>
    <row r="3451" spans="27:31" x14ac:dyDescent="0.25">
      <c r="AA3451" s="160"/>
      <c r="AB3451" s="162"/>
      <c r="AC3451" s="162"/>
      <c r="AD3451" s="162">
        <f t="shared" si="73"/>
        <v>0</v>
      </c>
      <c r="AE3451" s="160">
        <v>3449</v>
      </c>
    </row>
    <row r="3452" spans="27:31" x14ac:dyDescent="0.25">
      <c r="AA3452" s="160"/>
      <c r="AB3452" s="162"/>
      <c r="AC3452" s="162"/>
      <c r="AD3452" s="162">
        <f t="shared" si="73"/>
        <v>0</v>
      </c>
      <c r="AE3452" s="160">
        <v>3450</v>
      </c>
    </row>
    <row r="3453" spans="27:31" x14ac:dyDescent="0.25">
      <c r="AA3453" s="160"/>
      <c r="AB3453" s="162"/>
      <c r="AC3453" s="162"/>
      <c r="AD3453" s="162">
        <f t="shared" si="73"/>
        <v>0</v>
      </c>
      <c r="AE3453" s="160">
        <v>3451</v>
      </c>
    </row>
    <row r="3454" spans="27:31" x14ac:dyDescent="0.25">
      <c r="AA3454" s="160"/>
      <c r="AB3454" s="162"/>
      <c r="AC3454" s="162"/>
      <c r="AD3454" s="162">
        <f t="shared" si="73"/>
        <v>0</v>
      </c>
      <c r="AE3454" s="160">
        <v>3452</v>
      </c>
    </row>
    <row r="3455" spans="27:31" x14ac:dyDescent="0.25">
      <c r="AA3455" s="160"/>
      <c r="AB3455" s="162"/>
      <c r="AC3455" s="162"/>
      <c r="AD3455" s="162">
        <f t="shared" si="73"/>
        <v>0</v>
      </c>
      <c r="AE3455" s="160">
        <v>3453</v>
      </c>
    </row>
    <row r="3456" spans="27:31" x14ac:dyDescent="0.25">
      <c r="AA3456" s="160"/>
      <c r="AB3456" s="162"/>
      <c r="AC3456" s="162"/>
      <c r="AD3456" s="162">
        <f t="shared" si="73"/>
        <v>0</v>
      </c>
      <c r="AE3456" s="160">
        <v>3454</v>
      </c>
    </row>
    <row r="3457" spans="27:31" x14ac:dyDescent="0.25">
      <c r="AA3457" s="160"/>
      <c r="AB3457" s="162"/>
      <c r="AC3457" s="162"/>
      <c r="AD3457" s="162">
        <f t="shared" si="73"/>
        <v>0</v>
      </c>
      <c r="AE3457" s="160">
        <v>3455</v>
      </c>
    </row>
    <row r="3458" spans="27:31" x14ac:dyDescent="0.25">
      <c r="AA3458" s="160"/>
      <c r="AB3458" s="162"/>
      <c r="AC3458" s="162"/>
      <c r="AD3458" s="162">
        <f t="shared" si="73"/>
        <v>0</v>
      </c>
      <c r="AE3458" s="160">
        <v>3456</v>
      </c>
    </row>
    <row r="3459" spans="27:31" x14ac:dyDescent="0.25">
      <c r="AA3459" s="160"/>
      <c r="AB3459" s="162"/>
      <c r="AC3459" s="162"/>
      <c r="AD3459" s="162">
        <f t="shared" si="73"/>
        <v>0</v>
      </c>
      <c r="AE3459" s="160">
        <v>3457</v>
      </c>
    </row>
    <row r="3460" spans="27:31" x14ac:dyDescent="0.25">
      <c r="AA3460" s="160"/>
      <c r="AB3460" s="162"/>
      <c r="AC3460" s="162"/>
      <c r="AD3460" s="162">
        <f t="shared" ref="AD3460:AD3523" si="74">AB3460+AC3460</f>
        <v>0</v>
      </c>
      <c r="AE3460" s="160">
        <v>3458</v>
      </c>
    </row>
    <row r="3461" spans="27:31" x14ac:dyDescent="0.25">
      <c r="AA3461" s="160"/>
      <c r="AB3461" s="162"/>
      <c r="AC3461" s="162"/>
      <c r="AD3461" s="162">
        <f t="shared" si="74"/>
        <v>0</v>
      </c>
      <c r="AE3461" s="160">
        <v>3459</v>
      </c>
    </row>
    <row r="3462" spans="27:31" x14ac:dyDescent="0.25">
      <c r="AA3462" s="160"/>
      <c r="AB3462" s="162"/>
      <c r="AC3462" s="162"/>
      <c r="AD3462" s="162">
        <f t="shared" si="74"/>
        <v>0</v>
      </c>
      <c r="AE3462" s="160">
        <v>3460</v>
      </c>
    </row>
    <row r="3463" spans="27:31" x14ac:dyDescent="0.25">
      <c r="AA3463" s="160"/>
      <c r="AB3463" s="162"/>
      <c r="AC3463" s="162"/>
      <c r="AD3463" s="162">
        <f t="shared" si="74"/>
        <v>0</v>
      </c>
      <c r="AE3463" s="160">
        <v>3461</v>
      </c>
    </row>
    <row r="3464" spans="27:31" x14ac:dyDescent="0.25">
      <c r="AA3464" s="160"/>
      <c r="AB3464" s="162"/>
      <c r="AC3464" s="162"/>
      <c r="AD3464" s="162">
        <f t="shared" si="74"/>
        <v>0</v>
      </c>
      <c r="AE3464" s="160">
        <v>3462</v>
      </c>
    </row>
    <row r="3465" spans="27:31" x14ac:dyDescent="0.25">
      <c r="AA3465" s="160"/>
      <c r="AB3465" s="162"/>
      <c r="AC3465" s="162"/>
      <c r="AD3465" s="162">
        <f t="shared" si="74"/>
        <v>0</v>
      </c>
      <c r="AE3465" s="160">
        <v>3463</v>
      </c>
    </row>
    <row r="3466" spans="27:31" x14ac:dyDescent="0.25">
      <c r="AA3466" s="160"/>
      <c r="AB3466" s="162"/>
      <c r="AC3466" s="162"/>
      <c r="AD3466" s="162">
        <f t="shared" si="74"/>
        <v>0</v>
      </c>
      <c r="AE3466" s="160">
        <v>3464</v>
      </c>
    </row>
    <row r="3467" spans="27:31" x14ac:dyDescent="0.25">
      <c r="AA3467" s="160"/>
      <c r="AB3467" s="162"/>
      <c r="AC3467" s="162"/>
      <c r="AD3467" s="162">
        <f t="shared" si="74"/>
        <v>0</v>
      </c>
      <c r="AE3467" s="160">
        <v>3465</v>
      </c>
    </row>
    <row r="3468" spans="27:31" x14ac:dyDescent="0.25">
      <c r="AA3468" s="160"/>
      <c r="AB3468" s="162"/>
      <c r="AC3468" s="162"/>
      <c r="AD3468" s="162">
        <f t="shared" si="74"/>
        <v>0</v>
      </c>
      <c r="AE3468" s="160">
        <v>3466</v>
      </c>
    </row>
    <row r="3469" spans="27:31" x14ac:dyDescent="0.25">
      <c r="AA3469" s="160"/>
      <c r="AB3469" s="162"/>
      <c r="AC3469" s="162"/>
      <c r="AD3469" s="162">
        <f t="shared" si="74"/>
        <v>0</v>
      </c>
      <c r="AE3469" s="160">
        <v>3467</v>
      </c>
    </row>
    <row r="3470" spans="27:31" x14ac:dyDescent="0.25">
      <c r="AA3470" s="160"/>
      <c r="AB3470" s="162"/>
      <c r="AC3470" s="162"/>
      <c r="AD3470" s="162">
        <f t="shared" si="74"/>
        <v>0</v>
      </c>
      <c r="AE3470" s="160">
        <v>3468</v>
      </c>
    </row>
    <row r="3471" spans="27:31" x14ac:dyDescent="0.25">
      <c r="AA3471" s="160"/>
      <c r="AB3471" s="162"/>
      <c r="AC3471" s="162"/>
      <c r="AD3471" s="162">
        <f t="shared" si="74"/>
        <v>0</v>
      </c>
      <c r="AE3471" s="160">
        <v>3469</v>
      </c>
    </row>
    <row r="3472" spans="27:31" x14ac:dyDescent="0.25">
      <c r="AA3472" s="160"/>
      <c r="AB3472" s="162"/>
      <c r="AC3472" s="162"/>
      <c r="AD3472" s="162">
        <f t="shared" si="74"/>
        <v>0</v>
      </c>
      <c r="AE3472" s="160">
        <v>3470</v>
      </c>
    </row>
    <row r="3473" spans="27:31" x14ac:dyDescent="0.25">
      <c r="AA3473" s="160"/>
      <c r="AB3473" s="162"/>
      <c r="AC3473" s="162"/>
      <c r="AD3473" s="162">
        <f t="shared" si="74"/>
        <v>0</v>
      </c>
      <c r="AE3473" s="160">
        <v>3471</v>
      </c>
    </row>
    <row r="3474" spans="27:31" x14ac:dyDescent="0.25">
      <c r="AA3474" s="160"/>
      <c r="AB3474" s="162"/>
      <c r="AC3474" s="162"/>
      <c r="AD3474" s="162">
        <f t="shared" si="74"/>
        <v>0</v>
      </c>
      <c r="AE3474" s="160">
        <v>3472</v>
      </c>
    </row>
    <row r="3475" spans="27:31" x14ac:dyDescent="0.25">
      <c r="AA3475" s="160"/>
      <c r="AB3475" s="162"/>
      <c r="AC3475" s="162"/>
      <c r="AD3475" s="162">
        <f t="shared" si="74"/>
        <v>0</v>
      </c>
      <c r="AE3475" s="160">
        <v>3473</v>
      </c>
    </row>
    <row r="3476" spans="27:31" x14ac:dyDescent="0.25">
      <c r="AA3476" s="160"/>
      <c r="AB3476" s="162"/>
      <c r="AC3476" s="162"/>
      <c r="AD3476" s="162">
        <f t="shared" si="74"/>
        <v>0</v>
      </c>
      <c r="AE3476" s="160">
        <v>3474</v>
      </c>
    </row>
    <row r="3477" spans="27:31" x14ac:dyDescent="0.25">
      <c r="AA3477" s="160"/>
      <c r="AB3477" s="162"/>
      <c r="AC3477" s="162"/>
      <c r="AD3477" s="162">
        <f t="shared" si="74"/>
        <v>0</v>
      </c>
      <c r="AE3477" s="160">
        <v>3475</v>
      </c>
    </row>
    <row r="3478" spans="27:31" x14ac:dyDescent="0.25">
      <c r="AA3478" s="160"/>
      <c r="AB3478" s="162"/>
      <c r="AC3478" s="162"/>
      <c r="AD3478" s="162">
        <f t="shared" si="74"/>
        <v>0</v>
      </c>
      <c r="AE3478" s="160">
        <v>3476</v>
      </c>
    </row>
    <row r="3479" spans="27:31" x14ac:dyDescent="0.25">
      <c r="AA3479" s="160"/>
      <c r="AB3479" s="162"/>
      <c r="AC3479" s="162"/>
      <c r="AD3479" s="162">
        <f t="shared" si="74"/>
        <v>0</v>
      </c>
      <c r="AE3479" s="160">
        <v>3477</v>
      </c>
    </row>
    <row r="3480" spans="27:31" x14ac:dyDescent="0.25">
      <c r="AA3480" s="160"/>
      <c r="AB3480" s="162"/>
      <c r="AC3480" s="162"/>
      <c r="AD3480" s="162">
        <f t="shared" si="74"/>
        <v>0</v>
      </c>
      <c r="AE3480" s="160">
        <v>3478</v>
      </c>
    </row>
    <row r="3481" spans="27:31" x14ac:dyDescent="0.25">
      <c r="AA3481" s="160"/>
      <c r="AB3481" s="162"/>
      <c r="AC3481" s="162"/>
      <c r="AD3481" s="162">
        <f t="shared" si="74"/>
        <v>0</v>
      </c>
      <c r="AE3481" s="160">
        <v>3479</v>
      </c>
    </row>
    <row r="3482" spans="27:31" x14ac:dyDescent="0.25">
      <c r="AA3482" s="160"/>
      <c r="AB3482" s="162"/>
      <c r="AC3482" s="162"/>
      <c r="AD3482" s="162">
        <f t="shared" si="74"/>
        <v>0</v>
      </c>
      <c r="AE3482" s="160">
        <v>3480</v>
      </c>
    </row>
    <row r="3483" spans="27:31" x14ac:dyDescent="0.25">
      <c r="AA3483" s="160"/>
      <c r="AB3483" s="162"/>
      <c r="AC3483" s="162"/>
      <c r="AD3483" s="162">
        <f t="shared" si="74"/>
        <v>0</v>
      </c>
      <c r="AE3483" s="160">
        <v>3481</v>
      </c>
    </row>
    <row r="3484" spans="27:31" x14ac:dyDescent="0.25">
      <c r="AA3484" s="160"/>
      <c r="AB3484" s="162"/>
      <c r="AC3484" s="162"/>
      <c r="AD3484" s="162">
        <f t="shared" si="74"/>
        <v>0</v>
      </c>
      <c r="AE3484" s="160">
        <v>3482</v>
      </c>
    </row>
    <row r="3485" spans="27:31" x14ac:dyDescent="0.25">
      <c r="AA3485" s="160"/>
      <c r="AB3485" s="162"/>
      <c r="AC3485" s="162"/>
      <c r="AD3485" s="162">
        <f t="shared" si="74"/>
        <v>0</v>
      </c>
      <c r="AE3485" s="160">
        <v>3483</v>
      </c>
    </row>
    <row r="3486" spans="27:31" x14ac:dyDescent="0.25">
      <c r="AA3486" s="160"/>
      <c r="AB3486" s="162"/>
      <c r="AC3486" s="162"/>
      <c r="AD3486" s="162">
        <f t="shared" si="74"/>
        <v>0</v>
      </c>
      <c r="AE3486" s="160">
        <v>3484</v>
      </c>
    </row>
    <row r="3487" spans="27:31" x14ac:dyDescent="0.25">
      <c r="AA3487" s="160"/>
      <c r="AB3487" s="162"/>
      <c r="AC3487" s="162"/>
      <c r="AD3487" s="162">
        <f t="shared" si="74"/>
        <v>0</v>
      </c>
      <c r="AE3487" s="160">
        <v>3485</v>
      </c>
    </row>
    <row r="3488" spans="27:31" x14ac:dyDescent="0.25">
      <c r="AA3488" s="160"/>
      <c r="AB3488" s="162"/>
      <c r="AC3488" s="162"/>
      <c r="AD3488" s="162">
        <f t="shared" si="74"/>
        <v>0</v>
      </c>
      <c r="AE3488" s="160">
        <v>3486</v>
      </c>
    </row>
    <row r="3489" spans="27:31" x14ac:dyDescent="0.25">
      <c r="AA3489" s="160"/>
      <c r="AB3489" s="162"/>
      <c r="AC3489" s="162"/>
      <c r="AD3489" s="162">
        <f t="shared" si="74"/>
        <v>0</v>
      </c>
      <c r="AE3489" s="160">
        <v>3487</v>
      </c>
    </row>
    <row r="3490" spans="27:31" x14ac:dyDescent="0.25">
      <c r="AA3490" s="160"/>
      <c r="AB3490" s="162"/>
      <c r="AC3490" s="162"/>
      <c r="AD3490" s="162">
        <f t="shared" si="74"/>
        <v>0</v>
      </c>
      <c r="AE3490" s="160">
        <v>3488</v>
      </c>
    </row>
    <row r="3491" spans="27:31" x14ac:dyDescent="0.25">
      <c r="AA3491" s="160"/>
      <c r="AB3491" s="162"/>
      <c r="AC3491" s="162"/>
      <c r="AD3491" s="162">
        <f t="shared" si="74"/>
        <v>0</v>
      </c>
      <c r="AE3491" s="160">
        <v>3489</v>
      </c>
    </row>
    <row r="3492" spans="27:31" x14ac:dyDescent="0.25">
      <c r="AA3492" s="160"/>
      <c r="AB3492" s="162"/>
      <c r="AC3492" s="162"/>
      <c r="AD3492" s="162">
        <f t="shared" si="74"/>
        <v>0</v>
      </c>
      <c r="AE3492" s="160">
        <v>3490</v>
      </c>
    </row>
    <row r="3493" spans="27:31" x14ac:dyDescent="0.25">
      <c r="AA3493" s="160"/>
      <c r="AB3493" s="162"/>
      <c r="AC3493" s="162"/>
      <c r="AD3493" s="162">
        <f t="shared" si="74"/>
        <v>0</v>
      </c>
      <c r="AE3493" s="160">
        <v>3491</v>
      </c>
    </row>
    <row r="3494" spans="27:31" x14ac:dyDescent="0.25">
      <c r="AA3494" s="160"/>
      <c r="AB3494" s="162"/>
      <c r="AC3494" s="162"/>
      <c r="AD3494" s="162">
        <f t="shared" si="74"/>
        <v>0</v>
      </c>
      <c r="AE3494" s="160">
        <v>3492</v>
      </c>
    </row>
    <row r="3495" spans="27:31" x14ac:dyDescent="0.25">
      <c r="AA3495" s="160"/>
      <c r="AB3495" s="162"/>
      <c r="AC3495" s="162"/>
      <c r="AD3495" s="162">
        <f t="shared" si="74"/>
        <v>0</v>
      </c>
      <c r="AE3495" s="160">
        <v>3493</v>
      </c>
    </row>
    <row r="3496" spans="27:31" x14ac:dyDescent="0.25">
      <c r="AA3496" s="160"/>
      <c r="AB3496" s="162"/>
      <c r="AC3496" s="162"/>
      <c r="AD3496" s="162">
        <f t="shared" si="74"/>
        <v>0</v>
      </c>
      <c r="AE3496" s="160">
        <v>3494</v>
      </c>
    </row>
    <row r="3497" spans="27:31" x14ac:dyDescent="0.25">
      <c r="AA3497" s="160"/>
      <c r="AB3497" s="162"/>
      <c r="AC3497" s="162"/>
      <c r="AD3497" s="162">
        <f t="shared" si="74"/>
        <v>0</v>
      </c>
      <c r="AE3497" s="160">
        <v>3495</v>
      </c>
    </row>
    <row r="3498" spans="27:31" x14ac:dyDescent="0.25">
      <c r="AA3498" s="160"/>
      <c r="AB3498" s="162"/>
      <c r="AC3498" s="162"/>
      <c r="AD3498" s="162">
        <f t="shared" si="74"/>
        <v>0</v>
      </c>
      <c r="AE3498" s="160">
        <v>3496</v>
      </c>
    </row>
    <row r="3499" spans="27:31" x14ac:dyDescent="0.25">
      <c r="AA3499" s="160"/>
      <c r="AB3499" s="162"/>
      <c r="AC3499" s="162"/>
      <c r="AD3499" s="162">
        <f t="shared" si="74"/>
        <v>0</v>
      </c>
      <c r="AE3499" s="160">
        <v>3497</v>
      </c>
    </row>
    <row r="3500" spans="27:31" x14ac:dyDescent="0.25">
      <c r="AA3500" s="160"/>
      <c r="AB3500" s="162"/>
      <c r="AC3500" s="162"/>
      <c r="AD3500" s="162">
        <f t="shared" si="74"/>
        <v>0</v>
      </c>
      <c r="AE3500" s="160">
        <v>3498</v>
      </c>
    </row>
    <row r="3501" spans="27:31" x14ac:dyDescent="0.25">
      <c r="AA3501" s="160"/>
      <c r="AB3501" s="162"/>
      <c r="AC3501" s="162"/>
      <c r="AD3501" s="162">
        <f t="shared" si="74"/>
        <v>0</v>
      </c>
      <c r="AE3501" s="160">
        <v>3499</v>
      </c>
    </row>
    <row r="3502" spans="27:31" x14ac:dyDescent="0.25">
      <c r="AA3502" s="160"/>
      <c r="AB3502" s="162"/>
      <c r="AC3502" s="162"/>
      <c r="AD3502" s="162">
        <f t="shared" si="74"/>
        <v>0</v>
      </c>
      <c r="AE3502" s="160">
        <v>3500</v>
      </c>
    </row>
    <row r="3503" spans="27:31" x14ac:dyDescent="0.25">
      <c r="AA3503" s="160"/>
      <c r="AB3503" s="162"/>
      <c r="AC3503" s="162"/>
      <c r="AD3503" s="162">
        <f t="shared" si="74"/>
        <v>0</v>
      </c>
      <c r="AE3503" s="160">
        <v>3501</v>
      </c>
    </row>
    <row r="3504" spans="27:31" x14ac:dyDescent="0.25">
      <c r="AA3504" s="160"/>
      <c r="AB3504" s="162"/>
      <c r="AC3504" s="162"/>
      <c r="AD3504" s="162">
        <f t="shared" si="74"/>
        <v>0</v>
      </c>
      <c r="AE3504" s="160">
        <v>3502</v>
      </c>
    </row>
    <row r="3505" spans="27:31" x14ac:dyDescent="0.25">
      <c r="AA3505" s="160"/>
      <c r="AB3505" s="162"/>
      <c r="AC3505" s="162"/>
      <c r="AD3505" s="162">
        <f t="shared" si="74"/>
        <v>0</v>
      </c>
      <c r="AE3505" s="160">
        <v>3503</v>
      </c>
    </row>
    <row r="3506" spans="27:31" x14ac:dyDescent="0.25">
      <c r="AA3506" s="160"/>
      <c r="AB3506" s="162"/>
      <c r="AC3506" s="162"/>
      <c r="AD3506" s="162">
        <f t="shared" si="74"/>
        <v>0</v>
      </c>
      <c r="AE3506" s="160">
        <v>3504</v>
      </c>
    </row>
    <row r="3507" spans="27:31" x14ac:dyDescent="0.25">
      <c r="AA3507" s="160"/>
      <c r="AB3507" s="162"/>
      <c r="AC3507" s="162"/>
      <c r="AD3507" s="162">
        <f t="shared" si="74"/>
        <v>0</v>
      </c>
      <c r="AE3507" s="160">
        <v>3505</v>
      </c>
    </row>
    <row r="3508" spans="27:31" x14ac:dyDescent="0.25">
      <c r="AA3508" s="160"/>
      <c r="AB3508" s="162"/>
      <c r="AC3508" s="162"/>
      <c r="AD3508" s="162">
        <f t="shared" si="74"/>
        <v>0</v>
      </c>
      <c r="AE3508" s="160">
        <v>3506</v>
      </c>
    </row>
    <row r="3509" spans="27:31" x14ac:dyDescent="0.25">
      <c r="AA3509" s="160"/>
      <c r="AB3509" s="162"/>
      <c r="AC3509" s="162"/>
      <c r="AD3509" s="162">
        <f t="shared" si="74"/>
        <v>0</v>
      </c>
      <c r="AE3509" s="160">
        <v>3507</v>
      </c>
    </row>
    <row r="3510" spans="27:31" x14ac:dyDescent="0.25">
      <c r="AA3510" s="160"/>
      <c r="AB3510" s="162"/>
      <c r="AC3510" s="162"/>
      <c r="AD3510" s="162">
        <f t="shared" si="74"/>
        <v>0</v>
      </c>
      <c r="AE3510" s="160">
        <v>3508</v>
      </c>
    </row>
    <row r="3511" spans="27:31" x14ac:dyDescent="0.25">
      <c r="AA3511" s="160"/>
      <c r="AB3511" s="162"/>
      <c r="AC3511" s="162"/>
      <c r="AD3511" s="162">
        <f t="shared" si="74"/>
        <v>0</v>
      </c>
      <c r="AE3511" s="160">
        <v>3509</v>
      </c>
    </row>
    <row r="3512" spans="27:31" x14ac:dyDescent="0.25">
      <c r="AA3512" s="160"/>
      <c r="AB3512" s="162"/>
      <c r="AC3512" s="162"/>
      <c r="AD3512" s="162">
        <f t="shared" si="74"/>
        <v>0</v>
      </c>
      <c r="AE3512" s="160">
        <v>3510</v>
      </c>
    </row>
    <row r="3513" spans="27:31" x14ac:dyDescent="0.25">
      <c r="AA3513" s="160"/>
      <c r="AB3513" s="162"/>
      <c r="AC3513" s="162"/>
      <c r="AD3513" s="162">
        <f t="shared" si="74"/>
        <v>0</v>
      </c>
      <c r="AE3513" s="160">
        <v>3511</v>
      </c>
    </row>
    <row r="3514" spans="27:31" x14ac:dyDescent="0.25">
      <c r="AA3514" s="160"/>
      <c r="AB3514" s="162"/>
      <c r="AC3514" s="162"/>
      <c r="AD3514" s="162">
        <f t="shared" si="74"/>
        <v>0</v>
      </c>
      <c r="AE3514" s="160">
        <v>3512</v>
      </c>
    </row>
    <row r="3515" spans="27:31" x14ac:dyDescent="0.25">
      <c r="AA3515" s="160"/>
      <c r="AB3515" s="162"/>
      <c r="AC3515" s="162"/>
      <c r="AD3515" s="162">
        <f t="shared" si="74"/>
        <v>0</v>
      </c>
      <c r="AE3515" s="160">
        <v>3513</v>
      </c>
    </row>
    <row r="3516" spans="27:31" x14ac:dyDescent="0.25">
      <c r="AA3516" s="160"/>
      <c r="AB3516" s="162"/>
      <c r="AC3516" s="162"/>
      <c r="AD3516" s="162">
        <f t="shared" si="74"/>
        <v>0</v>
      </c>
      <c r="AE3516" s="160">
        <v>3514</v>
      </c>
    </row>
    <row r="3517" spans="27:31" x14ac:dyDescent="0.25">
      <c r="AA3517" s="160"/>
      <c r="AB3517" s="162"/>
      <c r="AC3517" s="162"/>
      <c r="AD3517" s="162">
        <f t="shared" si="74"/>
        <v>0</v>
      </c>
      <c r="AE3517" s="160">
        <v>3515</v>
      </c>
    </row>
    <row r="3518" spans="27:31" x14ac:dyDescent="0.25">
      <c r="AA3518" s="160"/>
      <c r="AB3518" s="162"/>
      <c r="AC3518" s="162"/>
      <c r="AD3518" s="162">
        <f t="shared" si="74"/>
        <v>0</v>
      </c>
      <c r="AE3518" s="160">
        <v>3516</v>
      </c>
    </row>
    <row r="3519" spans="27:31" x14ac:dyDescent="0.25">
      <c r="AA3519" s="160"/>
      <c r="AB3519" s="162"/>
      <c r="AC3519" s="162"/>
      <c r="AD3519" s="162">
        <f t="shared" si="74"/>
        <v>0</v>
      </c>
      <c r="AE3519" s="160">
        <v>3517</v>
      </c>
    </row>
    <row r="3520" spans="27:31" x14ac:dyDescent="0.25">
      <c r="AA3520" s="160"/>
      <c r="AB3520" s="162"/>
      <c r="AC3520" s="162"/>
      <c r="AD3520" s="162">
        <f t="shared" si="74"/>
        <v>0</v>
      </c>
      <c r="AE3520" s="160">
        <v>3518</v>
      </c>
    </row>
    <row r="3521" spans="27:31" x14ac:dyDescent="0.25">
      <c r="AA3521" s="160"/>
      <c r="AB3521" s="162"/>
      <c r="AC3521" s="162"/>
      <c r="AD3521" s="162">
        <f t="shared" si="74"/>
        <v>0</v>
      </c>
      <c r="AE3521" s="160">
        <v>3519</v>
      </c>
    </row>
    <row r="3522" spans="27:31" x14ac:dyDescent="0.25">
      <c r="AA3522" s="160"/>
      <c r="AB3522" s="162"/>
      <c r="AC3522" s="162"/>
      <c r="AD3522" s="162">
        <f t="shared" si="74"/>
        <v>0</v>
      </c>
      <c r="AE3522" s="160">
        <v>3520</v>
      </c>
    </row>
    <row r="3523" spans="27:31" x14ac:dyDescent="0.25">
      <c r="AA3523" s="160"/>
      <c r="AB3523" s="162"/>
      <c r="AC3523" s="162"/>
      <c r="AD3523" s="162">
        <f t="shared" si="74"/>
        <v>0</v>
      </c>
      <c r="AE3523" s="160">
        <v>3521</v>
      </c>
    </row>
    <row r="3524" spans="27:31" x14ac:dyDescent="0.25">
      <c r="AA3524" s="160"/>
      <c r="AB3524" s="162"/>
      <c r="AC3524" s="162"/>
      <c r="AD3524" s="162">
        <f t="shared" ref="AD3524:AD3587" si="75">AB3524+AC3524</f>
        <v>0</v>
      </c>
      <c r="AE3524" s="160">
        <v>3522</v>
      </c>
    </row>
    <row r="3525" spans="27:31" x14ac:dyDescent="0.25">
      <c r="AA3525" s="160"/>
      <c r="AB3525" s="162"/>
      <c r="AC3525" s="162"/>
      <c r="AD3525" s="162">
        <f t="shared" si="75"/>
        <v>0</v>
      </c>
      <c r="AE3525" s="160">
        <v>3523</v>
      </c>
    </row>
    <row r="3526" spans="27:31" x14ac:dyDescent="0.25">
      <c r="AA3526" s="160"/>
      <c r="AB3526" s="162"/>
      <c r="AC3526" s="162"/>
      <c r="AD3526" s="162">
        <f t="shared" si="75"/>
        <v>0</v>
      </c>
      <c r="AE3526" s="160">
        <v>3524</v>
      </c>
    </row>
    <row r="3527" spans="27:31" x14ac:dyDescent="0.25">
      <c r="AA3527" s="160"/>
      <c r="AB3527" s="162"/>
      <c r="AC3527" s="162"/>
      <c r="AD3527" s="162">
        <f t="shared" si="75"/>
        <v>0</v>
      </c>
      <c r="AE3527" s="160">
        <v>3525</v>
      </c>
    </row>
    <row r="3528" spans="27:31" x14ac:dyDescent="0.25">
      <c r="AA3528" s="160"/>
      <c r="AB3528" s="162"/>
      <c r="AC3528" s="162"/>
      <c r="AD3528" s="162">
        <f t="shared" si="75"/>
        <v>0</v>
      </c>
      <c r="AE3528" s="160">
        <v>3526</v>
      </c>
    </row>
    <row r="3529" spans="27:31" x14ac:dyDescent="0.25">
      <c r="AA3529" s="160"/>
      <c r="AB3529" s="162"/>
      <c r="AC3529" s="162"/>
      <c r="AD3529" s="162">
        <f t="shared" si="75"/>
        <v>0</v>
      </c>
      <c r="AE3529" s="160">
        <v>3527</v>
      </c>
    </row>
    <row r="3530" spans="27:31" x14ac:dyDescent="0.25">
      <c r="AA3530" s="160"/>
      <c r="AB3530" s="162"/>
      <c r="AC3530" s="162"/>
      <c r="AD3530" s="162">
        <f t="shared" si="75"/>
        <v>0</v>
      </c>
      <c r="AE3530" s="160">
        <v>3528</v>
      </c>
    </row>
    <row r="3531" spans="27:31" x14ac:dyDescent="0.25">
      <c r="AA3531" s="160"/>
      <c r="AB3531" s="162"/>
      <c r="AC3531" s="162"/>
      <c r="AD3531" s="162">
        <f t="shared" si="75"/>
        <v>0</v>
      </c>
      <c r="AE3531" s="160">
        <v>3529</v>
      </c>
    </row>
    <row r="3532" spans="27:31" x14ac:dyDescent="0.25">
      <c r="AA3532" s="160"/>
      <c r="AB3532" s="162"/>
      <c r="AC3532" s="162"/>
      <c r="AD3532" s="162">
        <f t="shared" si="75"/>
        <v>0</v>
      </c>
      <c r="AE3532" s="160">
        <v>3530</v>
      </c>
    </row>
    <row r="3533" spans="27:31" x14ac:dyDescent="0.25">
      <c r="AA3533" s="160"/>
      <c r="AB3533" s="162"/>
      <c r="AC3533" s="162"/>
      <c r="AD3533" s="162">
        <f t="shared" si="75"/>
        <v>0</v>
      </c>
      <c r="AE3533" s="160">
        <v>3531</v>
      </c>
    </row>
    <row r="3534" spans="27:31" x14ac:dyDescent="0.25">
      <c r="AA3534" s="160"/>
      <c r="AB3534" s="162"/>
      <c r="AC3534" s="162"/>
      <c r="AD3534" s="162">
        <f t="shared" si="75"/>
        <v>0</v>
      </c>
      <c r="AE3534" s="160">
        <v>3532</v>
      </c>
    </row>
    <row r="3535" spans="27:31" x14ac:dyDescent="0.25">
      <c r="AA3535" s="160"/>
      <c r="AB3535" s="162"/>
      <c r="AC3535" s="162"/>
      <c r="AD3535" s="162">
        <f t="shared" si="75"/>
        <v>0</v>
      </c>
      <c r="AE3535" s="160">
        <v>3533</v>
      </c>
    </row>
    <row r="3536" spans="27:31" x14ac:dyDescent="0.25">
      <c r="AA3536" s="160"/>
      <c r="AB3536" s="162"/>
      <c r="AC3536" s="162"/>
      <c r="AD3536" s="162">
        <f t="shared" si="75"/>
        <v>0</v>
      </c>
      <c r="AE3536" s="160">
        <v>3534</v>
      </c>
    </row>
    <row r="3537" spans="27:31" x14ac:dyDescent="0.25">
      <c r="AA3537" s="160"/>
      <c r="AB3537" s="162"/>
      <c r="AC3537" s="162"/>
      <c r="AD3537" s="162">
        <f t="shared" si="75"/>
        <v>0</v>
      </c>
      <c r="AE3537" s="160">
        <v>3535</v>
      </c>
    </row>
    <row r="3538" spans="27:31" x14ac:dyDescent="0.25">
      <c r="AA3538" s="160"/>
      <c r="AB3538" s="162"/>
      <c r="AC3538" s="162"/>
      <c r="AD3538" s="162">
        <f t="shared" si="75"/>
        <v>0</v>
      </c>
      <c r="AE3538" s="160">
        <v>3536</v>
      </c>
    </row>
    <row r="3539" spans="27:31" x14ac:dyDescent="0.25">
      <c r="AA3539" s="160"/>
      <c r="AB3539" s="162"/>
      <c r="AC3539" s="162"/>
      <c r="AD3539" s="162">
        <f t="shared" si="75"/>
        <v>0</v>
      </c>
      <c r="AE3539" s="160">
        <v>3537</v>
      </c>
    </row>
    <row r="3540" spans="27:31" x14ac:dyDescent="0.25">
      <c r="AA3540" s="160"/>
      <c r="AB3540" s="162"/>
      <c r="AC3540" s="162"/>
      <c r="AD3540" s="162">
        <f t="shared" si="75"/>
        <v>0</v>
      </c>
      <c r="AE3540" s="160">
        <v>3538</v>
      </c>
    </row>
    <row r="3541" spans="27:31" x14ac:dyDescent="0.25">
      <c r="AA3541" s="160"/>
      <c r="AB3541" s="162"/>
      <c r="AC3541" s="162"/>
      <c r="AD3541" s="162">
        <f t="shared" si="75"/>
        <v>0</v>
      </c>
      <c r="AE3541" s="160">
        <v>3539</v>
      </c>
    </row>
    <row r="3542" spans="27:31" x14ac:dyDescent="0.25">
      <c r="AA3542" s="160"/>
      <c r="AB3542" s="162"/>
      <c r="AC3542" s="162"/>
      <c r="AD3542" s="162">
        <f t="shared" si="75"/>
        <v>0</v>
      </c>
      <c r="AE3542" s="160">
        <v>3540</v>
      </c>
    </row>
    <row r="3543" spans="27:31" x14ac:dyDescent="0.25">
      <c r="AA3543" s="160"/>
      <c r="AB3543" s="162"/>
      <c r="AC3543" s="162"/>
      <c r="AD3543" s="162">
        <f t="shared" si="75"/>
        <v>0</v>
      </c>
      <c r="AE3543" s="160">
        <v>3541</v>
      </c>
    </row>
    <row r="3544" spans="27:31" x14ac:dyDescent="0.25">
      <c r="AA3544" s="160"/>
      <c r="AB3544" s="162"/>
      <c r="AC3544" s="162"/>
      <c r="AD3544" s="162">
        <f t="shared" si="75"/>
        <v>0</v>
      </c>
      <c r="AE3544" s="160">
        <v>3542</v>
      </c>
    </row>
    <row r="3545" spans="27:31" x14ac:dyDescent="0.25">
      <c r="AA3545" s="160"/>
      <c r="AB3545" s="162"/>
      <c r="AC3545" s="162"/>
      <c r="AD3545" s="162">
        <f t="shared" si="75"/>
        <v>0</v>
      </c>
      <c r="AE3545" s="160">
        <v>3543</v>
      </c>
    </row>
    <row r="3546" spans="27:31" x14ac:dyDescent="0.25">
      <c r="AA3546" s="160"/>
      <c r="AB3546" s="162"/>
      <c r="AC3546" s="162"/>
      <c r="AD3546" s="162">
        <f t="shared" si="75"/>
        <v>0</v>
      </c>
      <c r="AE3546" s="160">
        <v>3544</v>
      </c>
    </row>
    <row r="3547" spans="27:31" x14ac:dyDescent="0.25">
      <c r="AA3547" s="160"/>
      <c r="AB3547" s="162"/>
      <c r="AC3547" s="162"/>
      <c r="AD3547" s="162">
        <f t="shared" si="75"/>
        <v>0</v>
      </c>
      <c r="AE3547" s="160">
        <v>3545</v>
      </c>
    </row>
    <row r="3548" spans="27:31" x14ac:dyDescent="0.25">
      <c r="AA3548" s="160"/>
      <c r="AB3548" s="162"/>
      <c r="AC3548" s="162"/>
      <c r="AD3548" s="162">
        <f t="shared" si="75"/>
        <v>0</v>
      </c>
      <c r="AE3548" s="160">
        <v>3546</v>
      </c>
    </row>
    <row r="3549" spans="27:31" x14ac:dyDescent="0.25">
      <c r="AA3549" s="160"/>
      <c r="AB3549" s="162"/>
      <c r="AC3549" s="162"/>
      <c r="AD3549" s="162">
        <f t="shared" si="75"/>
        <v>0</v>
      </c>
      <c r="AE3549" s="160">
        <v>3547</v>
      </c>
    </row>
    <row r="3550" spans="27:31" x14ac:dyDescent="0.25">
      <c r="AA3550" s="160"/>
      <c r="AB3550" s="162"/>
      <c r="AC3550" s="162"/>
      <c r="AD3550" s="162">
        <f t="shared" si="75"/>
        <v>0</v>
      </c>
      <c r="AE3550" s="160">
        <v>3548</v>
      </c>
    </row>
    <row r="3551" spans="27:31" x14ac:dyDescent="0.25">
      <c r="AA3551" s="160"/>
      <c r="AB3551" s="162"/>
      <c r="AC3551" s="162"/>
      <c r="AD3551" s="162">
        <f t="shared" si="75"/>
        <v>0</v>
      </c>
      <c r="AE3551" s="160">
        <v>3549</v>
      </c>
    </row>
    <row r="3552" spans="27:31" x14ac:dyDescent="0.25">
      <c r="AA3552" s="160"/>
      <c r="AB3552" s="162"/>
      <c r="AC3552" s="162"/>
      <c r="AD3552" s="162">
        <f t="shared" si="75"/>
        <v>0</v>
      </c>
      <c r="AE3552" s="160">
        <v>3550</v>
      </c>
    </row>
    <row r="3553" spans="27:31" x14ac:dyDescent="0.25">
      <c r="AA3553" s="160"/>
      <c r="AB3553" s="162"/>
      <c r="AC3553" s="162"/>
      <c r="AD3553" s="162">
        <f t="shared" si="75"/>
        <v>0</v>
      </c>
      <c r="AE3553" s="160">
        <v>3551</v>
      </c>
    </row>
    <row r="3554" spans="27:31" x14ac:dyDescent="0.25">
      <c r="AA3554" s="160"/>
      <c r="AB3554" s="162"/>
      <c r="AC3554" s="162"/>
      <c r="AD3554" s="162">
        <f t="shared" si="75"/>
        <v>0</v>
      </c>
      <c r="AE3554" s="160">
        <v>3552</v>
      </c>
    </row>
    <row r="3555" spans="27:31" x14ac:dyDescent="0.25">
      <c r="AA3555" s="160"/>
      <c r="AB3555" s="162"/>
      <c r="AC3555" s="162"/>
      <c r="AD3555" s="162">
        <f t="shared" si="75"/>
        <v>0</v>
      </c>
      <c r="AE3555" s="160">
        <v>3553</v>
      </c>
    </row>
    <row r="3556" spans="27:31" x14ac:dyDescent="0.25">
      <c r="AA3556" s="160"/>
      <c r="AB3556" s="162"/>
      <c r="AC3556" s="162"/>
      <c r="AD3556" s="162">
        <f t="shared" si="75"/>
        <v>0</v>
      </c>
      <c r="AE3556" s="160">
        <v>3554</v>
      </c>
    </row>
    <row r="3557" spans="27:31" x14ac:dyDescent="0.25">
      <c r="AA3557" s="160"/>
      <c r="AB3557" s="162"/>
      <c r="AC3557" s="162"/>
      <c r="AD3557" s="162">
        <f t="shared" si="75"/>
        <v>0</v>
      </c>
      <c r="AE3557" s="160">
        <v>3555</v>
      </c>
    </row>
    <row r="3558" spans="27:31" x14ac:dyDescent="0.25">
      <c r="AA3558" s="160"/>
      <c r="AB3558" s="162"/>
      <c r="AC3558" s="162"/>
      <c r="AD3558" s="162">
        <f t="shared" si="75"/>
        <v>0</v>
      </c>
      <c r="AE3558" s="160">
        <v>3556</v>
      </c>
    </row>
    <row r="3559" spans="27:31" x14ac:dyDescent="0.25">
      <c r="AA3559" s="160"/>
      <c r="AB3559" s="162"/>
      <c r="AC3559" s="162"/>
      <c r="AD3559" s="162">
        <f t="shared" si="75"/>
        <v>0</v>
      </c>
      <c r="AE3559" s="160">
        <v>3557</v>
      </c>
    </row>
    <row r="3560" spans="27:31" x14ac:dyDescent="0.25">
      <c r="AA3560" s="160"/>
      <c r="AB3560" s="162"/>
      <c r="AC3560" s="162"/>
      <c r="AD3560" s="162">
        <f t="shared" si="75"/>
        <v>0</v>
      </c>
      <c r="AE3560" s="160">
        <v>3558</v>
      </c>
    </row>
    <row r="3561" spans="27:31" x14ac:dyDescent="0.25">
      <c r="AA3561" s="160"/>
      <c r="AB3561" s="162"/>
      <c r="AC3561" s="162"/>
      <c r="AD3561" s="162">
        <f t="shared" si="75"/>
        <v>0</v>
      </c>
      <c r="AE3561" s="160">
        <v>3559</v>
      </c>
    </row>
    <row r="3562" spans="27:31" x14ac:dyDescent="0.25">
      <c r="AA3562" s="160"/>
      <c r="AB3562" s="162"/>
      <c r="AC3562" s="162"/>
      <c r="AD3562" s="162">
        <f t="shared" si="75"/>
        <v>0</v>
      </c>
      <c r="AE3562" s="160">
        <v>3560</v>
      </c>
    </row>
    <row r="3563" spans="27:31" x14ac:dyDescent="0.25">
      <c r="AA3563" s="160"/>
      <c r="AB3563" s="162"/>
      <c r="AC3563" s="162"/>
      <c r="AD3563" s="162">
        <f t="shared" si="75"/>
        <v>0</v>
      </c>
      <c r="AE3563" s="160">
        <v>3561</v>
      </c>
    </row>
    <row r="3564" spans="27:31" x14ac:dyDescent="0.25">
      <c r="AA3564" s="160"/>
      <c r="AB3564" s="162"/>
      <c r="AC3564" s="162"/>
      <c r="AD3564" s="162">
        <f t="shared" si="75"/>
        <v>0</v>
      </c>
      <c r="AE3564" s="160">
        <v>3562</v>
      </c>
    </row>
    <row r="3565" spans="27:31" x14ac:dyDescent="0.25">
      <c r="AA3565" s="160"/>
      <c r="AB3565" s="162"/>
      <c r="AC3565" s="162"/>
      <c r="AD3565" s="162">
        <f t="shared" si="75"/>
        <v>0</v>
      </c>
      <c r="AE3565" s="160">
        <v>3563</v>
      </c>
    </row>
    <row r="3566" spans="27:31" x14ac:dyDescent="0.25">
      <c r="AA3566" s="160"/>
      <c r="AB3566" s="162"/>
      <c r="AC3566" s="162"/>
      <c r="AD3566" s="162">
        <f t="shared" si="75"/>
        <v>0</v>
      </c>
      <c r="AE3566" s="160">
        <v>3564</v>
      </c>
    </row>
    <row r="3567" spans="27:31" x14ac:dyDescent="0.25">
      <c r="AA3567" s="160"/>
      <c r="AB3567" s="162"/>
      <c r="AC3567" s="162"/>
      <c r="AD3567" s="162">
        <f t="shared" si="75"/>
        <v>0</v>
      </c>
      <c r="AE3567" s="160">
        <v>3565</v>
      </c>
    </row>
    <row r="3568" spans="27:31" x14ac:dyDescent="0.25">
      <c r="AA3568" s="160"/>
      <c r="AB3568" s="162"/>
      <c r="AC3568" s="162"/>
      <c r="AD3568" s="162">
        <f t="shared" si="75"/>
        <v>0</v>
      </c>
      <c r="AE3568" s="160">
        <v>3566</v>
      </c>
    </row>
    <row r="3569" spans="27:31" x14ac:dyDescent="0.25">
      <c r="AA3569" s="160"/>
      <c r="AB3569" s="162"/>
      <c r="AC3569" s="162"/>
      <c r="AD3569" s="162">
        <f t="shared" si="75"/>
        <v>0</v>
      </c>
      <c r="AE3569" s="160">
        <v>3567</v>
      </c>
    </row>
    <row r="3570" spans="27:31" x14ac:dyDescent="0.25">
      <c r="AA3570" s="160"/>
      <c r="AB3570" s="162"/>
      <c r="AC3570" s="162"/>
      <c r="AD3570" s="162">
        <f t="shared" si="75"/>
        <v>0</v>
      </c>
      <c r="AE3570" s="160">
        <v>3568</v>
      </c>
    </row>
    <row r="3571" spans="27:31" x14ac:dyDescent="0.25">
      <c r="AA3571" s="160"/>
      <c r="AB3571" s="162"/>
      <c r="AC3571" s="162"/>
      <c r="AD3571" s="162">
        <f t="shared" si="75"/>
        <v>0</v>
      </c>
      <c r="AE3571" s="160">
        <v>3569</v>
      </c>
    </row>
    <row r="3572" spans="27:31" x14ac:dyDescent="0.25">
      <c r="AA3572" s="160"/>
      <c r="AB3572" s="162"/>
      <c r="AC3572" s="162"/>
      <c r="AD3572" s="162">
        <f t="shared" si="75"/>
        <v>0</v>
      </c>
      <c r="AE3572" s="160">
        <v>3570</v>
      </c>
    </row>
    <row r="3573" spans="27:31" x14ac:dyDescent="0.25">
      <c r="AA3573" s="160"/>
      <c r="AB3573" s="162"/>
      <c r="AC3573" s="162"/>
      <c r="AD3573" s="162">
        <f t="shared" si="75"/>
        <v>0</v>
      </c>
      <c r="AE3573" s="160">
        <v>3571</v>
      </c>
    </row>
    <row r="3574" spans="27:31" x14ac:dyDescent="0.25">
      <c r="AA3574" s="160"/>
      <c r="AB3574" s="162"/>
      <c r="AC3574" s="162"/>
      <c r="AD3574" s="162">
        <f t="shared" si="75"/>
        <v>0</v>
      </c>
      <c r="AE3574" s="160">
        <v>3572</v>
      </c>
    </row>
    <row r="3575" spans="27:31" x14ac:dyDescent="0.25">
      <c r="AA3575" s="160"/>
      <c r="AB3575" s="162"/>
      <c r="AC3575" s="162"/>
      <c r="AD3575" s="162">
        <f t="shared" si="75"/>
        <v>0</v>
      </c>
      <c r="AE3575" s="160">
        <v>3573</v>
      </c>
    </row>
    <row r="3576" spans="27:31" x14ac:dyDescent="0.25">
      <c r="AA3576" s="160"/>
      <c r="AB3576" s="162"/>
      <c r="AC3576" s="162"/>
      <c r="AD3576" s="162">
        <f t="shared" si="75"/>
        <v>0</v>
      </c>
      <c r="AE3576" s="160">
        <v>3574</v>
      </c>
    </row>
    <row r="3577" spans="27:31" x14ac:dyDescent="0.25">
      <c r="AA3577" s="160"/>
      <c r="AB3577" s="162"/>
      <c r="AC3577" s="162"/>
      <c r="AD3577" s="162">
        <f t="shared" si="75"/>
        <v>0</v>
      </c>
      <c r="AE3577" s="160">
        <v>3575</v>
      </c>
    </row>
    <row r="3578" spans="27:31" x14ac:dyDescent="0.25">
      <c r="AA3578" s="160"/>
      <c r="AB3578" s="162"/>
      <c r="AC3578" s="162"/>
      <c r="AD3578" s="162">
        <f t="shared" si="75"/>
        <v>0</v>
      </c>
      <c r="AE3578" s="160">
        <v>3576</v>
      </c>
    </row>
    <row r="3579" spans="27:31" x14ac:dyDescent="0.25">
      <c r="AA3579" s="160"/>
      <c r="AB3579" s="162"/>
      <c r="AC3579" s="162"/>
      <c r="AD3579" s="162">
        <f t="shared" si="75"/>
        <v>0</v>
      </c>
      <c r="AE3579" s="160">
        <v>3577</v>
      </c>
    </row>
    <row r="3580" spans="27:31" x14ac:dyDescent="0.25">
      <c r="AA3580" s="160"/>
      <c r="AB3580" s="162"/>
      <c r="AC3580" s="162"/>
      <c r="AD3580" s="162">
        <f t="shared" si="75"/>
        <v>0</v>
      </c>
      <c r="AE3580" s="160">
        <v>3578</v>
      </c>
    </row>
    <row r="3581" spans="27:31" x14ac:dyDescent="0.25">
      <c r="AA3581" s="160"/>
      <c r="AB3581" s="162"/>
      <c r="AC3581" s="162"/>
      <c r="AD3581" s="162">
        <f t="shared" si="75"/>
        <v>0</v>
      </c>
      <c r="AE3581" s="160">
        <v>3579</v>
      </c>
    </row>
    <row r="3582" spans="27:31" x14ac:dyDescent="0.25">
      <c r="AA3582" s="160"/>
      <c r="AB3582" s="162"/>
      <c r="AC3582" s="162"/>
      <c r="AD3582" s="162">
        <f t="shared" si="75"/>
        <v>0</v>
      </c>
      <c r="AE3582" s="160">
        <v>3580</v>
      </c>
    </row>
    <row r="3583" spans="27:31" x14ac:dyDescent="0.25">
      <c r="AA3583" s="160"/>
      <c r="AB3583" s="162"/>
      <c r="AC3583" s="162"/>
      <c r="AD3583" s="162">
        <f t="shared" si="75"/>
        <v>0</v>
      </c>
      <c r="AE3583" s="160">
        <v>3581</v>
      </c>
    </row>
    <row r="3584" spans="27:31" x14ac:dyDescent="0.25">
      <c r="AA3584" s="160"/>
      <c r="AB3584" s="162"/>
      <c r="AC3584" s="162"/>
      <c r="AD3584" s="162">
        <f t="shared" si="75"/>
        <v>0</v>
      </c>
      <c r="AE3584" s="160">
        <v>3582</v>
      </c>
    </row>
    <row r="3585" spans="27:31" x14ac:dyDescent="0.25">
      <c r="AA3585" s="160"/>
      <c r="AB3585" s="162"/>
      <c r="AC3585" s="162"/>
      <c r="AD3585" s="162">
        <f t="shared" si="75"/>
        <v>0</v>
      </c>
      <c r="AE3585" s="160">
        <v>3583</v>
      </c>
    </row>
    <row r="3586" spans="27:31" x14ac:dyDescent="0.25">
      <c r="AA3586" s="160"/>
      <c r="AB3586" s="162"/>
      <c r="AC3586" s="162"/>
      <c r="AD3586" s="162">
        <f t="shared" si="75"/>
        <v>0</v>
      </c>
      <c r="AE3586" s="160">
        <v>3584</v>
      </c>
    </row>
    <row r="3587" spans="27:31" x14ac:dyDescent="0.25">
      <c r="AA3587" s="160"/>
      <c r="AB3587" s="162"/>
      <c r="AC3587" s="162"/>
      <c r="AD3587" s="162">
        <f t="shared" si="75"/>
        <v>0</v>
      </c>
      <c r="AE3587" s="160">
        <v>3585</v>
      </c>
    </row>
    <row r="3588" spans="27:31" x14ac:dyDescent="0.25">
      <c r="AA3588" s="160"/>
      <c r="AB3588" s="162"/>
      <c r="AC3588" s="162"/>
      <c r="AD3588" s="162">
        <f t="shared" ref="AD3588:AD3651" si="76">AB3588+AC3588</f>
        <v>0</v>
      </c>
      <c r="AE3588" s="160">
        <v>3586</v>
      </c>
    </row>
    <row r="3589" spans="27:31" x14ac:dyDescent="0.25">
      <c r="AA3589" s="160"/>
      <c r="AB3589" s="162"/>
      <c r="AC3589" s="162"/>
      <c r="AD3589" s="162">
        <f t="shared" si="76"/>
        <v>0</v>
      </c>
      <c r="AE3589" s="160">
        <v>3587</v>
      </c>
    </row>
    <row r="3590" spans="27:31" x14ac:dyDescent="0.25">
      <c r="AA3590" s="160"/>
      <c r="AB3590" s="162"/>
      <c r="AC3590" s="162"/>
      <c r="AD3590" s="162">
        <f t="shared" si="76"/>
        <v>0</v>
      </c>
      <c r="AE3590" s="160">
        <v>3588</v>
      </c>
    </row>
    <row r="3591" spans="27:31" x14ac:dyDescent="0.25">
      <c r="AA3591" s="160"/>
      <c r="AB3591" s="162"/>
      <c r="AC3591" s="162"/>
      <c r="AD3591" s="162">
        <f t="shared" si="76"/>
        <v>0</v>
      </c>
      <c r="AE3591" s="160">
        <v>3589</v>
      </c>
    </row>
    <row r="3592" spans="27:31" x14ac:dyDescent="0.25">
      <c r="AA3592" s="160"/>
      <c r="AB3592" s="162"/>
      <c r="AC3592" s="162"/>
      <c r="AD3592" s="162">
        <f t="shared" si="76"/>
        <v>0</v>
      </c>
      <c r="AE3592" s="160">
        <v>3590</v>
      </c>
    </row>
    <row r="3593" spans="27:31" x14ac:dyDescent="0.25">
      <c r="AA3593" s="160"/>
      <c r="AB3593" s="162"/>
      <c r="AC3593" s="162"/>
      <c r="AD3593" s="162">
        <f t="shared" si="76"/>
        <v>0</v>
      </c>
      <c r="AE3593" s="160">
        <v>3591</v>
      </c>
    </row>
    <row r="3594" spans="27:31" x14ac:dyDescent="0.25">
      <c r="AA3594" s="160"/>
      <c r="AB3594" s="162"/>
      <c r="AC3594" s="162"/>
      <c r="AD3594" s="162">
        <f t="shared" si="76"/>
        <v>0</v>
      </c>
      <c r="AE3594" s="160">
        <v>3592</v>
      </c>
    </row>
    <row r="3595" spans="27:31" x14ac:dyDescent="0.25">
      <c r="AA3595" s="160"/>
      <c r="AB3595" s="162"/>
      <c r="AC3595" s="162"/>
      <c r="AD3595" s="162">
        <f t="shared" si="76"/>
        <v>0</v>
      </c>
      <c r="AE3595" s="160">
        <v>3593</v>
      </c>
    </row>
    <row r="3596" spans="27:31" x14ac:dyDescent="0.25">
      <c r="AA3596" s="160"/>
      <c r="AB3596" s="162"/>
      <c r="AC3596" s="162"/>
      <c r="AD3596" s="162">
        <f t="shared" si="76"/>
        <v>0</v>
      </c>
      <c r="AE3596" s="160">
        <v>3594</v>
      </c>
    </row>
    <row r="3597" spans="27:31" x14ac:dyDescent="0.25">
      <c r="AA3597" s="160"/>
      <c r="AB3597" s="162"/>
      <c r="AC3597" s="162"/>
      <c r="AD3597" s="162">
        <f t="shared" si="76"/>
        <v>0</v>
      </c>
      <c r="AE3597" s="160">
        <v>3595</v>
      </c>
    </row>
    <row r="3598" spans="27:31" x14ac:dyDescent="0.25">
      <c r="AA3598" s="160"/>
      <c r="AB3598" s="162"/>
      <c r="AC3598" s="162"/>
      <c r="AD3598" s="162">
        <f t="shared" si="76"/>
        <v>0</v>
      </c>
      <c r="AE3598" s="160">
        <v>3596</v>
      </c>
    </row>
    <row r="3599" spans="27:31" x14ac:dyDescent="0.25">
      <c r="AA3599" s="160"/>
      <c r="AB3599" s="162"/>
      <c r="AC3599" s="162"/>
      <c r="AD3599" s="162">
        <f t="shared" si="76"/>
        <v>0</v>
      </c>
      <c r="AE3599" s="160">
        <v>3597</v>
      </c>
    </row>
    <row r="3600" spans="27:31" x14ac:dyDescent="0.25">
      <c r="AA3600" s="160"/>
      <c r="AB3600" s="162"/>
      <c r="AC3600" s="162"/>
      <c r="AD3600" s="162">
        <f t="shared" si="76"/>
        <v>0</v>
      </c>
      <c r="AE3600" s="160">
        <v>3598</v>
      </c>
    </row>
    <row r="3601" spans="27:31" x14ac:dyDescent="0.25">
      <c r="AA3601" s="160"/>
      <c r="AB3601" s="162"/>
      <c r="AC3601" s="162"/>
      <c r="AD3601" s="162">
        <f t="shared" si="76"/>
        <v>0</v>
      </c>
      <c r="AE3601" s="160">
        <v>3599</v>
      </c>
    </row>
    <row r="3602" spans="27:31" x14ac:dyDescent="0.25">
      <c r="AA3602" s="160"/>
      <c r="AB3602" s="162"/>
      <c r="AC3602" s="162"/>
      <c r="AD3602" s="162">
        <f t="shared" si="76"/>
        <v>0</v>
      </c>
      <c r="AE3602" s="160">
        <v>3600</v>
      </c>
    </row>
    <row r="3603" spans="27:31" x14ac:dyDescent="0.25">
      <c r="AA3603" s="160"/>
      <c r="AB3603" s="162"/>
      <c r="AC3603" s="162"/>
      <c r="AD3603" s="162">
        <f t="shared" si="76"/>
        <v>0</v>
      </c>
      <c r="AE3603" s="160">
        <v>3601</v>
      </c>
    </row>
    <row r="3604" spans="27:31" x14ac:dyDescent="0.25">
      <c r="AA3604" s="160"/>
      <c r="AB3604" s="162"/>
      <c r="AC3604" s="162"/>
      <c r="AD3604" s="162">
        <f t="shared" si="76"/>
        <v>0</v>
      </c>
      <c r="AE3604" s="160">
        <v>3602</v>
      </c>
    </row>
    <row r="3605" spans="27:31" x14ac:dyDescent="0.25">
      <c r="AA3605" s="160"/>
      <c r="AB3605" s="162"/>
      <c r="AC3605" s="162"/>
      <c r="AD3605" s="162">
        <f t="shared" si="76"/>
        <v>0</v>
      </c>
      <c r="AE3605" s="160">
        <v>3603</v>
      </c>
    </row>
    <row r="3606" spans="27:31" x14ac:dyDescent="0.25">
      <c r="AA3606" s="160"/>
      <c r="AB3606" s="162"/>
      <c r="AC3606" s="162"/>
      <c r="AD3606" s="162">
        <f t="shared" si="76"/>
        <v>0</v>
      </c>
      <c r="AE3606" s="160">
        <v>3604</v>
      </c>
    </row>
    <row r="3607" spans="27:31" x14ac:dyDescent="0.25">
      <c r="AA3607" s="160"/>
      <c r="AB3607" s="162"/>
      <c r="AC3607" s="162"/>
      <c r="AD3607" s="162">
        <f t="shared" si="76"/>
        <v>0</v>
      </c>
      <c r="AE3607" s="160">
        <v>3605</v>
      </c>
    </row>
    <row r="3608" spans="27:31" x14ac:dyDescent="0.25">
      <c r="AA3608" s="160"/>
      <c r="AB3608" s="162"/>
      <c r="AC3608" s="162"/>
      <c r="AD3608" s="162">
        <f t="shared" si="76"/>
        <v>0</v>
      </c>
      <c r="AE3608" s="160">
        <v>3606</v>
      </c>
    </row>
    <row r="3609" spans="27:31" x14ac:dyDescent="0.25">
      <c r="AA3609" s="160"/>
      <c r="AB3609" s="162"/>
      <c r="AC3609" s="162"/>
      <c r="AD3609" s="162">
        <f t="shared" si="76"/>
        <v>0</v>
      </c>
      <c r="AE3609" s="160">
        <v>3607</v>
      </c>
    </row>
    <row r="3610" spans="27:31" x14ac:dyDescent="0.25">
      <c r="AA3610" s="160"/>
      <c r="AB3610" s="162"/>
      <c r="AC3610" s="162"/>
      <c r="AD3610" s="162">
        <f t="shared" si="76"/>
        <v>0</v>
      </c>
      <c r="AE3610" s="160">
        <v>3608</v>
      </c>
    </row>
    <row r="3611" spans="27:31" x14ac:dyDescent="0.25">
      <c r="AA3611" s="160"/>
      <c r="AB3611" s="162"/>
      <c r="AC3611" s="162"/>
      <c r="AD3611" s="162">
        <f t="shared" si="76"/>
        <v>0</v>
      </c>
      <c r="AE3611" s="160">
        <v>3609</v>
      </c>
    </row>
    <row r="3612" spans="27:31" x14ac:dyDescent="0.25">
      <c r="AA3612" s="160"/>
      <c r="AB3612" s="162"/>
      <c r="AC3612" s="162"/>
      <c r="AD3612" s="162">
        <f t="shared" si="76"/>
        <v>0</v>
      </c>
      <c r="AE3612" s="160">
        <v>3610</v>
      </c>
    </row>
    <row r="3613" spans="27:31" x14ac:dyDescent="0.25">
      <c r="AA3613" s="160"/>
      <c r="AB3613" s="162"/>
      <c r="AC3613" s="162"/>
      <c r="AD3613" s="162">
        <f t="shared" si="76"/>
        <v>0</v>
      </c>
      <c r="AE3613" s="160">
        <v>3611</v>
      </c>
    </row>
    <row r="3614" spans="27:31" x14ac:dyDescent="0.25">
      <c r="AA3614" s="160"/>
      <c r="AB3614" s="162"/>
      <c r="AC3614" s="162"/>
      <c r="AD3614" s="162">
        <f t="shared" si="76"/>
        <v>0</v>
      </c>
      <c r="AE3614" s="160">
        <v>3612</v>
      </c>
    </row>
    <row r="3615" spans="27:31" x14ac:dyDescent="0.25">
      <c r="AA3615" s="160"/>
      <c r="AB3615" s="162"/>
      <c r="AC3615" s="162"/>
      <c r="AD3615" s="162">
        <f t="shared" si="76"/>
        <v>0</v>
      </c>
      <c r="AE3615" s="160">
        <v>3613</v>
      </c>
    </row>
    <row r="3616" spans="27:31" x14ac:dyDescent="0.25">
      <c r="AA3616" s="160"/>
      <c r="AB3616" s="162"/>
      <c r="AC3616" s="162"/>
      <c r="AD3616" s="162">
        <f t="shared" si="76"/>
        <v>0</v>
      </c>
      <c r="AE3616" s="160">
        <v>3614</v>
      </c>
    </row>
    <row r="3617" spans="27:31" x14ac:dyDescent="0.25">
      <c r="AA3617" s="160"/>
      <c r="AB3617" s="162"/>
      <c r="AC3617" s="162"/>
      <c r="AD3617" s="162">
        <f t="shared" si="76"/>
        <v>0</v>
      </c>
      <c r="AE3617" s="160">
        <v>3615</v>
      </c>
    </row>
    <row r="3618" spans="27:31" x14ac:dyDescent="0.25">
      <c r="AA3618" s="160"/>
      <c r="AB3618" s="162"/>
      <c r="AC3618" s="162"/>
      <c r="AD3618" s="162">
        <f t="shared" si="76"/>
        <v>0</v>
      </c>
      <c r="AE3618" s="160">
        <v>3616</v>
      </c>
    </row>
    <row r="3619" spans="27:31" x14ac:dyDescent="0.25">
      <c r="AA3619" s="160"/>
      <c r="AB3619" s="162"/>
      <c r="AC3619" s="162"/>
      <c r="AD3619" s="162">
        <f t="shared" si="76"/>
        <v>0</v>
      </c>
      <c r="AE3619" s="160">
        <v>3617</v>
      </c>
    </row>
    <row r="3620" spans="27:31" x14ac:dyDescent="0.25">
      <c r="AA3620" s="160"/>
      <c r="AB3620" s="162"/>
      <c r="AC3620" s="162"/>
      <c r="AD3620" s="162">
        <f t="shared" si="76"/>
        <v>0</v>
      </c>
      <c r="AE3620" s="160">
        <v>3618</v>
      </c>
    </row>
    <row r="3621" spans="27:31" x14ac:dyDescent="0.25">
      <c r="AA3621" s="160"/>
      <c r="AB3621" s="162"/>
      <c r="AC3621" s="162"/>
      <c r="AD3621" s="162">
        <f t="shared" si="76"/>
        <v>0</v>
      </c>
      <c r="AE3621" s="160">
        <v>3619</v>
      </c>
    </row>
    <row r="3622" spans="27:31" x14ac:dyDescent="0.25">
      <c r="AA3622" s="160"/>
      <c r="AB3622" s="162"/>
      <c r="AC3622" s="162"/>
      <c r="AD3622" s="162">
        <f t="shared" si="76"/>
        <v>0</v>
      </c>
      <c r="AE3622" s="160">
        <v>3620</v>
      </c>
    </row>
    <row r="3623" spans="27:31" x14ac:dyDescent="0.25">
      <c r="AA3623" s="160"/>
      <c r="AB3623" s="162"/>
      <c r="AC3623" s="162"/>
      <c r="AD3623" s="162">
        <f t="shared" si="76"/>
        <v>0</v>
      </c>
      <c r="AE3623" s="160">
        <v>3621</v>
      </c>
    </row>
    <row r="3624" spans="27:31" x14ac:dyDescent="0.25">
      <c r="AA3624" s="160"/>
      <c r="AB3624" s="162"/>
      <c r="AC3624" s="162"/>
      <c r="AD3624" s="162">
        <f t="shared" si="76"/>
        <v>0</v>
      </c>
      <c r="AE3624" s="160">
        <v>3622</v>
      </c>
    </row>
    <row r="3625" spans="27:31" x14ac:dyDescent="0.25">
      <c r="AA3625" s="160"/>
      <c r="AB3625" s="162"/>
      <c r="AC3625" s="162"/>
      <c r="AD3625" s="162">
        <f t="shared" si="76"/>
        <v>0</v>
      </c>
      <c r="AE3625" s="160">
        <v>3623</v>
      </c>
    </row>
    <row r="3626" spans="27:31" x14ac:dyDescent="0.25">
      <c r="AA3626" s="160"/>
      <c r="AB3626" s="162"/>
      <c r="AC3626" s="162"/>
      <c r="AD3626" s="162">
        <f t="shared" si="76"/>
        <v>0</v>
      </c>
      <c r="AE3626" s="160">
        <v>3624</v>
      </c>
    </row>
    <row r="3627" spans="27:31" x14ac:dyDescent="0.25">
      <c r="AA3627" s="160"/>
      <c r="AB3627" s="162"/>
      <c r="AC3627" s="162"/>
      <c r="AD3627" s="162">
        <f t="shared" si="76"/>
        <v>0</v>
      </c>
      <c r="AE3627" s="160">
        <v>3625</v>
      </c>
    </row>
    <row r="3628" spans="27:31" x14ac:dyDescent="0.25">
      <c r="AA3628" s="160"/>
      <c r="AB3628" s="162"/>
      <c r="AC3628" s="162"/>
      <c r="AD3628" s="162">
        <f t="shared" si="76"/>
        <v>0</v>
      </c>
      <c r="AE3628" s="160">
        <v>3626</v>
      </c>
    </row>
    <row r="3629" spans="27:31" x14ac:dyDescent="0.25">
      <c r="AA3629" s="160"/>
      <c r="AB3629" s="162"/>
      <c r="AC3629" s="162"/>
      <c r="AD3629" s="162">
        <f t="shared" si="76"/>
        <v>0</v>
      </c>
      <c r="AE3629" s="160">
        <v>3627</v>
      </c>
    </row>
    <row r="3630" spans="27:31" x14ac:dyDescent="0.25">
      <c r="AA3630" s="160"/>
      <c r="AB3630" s="162"/>
      <c r="AC3630" s="162"/>
      <c r="AD3630" s="162">
        <f t="shared" si="76"/>
        <v>0</v>
      </c>
      <c r="AE3630" s="160">
        <v>3628</v>
      </c>
    </row>
    <row r="3631" spans="27:31" x14ac:dyDescent="0.25">
      <c r="AA3631" s="160"/>
      <c r="AB3631" s="162"/>
      <c r="AC3631" s="162"/>
      <c r="AD3631" s="162">
        <f t="shared" si="76"/>
        <v>0</v>
      </c>
      <c r="AE3631" s="160">
        <v>3629</v>
      </c>
    </row>
    <row r="3632" spans="27:31" x14ac:dyDescent="0.25">
      <c r="AA3632" s="160"/>
      <c r="AB3632" s="162"/>
      <c r="AC3632" s="162"/>
      <c r="AD3632" s="162">
        <f t="shared" si="76"/>
        <v>0</v>
      </c>
      <c r="AE3632" s="160">
        <v>3630</v>
      </c>
    </row>
    <row r="3633" spans="27:31" x14ac:dyDescent="0.25">
      <c r="AA3633" s="160"/>
      <c r="AB3633" s="162"/>
      <c r="AC3633" s="162"/>
      <c r="AD3633" s="162">
        <f t="shared" si="76"/>
        <v>0</v>
      </c>
      <c r="AE3633" s="160">
        <v>3631</v>
      </c>
    </row>
    <row r="3634" spans="27:31" x14ac:dyDescent="0.25">
      <c r="AA3634" s="160"/>
      <c r="AB3634" s="162"/>
      <c r="AC3634" s="162"/>
      <c r="AD3634" s="162">
        <f t="shared" si="76"/>
        <v>0</v>
      </c>
      <c r="AE3634" s="160">
        <v>3632</v>
      </c>
    </row>
    <row r="3635" spans="27:31" x14ac:dyDescent="0.25">
      <c r="AA3635" s="160"/>
      <c r="AB3635" s="162"/>
      <c r="AC3635" s="162"/>
      <c r="AD3635" s="162">
        <f t="shared" si="76"/>
        <v>0</v>
      </c>
      <c r="AE3635" s="160">
        <v>3633</v>
      </c>
    </row>
    <row r="3636" spans="27:31" x14ac:dyDescent="0.25">
      <c r="AA3636" s="160"/>
      <c r="AB3636" s="162"/>
      <c r="AC3636" s="162"/>
      <c r="AD3636" s="162">
        <f t="shared" si="76"/>
        <v>0</v>
      </c>
      <c r="AE3636" s="160">
        <v>3634</v>
      </c>
    </row>
    <row r="3637" spans="27:31" x14ac:dyDescent="0.25">
      <c r="AA3637" s="160"/>
      <c r="AB3637" s="162"/>
      <c r="AC3637" s="162"/>
      <c r="AD3637" s="162">
        <f t="shared" si="76"/>
        <v>0</v>
      </c>
      <c r="AE3637" s="160">
        <v>3635</v>
      </c>
    </row>
    <row r="3638" spans="27:31" x14ac:dyDescent="0.25">
      <c r="AA3638" s="160"/>
      <c r="AB3638" s="162"/>
      <c r="AC3638" s="162"/>
      <c r="AD3638" s="162">
        <f t="shared" si="76"/>
        <v>0</v>
      </c>
      <c r="AE3638" s="160">
        <v>3636</v>
      </c>
    </row>
    <row r="3639" spans="27:31" x14ac:dyDescent="0.25">
      <c r="AA3639" s="160"/>
      <c r="AB3639" s="162"/>
      <c r="AC3639" s="162"/>
      <c r="AD3639" s="162">
        <f t="shared" si="76"/>
        <v>0</v>
      </c>
      <c r="AE3639" s="160">
        <v>3637</v>
      </c>
    </row>
    <row r="3640" spans="27:31" x14ac:dyDescent="0.25">
      <c r="AA3640" s="160"/>
      <c r="AB3640" s="162"/>
      <c r="AC3640" s="162"/>
      <c r="AD3640" s="162">
        <f t="shared" si="76"/>
        <v>0</v>
      </c>
      <c r="AE3640" s="160">
        <v>3638</v>
      </c>
    </row>
    <row r="3641" spans="27:31" x14ac:dyDescent="0.25">
      <c r="AA3641" s="160"/>
      <c r="AB3641" s="162"/>
      <c r="AC3641" s="162"/>
      <c r="AD3641" s="162">
        <f t="shared" si="76"/>
        <v>0</v>
      </c>
      <c r="AE3641" s="160">
        <v>3639</v>
      </c>
    </row>
    <row r="3642" spans="27:31" x14ac:dyDescent="0.25">
      <c r="AA3642" s="160"/>
      <c r="AB3642" s="162"/>
      <c r="AC3642" s="162"/>
      <c r="AD3642" s="162">
        <f t="shared" si="76"/>
        <v>0</v>
      </c>
      <c r="AE3642" s="160">
        <v>3640</v>
      </c>
    </row>
    <row r="3643" spans="27:31" x14ac:dyDescent="0.25">
      <c r="AA3643" s="160"/>
      <c r="AB3643" s="162"/>
      <c r="AC3643" s="162"/>
      <c r="AD3643" s="162">
        <f t="shared" si="76"/>
        <v>0</v>
      </c>
      <c r="AE3643" s="160">
        <v>3641</v>
      </c>
    </row>
    <row r="3644" spans="27:31" x14ac:dyDescent="0.25">
      <c r="AA3644" s="160"/>
      <c r="AB3644" s="162"/>
      <c r="AC3644" s="162"/>
      <c r="AD3644" s="162">
        <f t="shared" si="76"/>
        <v>0</v>
      </c>
      <c r="AE3644" s="160">
        <v>3642</v>
      </c>
    </row>
    <row r="3645" spans="27:31" x14ac:dyDescent="0.25">
      <c r="AA3645" s="160"/>
      <c r="AB3645" s="162"/>
      <c r="AC3645" s="162"/>
      <c r="AD3645" s="162">
        <f t="shared" si="76"/>
        <v>0</v>
      </c>
      <c r="AE3645" s="160">
        <v>3643</v>
      </c>
    </row>
    <row r="3646" spans="27:31" x14ac:dyDescent="0.25">
      <c r="AA3646" s="160"/>
      <c r="AB3646" s="162"/>
      <c r="AC3646" s="162"/>
      <c r="AD3646" s="162">
        <f t="shared" si="76"/>
        <v>0</v>
      </c>
      <c r="AE3646" s="160">
        <v>3644</v>
      </c>
    </row>
    <row r="3647" spans="27:31" x14ac:dyDescent="0.25">
      <c r="AA3647" s="160"/>
      <c r="AB3647" s="162"/>
      <c r="AC3647" s="162"/>
      <c r="AD3647" s="162">
        <f t="shared" si="76"/>
        <v>0</v>
      </c>
      <c r="AE3647" s="160">
        <v>3645</v>
      </c>
    </row>
    <row r="3648" spans="27:31" x14ac:dyDescent="0.25">
      <c r="AA3648" s="160"/>
      <c r="AB3648" s="162"/>
      <c r="AC3648" s="162"/>
      <c r="AD3648" s="162">
        <f t="shared" si="76"/>
        <v>0</v>
      </c>
      <c r="AE3648" s="160">
        <v>3646</v>
      </c>
    </row>
    <row r="3649" spans="27:31" x14ac:dyDescent="0.25">
      <c r="AA3649" s="160"/>
      <c r="AB3649" s="162"/>
      <c r="AC3649" s="162"/>
      <c r="AD3649" s="162">
        <f t="shared" si="76"/>
        <v>0</v>
      </c>
      <c r="AE3649" s="160">
        <v>3647</v>
      </c>
    </row>
    <row r="3650" spans="27:31" x14ac:dyDescent="0.25">
      <c r="AA3650" s="160"/>
      <c r="AB3650" s="162"/>
      <c r="AC3650" s="162"/>
      <c r="AD3650" s="162">
        <f t="shared" si="76"/>
        <v>0</v>
      </c>
      <c r="AE3650" s="160">
        <v>3648</v>
      </c>
    </row>
    <row r="3651" spans="27:31" x14ac:dyDescent="0.25">
      <c r="AA3651" s="160"/>
      <c r="AB3651" s="162"/>
      <c r="AC3651" s="162"/>
      <c r="AD3651" s="162">
        <f t="shared" si="76"/>
        <v>0</v>
      </c>
      <c r="AE3651" s="160">
        <v>3649</v>
      </c>
    </row>
    <row r="3652" spans="27:31" x14ac:dyDescent="0.25">
      <c r="AA3652" s="160"/>
      <c r="AB3652" s="162"/>
      <c r="AC3652" s="162"/>
      <c r="AD3652" s="162">
        <f t="shared" ref="AD3652:AD3715" si="77">AB3652+AC3652</f>
        <v>0</v>
      </c>
      <c r="AE3652" s="160">
        <v>3650</v>
      </c>
    </row>
    <row r="3653" spans="27:31" x14ac:dyDescent="0.25">
      <c r="AA3653" s="160"/>
      <c r="AB3653" s="162"/>
      <c r="AC3653" s="162"/>
      <c r="AD3653" s="162">
        <f t="shared" si="77"/>
        <v>0</v>
      </c>
      <c r="AE3653" s="160">
        <v>3651</v>
      </c>
    </row>
    <row r="3654" spans="27:31" x14ac:dyDescent="0.25">
      <c r="AA3654" s="160"/>
      <c r="AB3654" s="162"/>
      <c r="AC3654" s="162"/>
      <c r="AD3654" s="162">
        <f t="shared" si="77"/>
        <v>0</v>
      </c>
      <c r="AE3654" s="160">
        <v>3652</v>
      </c>
    </row>
    <row r="3655" spans="27:31" x14ac:dyDescent="0.25">
      <c r="AA3655" s="160"/>
      <c r="AB3655" s="162"/>
      <c r="AC3655" s="162"/>
      <c r="AD3655" s="162">
        <f t="shared" si="77"/>
        <v>0</v>
      </c>
      <c r="AE3655" s="160">
        <v>3653</v>
      </c>
    </row>
    <row r="3656" spans="27:31" x14ac:dyDescent="0.25">
      <c r="AA3656" s="160"/>
      <c r="AB3656" s="162"/>
      <c r="AC3656" s="162"/>
      <c r="AD3656" s="162">
        <f t="shared" si="77"/>
        <v>0</v>
      </c>
      <c r="AE3656" s="160">
        <v>3654</v>
      </c>
    </row>
    <row r="3657" spans="27:31" x14ac:dyDescent="0.25">
      <c r="AA3657" s="160"/>
      <c r="AB3657" s="162"/>
      <c r="AC3657" s="162"/>
      <c r="AD3657" s="162">
        <f t="shared" si="77"/>
        <v>0</v>
      </c>
      <c r="AE3657" s="160">
        <v>3655</v>
      </c>
    </row>
    <row r="3658" spans="27:31" x14ac:dyDescent="0.25">
      <c r="AA3658" s="160"/>
      <c r="AB3658" s="162"/>
      <c r="AC3658" s="162"/>
      <c r="AD3658" s="162">
        <f t="shared" si="77"/>
        <v>0</v>
      </c>
      <c r="AE3658" s="160">
        <v>3656</v>
      </c>
    </row>
    <row r="3659" spans="27:31" x14ac:dyDescent="0.25">
      <c r="AA3659" s="160"/>
      <c r="AB3659" s="162"/>
      <c r="AC3659" s="162"/>
      <c r="AD3659" s="162">
        <f t="shared" si="77"/>
        <v>0</v>
      </c>
      <c r="AE3659" s="160">
        <v>3657</v>
      </c>
    </row>
    <row r="3660" spans="27:31" x14ac:dyDescent="0.25">
      <c r="AA3660" s="160"/>
      <c r="AB3660" s="162"/>
      <c r="AC3660" s="162"/>
      <c r="AD3660" s="162">
        <f t="shared" si="77"/>
        <v>0</v>
      </c>
      <c r="AE3660" s="160">
        <v>3658</v>
      </c>
    </row>
    <row r="3661" spans="27:31" x14ac:dyDescent="0.25">
      <c r="AA3661" s="160"/>
      <c r="AB3661" s="162"/>
      <c r="AC3661" s="162"/>
      <c r="AD3661" s="162">
        <f t="shared" si="77"/>
        <v>0</v>
      </c>
      <c r="AE3661" s="160">
        <v>3659</v>
      </c>
    </row>
    <row r="3662" spans="27:31" x14ac:dyDescent="0.25">
      <c r="AA3662" s="160"/>
      <c r="AB3662" s="162"/>
      <c r="AC3662" s="162"/>
      <c r="AD3662" s="162">
        <f t="shared" si="77"/>
        <v>0</v>
      </c>
      <c r="AE3662" s="160">
        <v>3660</v>
      </c>
    </row>
    <row r="3663" spans="27:31" x14ac:dyDescent="0.25">
      <c r="AA3663" s="160"/>
      <c r="AB3663" s="162"/>
      <c r="AC3663" s="162"/>
      <c r="AD3663" s="162">
        <f t="shared" si="77"/>
        <v>0</v>
      </c>
      <c r="AE3663" s="160">
        <v>3661</v>
      </c>
    </row>
    <row r="3664" spans="27:31" x14ac:dyDescent="0.25">
      <c r="AA3664" s="160"/>
      <c r="AB3664" s="162"/>
      <c r="AC3664" s="162"/>
      <c r="AD3664" s="162">
        <f t="shared" si="77"/>
        <v>0</v>
      </c>
      <c r="AE3664" s="160">
        <v>3662</v>
      </c>
    </row>
    <row r="3665" spans="27:31" x14ac:dyDescent="0.25">
      <c r="AA3665" s="160"/>
      <c r="AB3665" s="162"/>
      <c r="AC3665" s="162"/>
      <c r="AD3665" s="162">
        <f t="shared" si="77"/>
        <v>0</v>
      </c>
      <c r="AE3665" s="160">
        <v>3663</v>
      </c>
    </row>
    <row r="3666" spans="27:31" x14ac:dyDescent="0.25">
      <c r="AA3666" s="160"/>
      <c r="AB3666" s="162"/>
      <c r="AC3666" s="162"/>
      <c r="AD3666" s="162">
        <f t="shared" si="77"/>
        <v>0</v>
      </c>
      <c r="AE3666" s="160">
        <v>3664</v>
      </c>
    </row>
    <row r="3667" spans="27:31" x14ac:dyDescent="0.25">
      <c r="AA3667" s="160"/>
      <c r="AB3667" s="162"/>
      <c r="AC3667" s="162"/>
      <c r="AD3667" s="162">
        <f t="shared" si="77"/>
        <v>0</v>
      </c>
      <c r="AE3667" s="160">
        <v>3665</v>
      </c>
    </row>
    <row r="3668" spans="27:31" x14ac:dyDescent="0.25">
      <c r="AA3668" s="160"/>
      <c r="AB3668" s="162"/>
      <c r="AC3668" s="162"/>
      <c r="AD3668" s="162">
        <f t="shared" si="77"/>
        <v>0</v>
      </c>
      <c r="AE3668" s="160">
        <v>3666</v>
      </c>
    </row>
    <row r="3669" spans="27:31" x14ac:dyDescent="0.25">
      <c r="AA3669" s="160"/>
      <c r="AB3669" s="162"/>
      <c r="AC3669" s="162"/>
      <c r="AD3669" s="162">
        <f t="shared" si="77"/>
        <v>0</v>
      </c>
      <c r="AE3669" s="160">
        <v>3667</v>
      </c>
    </row>
    <row r="3670" spans="27:31" x14ac:dyDescent="0.25">
      <c r="AA3670" s="160"/>
      <c r="AB3670" s="162"/>
      <c r="AC3670" s="162"/>
      <c r="AD3670" s="162">
        <f t="shared" si="77"/>
        <v>0</v>
      </c>
      <c r="AE3670" s="160">
        <v>3668</v>
      </c>
    </row>
    <row r="3671" spans="27:31" x14ac:dyDescent="0.25">
      <c r="AA3671" s="160"/>
      <c r="AB3671" s="162"/>
      <c r="AC3671" s="162"/>
      <c r="AD3671" s="162">
        <f t="shared" si="77"/>
        <v>0</v>
      </c>
      <c r="AE3671" s="160">
        <v>3669</v>
      </c>
    </row>
    <row r="3672" spans="27:31" x14ac:dyDescent="0.25">
      <c r="AA3672" s="160"/>
      <c r="AB3672" s="162"/>
      <c r="AC3672" s="162"/>
      <c r="AD3672" s="162">
        <f t="shared" si="77"/>
        <v>0</v>
      </c>
      <c r="AE3672" s="160">
        <v>3670</v>
      </c>
    </row>
    <row r="3673" spans="27:31" x14ac:dyDescent="0.25">
      <c r="AA3673" s="160"/>
      <c r="AB3673" s="162"/>
      <c r="AC3673" s="162"/>
      <c r="AD3673" s="162">
        <f t="shared" si="77"/>
        <v>0</v>
      </c>
      <c r="AE3673" s="160">
        <v>3671</v>
      </c>
    </row>
    <row r="3674" spans="27:31" x14ac:dyDescent="0.25">
      <c r="AA3674" s="160"/>
      <c r="AB3674" s="162"/>
      <c r="AC3674" s="162"/>
      <c r="AD3674" s="162">
        <f t="shared" si="77"/>
        <v>0</v>
      </c>
      <c r="AE3674" s="160">
        <v>3672</v>
      </c>
    </row>
    <row r="3675" spans="27:31" x14ac:dyDescent="0.25">
      <c r="AA3675" s="160"/>
      <c r="AB3675" s="162"/>
      <c r="AC3675" s="162"/>
      <c r="AD3675" s="162">
        <f t="shared" si="77"/>
        <v>0</v>
      </c>
      <c r="AE3675" s="160">
        <v>3673</v>
      </c>
    </row>
    <row r="3676" spans="27:31" x14ac:dyDescent="0.25">
      <c r="AA3676" s="160"/>
      <c r="AB3676" s="162"/>
      <c r="AC3676" s="162"/>
      <c r="AD3676" s="162">
        <f t="shared" si="77"/>
        <v>0</v>
      </c>
      <c r="AE3676" s="160">
        <v>3674</v>
      </c>
    </row>
    <row r="3677" spans="27:31" x14ac:dyDescent="0.25">
      <c r="AA3677" s="160"/>
      <c r="AB3677" s="162"/>
      <c r="AC3677" s="162"/>
      <c r="AD3677" s="162">
        <f t="shared" si="77"/>
        <v>0</v>
      </c>
      <c r="AE3677" s="160">
        <v>3675</v>
      </c>
    </row>
    <row r="3678" spans="27:31" x14ac:dyDescent="0.25">
      <c r="AA3678" s="160"/>
      <c r="AB3678" s="162"/>
      <c r="AC3678" s="162"/>
      <c r="AD3678" s="162">
        <f t="shared" si="77"/>
        <v>0</v>
      </c>
      <c r="AE3678" s="160">
        <v>3676</v>
      </c>
    </row>
    <row r="3679" spans="27:31" x14ac:dyDescent="0.25">
      <c r="AA3679" s="160"/>
      <c r="AB3679" s="162"/>
      <c r="AC3679" s="162"/>
      <c r="AD3679" s="162">
        <f t="shared" si="77"/>
        <v>0</v>
      </c>
      <c r="AE3679" s="160">
        <v>3677</v>
      </c>
    </row>
    <row r="3680" spans="27:31" x14ac:dyDescent="0.25">
      <c r="AA3680" s="160"/>
      <c r="AB3680" s="162"/>
      <c r="AC3680" s="162"/>
      <c r="AD3680" s="162">
        <f t="shared" si="77"/>
        <v>0</v>
      </c>
      <c r="AE3680" s="160">
        <v>3678</v>
      </c>
    </row>
    <row r="3681" spans="27:31" x14ac:dyDescent="0.25">
      <c r="AA3681" s="160"/>
      <c r="AB3681" s="162"/>
      <c r="AC3681" s="162"/>
      <c r="AD3681" s="162">
        <f t="shared" si="77"/>
        <v>0</v>
      </c>
      <c r="AE3681" s="160">
        <v>3679</v>
      </c>
    </row>
    <row r="3682" spans="27:31" x14ac:dyDescent="0.25">
      <c r="AA3682" s="160"/>
      <c r="AB3682" s="162"/>
      <c r="AC3682" s="162"/>
      <c r="AD3682" s="162">
        <f t="shared" si="77"/>
        <v>0</v>
      </c>
      <c r="AE3682" s="160">
        <v>3680</v>
      </c>
    </row>
    <row r="3683" spans="27:31" x14ac:dyDescent="0.25">
      <c r="AA3683" s="160"/>
      <c r="AB3683" s="162"/>
      <c r="AC3683" s="162"/>
      <c r="AD3683" s="162">
        <f t="shared" si="77"/>
        <v>0</v>
      </c>
      <c r="AE3683" s="160">
        <v>3681</v>
      </c>
    </row>
    <row r="3684" spans="27:31" x14ac:dyDescent="0.25">
      <c r="AA3684" s="160"/>
      <c r="AB3684" s="162"/>
      <c r="AC3684" s="162"/>
      <c r="AD3684" s="162">
        <f t="shared" si="77"/>
        <v>0</v>
      </c>
      <c r="AE3684" s="160">
        <v>3682</v>
      </c>
    </row>
    <row r="3685" spans="27:31" x14ac:dyDescent="0.25">
      <c r="AA3685" s="160"/>
      <c r="AB3685" s="162"/>
      <c r="AC3685" s="162"/>
      <c r="AD3685" s="162">
        <f t="shared" si="77"/>
        <v>0</v>
      </c>
      <c r="AE3685" s="160">
        <v>3683</v>
      </c>
    </row>
    <row r="3686" spans="27:31" x14ac:dyDescent="0.25">
      <c r="AA3686" s="160"/>
      <c r="AB3686" s="162"/>
      <c r="AC3686" s="162"/>
      <c r="AD3686" s="162">
        <f t="shared" si="77"/>
        <v>0</v>
      </c>
      <c r="AE3686" s="160">
        <v>3684</v>
      </c>
    </row>
    <row r="3687" spans="27:31" x14ac:dyDescent="0.25">
      <c r="AA3687" s="160"/>
      <c r="AB3687" s="162"/>
      <c r="AC3687" s="162"/>
      <c r="AD3687" s="162">
        <f t="shared" si="77"/>
        <v>0</v>
      </c>
      <c r="AE3687" s="160">
        <v>3685</v>
      </c>
    </row>
    <row r="3688" spans="27:31" x14ac:dyDescent="0.25">
      <c r="AA3688" s="160"/>
      <c r="AB3688" s="162"/>
      <c r="AC3688" s="162"/>
      <c r="AD3688" s="162">
        <f t="shared" si="77"/>
        <v>0</v>
      </c>
      <c r="AE3688" s="160">
        <v>3686</v>
      </c>
    </row>
    <row r="3689" spans="27:31" x14ac:dyDescent="0.25">
      <c r="AA3689" s="160"/>
      <c r="AB3689" s="162"/>
      <c r="AC3689" s="162"/>
      <c r="AD3689" s="162">
        <f t="shared" si="77"/>
        <v>0</v>
      </c>
      <c r="AE3689" s="160">
        <v>3687</v>
      </c>
    </row>
    <row r="3690" spans="27:31" x14ac:dyDescent="0.25">
      <c r="AA3690" s="160"/>
      <c r="AB3690" s="162"/>
      <c r="AC3690" s="162"/>
      <c r="AD3690" s="162">
        <f t="shared" si="77"/>
        <v>0</v>
      </c>
      <c r="AE3690" s="160">
        <v>3688</v>
      </c>
    </row>
    <row r="3691" spans="27:31" x14ac:dyDescent="0.25">
      <c r="AA3691" s="160"/>
      <c r="AB3691" s="162"/>
      <c r="AC3691" s="162"/>
      <c r="AD3691" s="162">
        <f t="shared" si="77"/>
        <v>0</v>
      </c>
      <c r="AE3691" s="160">
        <v>3689</v>
      </c>
    </row>
    <row r="3692" spans="27:31" x14ac:dyDescent="0.25">
      <c r="AA3692" s="160"/>
      <c r="AB3692" s="162"/>
      <c r="AC3692" s="162"/>
      <c r="AD3692" s="162">
        <f t="shared" si="77"/>
        <v>0</v>
      </c>
      <c r="AE3692" s="160">
        <v>3690</v>
      </c>
    </row>
    <row r="3693" spans="27:31" x14ac:dyDescent="0.25">
      <c r="AA3693" s="160"/>
      <c r="AB3693" s="162"/>
      <c r="AC3693" s="162"/>
      <c r="AD3693" s="162">
        <f t="shared" si="77"/>
        <v>0</v>
      </c>
      <c r="AE3693" s="160">
        <v>3691</v>
      </c>
    </row>
    <row r="3694" spans="27:31" x14ac:dyDescent="0.25">
      <c r="AA3694" s="160"/>
      <c r="AB3694" s="162"/>
      <c r="AC3694" s="162"/>
      <c r="AD3694" s="162">
        <f t="shared" si="77"/>
        <v>0</v>
      </c>
      <c r="AE3694" s="160">
        <v>3692</v>
      </c>
    </row>
    <row r="3695" spans="27:31" x14ac:dyDescent="0.25">
      <c r="AA3695" s="160"/>
      <c r="AB3695" s="162"/>
      <c r="AC3695" s="162"/>
      <c r="AD3695" s="162">
        <f t="shared" si="77"/>
        <v>0</v>
      </c>
      <c r="AE3695" s="160">
        <v>3693</v>
      </c>
    </row>
    <row r="3696" spans="27:31" x14ac:dyDescent="0.25">
      <c r="AA3696" s="160"/>
      <c r="AB3696" s="162"/>
      <c r="AC3696" s="162"/>
      <c r="AD3696" s="162">
        <f t="shared" si="77"/>
        <v>0</v>
      </c>
      <c r="AE3696" s="160">
        <v>3694</v>
      </c>
    </row>
    <row r="3697" spans="27:31" x14ac:dyDescent="0.25">
      <c r="AA3697" s="160"/>
      <c r="AB3697" s="162"/>
      <c r="AC3697" s="162"/>
      <c r="AD3697" s="162">
        <f t="shared" si="77"/>
        <v>0</v>
      </c>
      <c r="AE3697" s="160">
        <v>3695</v>
      </c>
    </row>
    <row r="3698" spans="27:31" x14ac:dyDescent="0.25">
      <c r="AA3698" s="160"/>
      <c r="AB3698" s="162"/>
      <c r="AC3698" s="162"/>
      <c r="AD3698" s="162">
        <f t="shared" si="77"/>
        <v>0</v>
      </c>
      <c r="AE3698" s="160">
        <v>3696</v>
      </c>
    </row>
    <row r="3699" spans="27:31" x14ac:dyDescent="0.25">
      <c r="AA3699" s="160"/>
      <c r="AB3699" s="162"/>
      <c r="AC3699" s="162"/>
      <c r="AD3699" s="162">
        <f t="shared" si="77"/>
        <v>0</v>
      </c>
      <c r="AE3699" s="160">
        <v>3697</v>
      </c>
    </row>
    <row r="3700" spans="27:31" x14ac:dyDescent="0.25">
      <c r="AA3700" s="160"/>
      <c r="AB3700" s="162"/>
      <c r="AC3700" s="162"/>
      <c r="AD3700" s="162">
        <f t="shared" si="77"/>
        <v>0</v>
      </c>
      <c r="AE3700" s="160">
        <v>3698</v>
      </c>
    </row>
    <row r="3701" spans="27:31" x14ac:dyDescent="0.25">
      <c r="AA3701" s="160"/>
      <c r="AB3701" s="162"/>
      <c r="AC3701" s="162"/>
      <c r="AD3701" s="162">
        <f t="shared" si="77"/>
        <v>0</v>
      </c>
      <c r="AE3701" s="160">
        <v>3699</v>
      </c>
    </row>
    <row r="3702" spans="27:31" x14ac:dyDescent="0.25">
      <c r="AA3702" s="160"/>
      <c r="AB3702" s="162"/>
      <c r="AC3702" s="162"/>
      <c r="AD3702" s="162">
        <f t="shared" si="77"/>
        <v>0</v>
      </c>
      <c r="AE3702" s="160">
        <v>3700</v>
      </c>
    </row>
    <row r="3703" spans="27:31" x14ac:dyDescent="0.25">
      <c r="AA3703" s="160"/>
      <c r="AB3703" s="162"/>
      <c r="AC3703" s="162"/>
      <c r="AD3703" s="162">
        <f t="shared" si="77"/>
        <v>0</v>
      </c>
      <c r="AE3703" s="160">
        <v>3701</v>
      </c>
    </row>
    <row r="3704" spans="27:31" x14ac:dyDescent="0.25">
      <c r="AA3704" s="160"/>
      <c r="AB3704" s="162"/>
      <c r="AC3704" s="162"/>
      <c r="AD3704" s="162">
        <f t="shared" si="77"/>
        <v>0</v>
      </c>
      <c r="AE3704" s="160">
        <v>3702</v>
      </c>
    </row>
    <row r="3705" spans="27:31" x14ac:dyDescent="0.25">
      <c r="AA3705" s="160"/>
      <c r="AB3705" s="162"/>
      <c r="AC3705" s="162"/>
      <c r="AD3705" s="162">
        <f t="shared" si="77"/>
        <v>0</v>
      </c>
      <c r="AE3705" s="160">
        <v>3703</v>
      </c>
    </row>
    <row r="3706" spans="27:31" x14ac:dyDescent="0.25">
      <c r="AA3706" s="160"/>
      <c r="AB3706" s="162"/>
      <c r="AC3706" s="162"/>
      <c r="AD3706" s="162">
        <f t="shared" si="77"/>
        <v>0</v>
      </c>
      <c r="AE3706" s="160">
        <v>3704</v>
      </c>
    </row>
    <row r="3707" spans="27:31" x14ac:dyDescent="0.25">
      <c r="AA3707" s="160"/>
      <c r="AB3707" s="162"/>
      <c r="AC3707" s="162"/>
      <c r="AD3707" s="162">
        <f t="shared" si="77"/>
        <v>0</v>
      </c>
      <c r="AE3707" s="160">
        <v>3705</v>
      </c>
    </row>
    <row r="3708" spans="27:31" x14ac:dyDescent="0.25">
      <c r="AA3708" s="160"/>
      <c r="AB3708" s="162"/>
      <c r="AC3708" s="162"/>
      <c r="AD3708" s="162">
        <f t="shared" si="77"/>
        <v>0</v>
      </c>
      <c r="AE3708" s="160">
        <v>3706</v>
      </c>
    </row>
    <row r="3709" spans="27:31" x14ac:dyDescent="0.25">
      <c r="AA3709" s="160"/>
      <c r="AB3709" s="162"/>
      <c r="AC3709" s="162"/>
      <c r="AD3709" s="162">
        <f t="shared" si="77"/>
        <v>0</v>
      </c>
      <c r="AE3709" s="160">
        <v>3707</v>
      </c>
    </row>
    <row r="3710" spans="27:31" x14ac:dyDescent="0.25">
      <c r="AA3710" s="160"/>
      <c r="AB3710" s="162"/>
      <c r="AC3710" s="162"/>
      <c r="AD3710" s="162">
        <f t="shared" si="77"/>
        <v>0</v>
      </c>
      <c r="AE3710" s="160">
        <v>3708</v>
      </c>
    </row>
    <row r="3711" spans="27:31" x14ac:dyDescent="0.25">
      <c r="AA3711" s="160"/>
      <c r="AB3711" s="162"/>
      <c r="AC3711" s="162"/>
      <c r="AD3711" s="162">
        <f t="shared" si="77"/>
        <v>0</v>
      </c>
      <c r="AE3711" s="160">
        <v>3709</v>
      </c>
    </row>
    <row r="3712" spans="27:31" x14ac:dyDescent="0.25">
      <c r="AA3712" s="160"/>
      <c r="AB3712" s="162"/>
      <c r="AC3712" s="162"/>
      <c r="AD3712" s="162">
        <f t="shared" si="77"/>
        <v>0</v>
      </c>
      <c r="AE3712" s="160">
        <v>3710</v>
      </c>
    </row>
    <row r="3713" spans="27:31" x14ac:dyDescent="0.25">
      <c r="AA3713" s="160"/>
      <c r="AB3713" s="162"/>
      <c r="AC3713" s="162"/>
      <c r="AD3713" s="162">
        <f t="shared" si="77"/>
        <v>0</v>
      </c>
      <c r="AE3713" s="160">
        <v>3711</v>
      </c>
    </row>
    <row r="3714" spans="27:31" x14ac:dyDescent="0.25">
      <c r="AA3714" s="160"/>
      <c r="AB3714" s="162"/>
      <c r="AC3714" s="162"/>
      <c r="AD3714" s="162">
        <f t="shared" si="77"/>
        <v>0</v>
      </c>
      <c r="AE3714" s="160">
        <v>3712</v>
      </c>
    </row>
    <row r="3715" spans="27:31" x14ac:dyDescent="0.25">
      <c r="AA3715" s="160"/>
      <c r="AB3715" s="162"/>
      <c r="AC3715" s="162"/>
      <c r="AD3715" s="162">
        <f t="shared" si="77"/>
        <v>0</v>
      </c>
      <c r="AE3715" s="160">
        <v>3713</v>
      </c>
    </row>
    <row r="3716" spans="27:31" x14ac:dyDescent="0.25">
      <c r="AA3716" s="160"/>
      <c r="AB3716" s="162"/>
      <c r="AC3716" s="162"/>
      <c r="AD3716" s="162">
        <f t="shared" ref="AD3716:AD3779" si="78">AB3716+AC3716</f>
        <v>0</v>
      </c>
      <c r="AE3716" s="160">
        <v>3714</v>
      </c>
    </row>
    <row r="3717" spans="27:31" x14ac:dyDescent="0.25">
      <c r="AA3717" s="160"/>
      <c r="AB3717" s="162"/>
      <c r="AC3717" s="162"/>
      <c r="AD3717" s="162">
        <f t="shared" si="78"/>
        <v>0</v>
      </c>
      <c r="AE3717" s="160">
        <v>3715</v>
      </c>
    </row>
    <row r="3718" spans="27:31" x14ac:dyDescent="0.25">
      <c r="AA3718" s="160"/>
      <c r="AB3718" s="162"/>
      <c r="AC3718" s="162"/>
      <c r="AD3718" s="162">
        <f t="shared" si="78"/>
        <v>0</v>
      </c>
      <c r="AE3718" s="160">
        <v>3716</v>
      </c>
    </row>
    <row r="3719" spans="27:31" x14ac:dyDescent="0.25">
      <c r="AA3719" s="160"/>
      <c r="AB3719" s="162"/>
      <c r="AC3719" s="162"/>
      <c r="AD3719" s="162">
        <f t="shared" si="78"/>
        <v>0</v>
      </c>
      <c r="AE3719" s="160">
        <v>3717</v>
      </c>
    </row>
    <row r="3720" spans="27:31" x14ac:dyDescent="0.25">
      <c r="AA3720" s="160"/>
      <c r="AB3720" s="162"/>
      <c r="AC3720" s="162"/>
      <c r="AD3720" s="162">
        <f t="shared" si="78"/>
        <v>0</v>
      </c>
      <c r="AE3720" s="160">
        <v>3718</v>
      </c>
    </row>
    <row r="3721" spans="27:31" x14ac:dyDescent="0.25">
      <c r="AA3721" s="160"/>
      <c r="AB3721" s="162"/>
      <c r="AC3721" s="162"/>
      <c r="AD3721" s="162">
        <f t="shared" si="78"/>
        <v>0</v>
      </c>
      <c r="AE3721" s="160">
        <v>3719</v>
      </c>
    </row>
    <row r="3722" spans="27:31" x14ac:dyDescent="0.25">
      <c r="AA3722" s="160"/>
      <c r="AB3722" s="162"/>
      <c r="AC3722" s="162"/>
      <c r="AD3722" s="162">
        <f t="shared" si="78"/>
        <v>0</v>
      </c>
      <c r="AE3722" s="160">
        <v>3720</v>
      </c>
    </row>
    <row r="3723" spans="27:31" x14ac:dyDescent="0.25">
      <c r="AA3723" s="160"/>
      <c r="AB3723" s="162"/>
      <c r="AC3723" s="162"/>
      <c r="AD3723" s="162">
        <f t="shared" si="78"/>
        <v>0</v>
      </c>
      <c r="AE3723" s="160">
        <v>3721</v>
      </c>
    </row>
    <row r="3724" spans="27:31" x14ac:dyDescent="0.25">
      <c r="AA3724" s="160"/>
      <c r="AB3724" s="162"/>
      <c r="AC3724" s="162"/>
      <c r="AD3724" s="162">
        <f t="shared" si="78"/>
        <v>0</v>
      </c>
      <c r="AE3724" s="160">
        <v>3722</v>
      </c>
    </row>
    <row r="3725" spans="27:31" x14ac:dyDescent="0.25">
      <c r="AA3725" s="160"/>
      <c r="AB3725" s="162"/>
      <c r="AC3725" s="162"/>
      <c r="AD3725" s="162">
        <f t="shared" si="78"/>
        <v>0</v>
      </c>
      <c r="AE3725" s="160">
        <v>3723</v>
      </c>
    </row>
    <row r="3726" spans="27:31" x14ac:dyDescent="0.25">
      <c r="AA3726" s="160"/>
      <c r="AB3726" s="162"/>
      <c r="AC3726" s="162"/>
      <c r="AD3726" s="162">
        <f t="shared" si="78"/>
        <v>0</v>
      </c>
      <c r="AE3726" s="160">
        <v>3724</v>
      </c>
    </row>
    <row r="3727" spans="27:31" x14ac:dyDescent="0.25">
      <c r="AA3727" s="160"/>
      <c r="AB3727" s="162"/>
      <c r="AC3727" s="162"/>
      <c r="AD3727" s="162">
        <f t="shared" si="78"/>
        <v>0</v>
      </c>
      <c r="AE3727" s="160">
        <v>3725</v>
      </c>
    </row>
    <row r="3728" spans="27:31" x14ac:dyDescent="0.25">
      <c r="AA3728" s="160"/>
      <c r="AB3728" s="162"/>
      <c r="AC3728" s="162"/>
      <c r="AD3728" s="162">
        <f t="shared" si="78"/>
        <v>0</v>
      </c>
      <c r="AE3728" s="160">
        <v>3726</v>
      </c>
    </row>
    <row r="3729" spans="27:31" x14ac:dyDescent="0.25">
      <c r="AA3729" s="160"/>
      <c r="AB3729" s="162"/>
      <c r="AC3729" s="162"/>
      <c r="AD3729" s="162">
        <f t="shared" si="78"/>
        <v>0</v>
      </c>
      <c r="AE3729" s="160">
        <v>3727</v>
      </c>
    </row>
    <row r="3730" spans="27:31" x14ac:dyDescent="0.25">
      <c r="AA3730" s="160"/>
      <c r="AB3730" s="162"/>
      <c r="AC3730" s="162"/>
      <c r="AD3730" s="162">
        <f t="shared" si="78"/>
        <v>0</v>
      </c>
      <c r="AE3730" s="160">
        <v>3728</v>
      </c>
    </row>
    <row r="3731" spans="27:31" x14ac:dyDescent="0.25">
      <c r="AA3731" s="160"/>
      <c r="AB3731" s="162"/>
      <c r="AC3731" s="162"/>
      <c r="AD3731" s="162">
        <f t="shared" si="78"/>
        <v>0</v>
      </c>
      <c r="AE3731" s="160">
        <v>3729</v>
      </c>
    </row>
    <row r="3732" spans="27:31" x14ac:dyDescent="0.25">
      <c r="AA3732" s="160"/>
      <c r="AB3732" s="162"/>
      <c r="AC3732" s="162"/>
      <c r="AD3732" s="162">
        <f t="shared" si="78"/>
        <v>0</v>
      </c>
      <c r="AE3732" s="160">
        <v>3730</v>
      </c>
    </row>
    <row r="3733" spans="27:31" x14ac:dyDescent="0.25">
      <c r="AA3733" s="160"/>
      <c r="AB3733" s="162"/>
      <c r="AC3733" s="162"/>
      <c r="AD3733" s="162">
        <f t="shared" si="78"/>
        <v>0</v>
      </c>
      <c r="AE3733" s="160">
        <v>3731</v>
      </c>
    </row>
    <row r="3734" spans="27:31" x14ac:dyDescent="0.25">
      <c r="AA3734" s="160"/>
      <c r="AB3734" s="162"/>
      <c r="AC3734" s="162"/>
      <c r="AD3734" s="162">
        <f t="shared" si="78"/>
        <v>0</v>
      </c>
      <c r="AE3734" s="160">
        <v>3732</v>
      </c>
    </row>
    <row r="3735" spans="27:31" x14ac:dyDescent="0.25">
      <c r="AA3735" s="160"/>
      <c r="AB3735" s="162"/>
      <c r="AC3735" s="162"/>
      <c r="AD3735" s="162">
        <f t="shared" si="78"/>
        <v>0</v>
      </c>
      <c r="AE3735" s="160">
        <v>3733</v>
      </c>
    </row>
    <row r="3736" spans="27:31" x14ac:dyDescent="0.25">
      <c r="AA3736" s="160"/>
      <c r="AB3736" s="162"/>
      <c r="AC3736" s="162"/>
      <c r="AD3736" s="162">
        <f t="shared" si="78"/>
        <v>0</v>
      </c>
      <c r="AE3736" s="160">
        <v>3734</v>
      </c>
    </row>
    <row r="3737" spans="27:31" x14ac:dyDescent="0.25">
      <c r="AA3737" s="160"/>
      <c r="AB3737" s="162"/>
      <c r="AC3737" s="162"/>
      <c r="AD3737" s="162">
        <f t="shared" si="78"/>
        <v>0</v>
      </c>
      <c r="AE3737" s="160">
        <v>3735</v>
      </c>
    </row>
    <row r="3738" spans="27:31" x14ac:dyDescent="0.25">
      <c r="AA3738" s="160"/>
      <c r="AB3738" s="162"/>
      <c r="AC3738" s="162"/>
      <c r="AD3738" s="162">
        <f t="shared" si="78"/>
        <v>0</v>
      </c>
      <c r="AE3738" s="160">
        <v>3736</v>
      </c>
    </row>
    <row r="3739" spans="27:31" x14ac:dyDescent="0.25">
      <c r="AA3739" s="160"/>
      <c r="AB3739" s="162"/>
      <c r="AC3739" s="162"/>
      <c r="AD3739" s="162">
        <f t="shared" si="78"/>
        <v>0</v>
      </c>
      <c r="AE3739" s="160">
        <v>3737</v>
      </c>
    </row>
    <row r="3740" spans="27:31" x14ac:dyDescent="0.25">
      <c r="AA3740" s="160"/>
      <c r="AB3740" s="162"/>
      <c r="AC3740" s="162"/>
      <c r="AD3740" s="162">
        <f t="shared" si="78"/>
        <v>0</v>
      </c>
      <c r="AE3740" s="160">
        <v>3738</v>
      </c>
    </row>
    <row r="3741" spans="27:31" x14ac:dyDescent="0.25">
      <c r="AA3741" s="160"/>
      <c r="AB3741" s="162"/>
      <c r="AC3741" s="162"/>
      <c r="AD3741" s="162">
        <f t="shared" si="78"/>
        <v>0</v>
      </c>
      <c r="AE3741" s="160">
        <v>3739</v>
      </c>
    </row>
    <row r="3742" spans="27:31" x14ac:dyDescent="0.25">
      <c r="AA3742" s="160"/>
      <c r="AB3742" s="162"/>
      <c r="AC3742" s="162"/>
      <c r="AD3742" s="162">
        <f t="shared" si="78"/>
        <v>0</v>
      </c>
      <c r="AE3742" s="160">
        <v>3740</v>
      </c>
    </row>
    <row r="3743" spans="27:31" x14ac:dyDescent="0.25">
      <c r="AA3743" s="160"/>
      <c r="AB3743" s="162"/>
      <c r="AC3743" s="162"/>
      <c r="AD3743" s="162">
        <f t="shared" si="78"/>
        <v>0</v>
      </c>
      <c r="AE3743" s="160">
        <v>3741</v>
      </c>
    </row>
    <row r="3744" spans="27:31" x14ac:dyDescent="0.25">
      <c r="AA3744" s="160"/>
      <c r="AB3744" s="162"/>
      <c r="AC3744" s="162"/>
      <c r="AD3744" s="162">
        <f t="shared" si="78"/>
        <v>0</v>
      </c>
      <c r="AE3744" s="160">
        <v>3742</v>
      </c>
    </row>
    <row r="3745" spans="27:31" x14ac:dyDescent="0.25">
      <c r="AA3745" s="160"/>
      <c r="AB3745" s="162"/>
      <c r="AC3745" s="162"/>
      <c r="AD3745" s="162">
        <f t="shared" si="78"/>
        <v>0</v>
      </c>
      <c r="AE3745" s="160">
        <v>3743</v>
      </c>
    </row>
    <row r="3746" spans="27:31" x14ac:dyDescent="0.25">
      <c r="AA3746" s="160"/>
      <c r="AB3746" s="162"/>
      <c r="AC3746" s="162"/>
      <c r="AD3746" s="162">
        <f t="shared" si="78"/>
        <v>0</v>
      </c>
      <c r="AE3746" s="160">
        <v>3744</v>
      </c>
    </row>
    <row r="3747" spans="27:31" x14ac:dyDescent="0.25">
      <c r="AA3747" s="160"/>
      <c r="AB3747" s="162"/>
      <c r="AC3747" s="162"/>
      <c r="AD3747" s="162">
        <f t="shared" si="78"/>
        <v>0</v>
      </c>
      <c r="AE3747" s="160">
        <v>3745</v>
      </c>
    </row>
    <row r="3748" spans="27:31" x14ac:dyDescent="0.25">
      <c r="AA3748" s="160"/>
      <c r="AB3748" s="162"/>
      <c r="AC3748" s="162"/>
      <c r="AD3748" s="162">
        <f t="shared" si="78"/>
        <v>0</v>
      </c>
      <c r="AE3748" s="160">
        <v>3746</v>
      </c>
    </row>
    <row r="3749" spans="27:31" x14ac:dyDescent="0.25">
      <c r="AA3749" s="160"/>
      <c r="AB3749" s="162"/>
      <c r="AC3749" s="162"/>
      <c r="AD3749" s="162">
        <f t="shared" si="78"/>
        <v>0</v>
      </c>
      <c r="AE3749" s="160">
        <v>3747</v>
      </c>
    </row>
    <row r="3750" spans="27:31" x14ac:dyDescent="0.25">
      <c r="AA3750" s="160"/>
      <c r="AB3750" s="162"/>
      <c r="AC3750" s="162"/>
      <c r="AD3750" s="162">
        <f t="shared" si="78"/>
        <v>0</v>
      </c>
      <c r="AE3750" s="160">
        <v>3748</v>
      </c>
    </row>
    <row r="3751" spans="27:31" x14ac:dyDescent="0.25">
      <c r="AA3751" s="160"/>
      <c r="AB3751" s="162"/>
      <c r="AC3751" s="162"/>
      <c r="AD3751" s="162">
        <f t="shared" si="78"/>
        <v>0</v>
      </c>
      <c r="AE3751" s="160">
        <v>3749</v>
      </c>
    </row>
    <row r="3752" spans="27:31" x14ac:dyDescent="0.25">
      <c r="AA3752" s="160"/>
      <c r="AB3752" s="162"/>
      <c r="AC3752" s="162"/>
      <c r="AD3752" s="162">
        <f t="shared" si="78"/>
        <v>0</v>
      </c>
      <c r="AE3752" s="160">
        <v>3750</v>
      </c>
    </row>
    <row r="3753" spans="27:31" x14ac:dyDescent="0.25">
      <c r="AA3753" s="160"/>
      <c r="AB3753" s="162"/>
      <c r="AC3753" s="162"/>
      <c r="AD3753" s="162">
        <f t="shared" si="78"/>
        <v>0</v>
      </c>
      <c r="AE3753" s="160">
        <v>3751</v>
      </c>
    </row>
    <row r="3754" spans="27:31" x14ac:dyDescent="0.25">
      <c r="AA3754" s="160"/>
      <c r="AB3754" s="162"/>
      <c r="AC3754" s="162"/>
      <c r="AD3754" s="162">
        <f t="shared" si="78"/>
        <v>0</v>
      </c>
      <c r="AE3754" s="160">
        <v>3752</v>
      </c>
    </row>
    <row r="3755" spans="27:31" x14ac:dyDescent="0.25">
      <c r="AA3755" s="160"/>
      <c r="AB3755" s="162"/>
      <c r="AC3755" s="162"/>
      <c r="AD3755" s="162">
        <f t="shared" si="78"/>
        <v>0</v>
      </c>
      <c r="AE3755" s="160">
        <v>3753</v>
      </c>
    </row>
    <row r="3756" spans="27:31" x14ac:dyDescent="0.25">
      <c r="AA3756" s="160"/>
      <c r="AB3756" s="162"/>
      <c r="AC3756" s="162"/>
      <c r="AD3756" s="162">
        <f t="shared" si="78"/>
        <v>0</v>
      </c>
      <c r="AE3756" s="160">
        <v>3754</v>
      </c>
    </row>
    <row r="3757" spans="27:31" x14ac:dyDescent="0.25">
      <c r="AA3757" s="160"/>
      <c r="AB3757" s="162"/>
      <c r="AC3757" s="162"/>
      <c r="AD3757" s="162">
        <f t="shared" si="78"/>
        <v>0</v>
      </c>
      <c r="AE3757" s="160">
        <v>3755</v>
      </c>
    </row>
    <row r="3758" spans="27:31" x14ac:dyDescent="0.25">
      <c r="AA3758" s="160"/>
      <c r="AB3758" s="162"/>
      <c r="AC3758" s="162"/>
      <c r="AD3758" s="162">
        <f t="shared" si="78"/>
        <v>0</v>
      </c>
      <c r="AE3758" s="160">
        <v>3756</v>
      </c>
    </row>
    <row r="3759" spans="27:31" x14ac:dyDescent="0.25">
      <c r="AA3759" s="160"/>
      <c r="AB3759" s="162"/>
      <c r="AC3759" s="162"/>
      <c r="AD3759" s="162">
        <f t="shared" si="78"/>
        <v>0</v>
      </c>
      <c r="AE3759" s="160">
        <v>3757</v>
      </c>
    </row>
    <row r="3760" spans="27:31" x14ac:dyDescent="0.25">
      <c r="AA3760" s="160"/>
      <c r="AB3760" s="162"/>
      <c r="AC3760" s="162"/>
      <c r="AD3760" s="162">
        <f t="shared" si="78"/>
        <v>0</v>
      </c>
      <c r="AE3760" s="160">
        <v>3758</v>
      </c>
    </row>
    <row r="3761" spans="27:31" x14ac:dyDescent="0.25">
      <c r="AA3761" s="160"/>
      <c r="AB3761" s="162"/>
      <c r="AC3761" s="162"/>
      <c r="AD3761" s="162">
        <f t="shared" si="78"/>
        <v>0</v>
      </c>
      <c r="AE3761" s="160">
        <v>3759</v>
      </c>
    </row>
    <row r="3762" spans="27:31" x14ac:dyDescent="0.25">
      <c r="AA3762" s="160"/>
      <c r="AB3762" s="162"/>
      <c r="AC3762" s="162"/>
      <c r="AD3762" s="162">
        <f t="shared" si="78"/>
        <v>0</v>
      </c>
      <c r="AE3762" s="160">
        <v>3760</v>
      </c>
    </row>
    <row r="3763" spans="27:31" x14ac:dyDescent="0.25">
      <c r="AA3763" s="160"/>
      <c r="AB3763" s="162"/>
      <c r="AC3763" s="162"/>
      <c r="AD3763" s="162">
        <f t="shared" si="78"/>
        <v>0</v>
      </c>
      <c r="AE3763" s="160">
        <v>3761</v>
      </c>
    </row>
    <row r="3764" spans="27:31" x14ac:dyDescent="0.25">
      <c r="AA3764" s="160"/>
      <c r="AB3764" s="162"/>
      <c r="AC3764" s="162"/>
      <c r="AD3764" s="162">
        <f t="shared" si="78"/>
        <v>0</v>
      </c>
      <c r="AE3764" s="160">
        <v>3762</v>
      </c>
    </row>
    <row r="3765" spans="27:31" x14ac:dyDescent="0.25">
      <c r="AA3765" s="160"/>
      <c r="AB3765" s="162"/>
      <c r="AC3765" s="162"/>
      <c r="AD3765" s="162">
        <f t="shared" si="78"/>
        <v>0</v>
      </c>
      <c r="AE3765" s="160">
        <v>3763</v>
      </c>
    </row>
    <row r="3766" spans="27:31" x14ac:dyDescent="0.25">
      <c r="AA3766" s="160"/>
      <c r="AB3766" s="162"/>
      <c r="AC3766" s="162"/>
      <c r="AD3766" s="162">
        <f t="shared" si="78"/>
        <v>0</v>
      </c>
      <c r="AE3766" s="160">
        <v>3764</v>
      </c>
    </row>
    <row r="3767" spans="27:31" x14ac:dyDescent="0.25">
      <c r="AA3767" s="160"/>
      <c r="AB3767" s="162"/>
      <c r="AC3767" s="162"/>
      <c r="AD3767" s="162">
        <f t="shared" si="78"/>
        <v>0</v>
      </c>
      <c r="AE3767" s="160">
        <v>3765</v>
      </c>
    </row>
    <row r="3768" spans="27:31" x14ac:dyDescent="0.25">
      <c r="AA3768" s="160"/>
      <c r="AB3768" s="162"/>
      <c r="AC3768" s="162"/>
      <c r="AD3768" s="162">
        <f t="shared" si="78"/>
        <v>0</v>
      </c>
      <c r="AE3768" s="160">
        <v>3766</v>
      </c>
    </row>
    <row r="3769" spans="27:31" x14ac:dyDescent="0.25">
      <c r="AA3769" s="160"/>
      <c r="AB3769" s="162"/>
      <c r="AC3769" s="162"/>
      <c r="AD3769" s="162">
        <f t="shared" si="78"/>
        <v>0</v>
      </c>
      <c r="AE3769" s="160">
        <v>3767</v>
      </c>
    </row>
    <row r="3770" spans="27:31" x14ac:dyDescent="0.25">
      <c r="AA3770" s="160"/>
      <c r="AB3770" s="162"/>
      <c r="AC3770" s="162"/>
      <c r="AD3770" s="162">
        <f t="shared" si="78"/>
        <v>0</v>
      </c>
      <c r="AE3770" s="160">
        <v>3768</v>
      </c>
    </row>
    <row r="3771" spans="27:31" x14ac:dyDescent="0.25">
      <c r="AA3771" s="160"/>
      <c r="AB3771" s="162"/>
      <c r="AC3771" s="162"/>
      <c r="AD3771" s="162">
        <f t="shared" si="78"/>
        <v>0</v>
      </c>
      <c r="AE3771" s="160">
        <v>3769</v>
      </c>
    </row>
    <row r="3772" spans="27:31" x14ac:dyDescent="0.25">
      <c r="AA3772" s="160"/>
      <c r="AB3772" s="162"/>
      <c r="AC3772" s="162"/>
      <c r="AD3772" s="162">
        <f t="shared" si="78"/>
        <v>0</v>
      </c>
      <c r="AE3772" s="160">
        <v>3770</v>
      </c>
    </row>
    <row r="3773" spans="27:31" x14ac:dyDescent="0.25">
      <c r="AA3773" s="160"/>
      <c r="AB3773" s="162"/>
      <c r="AC3773" s="162"/>
      <c r="AD3773" s="162">
        <f t="shared" si="78"/>
        <v>0</v>
      </c>
      <c r="AE3773" s="160">
        <v>3771</v>
      </c>
    </row>
    <row r="3774" spans="27:31" x14ac:dyDescent="0.25">
      <c r="AA3774" s="160"/>
      <c r="AB3774" s="162"/>
      <c r="AC3774" s="162"/>
      <c r="AD3774" s="162">
        <f t="shared" si="78"/>
        <v>0</v>
      </c>
      <c r="AE3774" s="160">
        <v>3772</v>
      </c>
    </row>
    <row r="3775" spans="27:31" x14ac:dyDescent="0.25">
      <c r="AA3775" s="160"/>
      <c r="AB3775" s="162"/>
      <c r="AC3775" s="162"/>
      <c r="AD3775" s="162">
        <f t="shared" si="78"/>
        <v>0</v>
      </c>
      <c r="AE3775" s="160">
        <v>3773</v>
      </c>
    </row>
    <row r="3776" spans="27:31" x14ac:dyDescent="0.25">
      <c r="AA3776" s="160"/>
      <c r="AB3776" s="162"/>
      <c r="AC3776" s="162"/>
      <c r="AD3776" s="162">
        <f t="shared" si="78"/>
        <v>0</v>
      </c>
      <c r="AE3776" s="160">
        <v>3774</v>
      </c>
    </row>
    <row r="3777" spans="27:31" x14ac:dyDescent="0.25">
      <c r="AA3777" s="160"/>
      <c r="AB3777" s="162"/>
      <c r="AC3777" s="162"/>
      <c r="AD3777" s="162">
        <f t="shared" si="78"/>
        <v>0</v>
      </c>
      <c r="AE3777" s="160">
        <v>3775</v>
      </c>
    </row>
    <row r="3778" spans="27:31" x14ac:dyDescent="0.25">
      <c r="AA3778" s="160"/>
      <c r="AB3778" s="162"/>
      <c r="AC3778" s="162"/>
      <c r="AD3778" s="162">
        <f t="shared" si="78"/>
        <v>0</v>
      </c>
      <c r="AE3778" s="160">
        <v>3776</v>
      </c>
    </row>
    <row r="3779" spans="27:31" x14ac:dyDescent="0.25">
      <c r="AA3779" s="160"/>
      <c r="AB3779" s="162"/>
      <c r="AC3779" s="162"/>
      <c r="AD3779" s="162">
        <f t="shared" si="78"/>
        <v>0</v>
      </c>
      <c r="AE3779" s="160">
        <v>3777</v>
      </c>
    </row>
    <row r="3780" spans="27:31" x14ac:dyDescent="0.25">
      <c r="AA3780" s="160"/>
      <c r="AB3780" s="162"/>
      <c r="AC3780" s="162"/>
      <c r="AD3780" s="162">
        <f t="shared" ref="AD3780:AD3843" si="79">AB3780+AC3780</f>
        <v>0</v>
      </c>
      <c r="AE3780" s="160">
        <v>3778</v>
      </c>
    </row>
    <row r="3781" spans="27:31" x14ac:dyDescent="0.25">
      <c r="AA3781" s="160"/>
      <c r="AB3781" s="162"/>
      <c r="AC3781" s="162"/>
      <c r="AD3781" s="162">
        <f t="shared" si="79"/>
        <v>0</v>
      </c>
      <c r="AE3781" s="160">
        <v>3779</v>
      </c>
    </row>
    <row r="3782" spans="27:31" x14ac:dyDescent="0.25">
      <c r="AA3782" s="160"/>
      <c r="AB3782" s="162"/>
      <c r="AC3782" s="162"/>
      <c r="AD3782" s="162">
        <f t="shared" si="79"/>
        <v>0</v>
      </c>
      <c r="AE3782" s="160">
        <v>3780</v>
      </c>
    </row>
    <row r="3783" spans="27:31" x14ac:dyDescent="0.25">
      <c r="AA3783" s="160"/>
      <c r="AB3783" s="162"/>
      <c r="AC3783" s="162"/>
      <c r="AD3783" s="162">
        <f t="shared" si="79"/>
        <v>0</v>
      </c>
      <c r="AE3783" s="160">
        <v>3781</v>
      </c>
    </row>
    <row r="3784" spans="27:31" x14ac:dyDescent="0.25">
      <c r="AA3784" s="160"/>
      <c r="AB3784" s="162"/>
      <c r="AC3784" s="162"/>
      <c r="AD3784" s="162">
        <f t="shared" si="79"/>
        <v>0</v>
      </c>
      <c r="AE3784" s="160">
        <v>3782</v>
      </c>
    </row>
    <row r="3785" spans="27:31" x14ac:dyDescent="0.25">
      <c r="AA3785" s="160"/>
      <c r="AB3785" s="162"/>
      <c r="AC3785" s="162"/>
      <c r="AD3785" s="162">
        <f t="shared" si="79"/>
        <v>0</v>
      </c>
      <c r="AE3785" s="160">
        <v>3783</v>
      </c>
    </row>
    <row r="3786" spans="27:31" x14ac:dyDescent="0.25">
      <c r="AA3786" s="160"/>
      <c r="AB3786" s="162"/>
      <c r="AC3786" s="162"/>
      <c r="AD3786" s="162">
        <f t="shared" si="79"/>
        <v>0</v>
      </c>
      <c r="AE3786" s="160">
        <v>3784</v>
      </c>
    </row>
    <row r="3787" spans="27:31" x14ac:dyDescent="0.25">
      <c r="AA3787" s="160"/>
      <c r="AB3787" s="162"/>
      <c r="AC3787" s="162"/>
      <c r="AD3787" s="162">
        <f t="shared" si="79"/>
        <v>0</v>
      </c>
      <c r="AE3787" s="160">
        <v>3785</v>
      </c>
    </row>
    <row r="3788" spans="27:31" x14ac:dyDescent="0.25">
      <c r="AA3788" s="160"/>
      <c r="AB3788" s="162"/>
      <c r="AC3788" s="162"/>
      <c r="AD3788" s="162">
        <f t="shared" si="79"/>
        <v>0</v>
      </c>
      <c r="AE3788" s="160">
        <v>3786</v>
      </c>
    </row>
    <row r="3789" spans="27:31" x14ac:dyDescent="0.25">
      <c r="AA3789" s="160"/>
      <c r="AB3789" s="162"/>
      <c r="AC3789" s="162"/>
      <c r="AD3789" s="162">
        <f t="shared" si="79"/>
        <v>0</v>
      </c>
      <c r="AE3789" s="160">
        <v>3787</v>
      </c>
    </row>
    <row r="3790" spans="27:31" x14ac:dyDescent="0.25">
      <c r="AA3790" s="160"/>
      <c r="AB3790" s="162"/>
      <c r="AC3790" s="162"/>
      <c r="AD3790" s="162">
        <f t="shared" si="79"/>
        <v>0</v>
      </c>
      <c r="AE3790" s="160">
        <v>3788</v>
      </c>
    </row>
    <row r="3791" spans="27:31" x14ac:dyDescent="0.25">
      <c r="AA3791" s="160"/>
      <c r="AB3791" s="162"/>
      <c r="AC3791" s="162"/>
      <c r="AD3791" s="162">
        <f t="shared" si="79"/>
        <v>0</v>
      </c>
      <c r="AE3791" s="160">
        <v>3789</v>
      </c>
    </row>
    <row r="3792" spans="27:31" x14ac:dyDescent="0.25">
      <c r="AA3792" s="160"/>
      <c r="AB3792" s="162"/>
      <c r="AC3792" s="162"/>
      <c r="AD3792" s="162">
        <f t="shared" si="79"/>
        <v>0</v>
      </c>
      <c r="AE3792" s="160">
        <v>3790</v>
      </c>
    </row>
    <row r="3793" spans="27:31" x14ac:dyDescent="0.25">
      <c r="AA3793" s="160"/>
      <c r="AB3793" s="162"/>
      <c r="AC3793" s="162"/>
      <c r="AD3793" s="162">
        <f t="shared" si="79"/>
        <v>0</v>
      </c>
      <c r="AE3793" s="160">
        <v>3791</v>
      </c>
    </row>
    <row r="3794" spans="27:31" x14ac:dyDescent="0.25">
      <c r="AA3794" s="160"/>
      <c r="AB3794" s="162"/>
      <c r="AC3794" s="162"/>
      <c r="AD3794" s="162">
        <f t="shared" si="79"/>
        <v>0</v>
      </c>
      <c r="AE3794" s="160">
        <v>3792</v>
      </c>
    </row>
    <row r="3795" spans="27:31" x14ac:dyDescent="0.25">
      <c r="AA3795" s="160"/>
      <c r="AB3795" s="162"/>
      <c r="AC3795" s="162"/>
      <c r="AD3795" s="162">
        <f t="shared" si="79"/>
        <v>0</v>
      </c>
      <c r="AE3795" s="160">
        <v>3793</v>
      </c>
    </row>
    <row r="3796" spans="27:31" x14ac:dyDescent="0.25">
      <c r="AA3796" s="160"/>
      <c r="AB3796" s="162"/>
      <c r="AC3796" s="162"/>
      <c r="AD3796" s="162">
        <f t="shared" si="79"/>
        <v>0</v>
      </c>
      <c r="AE3796" s="160">
        <v>3794</v>
      </c>
    </row>
    <row r="3797" spans="27:31" x14ac:dyDescent="0.25">
      <c r="AA3797" s="160"/>
      <c r="AB3797" s="162"/>
      <c r="AC3797" s="162"/>
      <c r="AD3797" s="162">
        <f t="shared" si="79"/>
        <v>0</v>
      </c>
      <c r="AE3797" s="160">
        <v>3795</v>
      </c>
    </row>
    <row r="3798" spans="27:31" x14ac:dyDescent="0.25">
      <c r="AA3798" s="160"/>
      <c r="AB3798" s="162"/>
      <c r="AC3798" s="162"/>
      <c r="AD3798" s="162">
        <f t="shared" si="79"/>
        <v>0</v>
      </c>
      <c r="AE3798" s="160">
        <v>3796</v>
      </c>
    </row>
    <row r="3799" spans="27:31" x14ac:dyDescent="0.25">
      <c r="AA3799" s="160"/>
      <c r="AB3799" s="162"/>
      <c r="AC3799" s="162"/>
      <c r="AD3799" s="162">
        <f t="shared" si="79"/>
        <v>0</v>
      </c>
      <c r="AE3799" s="160">
        <v>3797</v>
      </c>
    </row>
    <row r="3800" spans="27:31" x14ac:dyDescent="0.25">
      <c r="AA3800" s="160"/>
      <c r="AB3800" s="162"/>
      <c r="AC3800" s="162"/>
      <c r="AD3800" s="162">
        <f t="shared" si="79"/>
        <v>0</v>
      </c>
      <c r="AE3800" s="160">
        <v>3798</v>
      </c>
    </row>
    <row r="3801" spans="27:31" x14ac:dyDescent="0.25">
      <c r="AA3801" s="160"/>
      <c r="AB3801" s="162"/>
      <c r="AC3801" s="162"/>
      <c r="AD3801" s="162">
        <f t="shared" si="79"/>
        <v>0</v>
      </c>
      <c r="AE3801" s="160">
        <v>3799</v>
      </c>
    </row>
    <row r="3802" spans="27:31" x14ac:dyDescent="0.25">
      <c r="AA3802" s="160"/>
      <c r="AB3802" s="162"/>
      <c r="AC3802" s="162"/>
      <c r="AD3802" s="162">
        <f t="shared" si="79"/>
        <v>0</v>
      </c>
      <c r="AE3802" s="160">
        <v>3800</v>
      </c>
    </row>
    <row r="3803" spans="27:31" x14ac:dyDescent="0.25">
      <c r="AA3803" s="160"/>
      <c r="AB3803" s="162"/>
      <c r="AC3803" s="162"/>
      <c r="AD3803" s="162">
        <f t="shared" si="79"/>
        <v>0</v>
      </c>
      <c r="AE3803" s="160">
        <v>3801</v>
      </c>
    </row>
    <row r="3804" spans="27:31" x14ac:dyDescent="0.25">
      <c r="AA3804" s="160"/>
      <c r="AB3804" s="162"/>
      <c r="AC3804" s="162"/>
      <c r="AD3804" s="162">
        <f t="shared" si="79"/>
        <v>0</v>
      </c>
      <c r="AE3804" s="160">
        <v>3802</v>
      </c>
    </row>
    <row r="3805" spans="27:31" x14ac:dyDescent="0.25">
      <c r="AA3805" s="160"/>
      <c r="AB3805" s="162"/>
      <c r="AC3805" s="162"/>
      <c r="AD3805" s="162">
        <f t="shared" si="79"/>
        <v>0</v>
      </c>
      <c r="AE3805" s="160">
        <v>3803</v>
      </c>
    </row>
    <row r="3806" spans="27:31" x14ac:dyDescent="0.25">
      <c r="AA3806" s="160"/>
      <c r="AB3806" s="162"/>
      <c r="AC3806" s="162"/>
      <c r="AD3806" s="162">
        <f t="shared" si="79"/>
        <v>0</v>
      </c>
      <c r="AE3806" s="160">
        <v>3804</v>
      </c>
    </row>
    <row r="3807" spans="27:31" x14ac:dyDescent="0.25">
      <c r="AA3807" s="160"/>
      <c r="AB3807" s="162"/>
      <c r="AC3807" s="162"/>
      <c r="AD3807" s="162">
        <f t="shared" si="79"/>
        <v>0</v>
      </c>
      <c r="AE3807" s="160">
        <v>3805</v>
      </c>
    </row>
    <row r="3808" spans="27:31" x14ac:dyDescent="0.25">
      <c r="AA3808" s="160"/>
      <c r="AB3808" s="162"/>
      <c r="AC3808" s="162"/>
      <c r="AD3808" s="162">
        <f t="shared" si="79"/>
        <v>0</v>
      </c>
      <c r="AE3808" s="160">
        <v>3806</v>
      </c>
    </row>
    <row r="3809" spans="27:31" x14ac:dyDescent="0.25">
      <c r="AA3809" s="160"/>
      <c r="AB3809" s="162"/>
      <c r="AC3809" s="162"/>
      <c r="AD3809" s="162">
        <f t="shared" si="79"/>
        <v>0</v>
      </c>
      <c r="AE3809" s="160">
        <v>3807</v>
      </c>
    </row>
    <row r="3810" spans="27:31" x14ac:dyDescent="0.25">
      <c r="AA3810" s="160"/>
      <c r="AB3810" s="162"/>
      <c r="AC3810" s="162"/>
      <c r="AD3810" s="162">
        <f t="shared" si="79"/>
        <v>0</v>
      </c>
      <c r="AE3810" s="160">
        <v>3808</v>
      </c>
    </row>
    <row r="3811" spans="27:31" x14ac:dyDescent="0.25">
      <c r="AA3811" s="160"/>
      <c r="AB3811" s="162"/>
      <c r="AC3811" s="162"/>
      <c r="AD3811" s="162">
        <f t="shared" si="79"/>
        <v>0</v>
      </c>
      <c r="AE3811" s="160">
        <v>3809</v>
      </c>
    </row>
    <row r="3812" spans="27:31" x14ac:dyDescent="0.25">
      <c r="AA3812" s="160"/>
      <c r="AB3812" s="162"/>
      <c r="AC3812" s="162"/>
      <c r="AD3812" s="162">
        <f t="shared" si="79"/>
        <v>0</v>
      </c>
      <c r="AE3812" s="160">
        <v>3810</v>
      </c>
    </row>
    <row r="3813" spans="27:31" x14ac:dyDescent="0.25">
      <c r="AA3813" s="160"/>
      <c r="AB3813" s="162"/>
      <c r="AC3813" s="162"/>
      <c r="AD3813" s="162">
        <f t="shared" si="79"/>
        <v>0</v>
      </c>
      <c r="AE3813" s="160">
        <v>3811</v>
      </c>
    </row>
    <row r="3814" spans="27:31" x14ac:dyDescent="0.25">
      <c r="AA3814" s="160"/>
      <c r="AB3814" s="162"/>
      <c r="AC3814" s="162"/>
      <c r="AD3814" s="162">
        <f t="shared" si="79"/>
        <v>0</v>
      </c>
      <c r="AE3814" s="160">
        <v>3812</v>
      </c>
    </row>
    <row r="3815" spans="27:31" x14ac:dyDescent="0.25">
      <c r="AA3815" s="160"/>
      <c r="AB3815" s="162"/>
      <c r="AC3815" s="162"/>
      <c r="AD3815" s="162">
        <f t="shared" si="79"/>
        <v>0</v>
      </c>
      <c r="AE3815" s="160">
        <v>3813</v>
      </c>
    </row>
    <row r="3816" spans="27:31" x14ac:dyDescent="0.25">
      <c r="AA3816" s="160"/>
      <c r="AB3816" s="162"/>
      <c r="AC3816" s="162"/>
      <c r="AD3816" s="162">
        <f t="shared" si="79"/>
        <v>0</v>
      </c>
      <c r="AE3816" s="160">
        <v>3814</v>
      </c>
    </row>
    <row r="3817" spans="27:31" x14ac:dyDescent="0.25">
      <c r="AA3817" s="160"/>
      <c r="AB3817" s="162"/>
      <c r="AC3817" s="162"/>
      <c r="AD3817" s="162">
        <f t="shared" si="79"/>
        <v>0</v>
      </c>
      <c r="AE3817" s="160">
        <v>3815</v>
      </c>
    </row>
    <row r="3818" spans="27:31" x14ac:dyDescent="0.25">
      <c r="AA3818" s="160"/>
      <c r="AB3818" s="162"/>
      <c r="AC3818" s="162"/>
      <c r="AD3818" s="162">
        <f t="shared" si="79"/>
        <v>0</v>
      </c>
      <c r="AE3818" s="160">
        <v>3816</v>
      </c>
    </row>
    <row r="3819" spans="27:31" x14ac:dyDescent="0.25">
      <c r="AA3819" s="160"/>
      <c r="AB3819" s="162"/>
      <c r="AC3819" s="162"/>
      <c r="AD3819" s="162">
        <f t="shared" si="79"/>
        <v>0</v>
      </c>
      <c r="AE3819" s="160">
        <v>3817</v>
      </c>
    </row>
    <row r="3820" spans="27:31" x14ac:dyDescent="0.25">
      <c r="AA3820" s="160"/>
      <c r="AB3820" s="162"/>
      <c r="AC3820" s="162"/>
      <c r="AD3820" s="162">
        <f t="shared" si="79"/>
        <v>0</v>
      </c>
      <c r="AE3820" s="160">
        <v>3818</v>
      </c>
    </row>
    <row r="3821" spans="27:31" x14ac:dyDescent="0.25">
      <c r="AA3821" s="160"/>
      <c r="AB3821" s="162"/>
      <c r="AC3821" s="162"/>
      <c r="AD3821" s="162">
        <f t="shared" si="79"/>
        <v>0</v>
      </c>
      <c r="AE3821" s="160">
        <v>3819</v>
      </c>
    </row>
    <row r="3822" spans="27:31" x14ac:dyDescent="0.25">
      <c r="AA3822" s="160"/>
      <c r="AB3822" s="162"/>
      <c r="AC3822" s="162"/>
      <c r="AD3822" s="162">
        <f t="shared" si="79"/>
        <v>0</v>
      </c>
      <c r="AE3822" s="160">
        <v>3820</v>
      </c>
    </row>
    <row r="3823" spans="27:31" x14ac:dyDescent="0.25">
      <c r="AA3823" s="160"/>
      <c r="AB3823" s="162"/>
      <c r="AC3823" s="162"/>
      <c r="AD3823" s="162">
        <f t="shared" si="79"/>
        <v>0</v>
      </c>
      <c r="AE3823" s="160">
        <v>3821</v>
      </c>
    </row>
    <row r="3824" spans="27:31" x14ac:dyDescent="0.25">
      <c r="AA3824" s="160"/>
      <c r="AB3824" s="162"/>
      <c r="AC3824" s="162"/>
      <c r="AD3824" s="162">
        <f t="shared" si="79"/>
        <v>0</v>
      </c>
      <c r="AE3824" s="160">
        <v>3822</v>
      </c>
    </row>
    <row r="3825" spans="27:31" x14ac:dyDescent="0.25">
      <c r="AA3825" s="160"/>
      <c r="AB3825" s="162"/>
      <c r="AC3825" s="162"/>
      <c r="AD3825" s="162">
        <f t="shared" si="79"/>
        <v>0</v>
      </c>
      <c r="AE3825" s="160">
        <v>3823</v>
      </c>
    </row>
    <row r="3826" spans="27:31" x14ac:dyDescent="0.25">
      <c r="AA3826" s="160"/>
      <c r="AB3826" s="162"/>
      <c r="AC3826" s="162"/>
      <c r="AD3826" s="162">
        <f t="shared" si="79"/>
        <v>0</v>
      </c>
      <c r="AE3826" s="160">
        <v>3824</v>
      </c>
    </row>
    <row r="3827" spans="27:31" x14ac:dyDescent="0.25">
      <c r="AA3827" s="160"/>
      <c r="AB3827" s="162"/>
      <c r="AC3827" s="162"/>
      <c r="AD3827" s="162">
        <f t="shared" si="79"/>
        <v>0</v>
      </c>
      <c r="AE3827" s="160">
        <v>3825</v>
      </c>
    </row>
    <row r="3828" spans="27:31" x14ac:dyDescent="0.25">
      <c r="AA3828" s="160"/>
      <c r="AB3828" s="162"/>
      <c r="AC3828" s="162"/>
      <c r="AD3828" s="162">
        <f t="shared" si="79"/>
        <v>0</v>
      </c>
      <c r="AE3828" s="160">
        <v>3826</v>
      </c>
    </row>
    <row r="3829" spans="27:31" x14ac:dyDescent="0.25">
      <c r="AA3829" s="160"/>
      <c r="AB3829" s="162"/>
      <c r="AC3829" s="162"/>
      <c r="AD3829" s="162">
        <f t="shared" si="79"/>
        <v>0</v>
      </c>
      <c r="AE3829" s="160">
        <v>3827</v>
      </c>
    </row>
    <row r="3830" spans="27:31" x14ac:dyDescent="0.25">
      <c r="AA3830" s="160"/>
      <c r="AB3830" s="162"/>
      <c r="AC3830" s="162"/>
      <c r="AD3830" s="162">
        <f t="shared" si="79"/>
        <v>0</v>
      </c>
      <c r="AE3830" s="160">
        <v>3828</v>
      </c>
    </row>
    <row r="3831" spans="27:31" x14ac:dyDescent="0.25">
      <c r="AA3831" s="160"/>
      <c r="AB3831" s="162"/>
      <c r="AC3831" s="162"/>
      <c r="AD3831" s="162">
        <f t="shared" si="79"/>
        <v>0</v>
      </c>
      <c r="AE3831" s="160">
        <v>3829</v>
      </c>
    </row>
    <row r="3832" spans="27:31" x14ac:dyDescent="0.25">
      <c r="AA3832" s="160"/>
      <c r="AB3832" s="162"/>
      <c r="AC3832" s="162"/>
      <c r="AD3832" s="162">
        <f t="shared" si="79"/>
        <v>0</v>
      </c>
      <c r="AE3832" s="160">
        <v>3830</v>
      </c>
    </row>
    <row r="3833" spans="27:31" x14ac:dyDescent="0.25">
      <c r="AA3833" s="160"/>
      <c r="AB3833" s="162"/>
      <c r="AC3833" s="162"/>
      <c r="AD3833" s="162">
        <f t="shared" si="79"/>
        <v>0</v>
      </c>
      <c r="AE3833" s="160">
        <v>3831</v>
      </c>
    </row>
    <row r="3834" spans="27:31" x14ac:dyDescent="0.25">
      <c r="AA3834" s="160"/>
      <c r="AB3834" s="162"/>
      <c r="AC3834" s="162"/>
      <c r="AD3834" s="162">
        <f t="shared" si="79"/>
        <v>0</v>
      </c>
      <c r="AE3834" s="160">
        <v>3832</v>
      </c>
    </row>
    <row r="3835" spans="27:31" x14ac:dyDescent="0.25">
      <c r="AA3835" s="160"/>
      <c r="AB3835" s="162"/>
      <c r="AC3835" s="162"/>
      <c r="AD3835" s="162">
        <f t="shared" si="79"/>
        <v>0</v>
      </c>
      <c r="AE3835" s="160">
        <v>3833</v>
      </c>
    </row>
    <row r="3836" spans="27:31" x14ac:dyDescent="0.25">
      <c r="AA3836" s="160"/>
      <c r="AB3836" s="162"/>
      <c r="AC3836" s="162"/>
      <c r="AD3836" s="162">
        <f t="shared" si="79"/>
        <v>0</v>
      </c>
      <c r="AE3836" s="160">
        <v>3834</v>
      </c>
    </row>
    <row r="3837" spans="27:31" x14ac:dyDescent="0.25">
      <c r="AA3837" s="160"/>
      <c r="AB3837" s="162"/>
      <c r="AC3837" s="162"/>
      <c r="AD3837" s="162">
        <f t="shared" si="79"/>
        <v>0</v>
      </c>
      <c r="AE3837" s="160">
        <v>3835</v>
      </c>
    </row>
    <row r="3838" spans="27:31" x14ac:dyDescent="0.25">
      <c r="AA3838" s="160"/>
      <c r="AB3838" s="162"/>
      <c r="AC3838" s="162"/>
      <c r="AD3838" s="162">
        <f t="shared" si="79"/>
        <v>0</v>
      </c>
      <c r="AE3838" s="160">
        <v>3836</v>
      </c>
    </row>
    <row r="3839" spans="27:31" x14ac:dyDescent="0.25">
      <c r="AA3839" s="160"/>
      <c r="AB3839" s="162"/>
      <c r="AC3839" s="162"/>
      <c r="AD3839" s="162">
        <f t="shared" si="79"/>
        <v>0</v>
      </c>
      <c r="AE3839" s="160">
        <v>3837</v>
      </c>
    </row>
    <row r="3840" spans="27:31" x14ac:dyDescent="0.25">
      <c r="AA3840" s="160"/>
      <c r="AB3840" s="162"/>
      <c r="AC3840" s="162"/>
      <c r="AD3840" s="162">
        <f t="shared" si="79"/>
        <v>0</v>
      </c>
      <c r="AE3840" s="160">
        <v>3838</v>
      </c>
    </row>
    <row r="3841" spans="27:31" x14ac:dyDescent="0.25">
      <c r="AA3841" s="160"/>
      <c r="AB3841" s="162"/>
      <c r="AC3841" s="162"/>
      <c r="AD3841" s="162">
        <f t="shared" si="79"/>
        <v>0</v>
      </c>
      <c r="AE3841" s="160">
        <v>3839</v>
      </c>
    </row>
    <row r="3842" spans="27:31" x14ac:dyDescent="0.25">
      <c r="AA3842" s="160"/>
      <c r="AB3842" s="162"/>
      <c r="AC3842" s="162"/>
      <c r="AD3842" s="162">
        <f t="shared" si="79"/>
        <v>0</v>
      </c>
      <c r="AE3842" s="160">
        <v>3840</v>
      </c>
    </row>
    <row r="3843" spans="27:31" x14ac:dyDescent="0.25">
      <c r="AA3843" s="160"/>
      <c r="AB3843" s="162"/>
      <c r="AC3843" s="162"/>
      <c r="AD3843" s="162">
        <f t="shared" si="79"/>
        <v>0</v>
      </c>
      <c r="AE3843" s="160">
        <v>3841</v>
      </c>
    </row>
    <row r="3844" spans="27:31" x14ac:dyDescent="0.25">
      <c r="AA3844" s="160"/>
      <c r="AB3844" s="162"/>
      <c r="AC3844" s="162"/>
      <c r="AD3844" s="162">
        <f t="shared" ref="AD3844:AD3907" si="80">AB3844+AC3844</f>
        <v>0</v>
      </c>
      <c r="AE3844" s="160">
        <v>3842</v>
      </c>
    </row>
    <row r="3845" spans="27:31" x14ac:dyDescent="0.25">
      <c r="AA3845" s="160"/>
      <c r="AB3845" s="162"/>
      <c r="AC3845" s="162"/>
      <c r="AD3845" s="162">
        <f t="shared" si="80"/>
        <v>0</v>
      </c>
      <c r="AE3845" s="160">
        <v>3843</v>
      </c>
    </row>
    <row r="3846" spans="27:31" x14ac:dyDescent="0.25">
      <c r="AA3846" s="160"/>
      <c r="AB3846" s="162"/>
      <c r="AC3846" s="162"/>
      <c r="AD3846" s="162">
        <f t="shared" si="80"/>
        <v>0</v>
      </c>
      <c r="AE3846" s="160">
        <v>3844</v>
      </c>
    </row>
    <row r="3847" spans="27:31" x14ac:dyDescent="0.25">
      <c r="AA3847" s="160"/>
      <c r="AB3847" s="162"/>
      <c r="AC3847" s="162"/>
      <c r="AD3847" s="162">
        <f t="shared" si="80"/>
        <v>0</v>
      </c>
      <c r="AE3847" s="160">
        <v>3845</v>
      </c>
    </row>
    <row r="3848" spans="27:31" x14ac:dyDescent="0.25">
      <c r="AA3848" s="160"/>
      <c r="AB3848" s="162"/>
      <c r="AC3848" s="162"/>
      <c r="AD3848" s="162">
        <f t="shared" si="80"/>
        <v>0</v>
      </c>
      <c r="AE3848" s="160">
        <v>3846</v>
      </c>
    </row>
    <row r="3849" spans="27:31" x14ac:dyDescent="0.25">
      <c r="AA3849" s="160"/>
      <c r="AB3849" s="162"/>
      <c r="AC3849" s="162"/>
      <c r="AD3849" s="162">
        <f t="shared" si="80"/>
        <v>0</v>
      </c>
      <c r="AE3849" s="160">
        <v>3847</v>
      </c>
    </row>
    <row r="3850" spans="27:31" x14ac:dyDescent="0.25">
      <c r="AA3850" s="160"/>
      <c r="AB3850" s="162"/>
      <c r="AC3850" s="162"/>
      <c r="AD3850" s="162">
        <f t="shared" si="80"/>
        <v>0</v>
      </c>
      <c r="AE3850" s="160">
        <v>3848</v>
      </c>
    </row>
    <row r="3851" spans="27:31" x14ac:dyDescent="0.25">
      <c r="AA3851" s="160"/>
      <c r="AB3851" s="162"/>
      <c r="AC3851" s="162"/>
      <c r="AD3851" s="162">
        <f t="shared" si="80"/>
        <v>0</v>
      </c>
      <c r="AE3851" s="160">
        <v>3849</v>
      </c>
    </row>
    <row r="3852" spans="27:31" x14ac:dyDescent="0.25">
      <c r="AA3852" s="160"/>
      <c r="AB3852" s="162"/>
      <c r="AC3852" s="162"/>
      <c r="AD3852" s="162">
        <f t="shared" si="80"/>
        <v>0</v>
      </c>
      <c r="AE3852" s="160">
        <v>3850</v>
      </c>
    </row>
    <row r="3853" spans="27:31" x14ac:dyDescent="0.25">
      <c r="AA3853" s="160"/>
      <c r="AB3853" s="162"/>
      <c r="AC3853" s="162"/>
      <c r="AD3853" s="162">
        <f t="shared" si="80"/>
        <v>0</v>
      </c>
      <c r="AE3853" s="160">
        <v>3851</v>
      </c>
    </row>
    <row r="3854" spans="27:31" x14ac:dyDescent="0.25">
      <c r="AA3854" s="160"/>
      <c r="AB3854" s="162"/>
      <c r="AC3854" s="162"/>
      <c r="AD3854" s="162">
        <f t="shared" si="80"/>
        <v>0</v>
      </c>
      <c r="AE3854" s="160">
        <v>3852</v>
      </c>
    </row>
    <row r="3855" spans="27:31" x14ac:dyDescent="0.25">
      <c r="AA3855" s="160"/>
      <c r="AB3855" s="162"/>
      <c r="AC3855" s="162"/>
      <c r="AD3855" s="162">
        <f t="shared" si="80"/>
        <v>0</v>
      </c>
      <c r="AE3855" s="160">
        <v>3853</v>
      </c>
    </row>
    <row r="3856" spans="27:31" x14ac:dyDescent="0.25">
      <c r="AA3856" s="160"/>
      <c r="AB3856" s="162"/>
      <c r="AC3856" s="162"/>
      <c r="AD3856" s="162">
        <f t="shared" si="80"/>
        <v>0</v>
      </c>
      <c r="AE3856" s="160">
        <v>3854</v>
      </c>
    </row>
    <row r="3857" spans="27:31" x14ac:dyDescent="0.25">
      <c r="AA3857" s="160"/>
      <c r="AB3857" s="162"/>
      <c r="AC3857" s="162"/>
      <c r="AD3857" s="162">
        <f t="shared" si="80"/>
        <v>0</v>
      </c>
      <c r="AE3857" s="160">
        <v>3855</v>
      </c>
    </row>
    <row r="3858" spans="27:31" x14ac:dyDescent="0.25">
      <c r="AA3858" s="160"/>
      <c r="AB3858" s="162"/>
      <c r="AC3858" s="162"/>
      <c r="AD3858" s="162">
        <f t="shared" si="80"/>
        <v>0</v>
      </c>
      <c r="AE3858" s="160">
        <v>3856</v>
      </c>
    </row>
    <row r="3859" spans="27:31" x14ac:dyDescent="0.25">
      <c r="AA3859" s="160"/>
      <c r="AB3859" s="162"/>
      <c r="AC3859" s="162"/>
      <c r="AD3859" s="162">
        <f t="shared" si="80"/>
        <v>0</v>
      </c>
      <c r="AE3859" s="160">
        <v>3857</v>
      </c>
    </row>
    <row r="3860" spans="27:31" x14ac:dyDescent="0.25">
      <c r="AA3860" s="160"/>
      <c r="AB3860" s="162"/>
      <c r="AC3860" s="162"/>
      <c r="AD3860" s="162">
        <f t="shared" si="80"/>
        <v>0</v>
      </c>
      <c r="AE3860" s="160">
        <v>3858</v>
      </c>
    </row>
    <row r="3861" spans="27:31" x14ac:dyDescent="0.25">
      <c r="AA3861" s="160"/>
      <c r="AB3861" s="162"/>
      <c r="AC3861" s="162"/>
      <c r="AD3861" s="162">
        <f t="shared" si="80"/>
        <v>0</v>
      </c>
      <c r="AE3861" s="160">
        <v>3859</v>
      </c>
    </row>
    <row r="3862" spans="27:31" x14ac:dyDescent="0.25">
      <c r="AA3862" s="160"/>
      <c r="AB3862" s="162"/>
      <c r="AC3862" s="162"/>
      <c r="AD3862" s="162">
        <f t="shared" si="80"/>
        <v>0</v>
      </c>
      <c r="AE3862" s="160">
        <v>3860</v>
      </c>
    </row>
    <row r="3863" spans="27:31" x14ac:dyDescent="0.25">
      <c r="AA3863" s="160"/>
      <c r="AB3863" s="162"/>
      <c r="AC3863" s="162"/>
      <c r="AD3863" s="162">
        <f t="shared" si="80"/>
        <v>0</v>
      </c>
      <c r="AE3863" s="160">
        <v>3861</v>
      </c>
    </row>
    <row r="3864" spans="27:31" x14ac:dyDescent="0.25">
      <c r="AA3864" s="160"/>
      <c r="AB3864" s="162"/>
      <c r="AC3864" s="162"/>
      <c r="AD3864" s="162">
        <f t="shared" si="80"/>
        <v>0</v>
      </c>
      <c r="AE3864" s="160">
        <v>3862</v>
      </c>
    </row>
    <row r="3865" spans="27:31" x14ac:dyDescent="0.25">
      <c r="AA3865" s="160"/>
      <c r="AB3865" s="162"/>
      <c r="AC3865" s="162"/>
      <c r="AD3865" s="162">
        <f t="shared" si="80"/>
        <v>0</v>
      </c>
      <c r="AE3865" s="160">
        <v>3863</v>
      </c>
    </row>
    <row r="3866" spans="27:31" x14ac:dyDescent="0.25">
      <c r="AA3866" s="160"/>
      <c r="AB3866" s="162"/>
      <c r="AC3866" s="162"/>
      <c r="AD3866" s="162">
        <f t="shared" si="80"/>
        <v>0</v>
      </c>
      <c r="AE3866" s="160">
        <v>3864</v>
      </c>
    </row>
    <row r="3867" spans="27:31" x14ac:dyDescent="0.25">
      <c r="AA3867" s="160"/>
      <c r="AB3867" s="162"/>
      <c r="AC3867" s="162"/>
      <c r="AD3867" s="162">
        <f t="shared" si="80"/>
        <v>0</v>
      </c>
      <c r="AE3867" s="160">
        <v>3865</v>
      </c>
    </row>
    <row r="3868" spans="27:31" x14ac:dyDescent="0.25">
      <c r="AA3868" s="160"/>
      <c r="AB3868" s="162"/>
      <c r="AC3868" s="162"/>
      <c r="AD3868" s="162">
        <f t="shared" si="80"/>
        <v>0</v>
      </c>
      <c r="AE3868" s="160">
        <v>3866</v>
      </c>
    </row>
    <row r="3869" spans="27:31" x14ac:dyDescent="0.25">
      <c r="AA3869" s="160"/>
      <c r="AB3869" s="162"/>
      <c r="AC3869" s="162"/>
      <c r="AD3869" s="162">
        <f t="shared" si="80"/>
        <v>0</v>
      </c>
      <c r="AE3869" s="160">
        <v>3867</v>
      </c>
    </row>
    <row r="3870" spans="27:31" x14ac:dyDescent="0.25">
      <c r="AA3870" s="160"/>
      <c r="AB3870" s="162"/>
      <c r="AC3870" s="162"/>
      <c r="AD3870" s="162">
        <f t="shared" si="80"/>
        <v>0</v>
      </c>
      <c r="AE3870" s="160">
        <v>3868</v>
      </c>
    </row>
    <row r="3871" spans="27:31" x14ac:dyDescent="0.25">
      <c r="AA3871" s="160"/>
      <c r="AB3871" s="162"/>
      <c r="AC3871" s="162"/>
      <c r="AD3871" s="162">
        <f t="shared" si="80"/>
        <v>0</v>
      </c>
      <c r="AE3871" s="160">
        <v>3869</v>
      </c>
    </row>
    <row r="3872" spans="27:31" x14ac:dyDescent="0.25">
      <c r="AA3872" s="160"/>
      <c r="AB3872" s="162"/>
      <c r="AC3872" s="162"/>
      <c r="AD3872" s="162">
        <f t="shared" si="80"/>
        <v>0</v>
      </c>
      <c r="AE3872" s="160">
        <v>3870</v>
      </c>
    </row>
    <row r="3873" spans="27:31" x14ac:dyDescent="0.25">
      <c r="AA3873" s="160"/>
      <c r="AB3873" s="162"/>
      <c r="AC3873" s="162"/>
      <c r="AD3873" s="162">
        <f t="shared" si="80"/>
        <v>0</v>
      </c>
      <c r="AE3873" s="160">
        <v>3871</v>
      </c>
    </row>
    <row r="3874" spans="27:31" x14ac:dyDescent="0.25">
      <c r="AA3874" s="160"/>
      <c r="AB3874" s="162"/>
      <c r="AC3874" s="162"/>
      <c r="AD3874" s="162">
        <f t="shared" si="80"/>
        <v>0</v>
      </c>
      <c r="AE3874" s="160">
        <v>3872</v>
      </c>
    </row>
    <row r="3875" spans="27:31" x14ac:dyDescent="0.25">
      <c r="AA3875" s="160"/>
      <c r="AB3875" s="162"/>
      <c r="AC3875" s="162"/>
      <c r="AD3875" s="162">
        <f t="shared" si="80"/>
        <v>0</v>
      </c>
      <c r="AE3875" s="160">
        <v>3873</v>
      </c>
    </row>
    <row r="3876" spans="27:31" x14ac:dyDescent="0.25">
      <c r="AA3876" s="160"/>
      <c r="AB3876" s="162"/>
      <c r="AC3876" s="162"/>
      <c r="AD3876" s="162">
        <f t="shared" si="80"/>
        <v>0</v>
      </c>
      <c r="AE3876" s="160">
        <v>3874</v>
      </c>
    </row>
    <row r="3877" spans="27:31" x14ac:dyDescent="0.25">
      <c r="AA3877" s="160"/>
      <c r="AB3877" s="162"/>
      <c r="AC3877" s="162"/>
      <c r="AD3877" s="162">
        <f t="shared" si="80"/>
        <v>0</v>
      </c>
      <c r="AE3877" s="160">
        <v>3875</v>
      </c>
    </row>
    <row r="3878" spans="27:31" x14ac:dyDescent="0.25">
      <c r="AA3878" s="160"/>
      <c r="AB3878" s="162"/>
      <c r="AC3878" s="162"/>
      <c r="AD3878" s="162">
        <f t="shared" si="80"/>
        <v>0</v>
      </c>
      <c r="AE3878" s="160">
        <v>3876</v>
      </c>
    </row>
    <row r="3879" spans="27:31" x14ac:dyDescent="0.25">
      <c r="AA3879" s="160"/>
      <c r="AB3879" s="162"/>
      <c r="AC3879" s="162"/>
      <c r="AD3879" s="162">
        <f t="shared" si="80"/>
        <v>0</v>
      </c>
      <c r="AE3879" s="160">
        <v>3877</v>
      </c>
    </row>
    <row r="3880" spans="27:31" x14ac:dyDescent="0.25">
      <c r="AA3880" s="160"/>
      <c r="AB3880" s="162"/>
      <c r="AC3880" s="162"/>
      <c r="AD3880" s="162">
        <f t="shared" si="80"/>
        <v>0</v>
      </c>
      <c r="AE3880" s="160">
        <v>3878</v>
      </c>
    </row>
    <row r="3881" spans="27:31" x14ac:dyDescent="0.25">
      <c r="AA3881" s="160"/>
      <c r="AB3881" s="162"/>
      <c r="AC3881" s="162"/>
      <c r="AD3881" s="162">
        <f t="shared" si="80"/>
        <v>0</v>
      </c>
      <c r="AE3881" s="160">
        <v>3879</v>
      </c>
    </row>
    <row r="3882" spans="27:31" x14ac:dyDescent="0.25">
      <c r="AA3882" s="160"/>
      <c r="AB3882" s="162"/>
      <c r="AC3882" s="162"/>
      <c r="AD3882" s="162">
        <f t="shared" si="80"/>
        <v>0</v>
      </c>
      <c r="AE3882" s="160">
        <v>3880</v>
      </c>
    </row>
    <row r="3883" spans="27:31" x14ac:dyDescent="0.25">
      <c r="AA3883" s="160"/>
      <c r="AB3883" s="162"/>
      <c r="AC3883" s="162"/>
      <c r="AD3883" s="162">
        <f t="shared" si="80"/>
        <v>0</v>
      </c>
      <c r="AE3883" s="160">
        <v>3881</v>
      </c>
    </row>
    <row r="3884" spans="27:31" x14ac:dyDescent="0.25">
      <c r="AA3884" s="160"/>
      <c r="AB3884" s="162"/>
      <c r="AC3884" s="162"/>
      <c r="AD3884" s="162">
        <f t="shared" si="80"/>
        <v>0</v>
      </c>
      <c r="AE3884" s="160">
        <v>3882</v>
      </c>
    </row>
    <row r="3885" spans="27:31" x14ac:dyDescent="0.25">
      <c r="AA3885" s="160"/>
      <c r="AB3885" s="162"/>
      <c r="AC3885" s="162"/>
      <c r="AD3885" s="162">
        <f t="shared" si="80"/>
        <v>0</v>
      </c>
      <c r="AE3885" s="160">
        <v>3883</v>
      </c>
    </row>
    <row r="3886" spans="27:31" x14ac:dyDescent="0.25">
      <c r="AA3886" s="160"/>
      <c r="AB3886" s="162"/>
      <c r="AC3886" s="162"/>
      <c r="AD3886" s="162">
        <f t="shared" si="80"/>
        <v>0</v>
      </c>
      <c r="AE3886" s="160">
        <v>3884</v>
      </c>
    </row>
    <row r="3887" spans="27:31" x14ac:dyDescent="0.25">
      <c r="AA3887" s="160"/>
      <c r="AB3887" s="162"/>
      <c r="AC3887" s="162"/>
      <c r="AD3887" s="162">
        <f t="shared" si="80"/>
        <v>0</v>
      </c>
      <c r="AE3887" s="160">
        <v>3885</v>
      </c>
    </row>
    <row r="3888" spans="27:31" x14ac:dyDescent="0.25">
      <c r="AA3888" s="160"/>
      <c r="AB3888" s="162"/>
      <c r="AC3888" s="162"/>
      <c r="AD3888" s="162">
        <f t="shared" si="80"/>
        <v>0</v>
      </c>
      <c r="AE3888" s="160">
        <v>3886</v>
      </c>
    </row>
    <row r="3889" spans="27:31" x14ac:dyDescent="0.25">
      <c r="AA3889" s="160"/>
      <c r="AB3889" s="162"/>
      <c r="AC3889" s="162"/>
      <c r="AD3889" s="162">
        <f t="shared" si="80"/>
        <v>0</v>
      </c>
      <c r="AE3889" s="160">
        <v>3887</v>
      </c>
    </row>
    <row r="3890" spans="27:31" x14ac:dyDescent="0.25">
      <c r="AA3890" s="160"/>
      <c r="AB3890" s="162"/>
      <c r="AC3890" s="162"/>
      <c r="AD3890" s="162">
        <f t="shared" si="80"/>
        <v>0</v>
      </c>
      <c r="AE3890" s="160">
        <v>3888</v>
      </c>
    </row>
    <row r="3891" spans="27:31" x14ac:dyDescent="0.25">
      <c r="AA3891" s="160"/>
      <c r="AB3891" s="162"/>
      <c r="AC3891" s="162"/>
      <c r="AD3891" s="162">
        <f t="shared" si="80"/>
        <v>0</v>
      </c>
      <c r="AE3891" s="160">
        <v>3889</v>
      </c>
    </row>
    <row r="3892" spans="27:31" x14ac:dyDescent="0.25">
      <c r="AA3892" s="160"/>
      <c r="AB3892" s="162"/>
      <c r="AC3892" s="162"/>
      <c r="AD3892" s="162">
        <f t="shared" si="80"/>
        <v>0</v>
      </c>
      <c r="AE3892" s="160">
        <v>3890</v>
      </c>
    </row>
    <row r="3893" spans="27:31" x14ac:dyDescent="0.25">
      <c r="AA3893" s="160"/>
      <c r="AB3893" s="162"/>
      <c r="AC3893" s="162"/>
      <c r="AD3893" s="162">
        <f t="shared" si="80"/>
        <v>0</v>
      </c>
      <c r="AE3893" s="160">
        <v>3891</v>
      </c>
    </row>
    <row r="3894" spans="27:31" x14ac:dyDescent="0.25">
      <c r="AA3894" s="160"/>
      <c r="AB3894" s="162"/>
      <c r="AC3894" s="162"/>
      <c r="AD3894" s="162">
        <f t="shared" si="80"/>
        <v>0</v>
      </c>
      <c r="AE3894" s="160">
        <v>3892</v>
      </c>
    </row>
    <row r="3895" spans="27:31" x14ac:dyDescent="0.25">
      <c r="AA3895" s="160"/>
      <c r="AB3895" s="162"/>
      <c r="AC3895" s="162"/>
      <c r="AD3895" s="162">
        <f t="shared" si="80"/>
        <v>0</v>
      </c>
      <c r="AE3895" s="160">
        <v>3893</v>
      </c>
    </row>
    <row r="3896" spans="27:31" x14ac:dyDescent="0.25">
      <c r="AA3896" s="160"/>
      <c r="AB3896" s="162"/>
      <c r="AC3896" s="162"/>
      <c r="AD3896" s="162">
        <f t="shared" si="80"/>
        <v>0</v>
      </c>
      <c r="AE3896" s="160">
        <v>3894</v>
      </c>
    </row>
    <row r="3897" spans="27:31" x14ac:dyDescent="0.25">
      <c r="AA3897" s="160"/>
      <c r="AB3897" s="162"/>
      <c r="AC3897" s="162"/>
      <c r="AD3897" s="162">
        <f t="shared" si="80"/>
        <v>0</v>
      </c>
      <c r="AE3897" s="160">
        <v>3895</v>
      </c>
    </row>
    <row r="3898" spans="27:31" x14ac:dyDescent="0.25">
      <c r="AA3898" s="160"/>
      <c r="AB3898" s="162"/>
      <c r="AC3898" s="162"/>
      <c r="AD3898" s="162">
        <f t="shared" si="80"/>
        <v>0</v>
      </c>
      <c r="AE3898" s="160">
        <v>3896</v>
      </c>
    </row>
    <row r="3899" spans="27:31" x14ac:dyDescent="0.25">
      <c r="AA3899" s="160"/>
      <c r="AB3899" s="162"/>
      <c r="AC3899" s="162"/>
      <c r="AD3899" s="162">
        <f t="shared" si="80"/>
        <v>0</v>
      </c>
      <c r="AE3899" s="160">
        <v>3897</v>
      </c>
    </row>
    <row r="3900" spans="27:31" x14ac:dyDescent="0.25">
      <c r="AA3900" s="160"/>
      <c r="AB3900" s="162"/>
      <c r="AC3900" s="162"/>
      <c r="AD3900" s="162">
        <f t="shared" si="80"/>
        <v>0</v>
      </c>
      <c r="AE3900" s="160">
        <v>3898</v>
      </c>
    </row>
    <row r="3901" spans="27:31" x14ac:dyDescent="0.25">
      <c r="AA3901" s="160"/>
      <c r="AB3901" s="162"/>
      <c r="AC3901" s="162"/>
      <c r="AD3901" s="162">
        <f t="shared" si="80"/>
        <v>0</v>
      </c>
      <c r="AE3901" s="160">
        <v>3899</v>
      </c>
    </row>
    <row r="3902" spans="27:31" x14ac:dyDescent="0.25">
      <c r="AA3902" s="160"/>
      <c r="AB3902" s="162"/>
      <c r="AC3902" s="162"/>
      <c r="AD3902" s="162">
        <f t="shared" si="80"/>
        <v>0</v>
      </c>
      <c r="AE3902" s="160">
        <v>3900</v>
      </c>
    </row>
    <row r="3903" spans="27:31" x14ac:dyDescent="0.25">
      <c r="AA3903" s="160"/>
      <c r="AB3903" s="162"/>
      <c r="AC3903" s="162"/>
      <c r="AD3903" s="162">
        <f t="shared" si="80"/>
        <v>0</v>
      </c>
      <c r="AE3903" s="160">
        <v>3901</v>
      </c>
    </row>
    <row r="3904" spans="27:31" x14ac:dyDescent="0.25">
      <c r="AA3904" s="160"/>
      <c r="AB3904" s="162"/>
      <c r="AC3904" s="162"/>
      <c r="AD3904" s="162">
        <f t="shared" si="80"/>
        <v>0</v>
      </c>
      <c r="AE3904" s="160">
        <v>3902</v>
      </c>
    </row>
    <row r="3905" spans="27:31" x14ac:dyDescent="0.25">
      <c r="AA3905" s="160"/>
      <c r="AB3905" s="162"/>
      <c r="AC3905" s="162"/>
      <c r="AD3905" s="162">
        <f t="shared" si="80"/>
        <v>0</v>
      </c>
      <c r="AE3905" s="160">
        <v>3903</v>
      </c>
    </row>
    <row r="3906" spans="27:31" x14ac:dyDescent="0.25">
      <c r="AA3906" s="160"/>
      <c r="AB3906" s="162"/>
      <c r="AC3906" s="162"/>
      <c r="AD3906" s="162">
        <f t="shared" si="80"/>
        <v>0</v>
      </c>
      <c r="AE3906" s="160">
        <v>3904</v>
      </c>
    </row>
    <row r="3907" spans="27:31" x14ac:dyDescent="0.25">
      <c r="AA3907" s="160"/>
      <c r="AB3907" s="162"/>
      <c r="AC3907" s="162"/>
      <c r="AD3907" s="162">
        <f t="shared" si="80"/>
        <v>0</v>
      </c>
      <c r="AE3907" s="160">
        <v>3905</v>
      </c>
    </row>
    <row r="3908" spans="27:31" x14ac:dyDescent="0.25">
      <c r="AA3908" s="160"/>
      <c r="AB3908" s="162"/>
      <c r="AC3908" s="162"/>
      <c r="AD3908" s="162">
        <f t="shared" ref="AD3908:AD3971" si="81">AB3908+AC3908</f>
        <v>0</v>
      </c>
      <c r="AE3908" s="160">
        <v>3906</v>
      </c>
    </row>
    <row r="3909" spans="27:31" x14ac:dyDescent="0.25">
      <c r="AA3909" s="160"/>
      <c r="AB3909" s="162"/>
      <c r="AC3909" s="162"/>
      <c r="AD3909" s="162">
        <f t="shared" si="81"/>
        <v>0</v>
      </c>
      <c r="AE3909" s="160">
        <v>3907</v>
      </c>
    </row>
    <row r="3910" spans="27:31" x14ac:dyDescent="0.25">
      <c r="AA3910" s="160"/>
      <c r="AB3910" s="162"/>
      <c r="AC3910" s="162"/>
      <c r="AD3910" s="162">
        <f t="shared" si="81"/>
        <v>0</v>
      </c>
      <c r="AE3910" s="160">
        <v>3908</v>
      </c>
    </row>
    <row r="3911" spans="27:31" x14ac:dyDescent="0.25">
      <c r="AA3911" s="160"/>
      <c r="AB3911" s="162"/>
      <c r="AC3911" s="162"/>
      <c r="AD3911" s="162">
        <f t="shared" si="81"/>
        <v>0</v>
      </c>
      <c r="AE3911" s="160">
        <v>3909</v>
      </c>
    </row>
    <row r="3912" spans="27:31" x14ac:dyDescent="0.25">
      <c r="AA3912" s="160"/>
      <c r="AB3912" s="162"/>
      <c r="AC3912" s="162"/>
      <c r="AD3912" s="162">
        <f t="shared" si="81"/>
        <v>0</v>
      </c>
      <c r="AE3912" s="160">
        <v>3910</v>
      </c>
    </row>
    <row r="3913" spans="27:31" x14ac:dyDescent="0.25">
      <c r="AA3913" s="160"/>
      <c r="AB3913" s="162"/>
      <c r="AC3913" s="162"/>
      <c r="AD3913" s="162">
        <f t="shared" si="81"/>
        <v>0</v>
      </c>
      <c r="AE3913" s="160">
        <v>3911</v>
      </c>
    </row>
    <row r="3914" spans="27:31" x14ac:dyDescent="0.25">
      <c r="AA3914" s="160"/>
      <c r="AB3914" s="162"/>
      <c r="AC3914" s="162"/>
      <c r="AD3914" s="162">
        <f t="shared" si="81"/>
        <v>0</v>
      </c>
      <c r="AE3914" s="160">
        <v>3912</v>
      </c>
    </row>
    <row r="3915" spans="27:31" x14ac:dyDescent="0.25">
      <c r="AA3915" s="160"/>
      <c r="AB3915" s="162"/>
      <c r="AC3915" s="162"/>
      <c r="AD3915" s="162">
        <f t="shared" si="81"/>
        <v>0</v>
      </c>
      <c r="AE3915" s="160">
        <v>3913</v>
      </c>
    </row>
    <row r="3916" spans="27:31" x14ac:dyDescent="0.25">
      <c r="AA3916" s="160"/>
      <c r="AB3916" s="162"/>
      <c r="AC3916" s="162"/>
      <c r="AD3916" s="162">
        <f t="shared" si="81"/>
        <v>0</v>
      </c>
      <c r="AE3916" s="160">
        <v>3914</v>
      </c>
    </row>
    <row r="3917" spans="27:31" x14ac:dyDescent="0.25">
      <c r="AA3917" s="160"/>
      <c r="AB3917" s="162"/>
      <c r="AC3917" s="162"/>
      <c r="AD3917" s="162">
        <f t="shared" si="81"/>
        <v>0</v>
      </c>
      <c r="AE3917" s="160">
        <v>3915</v>
      </c>
    </row>
    <row r="3918" spans="27:31" x14ac:dyDescent="0.25">
      <c r="AA3918" s="160"/>
      <c r="AB3918" s="162"/>
      <c r="AC3918" s="162"/>
      <c r="AD3918" s="162">
        <f t="shared" si="81"/>
        <v>0</v>
      </c>
      <c r="AE3918" s="160">
        <v>3916</v>
      </c>
    </row>
    <row r="3919" spans="27:31" x14ac:dyDescent="0.25">
      <c r="AA3919" s="160"/>
      <c r="AB3919" s="162"/>
      <c r="AC3919" s="162"/>
      <c r="AD3919" s="162">
        <f t="shared" si="81"/>
        <v>0</v>
      </c>
      <c r="AE3919" s="160">
        <v>3917</v>
      </c>
    </row>
    <row r="3920" spans="27:31" x14ac:dyDescent="0.25">
      <c r="AA3920" s="160"/>
      <c r="AB3920" s="162"/>
      <c r="AC3920" s="162"/>
      <c r="AD3920" s="162">
        <f t="shared" si="81"/>
        <v>0</v>
      </c>
      <c r="AE3920" s="160">
        <v>3918</v>
      </c>
    </row>
    <row r="3921" spans="27:31" x14ac:dyDescent="0.25">
      <c r="AA3921" s="160"/>
      <c r="AB3921" s="162"/>
      <c r="AC3921" s="162"/>
      <c r="AD3921" s="162">
        <f t="shared" si="81"/>
        <v>0</v>
      </c>
      <c r="AE3921" s="160">
        <v>3919</v>
      </c>
    </row>
    <row r="3922" spans="27:31" x14ac:dyDescent="0.25">
      <c r="AA3922" s="160"/>
      <c r="AB3922" s="162"/>
      <c r="AC3922" s="162"/>
      <c r="AD3922" s="162">
        <f t="shared" si="81"/>
        <v>0</v>
      </c>
      <c r="AE3922" s="160">
        <v>3920</v>
      </c>
    </row>
    <row r="3923" spans="27:31" x14ac:dyDescent="0.25">
      <c r="AA3923" s="160"/>
      <c r="AB3923" s="162"/>
      <c r="AC3923" s="162"/>
      <c r="AD3923" s="162">
        <f t="shared" si="81"/>
        <v>0</v>
      </c>
      <c r="AE3923" s="160">
        <v>3921</v>
      </c>
    </row>
    <row r="3924" spans="27:31" x14ac:dyDescent="0.25">
      <c r="AA3924" s="160"/>
      <c r="AB3924" s="162"/>
      <c r="AC3924" s="162"/>
      <c r="AD3924" s="162">
        <f t="shared" si="81"/>
        <v>0</v>
      </c>
      <c r="AE3924" s="160">
        <v>3922</v>
      </c>
    </row>
    <row r="3925" spans="27:31" x14ac:dyDescent="0.25">
      <c r="AA3925" s="160"/>
      <c r="AB3925" s="162"/>
      <c r="AC3925" s="162"/>
      <c r="AD3925" s="162">
        <f t="shared" si="81"/>
        <v>0</v>
      </c>
      <c r="AE3925" s="160">
        <v>3923</v>
      </c>
    </row>
    <row r="3926" spans="27:31" x14ac:dyDescent="0.25">
      <c r="AA3926" s="160"/>
      <c r="AB3926" s="162"/>
      <c r="AC3926" s="162"/>
      <c r="AD3926" s="162">
        <f t="shared" si="81"/>
        <v>0</v>
      </c>
      <c r="AE3926" s="160">
        <v>3924</v>
      </c>
    </row>
    <row r="3927" spans="27:31" x14ac:dyDescent="0.25">
      <c r="AA3927" s="160"/>
      <c r="AB3927" s="162"/>
      <c r="AC3927" s="162"/>
      <c r="AD3927" s="162">
        <f t="shared" si="81"/>
        <v>0</v>
      </c>
      <c r="AE3927" s="160">
        <v>3925</v>
      </c>
    </row>
    <row r="3928" spans="27:31" x14ac:dyDescent="0.25">
      <c r="AA3928" s="160"/>
      <c r="AB3928" s="162"/>
      <c r="AC3928" s="162"/>
      <c r="AD3928" s="162">
        <f t="shared" si="81"/>
        <v>0</v>
      </c>
      <c r="AE3928" s="160">
        <v>3926</v>
      </c>
    </row>
    <row r="3929" spans="27:31" x14ac:dyDescent="0.25">
      <c r="AA3929" s="160"/>
      <c r="AB3929" s="162"/>
      <c r="AC3929" s="162"/>
      <c r="AD3929" s="162">
        <f t="shared" si="81"/>
        <v>0</v>
      </c>
      <c r="AE3929" s="160">
        <v>3927</v>
      </c>
    </row>
    <row r="3930" spans="27:31" x14ac:dyDescent="0.25">
      <c r="AA3930" s="160"/>
      <c r="AB3930" s="162"/>
      <c r="AC3930" s="162"/>
      <c r="AD3930" s="162">
        <f t="shared" si="81"/>
        <v>0</v>
      </c>
      <c r="AE3930" s="160">
        <v>3928</v>
      </c>
    </row>
    <row r="3931" spans="27:31" x14ac:dyDescent="0.25">
      <c r="AA3931" s="160"/>
      <c r="AB3931" s="162"/>
      <c r="AC3931" s="162"/>
      <c r="AD3931" s="162">
        <f t="shared" si="81"/>
        <v>0</v>
      </c>
      <c r="AE3931" s="160">
        <v>3929</v>
      </c>
    </row>
    <row r="3932" spans="27:31" x14ac:dyDescent="0.25">
      <c r="AA3932" s="160"/>
      <c r="AB3932" s="162"/>
      <c r="AC3932" s="162"/>
      <c r="AD3932" s="162">
        <f t="shared" si="81"/>
        <v>0</v>
      </c>
      <c r="AE3932" s="160">
        <v>3930</v>
      </c>
    </row>
    <row r="3933" spans="27:31" x14ac:dyDescent="0.25">
      <c r="AA3933" s="160"/>
      <c r="AB3933" s="162"/>
      <c r="AC3933" s="162"/>
      <c r="AD3933" s="162">
        <f t="shared" si="81"/>
        <v>0</v>
      </c>
      <c r="AE3933" s="160">
        <v>3931</v>
      </c>
    </row>
    <row r="3934" spans="27:31" x14ac:dyDescent="0.25">
      <c r="AA3934" s="160"/>
      <c r="AB3934" s="162"/>
      <c r="AC3934" s="162"/>
      <c r="AD3934" s="162">
        <f t="shared" si="81"/>
        <v>0</v>
      </c>
      <c r="AE3934" s="160">
        <v>3932</v>
      </c>
    </row>
    <row r="3935" spans="27:31" x14ac:dyDescent="0.25">
      <c r="AA3935" s="160"/>
      <c r="AB3935" s="162"/>
      <c r="AC3935" s="162"/>
      <c r="AD3935" s="162">
        <f t="shared" si="81"/>
        <v>0</v>
      </c>
      <c r="AE3935" s="160">
        <v>3933</v>
      </c>
    </row>
    <row r="3936" spans="27:31" x14ac:dyDescent="0.25">
      <c r="AA3936" s="160"/>
      <c r="AB3936" s="162"/>
      <c r="AC3936" s="162"/>
      <c r="AD3936" s="162">
        <f t="shared" si="81"/>
        <v>0</v>
      </c>
      <c r="AE3936" s="160">
        <v>3934</v>
      </c>
    </row>
    <row r="3937" spans="27:31" x14ac:dyDescent="0.25">
      <c r="AA3937" s="160"/>
      <c r="AB3937" s="162"/>
      <c r="AC3937" s="162"/>
      <c r="AD3937" s="162">
        <f t="shared" si="81"/>
        <v>0</v>
      </c>
      <c r="AE3937" s="160">
        <v>3935</v>
      </c>
    </row>
    <row r="3938" spans="27:31" x14ac:dyDescent="0.25">
      <c r="AA3938" s="160"/>
      <c r="AB3938" s="162"/>
      <c r="AC3938" s="162"/>
      <c r="AD3938" s="162">
        <f t="shared" si="81"/>
        <v>0</v>
      </c>
      <c r="AE3938" s="160">
        <v>3936</v>
      </c>
    </row>
    <row r="3939" spans="27:31" x14ac:dyDescent="0.25">
      <c r="AA3939" s="160"/>
      <c r="AB3939" s="162"/>
      <c r="AC3939" s="162"/>
      <c r="AD3939" s="162">
        <f t="shared" si="81"/>
        <v>0</v>
      </c>
      <c r="AE3939" s="160">
        <v>3937</v>
      </c>
    </row>
    <row r="3940" spans="27:31" x14ac:dyDescent="0.25">
      <c r="AA3940" s="160"/>
      <c r="AB3940" s="162"/>
      <c r="AC3940" s="162"/>
      <c r="AD3940" s="162">
        <f t="shared" si="81"/>
        <v>0</v>
      </c>
      <c r="AE3940" s="160">
        <v>3938</v>
      </c>
    </row>
    <row r="3941" spans="27:31" x14ac:dyDescent="0.25">
      <c r="AA3941" s="160"/>
      <c r="AB3941" s="162"/>
      <c r="AC3941" s="162"/>
      <c r="AD3941" s="162">
        <f t="shared" si="81"/>
        <v>0</v>
      </c>
      <c r="AE3941" s="160">
        <v>3939</v>
      </c>
    </row>
    <row r="3942" spans="27:31" x14ac:dyDescent="0.25">
      <c r="AA3942" s="160"/>
      <c r="AB3942" s="162"/>
      <c r="AC3942" s="162"/>
      <c r="AD3942" s="162">
        <f t="shared" si="81"/>
        <v>0</v>
      </c>
      <c r="AE3942" s="160">
        <v>3940</v>
      </c>
    </row>
    <row r="3943" spans="27:31" x14ac:dyDescent="0.25">
      <c r="AA3943" s="160"/>
      <c r="AB3943" s="162"/>
      <c r="AC3943" s="162"/>
      <c r="AD3943" s="162">
        <f t="shared" si="81"/>
        <v>0</v>
      </c>
      <c r="AE3943" s="160">
        <v>3941</v>
      </c>
    </row>
    <row r="3944" spans="27:31" x14ac:dyDescent="0.25">
      <c r="AA3944" s="160"/>
      <c r="AB3944" s="162"/>
      <c r="AC3944" s="162"/>
      <c r="AD3944" s="162">
        <f t="shared" si="81"/>
        <v>0</v>
      </c>
      <c r="AE3944" s="160">
        <v>3942</v>
      </c>
    </row>
    <row r="3945" spans="27:31" x14ac:dyDescent="0.25">
      <c r="AA3945" s="160"/>
      <c r="AB3945" s="162"/>
      <c r="AC3945" s="162"/>
      <c r="AD3945" s="162">
        <f t="shared" si="81"/>
        <v>0</v>
      </c>
      <c r="AE3945" s="160">
        <v>3943</v>
      </c>
    </row>
    <row r="3946" spans="27:31" x14ac:dyDescent="0.25">
      <c r="AA3946" s="160"/>
      <c r="AB3946" s="162"/>
      <c r="AC3946" s="162"/>
      <c r="AD3946" s="162">
        <f t="shared" si="81"/>
        <v>0</v>
      </c>
      <c r="AE3946" s="160">
        <v>3944</v>
      </c>
    </row>
    <row r="3947" spans="27:31" x14ac:dyDescent="0.25">
      <c r="AA3947" s="160"/>
      <c r="AB3947" s="162"/>
      <c r="AC3947" s="162"/>
      <c r="AD3947" s="162">
        <f t="shared" si="81"/>
        <v>0</v>
      </c>
      <c r="AE3947" s="160">
        <v>3945</v>
      </c>
    </row>
    <row r="3948" spans="27:31" x14ac:dyDescent="0.25">
      <c r="AA3948" s="160"/>
      <c r="AB3948" s="162"/>
      <c r="AC3948" s="162"/>
      <c r="AD3948" s="162">
        <f t="shared" si="81"/>
        <v>0</v>
      </c>
      <c r="AE3948" s="160">
        <v>3946</v>
      </c>
    </row>
    <row r="3949" spans="27:31" x14ac:dyDescent="0.25">
      <c r="AA3949" s="160"/>
      <c r="AB3949" s="162"/>
      <c r="AC3949" s="162"/>
      <c r="AD3949" s="162">
        <f t="shared" si="81"/>
        <v>0</v>
      </c>
      <c r="AE3949" s="160">
        <v>3947</v>
      </c>
    </row>
    <row r="3950" spans="27:31" x14ac:dyDescent="0.25">
      <c r="AA3950" s="160"/>
      <c r="AB3950" s="162"/>
      <c r="AC3950" s="162"/>
      <c r="AD3950" s="162">
        <f t="shared" si="81"/>
        <v>0</v>
      </c>
      <c r="AE3950" s="160">
        <v>3948</v>
      </c>
    </row>
    <row r="3951" spans="27:31" x14ac:dyDescent="0.25">
      <c r="AA3951" s="160"/>
      <c r="AB3951" s="162"/>
      <c r="AC3951" s="162"/>
      <c r="AD3951" s="162">
        <f t="shared" si="81"/>
        <v>0</v>
      </c>
      <c r="AE3951" s="160">
        <v>3949</v>
      </c>
    </row>
    <row r="3952" spans="27:31" x14ac:dyDescent="0.25">
      <c r="AA3952" s="160"/>
      <c r="AB3952" s="162"/>
      <c r="AC3952" s="162"/>
      <c r="AD3952" s="162">
        <f t="shared" si="81"/>
        <v>0</v>
      </c>
      <c r="AE3952" s="160">
        <v>3950</v>
      </c>
    </row>
    <row r="3953" spans="27:31" x14ac:dyDescent="0.25">
      <c r="AA3953" s="160"/>
      <c r="AB3953" s="162"/>
      <c r="AC3953" s="162"/>
      <c r="AD3953" s="162">
        <f t="shared" si="81"/>
        <v>0</v>
      </c>
      <c r="AE3953" s="160">
        <v>3951</v>
      </c>
    </row>
    <row r="3954" spans="27:31" x14ac:dyDescent="0.25">
      <c r="AA3954" s="160"/>
      <c r="AB3954" s="162"/>
      <c r="AC3954" s="162"/>
      <c r="AD3954" s="162">
        <f t="shared" si="81"/>
        <v>0</v>
      </c>
      <c r="AE3954" s="160">
        <v>3952</v>
      </c>
    </row>
    <row r="3955" spans="27:31" x14ac:dyDescent="0.25">
      <c r="AA3955" s="160"/>
      <c r="AB3955" s="162"/>
      <c r="AC3955" s="162"/>
      <c r="AD3955" s="162">
        <f t="shared" si="81"/>
        <v>0</v>
      </c>
      <c r="AE3955" s="160">
        <v>3953</v>
      </c>
    </row>
    <row r="3956" spans="27:31" x14ac:dyDescent="0.25">
      <c r="AA3956" s="160"/>
      <c r="AB3956" s="162"/>
      <c r="AC3956" s="162"/>
      <c r="AD3956" s="162">
        <f t="shared" si="81"/>
        <v>0</v>
      </c>
      <c r="AE3956" s="160">
        <v>3954</v>
      </c>
    </row>
    <row r="3957" spans="27:31" x14ac:dyDescent="0.25">
      <c r="AA3957" s="160"/>
      <c r="AB3957" s="162"/>
      <c r="AC3957" s="162"/>
      <c r="AD3957" s="162">
        <f t="shared" si="81"/>
        <v>0</v>
      </c>
      <c r="AE3957" s="160">
        <v>3955</v>
      </c>
    </row>
    <row r="3958" spans="27:31" x14ac:dyDescent="0.25">
      <c r="AA3958" s="160"/>
      <c r="AB3958" s="162"/>
      <c r="AC3958" s="162"/>
      <c r="AD3958" s="162">
        <f t="shared" si="81"/>
        <v>0</v>
      </c>
      <c r="AE3958" s="160">
        <v>3956</v>
      </c>
    </row>
    <row r="3959" spans="27:31" x14ac:dyDescent="0.25">
      <c r="AA3959" s="160"/>
      <c r="AB3959" s="162"/>
      <c r="AC3959" s="162"/>
      <c r="AD3959" s="162">
        <f t="shared" si="81"/>
        <v>0</v>
      </c>
      <c r="AE3959" s="160">
        <v>3957</v>
      </c>
    </row>
    <row r="3960" spans="27:31" x14ac:dyDescent="0.25">
      <c r="AA3960" s="160"/>
      <c r="AB3960" s="162"/>
      <c r="AC3960" s="162"/>
      <c r="AD3960" s="162">
        <f t="shared" si="81"/>
        <v>0</v>
      </c>
      <c r="AE3960" s="160">
        <v>3958</v>
      </c>
    </row>
    <row r="3961" spans="27:31" x14ac:dyDescent="0.25">
      <c r="AA3961" s="160"/>
      <c r="AB3961" s="162"/>
      <c r="AC3961" s="162"/>
      <c r="AD3961" s="162">
        <f t="shared" si="81"/>
        <v>0</v>
      </c>
      <c r="AE3961" s="160">
        <v>3959</v>
      </c>
    </row>
    <row r="3962" spans="27:31" x14ac:dyDescent="0.25">
      <c r="AA3962" s="160"/>
      <c r="AB3962" s="162"/>
      <c r="AC3962" s="162"/>
      <c r="AD3962" s="162">
        <f t="shared" si="81"/>
        <v>0</v>
      </c>
      <c r="AE3962" s="160">
        <v>3960</v>
      </c>
    </row>
    <row r="3963" spans="27:31" x14ac:dyDescent="0.25">
      <c r="AA3963" s="160"/>
      <c r="AB3963" s="162"/>
      <c r="AC3963" s="162"/>
      <c r="AD3963" s="162">
        <f t="shared" si="81"/>
        <v>0</v>
      </c>
      <c r="AE3963" s="160">
        <v>3961</v>
      </c>
    </row>
    <row r="3964" spans="27:31" x14ac:dyDescent="0.25">
      <c r="AA3964" s="160"/>
      <c r="AB3964" s="162"/>
      <c r="AC3964" s="162"/>
      <c r="AD3964" s="162">
        <f t="shared" si="81"/>
        <v>0</v>
      </c>
      <c r="AE3964" s="160">
        <v>3962</v>
      </c>
    </row>
    <row r="3965" spans="27:31" x14ac:dyDescent="0.25">
      <c r="AA3965" s="160"/>
      <c r="AB3965" s="162"/>
      <c r="AC3965" s="162"/>
      <c r="AD3965" s="162">
        <f t="shared" si="81"/>
        <v>0</v>
      </c>
      <c r="AE3965" s="160">
        <v>3963</v>
      </c>
    </row>
    <row r="3966" spans="27:31" x14ac:dyDescent="0.25">
      <c r="AA3966" s="160"/>
      <c r="AB3966" s="162"/>
      <c r="AC3966" s="162"/>
      <c r="AD3966" s="162">
        <f t="shared" si="81"/>
        <v>0</v>
      </c>
      <c r="AE3966" s="160">
        <v>3964</v>
      </c>
    </row>
    <row r="3967" spans="27:31" x14ac:dyDescent="0.25">
      <c r="AA3967" s="160"/>
      <c r="AB3967" s="162"/>
      <c r="AC3967" s="162"/>
      <c r="AD3967" s="162">
        <f t="shared" si="81"/>
        <v>0</v>
      </c>
      <c r="AE3967" s="160">
        <v>3965</v>
      </c>
    </row>
    <row r="3968" spans="27:31" x14ac:dyDescent="0.25">
      <c r="AA3968" s="160"/>
      <c r="AB3968" s="162"/>
      <c r="AC3968" s="162"/>
      <c r="AD3968" s="162">
        <f t="shared" si="81"/>
        <v>0</v>
      </c>
      <c r="AE3968" s="160">
        <v>3966</v>
      </c>
    </row>
    <row r="3969" spans="27:31" x14ac:dyDescent="0.25">
      <c r="AA3969" s="160"/>
      <c r="AB3969" s="162"/>
      <c r="AC3969" s="162"/>
      <c r="AD3969" s="162">
        <f t="shared" si="81"/>
        <v>0</v>
      </c>
      <c r="AE3969" s="160">
        <v>3967</v>
      </c>
    </row>
    <row r="3970" spans="27:31" x14ac:dyDescent="0.25">
      <c r="AA3970" s="160"/>
      <c r="AB3970" s="162"/>
      <c r="AC3970" s="162"/>
      <c r="AD3970" s="162">
        <f t="shared" si="81"/>
        <v>0</v>
      </c>
      <c r="AE3970" s="160">
        <v>3968</v>
      </c>
    </row>
    <row r="3971" spans="27:31" x14ac:dyDescent="0.25">
      <c r="AA3971" s="160"/>
      <c r="AB3971" s="162"/>
      <c r="AC3971" s="162"/>
      <c r="AD3971" s="162">
        <f t="shared" si="81"/>
        <v>0</v>
      </c>
      <c r="AE3971" s="160">
        <v>3969</v>
      </c>
    </row>
    <row r="3972" spans="27:31" x14ac:dyDescent="0.25">
      <c r="AA3972" s="160"/>
      <c r="AB3972" s="162"/>
      <c r="AC3972" s="162"/>
      <c r="AD3972" s="162">
        <f t="shared" ref="AD3972:AD4035" si="82">AB3972+AC3972</f>
        <v>0</v>
      </c>
      <c r="AE3972" s="160">
        <v>3970</v>
      </c>
    </row>
    <row r="3973" spans="27:31" x14ac:dyDescent="0.25">
      <c r="AA3973" s="160"/>
      <c r="AB3973" s="162"/>
      <c r="AC3973" s="162"/>
      <c r="AD3973" s="162">
        <f t="shared" si="82"/>
        <v>0</v>
      </c>
      <c r="AE3973" s="160">
        <v>3971</v>
      </c>
    </row>
    <row r="3974" spans="27:31" x14ac:dyDescent="0.25">
      <c r="AA3974" s="160"/>
      <c r="AB3974" s="162"/>
      <c r="AC3974" s="162"/>
      <c r="AD3974" s="162">
        <f t="shared" si="82"/>
        <v>0</v>
      </c>
      <c r="AE3974" s="160">
        <v>3972</v>
      </c>
    </row>
    <row r="3975" spans="27:31" x14ac:dyDescent="0.25">
      <c r="AA3975" s="160"/>
      <c r="AB3975" s="162"/>
      <c r="AC3975" s="162"/>
      <c r="AD3975" s="162">
        <f t="shared" si="82"/>
        <v>0</v>
      </c>
      <c r="AE3975" s="160">
        <v>3973</v>
      </c>
    </row>
    <row r="3976" spans="27:31" x14ac:dyDescent="0.25">
      <c r="AA3976" s="160"/>
      <c r="AB3976" s="162"/>
      <c r="AC3976" s="162"/>
      <c r="AD3976" s="162">
        <f t="shared" si="82"/>
        <v>0</v>
      </c>
      <c r="AE3976" s="160">
        <v>3974</v>
      </c>
    </row>
    <row r="3977" spans="27:31" x14ac:dyDescent="0.25">
      <c r="AA3977" s="160"/>
      <c r="AB3977" s="162"/>
      <c r="AC3977" s="162"/>
      <c r="AD3977" s="162">
        <f t="shared" si="82"/>
        <v>0</v>
      </c>
      <c r="AE3977" s="160">
        <v>3975</v>
      </c>
    </row>
    <row r="3978" spans="27:31" x14ac:dyDescent="0.25">
      <c r="AA3978" s="160"/>
      <c r="AB3978" s="162"/>
      <c r="AC3978" s="162"/>
      <c r="AD3978" s="162">
        <f t="shared" si="82"/>
        <v>0</v>
      </c>
      <c r="AE3978" s="160">
        <v>3976</v>
      </c>
    </row>
    <row r="3979" spans="27:31" x14ac:dyDescent="0.25">
      <c r="AA3979" s="160"/>
      <c r="AB3979" s="162"/>
      <c r="AC3979" s="162"/>
      <c r="AD3979" s="162">
        <f t="shared" si="82"/>
        <v>0</v>
      </c>
      <c r="AE3979" s="160">
        <v>3977</v>
      </c>
    </row>
    <row r="3980" spans="27:31" x14ac:dyDescent="0.25">
      <c r="AA3980" s="160"/>
      <c r="AB3980" s="162"/>
      <c r="AC3980" s="162"/>
      <c r="AD3980" s="162">
        <f t="shared" si="82"/>
        <v>0</v>
      </c>
      <c r="AE3980" s="160">
        <v>3978</v>
      </c>
    </row>
    <row r="3981" spans="27:31" x14ac:dyDescent="0.25">
      <c r="AA3981" s="160"/>
      <c r="AB3981" s="162"/>
      <c r="AC3981" s="162"/>
      <c r="AD3981" s="162">
        <f t="shared" si="82"/>
        <v>0</v>
      </c>
      <c r="AE3981" s="160">
        <v>3979</v>
      </c>
    </row>
    <row r="3982" spans="27:31" x14ac:dyDescent="0.25">
      <c r="AA3982" s="160"/>
      <c r="AB3982" s="162"/>
      <c r="AC3982" s="162"/>
      <c r="AD3982" s="162">
        <f t="shared" si="82"/>
        <v>0</v>
      </c>
      <c r="AE3982" s="160">
        <v>3980</v>
      </c>
    </row>
    <row r="3983" spans="27:31" x14ac:dyDescent="0.25">
      <c r="AA3983" s="160"/>
      <c r="AB3983" s="162"/>
      <c r="AC3983" s="162"/>
      <c r="AD3983" s="162">
        <f t="shared" si="82"/>
        <v>0</v>
      </c>
      <c r="AE3983" s="160">
        <v>3981</v>
      </c>
    </row>
    <row r="3984" spans="27:31" x14ac:dyDescent="0.25">
      <c r="AA3984" s="160"/>
      <c r="AB3984" s="162"/>
      <c r="AC3984" s="162"/>
      <c r="AD3984" s="162">
        <f t="shared" si="82"/>
        <v>0</v>
      </c>
      <c r="AE3984" s="160">
        <v>3982</v>
      </c>
    </row>
    <row r="3985" spans="27:31" x14ac:dyDescent="0.25">
      <c r="AA3985" s="160"/>
      <c r="AB3985" s="162"/>
      <c r="AC3985" s="162"/>
      <c r="AD3985" s="162">
        <f t="shared" si="82"/>
        <v>0</v>
      </c>
      <c r="AE3985" s="160">
        <v>3983</v>
      </c>
    </row>
    <row r="3986" spans="27:31" x14ac:dyDescent="0.25">
      <c r="AA3986" s="160"/>
      <c r="AB3986" s="162"/>
      <c r="AC3986" s="162"/>
      <c r="AD3986" s="162">
        <f t="shared" si="82"/>
        <v>0</v>
      </c>
      <c r="AE3986" s="160">
        <v>3984</v>
      </c>
    </row>
    <row r="3987" spans="27:31" x14ac:dyDescent="0.25">
      <c r="AA3987" s="160"/>
      <c r="AB3987" s="162"/>
      <c r="AC3987" s="162"/>
      <c r="AD3987" s="162">
        <f t="shared" si="82"/>
        <v>0</v>
      </c>
      <c r="AE3987" s="160">
        <v>3985</v>
      </c>
    </row>
    <row r="3988" spans="27:31" x14ac:dyDescent="0.25">
      <c r="AA3988" s="160"/>
      <c r="AB3988" s="162"/>
      <c r="AC3988" s="162"/>
      <c r="AD3988" s="162">
        <f t="shared" si="82"/>
        <v>0</v>
      </c>
      <c r="AE3988" s="160">
        <v>3986</v>
      </c>
    </row>
    <row r="3989" spans="27:31" x14ac:dyDescent="0.25">
      <c r="AA3989" s="160"/>
      <c r="AB3989" s="162"/>
      <c r="AC3989" s="162"/>
      <c r="AD3989" s="162">
        <f t="shared" si="82"/>
        <v>0</v>
      </c>
      <c r="AE3989" s="160">
        <v>3987</v>
      </c>
    </row>
    <row r="3990" spans="27:31" x14ac:dyDescent="0.25">
      <c r="AA3990" s="160"/>
      <c r="AB3990" s="162"/>
      <c r="AC3990" s="162"/>
      <c r="AD3990" s="162">
        <f t="shared" si="82"/>
        <v>0</v>
      </c>
      <c r="AE3990" s="160">
        <v>3988</v>
      </c>
    </row>
    <row r="3991" spans="27:31" x14ac:dyDescent="0.25">
      <c r="AA3991" s="160"/>
      <c r="AB3991" s="162"/>
      <c r="AC3991" s="162"/>
      <c r="AD3991" s="162">
        <f t="shared" si="82"/>
        <v>0</v>
      </c>
      <c r="AE3991" s="160">
        <v>3989</v>
      </c>
    </row>
    <row r="3992" spans="27:31" x14ac:dyDescent="0.25">
      <c r="AA3992" s="160"/>
      <c r="AB3992" s="162"/>
      <c r="AC3992" s="162"/>
      <c r="AD3992" s="162">
        <f t="shared" si="82"/>
        <v>0</v>
      </c>
      <c r="AE3992" s="160">
        <v>3990</v>
      </c>
    </row>
    <row r="3993" spans="27:31" x14ac:dyDescent="0.25">
      <c r="AA3993" s="160"/>
      <c r="AB3993" s="162"/>
      <c r="AC3993" s="162"/>
      <c r="AD3993" s="162">
        <f t="shared" si="82"/>
        <v>0</v>
      </c>
      <c r="AE3993" s="160">
        <v>3991</v>
      </c>
    </row>
    <row r="3994" spans="27:31" x14ac:dyDescent="0.25">
      <c r="AA3994" s="160"/>
      <c r="AB3994" s="162"/>
      <c r="AC3994" s="162"/>
      <c r="AD3994" s="162">
        <f t="shared" si="82"/>
        <v>0</v>
      </c>
      <c r="AE3994" s="160">
        <v>3992</v>
      </c>
    </row>
    <row r="3995" spans="27:31" x14ac:dyDescent="0.25">
      <c r="AA3995" s="160"/>
      <c r="AB3995" s="162"/>
      <c r="AC3995" s="162"/>
      <c r="AD3995" s="162">
        <f t="shared" si="82"/>
        <v>0</v>
      </c>
      <c r="AE3995" s="160">
        <v>3993</v>
      </c>
    </row>
    <row r="3996" spans="27:31" x14ac:dyDescent="0.25">
      <c r="AA3996" s="160"/>
      <c r="AB3996" s="162"/>
      <c r="AC3996" s="162"/>
      <c r="AD3996" s="162">
        <f t="shared" si="82"/>
        <v>0</v>
      </c>
      <c r="AE3996" s="160">
        <v>3994</v>
      </c>
    </row>
    <row r="3997" spans="27:31" x14ac:dyDescent="0.25">
      <c r="AA3997" s="160"/>
      <c r="AB3997" s="162"/>
      <c r="AC3997" s="162"/>
      <c r="AD3997" s="162">
        <f t="shared" si="82"/>
        <v>0</v>
      </c>
      <c r="AE3997" s="160">
        <v>3995</v>
      </c>
    </row>
    <row r="3998" spans="27:31" x14ac:dyDescent="0.25">
      <c r="AA3998" s="160"/>
      <c r="AB3998" s="162"/>
      <c r="AC3998" s="162"/>
      <c r="AD3998" s="162">
        <f t="shared" si="82"/>
        <v>0</v>
      </c>
      <c r="AE3998" s="160">
        <v>3996</v>
      </c>
    </row>
    <row r="3999" spans="27:31" x14ac:dyDescent="0.25">
      <c r="AA3999" s="160"/>
      <c r="AB3999" s="162"/>
      <c r="AC3999" s="162"/>
      <c r="AD3999" s="162">
        <f t="shared" si="82"/>
        <v>0</v>
      </c>
      <c r="AE3999" s="160">
        <v>3997</v>
      </c>
    </row>
    <row r="4000" spans="27:31" x14ac:dyDescent="0.25">
      <c r="AA4000" s="160"/>
      <c r="AB4000" s="162"/>
      <c r="AC4000" s="162"/>
      <c r="AD4000" s="162">
        <f t="shared" si="82"/>
        <v>0</v>
      </c>
      <c r="AE4000" s="160">
        <v>3998</v>
      </c>
    </row>
    <row r="4001" spans="27:31" x14ac:dyDescent="0.25">
      <c r="AA4001" s="160"/>
      <c r="AB4001" s="162"/>
      <c r="AC4001" s="162"/>
      <c r="AD4001" s="162">
        <f t="shared" si="82"/>
        <v>0</v>
      </c>
      <c r="AE4001" s="160">
        <v>3999</v>
      </c>
    </row>
    <row r="4002" spans="27:31" x14ac:dyDescent="0.25">
      <c r="AA4002" s="160"/>
      <c r="AB4002" s="162"/>
      <c r="AC4002" s="162"/>
      <c r="AD4002" s="162">
        <f t="shared" si="82"/>
        <v>0</v>
      </c>
      <c r="AE4002" s="160">
        <v>4000</v>
      </c>
    </row>
    <row r="4003" spans="27:31" x14ac:dyDescent="0.25">
      <c r="AA4003" s="160"/>
      <c r="AB4003" s="162"/>
      <c r="AC4003" s="162"/>
      <c r="AD4003" s="162">
        <f t="shared" si="82"/>
        <v>0</v>
      </c>
      <c r="AE4003" s="160">
        <v>4001</v>
      </c>
    </row>
    <row r="4004" spans="27:31" x14ac:dyDescent="0.25">
      <c r="AA4004" s="160"/>
      <c r="AB4004" s="162"/>
      <c r="AC4004" s="162"/>
      <c r="AD4004" s="162">
        <f t="shared" si="82"/>
        <v>0</v>
      </c>
      <c r="AE4004" s="160">
        <v>4002</v>
      </c>
    </row>
    <row r="4005" spans="27:31" x14ac:dyDescent="0.25">
      <c r="AA4005" s="160"/>
      <c r="AB4005" s="162"/>
      <c r="AC4005" s="162"/>
      <c r="AD4005" s="162">
        <f t="shared" si="82"/>
        <v>0</v>
      </c>
      <c r="AE4005" s="160">
        <v>4003</v>
      </c>
    </row>
    <row r="4006" spans="27:31" x14ac:dyDescent="0.25">
      <c r="AA4006" s="160"/>
      <c r="AB4006" s="162"/>
      <c r="AC4006" s="162"/>
      <c r="AD4006" s="162">
        <f t="shared" si="82"/>
        <v>0</v>
      </c>
      <c r="AE4006" s="160">
        <v>4004</v>
      </c>
    </row>
    <row r="4007" spans="27:31" x14ac:dyDescent="0.25">
      <c r="AA4007" s="160"/>
      <c r="AB4007" s="162"/>
      <c r="AC4007" s="162"/>
      <c r="AD4007" s="162">
        <f t="shared" si="82"/>
        <v>0</v>
      </c>
      <c r="AE4007" s="160">
        <v>4005</v>
      </c>
    </row>
    <row r="4008" spans="27:31" x14ac:dyDescent="0.25">
      <c r="AA4008" s="160"/>
      <c r="AB4008" s="162"/>
      <c r="AC4008" s="162"/>
      <c r="AD4008" s="162">
        <f t="shared" si="82"/>
        <v>0</v>
      </c>
      <c r="AE4008" s="160">
        <v>4006</v>
      </c>
    </row>
    <row r="4009" spans="27:31" x14ac:dyDescent="0.25">
      <c r="AA4009" s="160"/>
      <c r="AB4009" s="162"/>
      <c r="AC4009" s="162"/>
      <c r="AD4009" s="162">
        <f t="shared" si="82"/>
        <v>0</v>
      </c>
      <c r="AE4009" s="160">
        <v>4007</v>
      </c>
    </row>
    <row r="4010" spans="27:31" x14ac:dyDescent="0.25">
      <c r="AA4010" s="160"/>
      <c r="AB4010" s="162"/>
      <c r="AC4010" s="162"/>
      <c r="AD4010" s="162">
        <f t="shared" si="82"/>
        <v>0</v>
      </c>
      <c r="AE4010" s="160">
        <v>4008</v>
      </c>
    </row>
    <row r="4011" spans="27:31" x14ac:dyDescent="0.25">
      <c r="AA4011" s="160"/>
      <c r="AB4011" s="162"/>
      <c r="AC4011" s="162"/>
      <c r="AD4011" s="162">
        <f t="shared" si="82"/>
        <v>0</v>
      </c>
      <c r="AE4011" s="160">
        <v>4009</v>
      </c>
    </row>
    <row r="4012" spans="27:31" x14ac:dyDescent="0.25">
      <c r="AA4012" s="160"/>
      <c r="AB4012" s="162"/>
      <c r="AC4012" s="162"/>
      <c r="AD4012" s="162">
        <f t="shared" si="82"/>
        <v>0</v>
      </c>
      <c r="AE4012" s="160">
        <v>4010</v>
      </c>
    </row>
    <row r="4013" spans="27:31" x14ac:dyDescent="0.25">
      <c r="AA4013" s="160"/>
      <c r="AB4013" s="162"/>
      <c r="AC4013" s="162"/>
      <c r="AD4013" s="162">
        <f t="shared" si="82"/>
        <v>0</v>
      </c>
      <c r="AE4013" s="160">
        <v>4011</v>
      </c>
    </row>
    <row r="4014" spans="27:31" x14ac:dyDescent="0.25">
      <c r="AA4014" s="160"/>
      <c r="AB4014" s="162"/>
      <c r="AC4014" s="162"/>
      <c r="AD4014" s="162">
        <f t="shared" si="82"/>
        <v>0</v>
      </c>
      <c r="AE4014" s="160">
        <v>4012</v>
      </c>
    </row>
    <row r="4015" spans="27:31" x14ac:dyDescent="0.25">
      <c r="AA4015" s="160"/>
      <c r="AB4015" s="162"/>
      <c r="AC4015" s="162"/>
      <c r="AD4015" s="162">
        <f t="shared" si="82"/>
        <v>0</v>
      </c>
      <c r="AE4015" s="160">
        <v>4013</v>
      </c>
    </row>
    <row r="4016" spans="27:31" x14ac:dyDescent="0.25">
      <c r="AA4016" s="160"/>
      <c r="AB4016" s="162"/>
      <c r="AC4016" s="162"/>
      <c r="AD4016" s="162">
        <f t="shared" si="82"/>
        <v>0</v>
      </c>
      <c r="AE4016" s="160">
        <v>4014</v>
      </c>
    </row>
    <row r="4017" spans="27:31" x14ac:dyDescent="0.25">
      <c r="AA4017" s="160"/>
      <c r="AB4017" s="162"/>
      <c r="AC4017" s="162"/>
      <c r="AD4017" s="162">
        <f t="shared" si="82"/>
        <v>0</v>
      </c>
      <c r="AE4017" s="160">
        <v>4015</v>
      </c>
    </row>
    <row r="4018" spans="27:31" x14ac:dyDescent="0.25">
      <c r="AA4018" s="160"/>
      <c r="AB4018" s="162"/>
      <c r="AC4018" s="162"/>
      <c r="AD4018" s="162">
        <f t="shared" si="82"/>
        <v>0</v>
      </c>
      <c r="AE4018" s="160">
        <v>4016</v>
      </c>
    </row>
    <row r="4019" spans="27:31" x14ac:dyDescent="0.25">
      <c r="AA4019" s="160"/>
      <c r="AB4019" s="162"/>
      <c r="AC4019" s="162"/>
      <c r="AD4019" s="162">
        <f t="shared" si="82"/>
        <v>0</v>
      </c>
      <c r="AE4019" s="160">
        <v>4017</v>
      </c>
    </row>
    <row r="4020" spans="27:31" x14ac:dyDescent="0.25">
      <c r="AA4020" s="160"/>
      <c r="AB4020" s="162"/>
      <c r="AC4020" s="162"/>
      <c r="AD4020" s="162">
        <f t="shared" si="82"/>
        <v>0</v>
      </c>
      <c r="AE4020" s="160">
        <v>4018</v>
      </c>
    </row>
    <row r="4021" spans="27:31" x14ac:dyDescent="0.25">
      <c r="AA4021" s="160"/>
      <c r="AB4021" s="162"/>
      <c r="AC4021" s="162"/>
      <c r="AD4021" s="162">
        <f t="shared" si="82"/>
        <v>0</v>
      </c>
      <c r="AE4021" s="160">
        <v>4019</v>
      </c>
    </row>
    <row r="4022" spans="27:31" x14ac:dyDescent="0.25">
      <c r="AA4022" s="160"/>
      <c r="AB4022" s="162"/>
      <c r="AC4022" s="162"/>
      <c r="AD4022" s="162">
        <f t="shared" si="82"/>
        <v>0</v>
      </c>
      <c r="AE4022" s="160">
        <v>4020</v>
      </c>
    </row>
    <row r="4023" spans="27:31" x14ac:dyDescent="0.25">
      <c r="AA4023" s="160"/>
      <c r="AB4023" s="162"/>
      <c r="AC4023" s="162"/>
      <c r="AD4023" s="162">
        <f t="shared" si="82"/>
        <v>0</v>
      </c>
      <c r="AE4023" s="160">
        <v>4021</v>
      </c>
    </row>
    <row r="4024" spans="27:31" x14ac:dyDescent="0.25">
      <c r="AA4024" s="160"/>
      <c r="AB4024" s="162"/>
      <c r="AC4024" s="162"/>
      <c r="AD4024" s="162">
        <f t="shared" si="82"/>
        <v>0</v>
      </c>
      <c r="AE4024" s="160">
        <v>4022</v>
      </c>
    </row>
    <row r="4025" spans="27:31" x14ac:dyDescent="0.25">
      <c r="AA4025" s="160"/>
      <c r="AB4025" s="162"/>
      <c r="AC4025" s="162"/>
      <c r="AD4025" s="162">
        <f t="shared" si="82"/>
        <v>0</v>
      </c>
      <c r="AE4025" s="160">
        <v>4023</v>
      </c>
    </row>
    <row r="4026" spans="27:31" x14ac:dyDescent="0.25">
      <c r="AA4026" s="160"/>
      <c r="AB4026" s="162"/>
      <c r="AC4026" s="162"/>
      <c r="AD4026" s="162">
        <f t="shared" si="82"/>
        <v>0</v>
      </c>
      <c r="AE4026" s="160">
        <v>4024</v>
      </c>
    </row>
    <row r="4027" spans="27:31" x14ac:dyDescent="0.25">
      <c r="AA4027" s="160"/>
      <c r="AB4027" s="162"/>
      <c r="AC4027" s="162"/>
      <c r="AD4027" s="162">
        <f t="shared" si="82"/>
        <v>0</v>
      </c>
      <c r="AE4027" s="160">
        <v>4025</v>
      </c>
    </row>
    <row r="4028" spans="27:31" x14ac:dyDescent="0.25">
      <c r="AA4028" s="160"/>
      <c r="AB4028" s="162"/>
      <c r="AC4028" s="162"/>
      <c r="AD4028" s="162">
        <f t="shared" si="82"/>
        <v>0</v>
      </c>
      <c r="AE4028" s="160">
        <v>4026</v>
      </c>
    </row>
    <row r="4029" spans="27:31" x14ac:dyDescent="0.25">
      <c r="AA4029" s="160"/>
      <c r="AB4029" s="162"/>
      <c r="AC4029" s="162"/>
      <c r="AD4029" s="162">
        <f t="shared" si="82"/>
        <v>0</v>
      </c>
      <c r="AE4029" s="160">
        <v>4027</v>
      </c>
    </row>
    <row r="4030" spans="27:31" x14ac:dyDescent="0.25">
      <c r="AA4030" s="160"/>
      <c r="AB4030" s="162"/>
      <c r="AC4030" s="162"/>
      <c r="AD4030" s="162">
        <f t="shared" si="82"/>
        <v>0</v>
      </c>
      <c r="AE4030" s="160">
        <v>4028</v>
      </c>
    </row>
    <row r="4031" spans="27:31" x14ac:dyDescent="0.25">
      <c r="AA4031" s="160"/>
      <c r="AB4031" s="162"/>
      <c r="AC4031" s="162"/>
      <c r="AD4031" s="162">
        <f t="shared" si="82"/>
        <v>0</v>
      </c>
      <c r="AE4031" s="160">
        <v>4029</v>
      </c>
    </row>
    <row r="4032" spans="27:31" x14ac:dyDescent="0.25">
      <c r="AA4032" s="160"/>
      <c r="AB4032" s="162"/>
      <c r="AC4032" s="162"/>
      <c r="AD4032" s="162">
        <f t="shared" si="82"/>
        <v>0</v>
      </c>
      <c r="AE4032" s="160">
        <v>4030</v>
      </c>
    </row>
    <row r="4033" spans="27:31" x14ac:dyDescent="0.25">
      <c r="AA4033" s="160"/>
      <c r="AB4033" s="162"/>
      <c r="AC4033" s="162"/>
      <c r="AD4033" s="162">
        <f t="shared" si="82"/>
        <v>0</v>
      </c>
      <c r="AE4033" s="160">
        <v>4031</v>
      </c>
    </row>
    <row r="4034" spans="27:31" x14ac:dyDescent="0.25">
      <c r="AA4034" s="160"/>
      <c r="AB4034" s="162"/>
      <c r="AC4034" s="162"/>
      <c r="AD4034" s="162">
        <f t="shared" si="82"/>
        <v>0</v>
      </c>
      <c r="AE4034" s="160">
        <v>4032</v>
      </c>
    </row>
    <row r="4035" spans="27:31" x14ac:dyDescent="0.25">
      <c r="AA4035" s="160"/>
      <c r="AB4035" s="162"/>
      <c r="AC4035" s="162"/>
      <c r="AD4035" s="162">
        <f t="shared" si="82"/>
        <v>0</v>
      </c>
      <c r="AE4035" s="160">
        <v>4033</v>
      </c>
    </row>
    <row r="4036" spans="27:31" x14ac:dyDescent="0.25">
      <c r="AA4036" s="160"/>
      <c r="AB4036" s="162"/>
      <c r="AC4036" s="162"/>
      <c r="AD4036" s="162">
        <f t="shared" ref="AD4036:AD4099" si="83">AB4036+AC4036</f>
        <v>0</v>
      </c>
      <c r="AE4036" s="160">
        <v>4034</v>
      </c>
    </row>
    <row r="4037" spans="27:31" x14ac:dyDescent="0.25">
      <c r="AA4037" s="160"/>
      <c r="AB4037" s="162"/>
      <c r="AC4037" s="162"/>
      <c r="AD4037" s="162">
        <f t="shared" si="83"/>
        <v>0</v>
      </c>
      <c r="AE4037" s="160">
        <v>4035</v>
      </c>
    </row>
    <row r="4038" spans="27:31" x14ac:dyDescent="0.25">
      <c r="AA4038" s="160"/>
      <c r="AB4038" s="162"/>
      <c r="AC4038" s="162"/>
      <c r="AD4038" s="162">
        <f t="shared" si="83"/>
        <v>0</v>
      </c>
      <c r="AE4038" s="160">
        <v>4036</v>
      </c>
    </row>
    <row r="4039" spans="27:31" x14ac:dyDescent="0.25">
      <c r="AA4039" s="160"/>
      <c r="AB4039" s="162"/>
      <c r="AC4039" s="162"/>
      <c r="AD4039" s="162">
        <f t="shared" si="83"/>
        <v>0</v>
      </c>
      <c r="AE4039" s="160">
        <v>4037</v>
      </c>
    </row>
    <row r="4040" spans="27:31" x14ac:dyDescent="0.25">
      <c r="AA4040" s="160"/>
      <c r="AB4040" s="162"/>
      <c r="AC4040" s="162"/>
      <c r="AD4040" s="162">
        <f t="shared" si="83"/>
        <v>0</v>
      </c>
      <c r="AE4040" s="160">
        <v>4038</v>
      </c>
    </row>
    <row r="4041" spans="27:31" x14ac:dyDescent="0.25">
      <c r="AA4041" s="160"/>
      <c r="AB4041" s="162"/>
      <c r="AC4041" s="162"/>
      <c r="AD4041" s="162">
        <f t="shared" si="83"/>
        <v>0</v>
      </c>
      <c r="AE4041" s="160">
        <v>4039</v>
      </c>
    </row>
    <row r="4042" spans="27:31" x14ac:dyDescent="0.25">
      <c r="AA4042" s="160"/>
      <c r="AB4042" s="162"/>
      <c r="AC4042" s="162"/>
      <c r="AD4042" s="162">
        <f t="shared" si="83"/>
        <v>0</v>
      </c>
      <c r="AE4042" s="160">
        <v>4040</v>
      </c>
    </row>
    <row r="4043" spans="27:31" x14ac:dyDescent="0.25">
      <c r="AA4043" s="160"/>
      <c r="AB4043" s="162"/>
      <c r="AC4043" s="162"/>
      <c r="AD4043" s="162">
        <f t="shared" si="83"/>
        <v>0</v>
      </c>
      <c r="AE4043" s="160">
        <v>4041</v>
      </c>
    </row>
    <row r="4044" spans="27:31" x14ac:dyDescent="0.25">
      <c r="AA4044" s="160"/>
      <c r="AB4044" s="162"/>
      <c r="AC4044" s="162"/>
      <c r="AD4044" s="162">
        <f t="shared" si="83"/>
        <v>0</v>
      </c>
      <c r="AE4044" s="160">
        <v>4042</v>
      </c>
    </row>
    <row r="4045" spans="27:31" x14ac:dyDescent="0.25">
      <c r="AA4045" s="160"/>
      <c r="AB4045" s="162"/>
      <c r="AC4045" s="162"/>
      <c r="AD4045" s="162">
        <f t="shared" si="83"/>
        <v>0</v>
      </c>
      <c r="AE4045" s="160">
        <v>4043</v>
      </c>
    </row>
    <row r="4046" spans="27:31" x14ac:dyDescent="0.25">
      <c r="AA4046" s="160"/>
      <c r="AB4046" s="162"/>
      <c r="AC4046" s="162"/>
      <c r="AD4046" s="162">
        <f t="shared" si="83"/>
        <v>0</v>
      </c>
      <c r="AE4046" s="160">
        <v>4044</v>
      </c>
    </row>
    <row r="4047" spans="27:31" x14ac:dyDescent="0.25">
      <c r="AA4047" s="160"/>
      <c r="AB4047" s="162"/>
      <c r="AC4047" s="162"/>
      <c r="AD4047" s="162">
        <f t="shared" si="83"/>
        <v>0</v>
      </c>
      <c r="AE4047" s="160">
        <v>4045</v>
      </c>
    </row>
    <row r="4048" spans="27:31" x14ac:dyDescent="0.25">
      <c r="AA4048" s="160"/>
      <c r="AB4048" s="162"/>
      <c r="AC4048" s="162"/>
      <c r="AD4048" s="162">
        <f t="shared" si="83"/>
        <v>0</v>
      </c>
      <c r="AE4048" s="160">
        <v>4046</v>
      </c>
    </row>
    <row r="4049" spans="27:31" x14ac:dyDescent="0.25">
      <c r="AA4049" s="160"/>
      <c r="AB4049" s="162"/>
      <c r="AC4049" s="162"/>
      <c r="AD4049" s="162">
        <f t="shared" si="83"/>
        <v>0</v>
      </c>
      <c r="AE4049" s="160">
        <v>4047</v>
      </c>
    </row>
    <row r="4050" spans="27:31" x14ac:dyDescent="0.25">
      <c r="AA4050" s="160"/>
      <c r="AB4050" s="162"/>
      <c r="AC4050" s="162"/>
      <c r="AD4050" s="162">
        <f t="shared" si="83"/>
        <v>0</v>
      </c>
      <c r="AE4050" s="160">
        <v>4048</v>
      </c>
    </row>
    <row r="4051" spans="27:31" x14ac:dyDescent="0.25">
      <c r="AA4051" s="160"/>
      <c r="AB4051" s="162"/>
      <c r="AC4051" s="162"/>
      <c r="AD4051" s="162">
        <f t="shared" si="83"/>
        <v>0</v>
      </c>
      <c r="AE4051" s="160">
        <v>4049</v>
      </c>
    </row>
    <row r="4052" spans="27:31" x14ac:dyDescent="0.25">
      <c r="AA4052" s="160"/>
      <c r="AB4052" s="162"/>
      <c r="AC4052" s="162"/>
      <c r="AD4052" s="162">
        <f t="shared" si="83"/>
        <v>0</v>
      </c>
      <c r="AE4052" s="160">
        <v>4050</v>
      </c>
    </row>
    <row r="4053" spans="27:31" x14ac:dyDescent="0.25">
      <c r="AA4053" s="160"/>
      <c r="AB4053" s="162"/>
      <c r="AC4053" s="162"/>
      <c r="AD4053" s="162">
        <f t="shared" si="83"/>
        <v>0</v>
      </c>
      <c r="AE4053" s="160">
        <v>4051</v>
      </c>
    </row>
    <row r="4054" spans="27:31" x14ac:dyDescent="0.25">
      <c r="AA4054" s="160"/>
      <c r="AB4054" s="162"/>
      <c r="AC4054" s="162"/>
      <c r="AD4054" s="162">
        <f t="shared" si="83"/>
        <v>0</v>
      </c>
      <c r="AE4054" s="160">
        <v>4052</v>
      </c>
    </row>
    <row r="4055" spans="27:31" x14ac:dyDescent="0.25">
      <c r="AA4055" s="160"/>
      <c r="AB4055" s="162"/>
      <c r="AC4055" s="162"/>
      <c r="AD4055" s="162">
        <f t="shared" si="83"/>
        <v>0</v>
      </c>
      <c r="AE4055" s="160">
        <v>4053</v>
      </c>
    </row>
    <row r="4056" spans="27:31" x14ac:dyDescent="0.25">
      <c r="AA4056" s="160"/>
      <c r="AB4056" s="162"/>
      <c r="AC4056" s="162"/>
      <c r="AD4056" s="162">
        <f t="shared" si="83"/>
        <v>0</v>
      </c>
      <c r="AE4056" s="160">
        <v>4054</v>
      </c>
    </row>
    <row r="4057" spans="27:31" x14ac:dyDescent="0.25">
      <c r="AA4057" s="160"/>
      <c r="AB4057" s="162"/>
      <c r="AC4057" s="162"/>
      <c r="AD4057" s="162">
        <f t="shared" si="83"/>
        <v>0</v>
      </c>
      <c r="AE4057" s="160">
        <v>4055</v>
      </c>
    </row>
    <row r="4058" spans="27:31" x14ac:dyDescent="0.25">
      <c r="AA4058" s="160"/>
      <c r="AB4058" s="162"/>
      <c r="AC4058" s="162"/>
      <c r="AD4058" s="162">
        <f t="shared" si="83"/>
        <v>0</v>
      </c>
      <c r="AE4058" s="160">
        <v>4056</v>
      </c>
    </row>
    <row r="4059" spans="27:31" x14ac:dyDescent="0.25">
      <c r="AA4059" s="160"/>
      <c r="AB4059" s="162"/>
      <c r="AC4059" s="162"/>
      <c r="AD4059" s="162">
        <f t="shared" si="83"/>
        <v>0</v>
      </c>
      <c r="AE4059" s="160">
        <v>4057</v>
      </c>
    </row>
    <row r="4060" spans="27:31" x14ac:dyDescent="0.25">
      <c r="AA4060" s="160"/>
      <c r="AB4060" s="162"/>
      <c r="AC4060" s="162"/>
      <c r="AD4060" s="162">
        <f t="shared" si="83"/>
        <v>0</v>
      </c>
      <c r="AE4060" s="160">
        <v>4058</v>
      </c>
    </row>
    <row r="4061" spans="27:31" x14ac:dyDescent="0.25">
      <c r="AA4061" s="160"/>
      <c r="AB4061" s="162"/>
      <c r="AC4061" s="162"/>
      <c r="AD4061" s="162">
        <f t="shared" si="83"/>
        <v>0</v>
      </c>
      <c r="AE4061" s="160">
        <v>4059</v>
      </c>
    </row>
    <row r="4062" spans="27:31" x14ac:dyDescent="0.25">
      <c r="AA4062" s="160"/>
      <c r="AB4062" s="162"/>
      <c r="AC4062" s="162"/>
      <c r="AD4062" s="162">
        <f t="shared" si="83"/>
        <v>0</v>
      </c>
      <c r="AE4062" s="160">
        <v>4060</v>
      </c>
    </row>
    <row r="4063" spans="27:31" x14ac:dyDescent="0.25">
      <c r="AA4063" s="160"/>
      <c r="AB4063" s="162"/>
      <c r="AC4063" s="162"/>
      <c r="AD4063" s="162">
        <f t="shared" si="83"/>
        <v>0</v>
      </c>
      <c r="AE4063" s="160">
        <v>4061</v>
      </c>
    </row>
    <row r="4064" spans="27:31" x14ac:dyDescent="0.25">
      <c r="AA4064" s="160"/>
      <c r="AB4064" s="162"/>
      <c r="AC4064" s="162"/>
      <c r="AD4064" s="162">
        <f t="shared" si="83"/>
        <v>0</v>
      </c>
      <c r="AE4064" s="160">
        <v>4062</v>
      </c>
    </row>
    <row r="4065" spans="27:31" x14ac:dyDescent="0.25">
      <c r="AA4065" s="160"/>
      <c r="AB4065" s="162"/>
      <c r="AC4065" s="162"/>
      <c r="AD4065" s="162">
        <f t="shared" si="83"/>
        <v>0</v>
      </c>
      <c r="AE4065" s="160">
        <v>4063</v>
      </c>
    </row>
    <row r="4066" spans="27:31" x14ac:dyDescent="0.25">
      <c r="AA4066" s="160"/>
      <c r="AB4066" s="162"/>
      <c r="AC4066" s="162"/>
      <c r="AD4066" s="162">
        <f t="shared" si="83"/>
        <v>0</v>
      </c>
      <c r="AE4066" s="160">
        <v>4064</v>
      </c>
    </row>
    <row r="4067" spans="27:31" x14ac:dyDescent="0.25">
      <c r="AA4067" s="160"/>
      <c r="AB4067" s="162"/>
      <c r="AC4067" s="162"/>
      <c r="AD4067" s="162">
        <f t="shared" si="83"/>
        <v>0</v>
      </c>
      <c r="AE4067" s="160">
        <v>4065</v>
      </c>
    </row>
    <row r="4068" spans="27:31" x14ac:dyDescent="0.25">
      <c r="AA4068" s="160"/>
      <c r="AB4068" s="162"/>
      <c r="AC4068" s="162"/>
      <c r="AD4068" s="162">
        <f t="shared" si="83"/>
        <v>0</v>
      </c>
      <c r="AE4068" s="160">
        <v>4066</v>
      </c>
    </row>
    <row r="4069" spans="27:31" x14ac:dyDescent="0.25">
      <c r="AA4069" s="160"/>
      <c r="AB4069" s="162"/>
      <c r="AC4069" s="162"/>
      <c r="AD4069" s="162">
        <f t="shared" si="83"/>
        <v>0</v>
      </c>
      <c r="AE4069" s="160">
        <v>4067</v>
      </c>
    </row>
    <row r="4070" spans="27:31" x14ac:dyDescent="0.25">
      <c r="AA4070" s="160"/>
      <c r="AB4070" s="162"/>
      <c r="AC4070" s="162"/>
      <c r="AD4070" s="162">
        <f t="shared" si="83"/>
        <v>0</v>
      </c>
      <c r="AE4070" s="160">
        <v>4068</v>
      </c>
    </row>
    <row r="4071" spans="27:31" x14ac:dyDescent="0.25">
      <c r="AA4071" s="160"/>
      <c r="AB4071" s="162"/>
      <c r="AC4071" s="162"/>
      <c r="AD4071" s="162">
        <f t="shared" si="83"/>
        <v>0</v>
      </c>
      <c r="AE4071" s="160">
        <v>4069</v>
      </c>
    </row>
    <row r="4072" spans="27:31" x14ac:dyDescent="0.25">
      <c r="AA4072" s="160"/>
      <c r="AB4072" s="162"/>
      <c r="AC4072" s="162"/>
      <c r="AD4072" s="162">
        <f t="shared" si="83"/>
        <v>0</v>
      </c>
      <c r="AE4072" s="160">
        <v>4070</v>
      </c>
    </row>
    <row r="4073" spans="27:31" x14ac:dyDescent="0.25">
      <c r="AA4073" s="160"/>
      <c r="AB4073" s="162"/>
      <c r="AC4073" s="162"/>
      <c r="AD4073" s="162">
        <f t="shared" si="83"/>
        <v>0</v>
      </c>
      <c r="AE4073" s="160">
        <v>4071</v>
      </c>
    </row>
    <row r="4074" spans="27:31" x14ac:dyDescent="0.25">
      <c r="AA4074" s="160"/>
      <c r="AB4074" s="162"/>
      <c r="AC4074" s="162"/>
      <c r="AD4074" s="162">
        <f t="shared" si="83"/>
        <v>0</v>
      </c>
      <c r="AE4074" s="160">
        <v>4072</v>
      </c>
    </row>
    <row r="4075" spans="27:31" x14ac:dyDescent="0.25">
      <c r="AA4075" s="160"/>
      <c r="AB4075" s="162"/>
      <c r="AC4075" s="162"/>
      <c r="AD4075" s="162">
        <f t="shared" si="83"/>
        <v>0</v>
      </c>
      <c r="AE4075" s="160">
        <v>4073</v>
      </c>
    </row>
    <row r="4076" spans="27:31" x14ac:dyDescent="0.25">
      <c r="AA4076" s="160"/>
      <c r="AB4076" s="162"/>
      <c r="AC4076" s="162"/>
      <c r="AD4076" s="162">
        <f t="shared" si="83"/>
        <v>0</v>
      </c>
      <c r="AE4076" s="160">
        <v>4074</v>
      </c>
    </row>
    <row r="4077" spans="27:31" x14ac:dyDescent="0.25">
      <c r="AA4077" s="160"/>
      <c r="AB4077" s="162"/>
      <c r="AC4077" s="162"/>
      <c r="AD4077" s="162">
        <f t="shared" si="83"/>
        <v>0</v>
      </c>
      <c r="AE4077" s="160">
        <v>4075</v>
      </c>
    </row>
    <row r="4078" spans="27:31" x14ac:dyDescent="0.25">
      <c r="AA4078" s="160"/>
      <c r="AB4078" s="162"/>
      <c r="AC4078" s="162"/>
      <c r="AD4078" s="162">
        <f t="shared" si="83"/>
        <v>0</v>
      </c>
      <c r="AE4078" s="160">
        <v>4076</v>
      </c>
    </row>
    <row r="4079" spans="27:31" x14ac:dyDescent="0.25">
      <c r="AA4079" s="160"/>
      <c r="AB4079" s="162"/>
      <c r="AC4079" s="162"/>
      <c r="AD4079" s="162">
        <f t="shared" si="83"/>
        <v>0</v>
      </c>
      <c r="AE4079" s="160">
        <v>4077</v>
      </c>
    </row>
    <row r="4080" spans="27:31" x14ac:dyDescent="0.25">
      <c r="AA4080" s="160"/>
      <c r="AB4080" s="162"/>
      <c r="AC4080" s="162"/>
      <c r="AD4080" s="162">
        <f t="shared" si="83"/>
        <v>0</v>
      </c>
      <c r="AE4080" s="160">
        <v>4078</v>
      </c>
    </row>
    <row r="4081" spans="27:31" x14ac:dyDescent="0.25">
      <c r="AA4081" s="160"/>
      <c r="AB4081" s="162"/>
      <c r="AC4081" s="162"/>
      <c r="AD4081" s="162">
        <f t="shared" si="83"/>
        <v>0</v>
      </c>
      <c r="AE4081" s="160">
        <v>4079</v>
      </c>
    </row>
    <row r="4082" spans="27:31" x14ac:dyDescent="0.25">
      <c r="AA4082" s="160"/>
      <c r="AB4082" s="162"/>
      <c r="AC4082" s="162"/>
      <c r="AD4082" s="162">
        <f t="shared" si="83"/>
        <v>0</v>
      </c>
      <c r="AE4082" s="160">
        <v>4080</v>
      </c>
    </row>
    <row r="4083" spans="27:31" x14ac:dyDescent="0.25">
      <c r="AA4083" s="160"/>
      <c r="AB4083" s="162"/>
      <c r="AC4083" s="162"/>
      <c r="AD4083" s="162">
        <f t="shared" si="83"/>
        <v>0</v>
      </c>
      <c r="AE4083" s="160">
        <v>4081</v>
      </c>
    </row>
    <row r="4084" spans="27:31" x14ac:dyDescent="0.25">
      <c r="AA4084" s="160"/>
      <c r="AB4084" s="162"/>
      <c r="AC4084" s="162"/>
      <c r="AD4084" s="162">
        <f t="shared" si="83"/>
        <v>0</v>
      </c>
      <c r="AE4084" s="160">
        <v>4082</v>
      </c>
    </row>
    <row r="4085" spans="27:31" x14ac:dyDescent="0.25">
      <c r="AA4085" s="160"/>
      <c r="AB4085" s="162"/>
      <c r="AC4085" s="162"/>
      <c r="AD4085" s="162">
        <f t="shared" si="83"/>
        <v>0</v>
      </c>
      <c r="AE4085" s="160">
        <v>4083</v>
      </c>
    </row>
    <row r="4086" spans="27:31" x14ac:dyDescent="0.25">
      <c r="AA4086" s="160"/>
      <c r="AB4086" s="162"/>
      <c r="AC4086" s="162"/>
      <c r="AD4086" s="162">
        <f t="shared" si="83"/>
        <v>0</v>
      </c>
      <c r="AE4086" s="160">
        <v>4084</v>
      </c>
    </row>
    <row r="4087" spans="27:31" x14ac:dyDescent="0.25">
      <c r="AA4087" s="160"/>
      <c r="AB4087" s="162"/>
      <c r="AC4087" s="162"/>
      <c r="AD4087" s="162">
        <f t="shared" si="83"/>
        <v>0</v>
      </c>
      <c r="AE4087" s="160">
        <v>4085</v>
      </c>
    </row>
    <row r="4088" spans="27:31" x14ac:dyDescent="0.25">
      <c r="AA4088" s="160"/>
      <c r="AB4088" s="162"/>
      <c r="AC4088" s="162"/>
      <c r="AD4088" s="162">
        <f t="shared" si="83"/>
        <v>0</v>
      </c>
      <c r="AE4088" s="160">
        <v>4086</v>
      </c>
    </row>
    <row r="4089" spans="27:31" x14ac:dyDescent="0.25">
      <c r="AA4089" s="160"/>
      <c r="AB4089" s="162"/>
      <c r="AC4089" s="162"/>
      <c r="AD4089" s="162">
        <f t="shared" si="83"/>
        <v>0</v>
      </c>
      <c r="AE4089" s="160">
        <v>4087</v>
      </c>
    </row>
    <row r="4090" spans="27:31" x14ac:dyDescent="0.25">
      <c r="AA4090" s="160"/>
      <c r="AB4090" s="162"/>
      <c r="AC4090" s="162"/>
      <c r="AD4090" s="162">
        <f t="shared" si="83"/>
        <v>0</v>
      </c>
      <c r="AE4090" s="160">
        <v>4088</v>
      </c>
    </row>
    <row r="4091" spans="27:31" x14ac:dyDescent="0.25">
      <c r="AA4091" s="160"/>
      <c r="AB4091" s="162"/>
      <c r="AC4091" s="162"/>
      <c r="AD4091" s="162">
        <f t="shared" si="83"/>
        <v>0</v>
      </c>
      <c r="AE4091" s="160">
        <v>4089</v>
      </c>
    </row>
    <row r="4092" spans="27:31" x14ac:dyDescent="0.25">
      <c r="AA4092" s="160"/>
      <c r="AB4092" s="162"/>
      <c r="AC4092" s="162"/>
      <c r="AD4092" s="162">
        <f t="shared" si="83"/>
        <v>0</v>
      </c>
      <c r="AE4092" s="160">
        <v>4090</v>
      </c>
    </row>
    <row r="4093" spans="27:31" x14ac:dyDescent="0.25">
      <c r="AA4093" s="160"/>
      <c r="AB4093" s="162"/>
      <c r="AC4093" s="162"/>
      <c r="AD4093" s="162">
        <f t="shared" si="83"/>
        <v>0</v>
      </c>
      <c r="AE4093" s="160">
        <v>4091</v>
      </c>
    </row>
    <row r="4094" spans="27:31" x14ac:dyDescent="0.25">
      <c r="AA4094" s="160"/>
      <c r="AB4094" s="162"/>
      <c r="AC4094" s="162"/>
      <c r="AD4094" s="162">
        <f t="shared" si="83"/>
        <v>0</v>
      </c>
      <c r="AE4094" s="160">
        <v>4092</v>
      </c>
    </row>
    <row r="4095" spans="27:31" x14ac:dyDescent="0.25">
      <c r="AA4095" s="160"/>
      <c r="AB4095" s="162"/>
      <c r="AC4095" s="162"/>
      <c r="AD4095" s="162">
        <f t="shared" si="83"/>
        <v>0</v>
      </c>
      <c r="AE4095" s="160">
        <v>4093</v>
      </c>
    </row>
    <row r="4096" spans="27:31" x14ac:dyDescent="0.25">
      <c r="AA4096" s="160"/>
      <c r="AB4096" s="162"/>
      <c r="AC4096" s="162"/>
      <c r="AD4096" s="162">
        <f t="shared" si="83"/>
        <v>0</v>
      </c>
      <c r="AE4096" s="160">
        <v>4094</v>
      </c>
    </row>
    <row r="4097" spans="27:31" x14ac:dyDescent="0.25">
      <c r="AA4097" s="160"/>
      <c r="AB4097" s="162"/>
      <c r="AC4097" s="162"/>
      <c r="AD4097" s="162">
        <f t="shared" si="83"/>
        <v>0</v>
      </c>
      <c r="AE4097" s="160">
        <v>4095</v>
      </c>
    </row>
    <row r="4098" spans="27:31" x14ac:dyDescent="0.25">
      <c r="AA4098" s="160"/>
      <c r="AB4098" s="162"/>
      <c r="AC4098" s="162"/>
      <c r="AD4098" s="162">
        <f t="shared" si="83"/>
        <v>0</v>
      </c>
      <c r="AE4098" s="160">
        <v>4096</v>
      </c>
    </row>
    <row r="4099" spans="27:31" x14ac:dyDescent="0.25">
      <c r="AA4099" s="160"/>
      <c r="AB4099" s="162"/>
      <c r="AC4099" s="162"/>
      <c r="AD4099" s="162">
        <f t="shared" si="83"/>
        <v>0</v>
      </c>
      <c r="AE4099" s="160">
        <v>4097</v>
      </c>
    </row>
    <row r="4100" spans="27:31" x14ac:dyDescent="0.25">
      <c r="AA4100" s="160"/>
      <c r="AB4100" s="162"/>
      <c r="AC4100" s="162"/>
      <c r="AD4100" s="162">
        <f t="shared" ref="AD4100:AD4163" si="84">AB4100+AC4100</f>
        <v>0</v>
      </c>
      <c r="AE4100" s="160">
        <v>4098</v>
      </c>
    </row>
    <row r="4101" spans="27:31" x14ac:dyDescent="0.25">
      <c r="AA4101" s="160"/>
      <c r="AB4101" s="162"/>
      <c r="AC4101" s="162"/>
      <c r="AD4101" s="162">
        <f t="shared" si="84"/>
        <v>0</v>
      </c>
      <c r="AE4101" s="160">
        <v>4099</v>
      </c>
    </row>
    <row r="4102" spans="27:31" x14ac:dyDescent="0.25">
      <c r="AA4102" s="160"/>
      <c r="AB4102" s="162"/>
      <c r="AC4102" s="162"/>
      <c r="AD4102" s="162">
        <f t="shared" si="84"/>
        <v>0</v>
      </c>
      <c r="AE4102" s="160">
        <v>4100</v>
      </c>
    </row>
    <row r="4103" spans="27:31" x14ac:dyDescent="0.25">
      <c r="AA4103" s="160"/>
      <c r="AB4103" s="162"/>
      <c r="AC4103" s="162"/>
      <c r="AD4103" s="162">
        <f t="shared" si="84"/>
        <v>0</v>
      </c>
      <c r="AE4103" s="160">
        <v>4101</v>
      </c>
    </row>
    <row r="4104" spans="27:31" x14ac:dyDescent="0.25">
      <c r="AA4104" s="160"/>
      <c r="AB4104" s="162"/>
      <c r="AC4104" s="162"/>
      <c r="AD4104" s="162">
        <f t="shared" si="84"/>
        <v>0</v>
      </c>
      <c r="AE4104" s="160">
        <v>4102</v>
      </c>
    </row>
    <row r="4105" spans="27:31" x14ac:dyDescent="0.25">
      <c r="AA4105" s="160"/>
      <c r="AB4105" s="162"/>
      <c r="AC4105" s="162"/>
      <c r="AD4105" s="162">
        <f t="shared" si="84"/>
        <v>0</v>
      </c>
      <c r="AE4105" s="160">
        <v>4103</v>
      </c>
    </row>
    <row r="4106" spans="27:31" x14ac:dyDescent="0.25">
      <c r="AA4106" s="160"/>
      <c r="AB4106" s="162"/>
      <c r="AC4106" s="162"/>
      <c r="AD4106" s="162">
        <f t="shared" si="84"/>
        <v>0</v>
      </c>
      <c r="AE4106" s="160">
        <v>4104</v>
      </c>
    </row>
    <row r="4107" spans="27:31" x14ac:dyDescent="0.25">
      <c r="AA4107" s="160"/>
      <c r="AB4107" s="162"/>
      <c r="AC4107" s="162"/>
      <c r="AD4107" s="162">
        <f t="shared" si="84"/>
        <v>0</v>
      </c>
      <c r="AE4107" s="160">
        <v>4105</v>
      </c>
    </row>
    <row r="4108" spans="27:31" x14ac:dyDescent="0.25">
      <c r="AA4108" s="160"/>
      <c r="AB4108" s="162"/>
      <c r="AC4108" s="162"/>
      <c r="AD4108" s="162">
        <f t="shared" si="84"/>
        <v>0</v>
      </c>
      <c r="AE4108" s="160">
        <v>4106</v>
      </c>
    </row>
    <row r="4109" spans="27:31" x14ac:dyDescent="0.25">
      <c r="AA4109" s="160"/>
      <c r="AB4109" s="162"/>
      <c r="AC4109" s="162"/>
      <c r="AD4109" s="162">
        <f t="shared" si="84"/>
        <v>0</v>
      </c>
      <c r="AE4109" s="160">
        <v>4107</v>
      </c>
    </row>
    <row r="4110" spans="27:31" x14ac:dyDescent="0.25">
      <c r="AA4110" s="160"/>
      <c r="AB4110" s="162"/>
      <c r="AC4110" s="162"/>
      <c r="AD4110" s="162">
        <f t="shared" si="84"/>
        <v>0</v>
      </c>
      <c r="AE4110" s="160">
        <v>4108</v>
      </c>
    </row>
    <row r="4111" spans="27:31" x14ac:dyDescent="0.25">
      <c r="AA4111" s="160"/>
      <c r="AB4111" s="162"/>
      <c r="AC4111" s="162"/>
      <c r="AD4111" s="162">
        <f t="shared" si="84"/>
        <v>0</v>
      </c>
      <c r="AE4111" s="160">
        <v>4109</v>
      </c>
    </row>
    <row r="4112" spans="27:31" x14ac:dyDescent="0.25">
      <c r="AA4112" s="160"/>
      <c r="AB4112" s="162"/>
      <c r="AC4112" s="162"/>
      <c r="AD4112" s="162">
        <f t="shared" si="84"/>
        <v>0</v>
      </c>
      <c r="AE4112" s="160">
        <v>4110</v>
      </c>
    </row>
    <row r="4113" spans="27:31" x14ac:dyDescent="0.25">
      <c r="AA4113" s="160"/>
      <c r="AB4113" s="162"/>
      <c r="AC4113" s="162"/>
      <c r="AD4113" s="162">
        <f t="shared" si="84"/>
        <v>0</v>
      </c>
      <c r="AE4113" s="160">
        <v>4111</v>
      </c>
    </row>
    <row r="4114" spans="27:31" x14ac:dyDescent="0.25">
      <c r="AA4114" s="160"/>
      <c r="AB4114" s="162"/>
      <c r="AC4114" s="162"/>
      <c r="AD4114" s="162">
        <f t="shared" si="84"/>
        <v>0</v>
      </c>
      <c r="AE4114" s="160">
        <v>4112</v>
      </c>
    </row>
    <row r="4115" spans="27:31" x14ac:dyDescent="0.25">
      <c r="AA4115" s="160"/>
      <c r="AB4115" s="162"/>
      <c r="AC4115" s="162"/>
      <c r="AD4115" s="162">
        <f t="shared" si="84"/>
        <v>0</v>
      </c>
      <c r="AE4115" s="160">
        <v>4113</v>
      </c>
    </row>
    <row r="4116" spans="27:31" x14ac:dyDescent="0.25">
      <c r="AA4116" s="160"/>
      <c r="AB4116" s="162"/>
      <c r="AC4116" s="162"/>
      <c r="AD4116" s="162">
        <f t="shared" si="84"/>
        <v>0</v>
      </c>
      <c r="AE4116" s="160">
        <v>4114</v>
      </c>
    </row>
    <row r="4117" spans="27:31" x14ac:dyDescent="0.25">
      <c r="AA4117" s="160"/>
      <c r="AB4117" s="162"/>
      <c r="AC4117" s="162"/>
      <c r="AD4117" s="162">
        <f t="shared" si="84"/>
        <v>0</v>
      </c>
      <c r="AE4117" s="160">
        <v>4115</v>
      </c>
    </row>
    <row r="4118" spans="27:31" x14ac:dyDescent="0.25">
      <c r="AA4118" s="160"/>
      <c r="AB4118" s="162"/>
      <c r="AC4118" s="162"/>
      <c r="AD4118" s="162">
        <f t="shared" si="84"/>
        <v>0</v>
      </c>
      <c r="AE4118" s="160">
        <v>4116</v>
      </c>
    </row>
    <row r="4119" spans="27:31" x14ac:dyDescent="0.25">
      <c r="AA4119" s="160"/>
      <c r="AB4119" s="162"/>
      <c r="AC4119" s="162"/>
      <c r="AD4119" s="162">
        <f t="shared" si="84"/>
        <v>0</v>
      </c>
      <c r="AE4119" s="160">
        <v>4117</v>
      </c>
    </row>
    <row r="4120" spans="27:31" x14ac:dyDescent="0.25">
      <c r="AA4120" s="160"/>
      <c r="AB4120" s="162"/>
      <c r="AC4120" s="162"/>
      <c r="AD4120" s="162">
        <f t="shared" si="84"/>
        <v>0</v>
      </c>
      <c r="AE4120" s="160">
        <v>4118</v>
      </c>
    </row>
    <row r="4121" spans="27:31" x14ac:dyDescent="0.25">
      <c r="AA4121" s="160"/>
      <c r="AB4121" s="162"/>
      <c r="AC4121" s="162"/>
      <c r="AD4121" s="162">
        <f t="shared" si="84"/>
        <v>0</v>
      </c>
      <c r="AE4121" s="160">
        <v>4119</v>
      </c>
    </row>
    <row r="4122" spans="27:31" x14ac:dyDescent="0.25">
      <c r="AA4122" s="160"/>
      <c r="AB4122" s="162"/>
      <c r="AC4122" s="162"/>
      <c r="AD4122" s="162">
        <f t="shared" si="84"/>
        <v>0</v>
      </c>
      <c r="AE4122" s="160">
        <v>4120</v>
      </c>
    </row>
    <row r="4123" spans="27:31" x14ac:dyDescent="0.25">
      <c r="AA4123" s="160"/>
      <c r="AB4123" s="162"/>
      <c r="AC4123" s="162"/>
      <c r="AD4123" s="162">
        <f t="shared" si="84"/>
        <v>0</v>
      </c>
      <c r="AE4123" s="160">
        <v>4121</v>
      </c>
    </row>
    <row r="4124" spans="27:31" x14ac:dyDescent="0.25">
      <c r="AA4124" s="160"/>
      <c r="AB4124" s="162"/>
      <c r="AC4124" s="162"/>
      <c r="AD4124" s="162">
        <f t="shared" si="84"/>
        <v>0</v>
      </c>
      <c r="AE4124" s="160">
        <v>4122</v>
      </c>
    </row>
    <row r="4125" spans="27:31" x14ac:dyDescent="0.25">
      <c r="AA4125" s="160"/>
      <c r="AB4125" s="162"/>
      <c r="AC4125" s="162"/>
      <c r="AD4125" s="162">
        <f t="shared" si="84"/>
        <v>0</v>
      </c>
      <c r="AE4125" s="160">
        <v>4123</v>
      </c>
    </row>
    <row r="4126" spans="27:31" x14ac:dyDescent="0.25">
      <c r="AA4126" s="160"/>
      <c r="AB4126" s="162"/>
      <c r="AC4126" s="162"/>
      <c r="AD4126" s="162">
        <f t="shared" si="84"/>
        <v>0</v>
      </c>
      <c r="AE4126" s="160">
        <v>4124</v>
      </c>
    </row>
    <row r="4127" spans="27:31" x14ac:dyDescent="0.25">
      <c r="AA4127" s="160"/>
      <c r="AB4127" s="162"/>
      <c r="AC4127" s="162"/>
      <c r="AD4127" s="162">
        <f t="shared" si="84"/>
        <v>0</v>
      </c>
      <c r="AE4127" s="160">
        <v>4125</v>
      </c>
    </row>
    <row r="4128" spans="27:31" x14ac:dyDescent="0.25">
      <c r="AA4128" s="160"/>
      <c r="AB4128" s="162"/>
      <c r="AC4128" s="162"/>
      <c r="AD4128" s="162">
        <f t="shared" si="84"/>
        <v>0</v>
      </c>
      <c r="AE4128" s="160">
        <v>4126</v>
      </c>
    </row>
    <row r="4129" spans="27:31" x14ac:dyDescent="0.25">
      <c r="AA4129" s="160"/>
      <c r="AB4129" s="162"/>
      <c r="AC4129" s="162"/>
      <c r="AD4129" s="162">
        <f t="shared" si="84"/>
        <v>0</v>
      </c>
      <c r="AE4129" s="160">
        <v>4127</v>
      </c>
    </row>
    <row r="4130" spans="27:31" x14ac:dyDescent="0.25">
      <c r="AA4130" s="160"/>
      <c r="AB4130" s="162"/>
      <c r="AC4130" s="162"/>
      <c r="AD4130" s="162">
        <f t="shared" si="84"/>
        <v>0</v>
      </c>
      <c r="AE4130" s="160">
        <v>4128</v>
      </c>
    </row>
    <row r="4131" spans="27:31" x14ac:dyDescent="0.25">
      <c r="AA4131" s="160"/>
      <c r="AB4131" s="162"/>
      <c r="AC4131" s="162"/>
      <c r="AD4131" s="162">
        <f t="shared" si="84"/>
        <v>0</v>
      </c>
      <c r="AE4131" s="160">
        <v>4129</v>
      </c>
    </row>
    <row r="4132" spans="27:31" x14ac:dyDescent="0.25">
      <c r="AA4132" s="160"/>
      <c r="AB4132" s="162"/>
      <c r="AC4132" s="162"/>
      <c r="AD4132" s="162">
        <f t="shared" si="84"/>
        <v>0</v>
      </c>
      <c r="AE4132" s="160">
        <v>4130</v>
      </c>
    </row>
    <row r="4133" spans="27:31" x14ac:dyDescent="0.25">
      <c r="AA4133" s="160"/>
      <c r="AB4133" s="162"/>
      <c r="AC4133" s="162"/>
      <c r="AD4133" s="162">
        <f t="shared" si="84"/>
        <v>0</v>
      </c>
      <c r="AE4133" s="160">
        <v>4131</v>
      </c>
    </row>
    <row r="4134" spans="27:31" x14ac:dyDescent="0.25">
      <c r="AA4134" s="160"/>
      <c r="AB4134" s="162"/>
      <c r="AC4134" s="162"/>
      <c r="AD4134" s="162">
        <f t="shared" si="84"/>
        <v>0</v>
      </c>
      <c r="AE4134" s="160">
        <v>4132</v>
      </c>
    </row>
    <row r="4135" spans="27:31" x14ac:dyDescent="0.25">
      <c r="AA4135" s="160"/>
      <c r="AB4135" s="162"/>
      <c r="AC4135" s="162"/>
      <c r="AD4135" s="162">
        <f t="shared" si="84"/>
        <v>0</v>
      </c>
      <c r="AE4135" s="160">
        <v>4133</v>
      </c>
    </row>
    <row r="4136" spans="27:31" x14ac:dyDescent="0.25">
      <c r="AA4136" s="160"/>
      <c r="AB4136" s="162"/>
      <c r="AC4136" s="162"/>
      <c r="AD4136" s="162">
        <f t="shared" si="84"/>
        <v>0</v>
      </c>
      <c r="AE4136" s="160">
        <v>4134</v>
      </c>
    </row>
    <row r="4137" spans="27:31" x14ac:dyDescent="0.25">
      <c r="AA4137" s="160"/>
      <c r="AB4137" s="162"/>
      <c r="AC4137" s="162"/>
      <c r="AD4137" s="162">
        <f t="shared" si="84"/>
        <v>0</v>
      </c>
      <c r="AE4137" s="160">
        <v>4135</v>
      </c>
    </row>
    <row r="4138" spans="27:31" x14ac:dyDescent="0.25">
      <c r="AA4138" s="160"/>
      <c r="AB4138" s="162"/>
      <c r="AC4138" s="162"/>
      <c r="AD4138" s="162">
        <f t="shared" si="84"/>
        <v>0</v>
      </c>
      <c r="AE4138" s="160">
        <v>4136</v>
      </c>
    </row>
    <row r="4139" spans="27:31" x14ac:dyDescent="0.25">
      <c r="AA4139" s="160"/>
      <c r="AB4139" s="162"/>
      <c r="AC4139" s="162"/>
      <c r="AD4139" s="162">
        <f t="shared" si="84"/>
        <v>0</v>
      </c>
      <c r="AE4139" s="160">
        <v>4137</v>
      </c>
    </row>
    <row r="4140" spans="27:31" x14ac:dyDescent="0.25">
      <c r="AA4140" s="160"/>
      <c r="AB4140" s="162"/>
      <c r="AC4140" s="162"/>
      <c r="AD4140" s="162">
        <f t="shared" si="84"/>
        <v>0</v>
      </c>
      <c r="AE4140" s="160">
        <v>4138</v>
      </c>
    </row>
    <row r="4141" spans="27:31" x14ac:dyDescent="0.25">
      <c r="AA4141" s="160"/>
      <c r="AB4141" s="162"/>
      <c r="AC4141" s="162"/>
      <c r="AD4141" s="162">
        <f t="shared" si="84"/>
        <v>0</v>
      </c>
      <c r="AE4141" s="160">
        <v>4139</v>
      </c>
    </row>
    <row r="4142" spans="27:31" x14ac:dyDescent="0.25">
      <c r="AA4142" s="160"/>
      <c r="AB4142" s="162"/>
      <c r="AC4142" s="162"/>
      <c r="AD4142" s="162">
        <f t="shared" si="84"/>
        <v>0</v>
      </c>
      <c r="AE4142" s="160">
        <v>4140</v>
      </c>
    </row>
    <row r="4143" spans="27:31" x14ac:dyDescent="0.25">
      <c r="AA4143" s="160"/>
      <c r="AB4143" s="162"/>
      <c r="AC4143" s="162"/>
      <c r="AD4143" s="162">
        <f t="shared" si="84"/>
        <v>0</v>
      </c>
      <c r="AE4143" s="160">
        <v>4141</v>
      </c>
    </row>
    <row r="4144" spans="27:31" x14ac:dyDescent="0.25">
      <c r="AA4144" s="160"/>
      <c r="AB4144" s="162"/>
      <c r="AC4144" s="162"/>
      <c r="AD4144" s="162">
        <f t="shared" si="84"/>
        <v>0</v>
      </c>
      <c r="AE4144" s="160">
        <v>4142</v>
      </c>
    </row>
    <row r="4145" spans="27:31" x14ac:dyDescent="0.25">
      <c r="AA4145" s="160"/>
      <c r="AB4145" s="162"/>
      <c r="AC4145" s="162"/>
      <c r="AD4145" s="162">
        <f t="shared" si="84"/>
        <v>0</v>
      </c>
      <c r="AE4145" s="160">
        <v>4143</v>
      </c>
    </row>
    <row r="4146" spans="27:31" x14ac:dyDescent="0.25">
      <c r="AA4146" s="160"/>
      <c r="AB4146" s="162"/>
      <c r="AC4146" s="162"/>
      <c r="AD4146" s="162">
        <f t="shared" si="84"/>
        <v>0</v>
      </c>
      <c r="AE4146" s="160">
        <v>4144</v>
      </c>
    </row>
    <row r="4147" spans="27:31" x14ac:dyDescent="0.25">
      <c r="AA4147" s="160"/>
      <c r="AB4147" s="162"/>
      <c r="AC4147" s="162"/>
      <c r="AD4147" s="162">
        <f t="shared" si="84"/>
        <v>0</v>
      </c>
      <c r="AE4147" s="160">
        <v>4145</v>
      </c>
    </row>
    <row r="4148" spans="27:31" x14ac:dyDescent="0.25">
      <c r="AA4148" s="160"/>
      <c r="AB4148" s="162"/>
      <c r="AC4148" s="162"/>
      <c r="AD4148" s="162">
        <f t="shared" si="84"/>
        <v>0</v>
      </c>
      <c r="AE4148" s="160">
        <v>4146</v>
      </c>
    </row>
    <row r="4149" spans="27:31" x14ac:dyDescent="0.25">
      <c r="AA4149" s="160"/>
      <c r="AB4149" s="162"/>
      <c r="AC4149" s="162"/>
      <c r="AD4149" s="162">
        <f t="shared" si="84"/>
        <v>0</v>
      </c>
      <c r="AE4149" s="160">
        <v>4147</v>
      </c>
    </row>
    <row r="4150" spans="27:31" x14ac:dyDescent="0.25">
      <c r="AA4150" s="160"/>
      <c r="AB4150" s="162"/>
      <c r="AC4150" s="162"/>
      <c r="AD4150" s="162">
        <f t="shared" si="84"/>
        <v>0</v>
      </c>
      <c r="AE4150" s="160">
        <v>4148</v>
      </c>
    </row>
    <row r="4151" spans="27:31" x14ac:dyDescent="0.25">
      <c r="AA4151" s="160"/>
      <c r="AB4151" s="162"/>
      <c r="AC4151" s="162"/>
      <c r="AD4151" s="162">
        <f t="shared" si="84"/>
        <v>0</v>
      </c>
      <c r="AE4151" s="160">
        <v>4149</v>
      </c>
    </row>
    <row r="4152" spans="27:31" x14ac:dyDescent="0.25">
      <c r="AA4152" s="160"/>
      <c r="AB4152" s="162"/>
      <c r="AC4152" s="162"/>
      <c r="AD4152" s="162">
        <f t="shared" si="84"/>
        <v>0</v>
      </c>
      <c r="AE4152" s="160">
        <v>4150</v>
      </c>
    </row>
    <row r="4153" spans="27:31" x14ac:dyDescent="0.25">
      <c r="AA4153" s="160"/>
      <c r="AB4153" s="162"/>
      <c r="AC4153" s="162"/>
      <c r="AD4153" s="162">
        <f t="shared" si="84"/>
        <v>0</v>
      </c>
      <c r="AE4153" s="160">
        <v>4151</v>
      </c>
    </row>
    <row r="4154" spans="27:31" x14ac:dyDescent="0.25">
      <c r="AA4154" s="160"/>
      <c r="AB4154" s="162"/>
      <c r="AC4154" s="162"/>
      <c r="AD4154" s="162">
        <f t="shared" si="84"/>
        <v>0</v>
      </c>
      <c r="AE4154" s="160">
        <v>4152</v>
      </c>
    </row>
    <row r="4155" spans="27:31" x14ac:dyDescent="0.25">
      <c r="AA4155" s="160"/>
      <c r="AB4155" s="162"/>
      <c r="AC4155" s="162"/>
      <c r="AD4155" s="162">
        <f t="shared" si="84"/>
        <v>0</v>
      </c>
      <c r="AE4155" s="160">
        <v>4153</v>
      </c>
    </row>
    <row r="4156" spans="27:31" x14ac:dyDescent="0.25">
      <c r="AA4156" s="160"/>
      <c r="AB4156" s="162"/>
      <c r="AC4156" s="162"/>
      <c r="AD4156" s="162">
        <f t="shared" si="84"/>
        <v>0</v>
      </c>
      <c r="AE4156" s="160">
        <v>4154</v>
      </c>
    </row>
    <row r="4157" spans="27:31" x14ac:dyDescent="0.25">
      <c r="AA4157" s="160"/>
      <c r="AB4157" s="162"/>
      <c r="AC4157" s="162"/>
      <c r="AD4157" s="162">
        <f t="shared" si="84"/>
        <v>0</v>
      </c>
      <c r="AE4157" s="160">
        <v>4155</v>
      </c>
    </row>
    <row r="4158" spans="27:31" x14ac:dyDescent="0.25">
      <c r="AA4158" s="160"/>
      <c r="AB4158" s="162"/>
      <c r="AC4158" s="162"/>
      <c r="AD4158" s="162">
        <f t="shared" si="84"/>
        <v>0</v>
      </c>
      <c r="AE4158" s="160">
        <v>4156</v>
      </c>
    </row>
    <row r="4159" spans="27:31" x14ac:dyDescent="0.25">
      <c r="AA4159" s="160"/>
      <c r="AB4159" s="162"/>
      <c r="AC4159" s="162"/>
      <c r="AD4159" s="162">
        <f t="shared" si="84"/>
        <v>0</v>
      </c>
      <c r="AE4159" s="160">
        <v>4157</v>
      </c>
    </row>
    <row r="4160" spans="27:31" x14ac:dyDescent="0.25">
      <c r="AA4160" s="160"/>
      <c r="AB4160" s="162"/>
      <c r="AC4160" s="162"/>
      <c r="AD4160" s="162">
        <f t="shared" si="84"/>
        <v>0</v>
      </c>
      <c r="AE4160" s="160">
        <v>4158</v>
      </c>
    </row>
    <row r="4161" spans="27:31" x14ac:dyDescent="0.25">
      <c r="AA4161" s="160"/>
      <c r="AB4161" s="162"/>
      <c r="AC4161" s="162"/>
      <c r="AD4161" s="162">
        <f t="shared" si="84"/>
        <v>0</v>
      </c>
      <c r="AE4161" s="160">
        <v>4159</v>
      </c>
    </row>
    <row r="4162" spans="27:31" x14ac:dyDescent="0.25">
      <c r="AA4162" s="160"/>
      <c r="AB4162" s="162"/>
      <c r="AC4162" s="162"/>
      <c r="AD4162" s="162">
        <f t="shared" si="84"/>
        <v>0</v>
      </c>
      <c r="AE4162" s="160">
        <v>4160</v>
      </c>
    </row>
    <row r="4163" spans="27:31" x14ac:dyDescent="0.25">
      <c r="AA4163" s="160"/>
      <c r="AB4163" s="162"/>
      <c r="AC4163" s="162"/>
      <c r="AD4163" s="162">
        <f t="shared" si="84"/>
        <v>0</v>
      </c>
      <c r="AE4163" s="160">
        <v>4161</v>
      </c>
    </row>
    <row r="4164" spans="27:31" x14ac:dyDescent="0.25">
      <c r="AA4164" s="160"/>
      <c r="AB4164" s="162"/>
      <c r="AC4164" s="162"/>
      <c r="AD4164" s="162">
        <f t="shared" ref="AD4164:AD4227" si="85">AB4164+AC4164</f>
        <v>0</v>
      </c>
      <c r="AE4164" s="160">
        <v>4162</v>
      </c>
    </row>
    <row r="4165" spans="27:31" x14ac:dyDescent="0.25">
      <c r="AA4165" s="160"/>
      <c r="AB4165" s="162"/>
      <c r="AC4165" s="162"/>
      <c r="AD4165" s="162">
        <f t="shared" si="85"/>
        <v>0</v>
      </c>
      <c r="AE4165" s="160">
        <v>4163</v>
      </c>
    </row>
    <row r="4166" spans="27:31" x14ac:dyDescent="0.25">
      <c r="AA4166" s="160"/>
      <c r="AB4166" s="162"/>
      <c r="AC4166" s="162"/>
      <c r="AD4166" s="162">
        <f t="shared" si="85"/>
        <v>0</v>
      </c>
      <c r="AE4166" s="160">
        <v>4164</v>
      </c>
    </row>
    <row r="4167" spans="27:31" x14ac:dyDescent="0.25">
      <c r="AA4167" s="160"/>
      <c r="AB4167" s="162"/>
      <c r="AC4167" s="162"/>
      <c r="AD4167" s="162">
        <f t="shared" si="85"/>
        <v>0</v>
      </c>
      <c r="AE4167" s="160">
        <v>4165</v>
      </c>
    </row>
    <row r="4168" spans="27:31" x14ac:dyDescent="0.25">
      <c r="AA4168" s="160"/>
      <c r="AB4168" s="162"/>
      <c r="AC4168" s="162"/>
      <c r="AD4168" s="162">
        <f t="shared" si="85"/>
        <v>0</v>
      </c>
      <c r="AE4168" s="160">
        <v>4166</v>
      </c>
    </row>
    <row r="4169" spans="27:31" x14ac:dyDescent="0.25">
      <c r="AA4169" s="160"/>
      <c r="AB4169" s="162"/>
      <c r="AC4169" s="162"/>
      <c r="AD4169" s="162">
        <f t="shared" si="85"/>
        <v>0</v>
      </c>
      <c r="AE4169" s="160">
        <v>4167</v>
      </c>
    </row>
    <row r="4170" spans="27:31" x14ac:dyDescent="0.25">
      <c r="AA4170" s="160"/>
      <c r="AB4170" s="162"/>
      <c r="AC4170" s="162"/>
      <c r="AD4170" s="162">
        <f t="shared" si="85"/>
        <v>0</v>
      </c>
      <c r="AE4170" s="160">
        <v>4168</v>
      </c>
    </row>
    <row r="4171" spans="27:31" x14ac:dyDescent="0.25">
      <c r="AA4171" s="160"/>
      <c r="AB4171" s="162"/>
      <c r="AC4171" s="162"/>
      <c r="AD4171" s="162">
        <f t="shared" si="85"/>
        <v>0</v>
      </c>
      <c r="AE4171" s="160">
        <v>4169</v>
      </c>
    </row>
    <row r="4172" spans="27:31" x14ac:dyDescent="0.25">
      <c r="AA4172" s="160"/>
      <c r="AB4172" s="162"/>
      <c r="AC4172" s="162"/>
      <c r="AD4172" s="162">
        <f t="shared" si="85"/>
        <v>0</v>
      </c>
      <c r="AE4172" s="160">
        <v>4170</v>
      </c>
    </row>
    <row r="4173" spans="27:31" x14ac:dyDescent="0.25">
      <c r="AA4173" s="160"/>
      <c r="AB4173" s="162"/>
      <c r="AC4173" s="162"/>
      <c r="AD4173" s="162">
        <f t="shared" si="85"/>
        <v>0</v>
      </c>
      <c r="AE4173" s="160">
        <v>4171</v>
      </c>
    </row>
    <row r="4174" spans="27:31" x14ac:dyDescent="0.25">
      <c r="AA4174" s="160"/>
      <c r="AB4174" s="162"/>
      <c r="AC4174" s="162"/>
      <c r="AD4174" s="162">
        <f t="shared" si="85"/>
        <v>0</v>
      </c>
      <c r="AE4174" s="160">
        <v>4172</v>
      </c>
    </row>
    <row r="4175" spans="27:31" x14ac:dyDescent="0.25">
      <c r="AA4175" s="160"/>
      <c r="AB4175" s="162"/>
      <c r="AC4175" s="162"/>
      <c r="AD4175" s="162">
        <f t="shared" si="85"/>
        <v>0</v>
      </c>
      <c r="AE4175" s="160">
        <v>4173</v>
      </c>
    </row>
    <row r="4176" spans="27:31" x14ac:dyDescent="0.25">
      <c r="AA4176" s="160"/>
      <c r="AB4176" s="162"/>
      <c r="AC4176" s="162"/>
      <c r="AD4176" s="162">
        <f t="shared" si="85"/>
        <v>0</v>
      </c>
      <c r="AE4176" s="160">
        <v>4174</v>
      </c>
    </row>
    <row r="4177" spans="27:31" x14ac:dyDescent="0.25">
      <c r="AA4177" s="160"/>
      <c r="AB4177" s="162"/>
      <c r="AC4177" s="162"/>
      <c r="AD4177" s="162">
        <f t="shared" si="85"/>
        <v>0</v>
      </c>
      <c r="AE4177" s="160">
        <v>4175</v>
      </c>
    </row>
    <row r="4178" spans="27:31" x14ac:dyDescent="0.25">
      <c r="AA4178" s="160"/>
      <c r="AB4178" s="162"/>
      <c r="AC4178" s="162"/>
      <c r="AD4178" s="162">
        <f t="shared" si="85"/>
        <v>0</v>
      </c>
      <c r="AE4178" s="160">
        <v>4176</v>
      </c>
    </row>
    <row r="4179" spans="27:31" x14ac:dyDescent="0.25">
      <c r="AA4179" s="160"/>
      <c r="AB4179" s="162"/>
      <c r="AC4179" s="162"/>
      <c r="AD4179" s="162">
        <f t="shared" si="85"/>
        <v>0</v>
      </c>
      <c r="AE4179" s="160">
        <v>4177</v>
      </c>
    </row>
    <row r="4180" spans="27:31" x14ac:dyDescent="0.25">
      <c r="AA4180" s="160"/>
      <c r="AB4180" s="162"/>
      <c r="AC4180" s="162"/>
      <c r="AD4180" s="162">
        <f t="shared" si="85"/>
        <v>0</v>
      </c>
      <c r="AE4180" s="160">
        <v>4178</v>
      </c>
    </row>
    <row r="4181" spans="27:31" x14ac:dyDescent="0.25">
      <c r="AA4181" s="160"/>
      <c r="AB4181" s="162"/>
      <c r="AC4181" s="162"/>
      <c r="AD4181" s="162">
        <f t="shared" si="85"/>
        <v>0</v>
      </c>
      <c r="AE4181" s="160">
        <v>4179</v>
      </c>
    </row>
    <row r="4182" spans="27:31" x14ac:dyDescent="0.25">
      <c r="AA4182" s="160"/>
      <c r="AB4182" s="162"/>
      <c r="AC4182" s="162"/>
      <c r="AD4182" s="162">
        <f t="shared" si="85"/>
        <v>0</v>
      </c>
      <c r="AE4182" s="160">
        <v>4180</v>
      </c>
    </row>
    <row r="4183" spans="27:31" x14ac:dyDescent="0.25">
      <c r="AA4183" s="160"/>
      <c r="AB4183" s="162"/>
      <c r="AC4183" s="162"/>
      <c r="AD4183" s="162">
        <f t="shared" si="85"/>
        <v>0</v>
      </c>
      <c r="AE4183" s="160">
        <v>4181</v>
      </c>
    </row>
    <row r="4184" spans="27:31" x14ac:dyDescent="0.25">
      <c r="AA4184" s="160"/>
      <c r="AB4184" s="162"/>
      <c r="AC4184" s="162"/>
      <c r="AD4184" s="162">
        <f t="shared" si="85"/>
        <v>0</v>
      </c>
      <c r="AE4184" s="160">
        <v>4182</v>
      </c>
    </row>
    <row r="4185" spans="27:31" x14ac:dyDescent="0.25">
      <c r="AA4185" s="160"/>
      <c r="AB4185" s="162"/>
      <c r="AC4185" s="162"/>
      <c r="AD4185" s="162">
        <f t="shared" si="85"/>
        <v>0</v>
      </c>
      <c r="AE4185" s="160">
        <v>4183</v>
      </c>
    </row>
    <row r="4186" spans="27:31" x14ac:dyDescent="0.25">
      <c r="AA4186" s="160"/>
      <c r="AB4186" s="162"/>
      <c r="AC4186" s="162"/>
      <c r="AD4186" s="162">
        <f t="shared" si="85"/>
        <v>0</v>
      </c>
      <c r="AE4186" s="160">
        <v>4184</v>
      </c>
    </row>
    <row r="4187" spans="27:31" x14ac:dyDescent="0.25">
      <c r="AA4187" s="160"/>
      <c r="AB4187" s="162"/>
      <c r="AC4187" s="162"/>
      <c r="AD4187" s="162">
        <f t="shared" si="85"/>
        <v>0</v>
      </c>
      <c r="AE4187" s="160">
        <v>4185</v>
      </c>
    </row>
    <row r="4188" spans="27:31" x14ac:dyDescent="0.25">
      <c r="AA4188" s="160"/>
      <c r="AB4188" s="162"/>
      <c r="AC4188" s="162"/>
      <c r="AD4188" s="162">
        <f t="shared" si="85"/>
        <v>0</v>
      </c>
      <c r="AE4188" s="160">
        <v>4186</v>
      </c>
    </row>
    <row r="4189" spans="27:31" x14ac:dyDescent="0.25">
      <c r="AA4189" s="160"/>
      <c r="AB4189" s="162"/>
      <c r="AC4189" s="162"/>
      <c r="AD4189" s="162">
        <f t="shared" si="85"/>
        <v>0</v>
      </c>
      <c r="AE4189" s="160">
        <v>4187</v>
      </c>
    </row>
    <row r="4190" spans="27:31" x14ac:dyDescent="0.25">
      <c r="AA4190" s="160"/>
      <c r="AB4190" s="162"/>
      <c r="AC4190" s="162"/>
      <c r="AD4190" s="162">
        <f t="shared" si="85"/>
        <v>0</v>
      </c>
      <c r="AE4190" s="160">
        <v>4188</v>
      </c>
    </row>
    <row r="4191" spans="27:31" x14ac:dyDescent="0.25">
      <c r="AA4191" s="160"/>
      <c r="AB4191" s="162"/>
      <c r="AC4191" s="162"/>
      <c r="AD4191" s="162">
        <f t="shared" si="85"/>
        <v>0</v>
      </c>
      <c r="AE4191" s="160">
        <v>4189</v>
      </c>
    </row>
    <row r="4192" spans="27:31" x14ac:dyDescent="0.25">
      <c r="AA4192" s="160"/>
      <c r="AB4192" s="162"/>
      <c r="AC4192" s="162"/>
      <c r="AD4192" s="162">
        <f t="shared" si="85"/>
        <v>0</v>
      </c>
      <c r="AE4192" s="160">
        <v>4190</v>
      </c>
    </row>
    <row r="4193" spans="27:31" x14ac:dyDescent="0.25">
      <c r="AA4193" s="160"/>
      <c r="AB4193" s="162"/>
      <c r="AC4193" s="162"/>
      <c r="AD4193" s="162">
        <f t="shared" si="85"/>
        <v>0</v>
      </c>
      <c r="AE4193" s="160">
        <v>4191</v>
      </c>
    </row>
    <row r="4194" spans="27:31" x14ac:dyDescent="0.25">
      <c r="AA4194" s="160"/>
      <c r="AB4194" s="162"/>
      <c r="AC4194" s="162"/>
      <c r="AD4194" s="162">
        <f t="shared" si="85"/>
        <v>0</v>
      </c>
      <c r="AE4194" s="160">
        <v>4192</v>
      </c>
    </row>
    <row r="4195" spans="27:31" x14ac:dyDescent="0.25">
      <c r="AA4195" s="160"/>
      <c r="AB4195" s="162"/>
      <c r="AC4195" s="162"/>
      <c r="AD4195" s="162">
        <f t="shared" si="85"/>
        <v>0</v>
      </c>
      <c r="AE4195" s="160">
        <v>4193</v>
      </c>
    </row>
    <row r="4196" spans="27:31" x14ac:dyDescent="0.25">
      <c r="AA4196" s="160"/>
      <c r="AB4196" s="162"/>
      <c r="AC4196" s="162"/>
      <c r="AD4196" s="162">
        <f t="shared" si="85"/>
        <v>0</v>
      </c>
      <c r="AE4196" s="160">
        <v>4194</v>
      </c>
    </row>
    <row r="4197" spans="27:31" x14ac:dyDescent="0.25">
      <c r="AA4197" s="160"/>
      <c r="AB4197" s="162"/>
      <c r="AC4197" s="162"/>
      <c r="AD4197" s="162">
        <f t="shared" si="85"/>
        <v>0</v>
      </c>
      <c r="AE4197" s="160">
        <v>4195</v>
      </c>
    </row>
    <row r="4198" spans="27:31" x14ac:dyDescent="0.25">
      <c r="AA4198" s="160"/>
      <c r="AB4198" s="162"/>
      <c r="AC4198" s="162"/>
      <c r="AD4198" s="162">
        <f t="shared" si="85"/>
        <v>0</v>
      </c>
      <c r="AE4198" s="160">
        <v>4196</v>
      </c>
    </row>
    <row r="4199" spans="27:31" x14ac:dyDescent="0.25">
      <c r="AA4199" s="160"/>
      <c r="AB4199" s="162"/>
      <c r="AC4199" s="162"/>
      <c r="AD4199" s="162">
        <f t="shared" si="85"/>
        <v>0</v>
      </c>
      <c r="AE4199" s="160">
        <v>4197</v>
      </c>
    </row>
    <row r="4200" spans="27:31" x14ac:dyDescent="0.25">
      <c r="AA4200" s="160"/>
      <c r="AB4200" s="162"/>
      <c r="AC4200" s="162"/>
      <c r="AD4200" s="162">
        <f t="shared" si="85"/>
        <v>0</v>
      </c>
      <c r="AE4200" s="160">
        <v>4198</v>
      </c>
    </row>
    <row r="4201" spans="27:31" x14ac:dyDescent="0.25">
      <c r="AA4201" s="160"/>
      <c r="AB4201" s="162"/>
      <c r="AC4201" s="162"/>
      <c r="AD4201" s="162">
        <f t="shared" si="85"/>
        <v>0</v>
      </c>
      <c r="AE4201" s="160">
        <v>4199</v>
      </c>
    </row>
    <row r="4202" spans="27:31" x14ac:dyDescent="0.25">
      <c r="AA4202" s="160"/>
      <c r="AB4202" s="162"/>
      <c r="AC4202" s="162"/>
      <c r="AD4202" s="162">
        <f t="shared" si="85"/>
        <v>0</v>
      </c>
      <c r="AE4202" s="160">
        <v>4200</v>
      </c>
    </row>
    <row r="4203" spans="27:31" x14ac:dyDescent="0.25">
      <c r="AA4203" s="160"/>
      <c r="AB4203" s="162"/>
      <c r="AC4203" s="162"/>
      <c r="AD4203" s="162">
        <f t="shared" si="85"/>
        <v>0</v>
      </c>
      <c r="AE4203" s="160">
        <v>4201</v>
      </c>
    </row>
    <row r="4204" spans="27:31" x14ac:dyDescent="0.25">
      <c r="AA4204" s="160"/>
      <c r="AB4204" s="162"/>
      <c r="AC4204" s="162"/>
      <c r="AD4204" s="162">
        <f t="shared" si="85"/>
        <v>0</v>
      </c>
      <c r="AE4204" s="160">
        <v>4202</v>
      </c>
    </row>
    <row r="4205" spans="27:31" x14ac:dyDescent="0.25">
      <c r="AA4205" s="160"/>
      <c r="AB4205" s="162"/>
      <c r="AC4205" s="162"/>
      <c r="AD4205" s="162">
        <f t="shared" si="85"/>
        <v>0</v>
      </c>
      <c r="AE4205" s="160">
        <v>4203</v>
      </c>
    </row>
    <row r="4206" spans="27:31" x14ac:dyDescent="0.25">
      <c r="AA4206" s="160"/>
      <c r="AB4206" s="162"/>
      <c r="AC4206" s="162"/>
      <c r="AD4206" s="162">
        <f t="shared" si="85"/>
        <v>0</v>
      </c>
      <c r="AE4206" s="160">
        <v>4204</v>
      </c>
    </row>
    <row r="4207" spans="27:31" x14ac:dyDescent="0.25">
      <c r="AA4207" s="160"/>
      <c r="AB4207" s="162"/>
      <c r="AC4207" s="162"/>
      <c r="AD4207" s="162">
        <f t="shared" si="85"/>
        <v>0</v>
      </c>
      <c r="AE4207" s="160">
        <v>4205</v>
      </c>
    </row>
    <row r="4208" spans="27:31" x14ac:dyDescent="0.25">
      <c r="AA4208" s="160"/>
      <c r="AB4208" s="162"/>
      <c r="AC4208" s="162"/>
      <c r="AD4208" s="162">
        <f t="shared" si="85"/>
        <v>0</v>
      </c>
      <c r="AE4208" s="160">
        <v>4206</v>
      </c>
    </row>
    <row r="4209" spans="27:31" x14ac:dyDescent="0.25">
      <c r="AA4209" s="160"/>
      <c r="AB4209" s="162"/>
      <c r="AC4209" s="162"/>
      <c r="AD4209" s="162">
        <f t="shared" si="85"/>
        <v>0</v>
      </c>
      <c r="AE4209" s="160">
        <v>4207</v>
      </c>
    </row>
    <row r="4210" spans="27:31" x14ac:dyDescent="0.25">
      <c r="AA4210" s="160"/>
      <c r="AB4210" s="162"/>
      <c r="AC4210" s="162"/>
      <c r="AD4210" s="162">
        <f t="shared" si="85"/>
        <v>0</v>
      </c>
      <c r="AE4210" s="160">
        <v>4208</v>
      </c>
    </row>
    <row r="4211" spans="27:31" x14ac:dyDescent="0.25">
      <c r="AA4211" s="160"/>
      <c r="AB4211" s="162"/>
      <c r="AC4211" s="162"/>
      <c r="AD4211" s="162">
        <f t="shared" si="85"/>
        <v>0</v>
      </c>
      <c r="AE4211" s="160">
        <v>4209</v>
      </c>
    </row>
    <row r="4212" spans="27:31" x14ac:dyDescent="0.25">
      <c r="AA4212" s="160"/>
      <c r="AB4212" s="162"/>
      <c r="AC4212" s="162"/>
      <c r="AD4212" s="162">
        <f t="shared" si="85"/>
        <v>0</v>
      </c>
      <c r="AE4212" s="160">
        <v>4210</v>
      </c>
    </row>
    <row r="4213" spans="27:31" x14ac:dyDescent="0.25">
      <c r="AA4213" s="160"/>
      <c r="AB4213" s="162"/>
      <c r="AC4213" s="162"/>
      <c r="AD4213" s="162">
        <f t="shared" si="85"/>
        <v>0</v>
      </c>
      <c r="AE4213" s="160">
        <v>4211</v>
      </c>
    </row>
    <row r="4214" spans="27:31" x14ac:dyDescent="0.25">
      <c r="AA4214" s="160"/>
      <c r="AB4214" s="162"/>
      <c r="AC4214" s="162"/>
      <c r="AD4214" s="162">
        <f t="shared" si="85"/>
        <v>0</v>
      </c>
      <c r="AE4214" s="160">
        <v>4212</v>
      </c>
    </row>
    <row r="4215" spans="27:31" x14ac:dyDescent="0.25">
      <c r="AA4215" s="160"/>
      <c r="AB4215" s="162"/>
      <c r="AC4215" s="162"/>
      <c r="AD4215" s="162">
        <f t="shared" si="85"/>
        <v>0</v>
      </c>
      <c r="AE4215" s="160">
        <v>4213</v>
      </c>
    </row>
    <row r="4216" spans="27:31" x14ac:dyDescent="0.25">
      <c r="AA4216" s="160"/>
      <c r="AB4216" s="162"/>
      <c r="AC4216" s="162"/>
      <c r="AD4216" s="162">
        <f t="shared" si="85"/>
        <v>0</v>
      </c>
      <c r="AE4216" s="160">
        <v>4214</v>
      </c>
    </row>
    <row r="4217" spans="27:31" x14ac:dyDescent="0.25">
      <c r="AA4217" s="160"/>
      <c r="AB4217" s="162"/>
      <c r="AC4217" s="162"/>
      <c r="AD4217" s="162">
        <f t="shared" si="85"/>
        <v>0</v>
      </c>
      <c r="AE4217" s="160">
        <v>4215</v>
      </c>
    </row>
    <row r="4218" spans="27:31" x14ac:dyDescent="0.25">
      <c r="AA4218" s="160"/>
      <c r="AB4218" s="162"/>
      <c r="AC4218" s="162"/>
      <c r="AD4218" s="162">
        <f t="shared" si="85"/>
        <v>0</v>
      </c>
      <c r="AE4218" s="160">
        <v>4216</v>
      </c>
    </row>
    <row r="4219" spans="27:31" x14ac:dyDescent="0.25">
      <c r="AA4219" s="160"/>
      <c r="AB4219" s="162"/>
      <c r="AC4219" s="162"/>
      <c r="AD4219" s="162">
        <f t="shared" si="85"/>
        <v>0</v>
      </c>
      <c r="AE4219" s="160">
        <v>4217</v>
      </c>
    </row>
    <row r="4220" spans="27:31" x14ac:dyDescent="0.25">
      <c r="AA4220" s="160"/>
      <c r="AB4220" s="162"/>
      <c r="AC4220" s="162"/>
      <c r="AD4220" s="162">
        <f t="shared" si="85"/>
        <v>0</v>
      </c>
      <c r="AE4220" s="160">
        <v>4218</v>
      </c>
    </row>
    <row r="4221" spans="27:31" x14ac:dyDescent="0.25">
      <c r="AA4221" s="160"/>
      <c r="AB4221" s="162"/>
      <c r="AC4221" s="162"/>
      <c r="AD4221" s="162">
        <f t="shared" si="85"/>
        <v>0</v>
      </c>
      <c r="AE4221" s="160">
        <v>4219</v>
      </c>
    </row>
    <row r="4222" spans="27:31" x14ac:dyDescent="0.25">
      <c r="AA4222" s="160"/>
      <c r="AB4222" s="162"/>
      <c r="AC4222" s="162"/>
      <c r="AD4222" s="162">
        <f t="shared" si="85"/>
        <v>0</v>
      </c>
      <c r="AE4222" s="160">
        <v>4220</v>
      </c>
    </row>
    <row r="4223" spans="27:31" x14ac:dyDescent="0.25">
      <c r="AA4223" s="160"/>
      <c r="AB4223" s="162"/>
      <c r="AC4223" s="162"/>
      <c r="AD4223" s="162">
        <f t="shared" si="85"/>
        <v>0</v>
      </c>
      <c r="AE4223" s="160">
        <v>4221</v>
      </c>
    </row>
    <row r="4224" spans="27:31" x14ac:dyDescent="0.25">
      <c r="AA4224" s="160"/>
      <c r="AB4224" s="162"/>
      <c r="AC4224" s="162"/>
      <c r="AD4224" s="162">
        <f t="shared" si="85"/>
        <v>0</v>
      </c>
      <c r="AE4224" s="160">
        <v>4222</v>
      </c>
    </row>
    <row r="4225" spans="27:31" x14ac:dyDescent="0.25">
      <c r="AA4225" s="160"/>
      <c r="AB4225" s="162"/>
      <c r="AC4225" s="162"/>
      <c r="AD4225" s="162">
        <f t="shared" si="85"/>
        <v>0</v>
      </c>
      <c r="AE4225" s="160">
        <v>4223</v>
      </c>
    </row>
    <row r="4226" spans="27:31" x14ac:dyDescent="0.25">
      <c r="AA4226" s="160"/>
      <c r="AB4226" s="162"/>
      <c r="AC4226" s="162"/>
      <c r="AD4226" s="162">
        <f t="shared" si="85"/>
        <v>0</v>
      </c>
      <c r="AE4226" s="160">
        <v>4224</v>
      </c>
    </row>
    <row r="4227" spans="27:31" x14ac:dyDescent="0.25">
      <c r="AA4227" s="160"/>
      <c r="AB4227" s="162"/>
      <c r="AC4227" s="162"/>
      <c r="AD4227" s="162">
        <f t="shared" si="85"/>
        <v>0</v>
      </c>
      <c r="AE4227" s="160">
        <v>4225</v>
      </c>
    </row>
    <row r="4228" spans="27:31" x14ac:dyDescent="0.25">
      <c r="AA4228" s="160"/>
      <c r="AB4228" s="162"/>
      <c r="AC4228" s="162"/>
      <c r="AD4228" s="162">
        <f t="shared" ref="AD4228:AD4291" si="86">AB4228+AC4228</f>
        <v>0</v>
      </c>
      <c r="AE4228" s="160">
        <v>4226</v>
      </c>
    </row>
    <row r="4229" spans="27:31" x14ac:dyDescent="0.25">
      <c r="AA4229" s="160"/>
      <c r="AB4229" s="162"/>
      <c r="AC4229" s="162"/>
      <c r="AD4229" s="162">
        <f t="shared" si="86"/>
        <v>0</v>
      </c>
      <c r="AE4229" s="160">
        <v>4227</v>
      </c>
    </row>
    <row r="4230" spans="27:31" x14ac:dyDescent="0.25">
      <c r="AA4230" s="160"/>
      <c r="AB4230" s="162"/>
      <c r="AC4230" s="162"/>
      <c r="AD4230" s="162">
        <f t="shared" si="86"/>
        <v>0</v>
      </c>
      <c r="AE4230" s="160">
        <v>4228</v>
      </c>
    </row>
    <row r="4231" spans="27:31" x14ac:dyDescent="0.25">
      <c r="AA4231" s="160"/>
      <c r="AB4231" s="162"/>
      <c r="AC4231" s="162"/>
      <c r="AD4231" s="162">
        <f t="shared" si="86"/>
        <v>0</v>
      </c>
      <c r="AE4231" s="160">
        <v>4229</v>
      </c>
    </row>
    <row r="4232" spans="27:31" x14ac:dyDescent="0.25">
      <c r="AA4232" s="160"/>
      <c r="AB4232" s="162"/>
      <c r="AC4232" s="162"/>
      <c r="AD4232" s="162">
        <f t="shared" si="86"/>
        <v>0</v>
      </c>
      <c r="AE4232" s="160">
        <v>4230</v>
      </c>
    </row>
    <row r="4233" spans="27:31" x14ac:dyDescent="0.25">
      <c r="AA4233" s="160"/>
      <c r="AB4233" s="162"/>
      <c r="AC4233" s="162"/>
      <c r="AD4233" s="162">
        <f t="shared" si="86"/>
        <v>0</v>
      </c>
      <c r="AE4233" s="160">
        <v>4231</v>
      </c>
    </row>
    <row r="4234" spans="27:31" x14ac:dyDescent="0.25">
      <c r="AA4234" s="160"/>
      <c r="AB4234" s="162"/>
      <c r="AC4234" s="162"/>
      <c r="AD4234" s="162">
        <f t="shared" si="86"/>
        <v>0</v>
      </c>
      <c r="AE4234" s="160">
        <v>4232</v>
      </c>
    </row>
    <row r="4235" spans="27:31" x14ac:dyDescent="0.25">
      <c r="AA4235" s="160"/>
      <c r="AB4235" s="162"/>
      <c r="AC4235" s="162"/>
      <c r="AD4235" s="162">
        <f t="shared" si="86"/>
        <v>0</v>
      </c>
      <c r="AE4235" s="160">
        <v>4233</v>
      </c>
    </row>
    <row r="4236" spans="27:31" x14ac:dyDescent="0.25">
      <c r="AA4236" s="160"/>
      <c r="AB4236" s="162"/>
      <c r="AC4236" s="162"/>
      <c r="AD4236" s="162">
        <f t="shared" si="86"/>
        <v>0</v>
      </c>
      <c r="AE4236" s="160">
        <v>4234</v>
      </c>
    </row>
    <row r="4237" spans="27:31" x14ac:dyDescent="0.25">
      <c r="AA4237" s="160"/>
      <c r="AB4237" s="162"/>
      <c r="AC4237" s="162"/>
      <c r="AD4237" s="162">
        <f t="shared" si="86"/>
        <v>0</v>
      </c>
      <c r="AE4237" s="160">
        <v>4235</v>
      </c>
    </row>
    <row r="4238" spans="27:31" x14ac:dyDescent="0.25">
      <c r="AA4238" s="160"/>
      <c r="AB4238" s="162"/>
      <c r="AC4238" s="162"/>
      <c r="AD4238" s="162">
        <f t="shared" si="86"/>
        <v>0</v>
      </c>
      <c r="AE4238" s="160">
        <v>4236</v>
      </c>
    </row>
    <row r="4239" spans="27:31" x14ac:dyDescent="0.25">
      <c r="AA4239" s="160"/>
      <c r="AB4239" s="162"/>
      <c r="AC4239" s="162"/>
      <c r="AD4239" s="162">
        <f t="shared" si="86"/>
        <v>0</v>
      </c>
      <c r="AE4239" s="160">
        <v>4237</v>
      </c>
    </row>
    <row r="4240" spans="27:31" x14ac:dyDescent="0.25">
      <c r="AA4240" s="160"/>
      <c r="AB4240" s="162"/>
      <c r="AC4240" s="162"/>
      <c r="AD4240" s="162">
        <f t="shared" si="86"/>
        <v>0</v>
      </c>
      <c r="AE4240" s="160">
        <v>4238</v>
      </c>
    </row>
    <row r="4241" spans="27:31" x14ac:dyDescent="0.25">
      <c r="AA4241" s="160"/>
      <c r="AB4241" s="162"/>
      <c r="AC4241" s="162"/>
      <c r="AD4241" s="162">
        <f t="shared" si="86"/>
        <v>0</v>
      </c>
      <c r="AE4241" s="160">
        <v>4239</v>
      </c>
    </row>
    <row r="4242" spans="27:31" x14ac:dyDescent="0.25">
      <c r="AA4242" s="160"/>
      <c r="AB4242" s="162"/>
      <c r="AC4242" s="162"/>
      <c r="AD4242" s="162">
        <f t="shared" si="86"/>
        <v>0</v>
      </c>
      <c r="AE4242" s="160">
        <v>4240</v>
      </c>
    </row>
    <row r="4243" spans="27:31" x14ac:dyDescent="0.25">
      <c r="AA4243" s="160"/>
      <c r="AB4243" s="162"/>
      <c r="AC4243" s="162"/>
      <c r="AD4243" s="162">
        <f t="shared" si="86"/>
        <v>0</v>
      </c>
      <c r="AE4243" s="160">
        <v>4241</v>
      </c>
    </row>
    <row r="4244" spans="27:31" x14ac:dyDescent="0.25">
      <c r="AA4244" s="160"/>
      <c r="AB4244" s="162"/>
      <c r="AC4244" s="162"/>
      <c r="AD4244" s="162">
        <f t="shared" si="86"/>
        <v>0</v>
      </c>
      <c r="AE4244" s="160">
        <v>4242</v>
      </c>
    </row>
    <row r="4245" spans="27:31" x14ac:dyDescent="0.25">
      <c r="AA4245" s="160"/>
      <c r="AB4245" s="162"/>
      <c r="AC4245" s="162"/>
      <c r="AD4245" s="162">
        <f t="shared" si="86"/>
        <v>0</v>
      </c>
      <c r="AE4245" s="160">
        <v>4243</v>
      </c>
    </row>
    <row r="4246" spans="27:31" x14ac:dyDescent="0.25">
      <c r="AA4246" s="160"/>
      <c r="AB4246" s="162"/>
      <c r="AC4246" s="162"/>
      <c r="AD4246" s="162">
        <f t="shared" si="86"/>
        <v>0</v>
      </c>
      <c r="AE4246" s="160">
        <v>4244</v>
      </c>
    </row>
    <row r="4247" spans="27:31" x14ac:dyDescent="0.25">
      <c r="AA4247" s="160"/>
      <c r="AB4247" s="162"/>
      <c r="AC4247" s="162"/>
      <c r="AD4247" s="162">
        <f t="shared" si="86"/>
        <v>0</v>
      </c>
      <c r="AE4247" s="160">
        <v>4245</v>
      </c>
    </row>
    <row r="4248" spans="27:31" x14ac:dyDescent="0.25">
      <c r="AA4248" s="160"/>
      <c r="AB4248" s="162"/>
      <c r="AC4248" s="162"/>
      <c r="AD4248" s="162">
        <f t="shared" si="86"/>
        <v>0</v>
      </c>
      <c r="AE4248" s="160">
        <v>4246</v>
      </c>
    </row>
    <row r="4249" spans="27:31" x14ac:dyDescent="0.25">
      <c r="AA4249" s="160"/>
      <c r="AB4249" s="162"/>
      <c r="AC4249" s="162"/>
      <c r="AD4249" s="162">
        <f t="shared" si="86"/>
        <v>0</v>
      </c>
      <c r="AE4249" s="160">
        <v>4247</v>
      </c>
    </row>
    <row r="4250" spans="27:31" x14ac:dyDescent="0.25">
      <c r="AA4250" s="160"/>
      <c r="AB4250" s="162"/>
      <c r="AC4250" s="162"/>
      <c r="AD4250" s="162">
        <f t="shared" si="86"/>
        <v>0</v>
      </c>
      <c r="AE4250" s="160">
        <v>4248</v>
      </c>
    </row>
    <row r="4251" spans="27:31" x14ac:dyDescent="0.25">
      <c r="AA4251" s="160"/>
      <c r="AB4251" s="162"/>
      <c r="AC4251" s="162"/>
      <c r="AD4251" s="162">
        <f t="shared" si="86"/>
        <v>0</v>
      </c>
      <c r="AE4251" s="160">
        <v>4249</v>
      </c>
    </row>
    <row r="4252" spans="27:31" x14ac:dyDescent="0.25">
      <c r="AA4252" s="160"/>
      <c r="AB4252" s="162"/>
      <c r="AC4252" s="162"/>
      <c r="AD4252" s="162">
        <f t="shared" si="86"/>
        <v>0</v>
      </c>
      <c r="AE4252" s="160">
        <v>4250</v>
      </c>
    </row>
    <row r="4253" spans="27:31" x14ac:dyDescent="0.25">
      <c r="AA4253" s="160"/>
      <c r="AB4253" s="162"/>
      <c r="AC4253" s="162"/>
      <c r="AD4253" s="162">
        <f t="shared" si="86"/>
        <v>0</v>
      </c>
      <c r="AE4253" s="160">
        <v>4251</v>
      </c>
    </row>
    <row r="4254" spans="27:31" x14ac:dyDescent="0.25">
      <c r="AA4254" s="160"/>
      <c r="AB4254" s="162"/>
      <c r="AC4254" s="162"/>
      <c r="AD4254" s="162">
        <f t="shared" si="86"/>
        <v>0</v>
      </c>
      <c r="AE4254" s="160">
        <v>4252</v>
      </c>
    </row>
    <row r="4255" spans="27:31" x14ac:dyDescent="0.25">
      <c r="AA4255" s="160"/>
      <c r="AB4255" s="162"/>
      <c r="AC4255" s="162"/>
      <c r="AD4255" s="162">
        <f t="shared" si="86"/>
        <v>0</v>
      </c>
      <c r="AE4255" s="160">
        <v>4253</v>
      </c>
    </row>
    <row r="4256" spans="27:31" x14ac:dyDescent="0.25">
      <c r="AA4256" s="160"/>
      <c r="AB4256" s="162"/>
      <c r="AC4256" s="162"/>
      <c r="AD4256" s="162">
        <f t="shared" si="86"/>
        <v>0</v>
      </c>
      <c r="AE4256" s="160">
        <v>4254</v>
      </c>
    </row>
    <row r="4257" spans="27:31" x14ac:dyDescent="0.25">
      <c r="AA4257" s="160"/>
      <c r="AB4257" s="162"/>
      <c r="AC4257" s="162"/>
      <c r="AD4257" s="162">
        <f t="shared" si="86"/>
        <v>0</v>
      </c>
      <c r="AE4257" s="160">
        <v>4255</v>
      </c>
    </row>
    <row r="4258" spans="27:31" x14ac:dyDescent="0.25">
      <c r="AA4258" s="160"/>
      <c r="AB4258" s="162"/>
      <c r="AC4258" s="162"/>
      <c r="AD4258" s="162">
        <f t="shared" si="86"/>
        <v>0</v>
      </c>
      <c r="AE4258" s="160">
        <v>4256</v>
      </c>
    </row>
    <row r="4259" spans="27:31" x14ac:dyDescent="0.25">
      <c r="AA4259" s="160"/>
      <c r="AB4259" s="162"/>
      <c r="AC4259" s="162"/>
      <c r="AD4259" s="162">
        <f t="shared" si="86"/>
        <v>0</v>
      </c>
      <c r="AE4259" s="160">
        <v>4257</v>
      </c>
    </row>
    <row r="4260" spans="27:31" x14ac:dyDescent="0.25">
      <c r="AA4260" s="160"/>
      <c r="AB4260" s="162"/>
      <c r="AC4260" s="162"/>
      <c r="AD4260" s="162">
        <f t="shared" si="86"/>
        <v>0</v>
      </c>
      <c r="AE4260" s="160">
        <v>4258</v>
      </c>
    </row>
    <row r="4261" spans="27:31" x14ac:dyDescent="0.25">
      <c r="AA4261" s="160"/>
      <c r="AB4261" s="162"/>
      <c r="AC4261" s="162"/>
      <c r="AD4261" s="162">
        <f t="shared" si="86"/>
        <v>0</v>
      </c>
      <c r="AE4261" s="160">
        <v>4259</v>
      </c>
    </row>
    <row r="4262" spans="27:31" x14ac:dyDescent="0.25">
      <c r="AA4262" s="160"/>
      <c r="AB4262" s="162"/>
      <c r="AC4262" s="162"/>
      <c r="AD4262" s="162">
        <f t="shared" si="86"/>
        <v>0</v>
      </c>
      <c r="AE4262" s="160">
        <v>4260</v>
      </c>
    </row>
    <row r="4263" spans="27:31" x14ac:dyDescent="0.25">
      <c r="AA4263" s="160"/>
      <c r="AB4263" s="162"/>
      <c r="AC4263" s="162"/>
      <c r="AD4263" s="162">
        <f t="shared" si="86"/>
        <v>0</v>
      </c>
      <c r="AE4263" s="160">
        <v>4261</v>
      </c>
    </row>
    <row r="4264" spans="27:31" x14ac:dyDescent="0.25">
      <c r="AA4264" s="160"/>
      <c r="AB4264" s="162"/>
      <c r="AC4264" s="162"/>
      <c r="AD4264" s="162">
        <f t="shared" si="86"/>
        <v>0</v>
      </c>
      <c r="AE4264" s="160">
        <v>4262</v>
      </c>
    </row>
    <row r="4265" spans="27:31" x14ac:dyDescent="0.25">
      <c r="AA4265" s="160"/>
      <c r="AB4265" s="162"/>
      <c r="AC4265" s="162"/>
      <c r="AD4265" s="162">
        <f t="shared" si="86"/>
        <v>0</v>
      </c>
      <c r="AE4265" s="160">
        <v>4263</v>
      </c>
    </row>
    <row r="4266" spans="27:31" x14ac:dyDescent="0.25">
      <c r="AA4266" s="160"/>
      <c r="AB4266" s="162"/>
      <c r="AC4266" s="162"/>
      <c r="AD4266" s="162">
        <f t="shared" si="86"/>
        <v>0</v>
      </c>
      <c r="AE4266" s="160">
        <v>4264</v>
      </c>
    </row>
    <row r="4267" spans="27:31" x14ac:dyDescent="0.25">
      <c r="AA4267" s="160"/>
      <c r="AB4267" s="162"/>
      <c r="AC4267" s="162"/>
      <c r="AD4267" s="162">
        <f t="shared" si="86"/>
        <v>0</v>
      </c>
      <c r="AE4267" s="160">
        <v>4265</v>
      </c>
    </row>
    <row r="4268" spans="27:31" x14ac:dyDescent="0.25">
      <c r="AA4268" s="160"/>
      <c r="AB4268" s="162"/>
      <c r="AC4268" s="162"/>
      <c r="AD4268" s="162">
        <f t="shared" si="86"/>
        <v>0</v>
      </c>
      <c r="AE4268" s="160">
        <v>4266</v>
      </c>
    </row>
    <row r="4269" spans="27:31" x14ac:dyDescent="0.25">
      <c r="AA4269" s="160"/>
      <c r="AB4269" s="162"/>
      <c r="AC4269" s="162"/>
      <c r="AD4269" s="162">
        <f t="shared" si="86"/>
        <v>0</v>
      </c>
      <c r="AE4269" s="160">
        <v>4267</v>
      </c>
    </row>
    <row r="4270" spans="27:31" x14ac:dyDescent="0.25">
      <c r="AA4270" s="160"/>
      <c r="AB4270" s="162"/>
      <c r="AC4270" s="162"/>
      <c r="AD4270" s="162">
        <f t="shared" si="86"/>
        <v>0</v>
      </c>
      <c r="AE4270" s="160">
        <v>4268</v>
      </c>
    </row>
    <row r="4271" spans="27:31" x14ac:dyDescent="0.25">
      <c r="AA4271" s="160"/>
      <c r="AB4271" s="162"/>
      <c r="AC4271" s="162"/>
      <c r="AD4271" s="162">
        <f t="shared" si="86"/>
        <v>0</v>
      </c>
      <c r="AE4271" s="160">
        <v>4269</v>
      </c>
    </row>
    <row r="4272" spans="27:31" x14ac:dyDescent="0.25">
      <c r="AA4272" s="160"/>
      <c r="AB4272" s="162"/>
      <c r="AC4272" s="162"/>
      <c r="AD4272" s="162">
        <f t="shared" si="86"/>
        <v>0</v>
      </c>
      <c r="AE4272" s="160">
        <v>4270</v>
      </c>
    </row>
    <row r="4273" spans="27:31" x14ac:dyDescent="0.25">
      <c r="AA4273" s="160"/>
      <c r="AB4273" s="162"/>
      <c r="AC4273" s="162"/>
      <c r="AD4273" s="162">
        <f t="shared" si="86"/>
        <v>0</v>
      </c>
      <c r="AE4273" s="160">
        <v>4271</v>
      </c>
    </row>
    <row r="4274" spans="27:31" x14ac:dyDescent="0.25">
      <c r="AA4274" s="160"/>
      <c r="AB4274" s="162"/>
      <c r="AC4274" s="162"/>
      <c r="AD4274" s="162">
        <f t="shared" si="86"/>
        <v>0</v>
      </c>
      <c r="AE4274" s="160">
        <v>4272</v>
      </c>
    </row>
    <row r="4275" spans="27:31" x14ac:dyDescent="0.25">
      <c r="AA4275" s="160"/>
      <c r="AB4275" s="162"/>
      <c r="AC4275" s="162"/>
      <c r="AD4275" s="162">
        <f t="shared" si="86"/>
        <v>0</v>
      </c>
      <c r="AE4275" s="160">
        <v>4273</v>
      </c>
    </row>
    <row r="4276" spans="27:31" x14ac:dyDescent="0.25">
      <c r="AA4276" s="160"/>
      <c r="AB4276" s="162"/>
      <c r="AC4276" s="162"/>
      <c r="AD4276" s="162">
        <f t="shared" si="86"/>
        <v>0</v>
      </c>
      <c r="AE4276" s="160">
        <v>4274</v>
      </c>
    </row>
    <row r="4277" spans="27:31" x14ac:dyDescent="0.25">
      <c r="AA4277" s="160"/>
      <c r="AB4277" s="162"/>
      <c r="AC4277" s="162"/>
      <c r="AD4277" s="162">
        <f t="shared" si="86"/>
        <v>0</v>
      </c>
      <c r="AE4277" s="160">
        <v>4275</v>
      </c>
    </row>
    <row r="4278" spans="27:31" x14ac:dyDescent="0.25">
      <c r="AA4278" s="160"/>
      <c r="AB4278" s="162"/>
      <c r="AC4278" s="162"/>
      <c r="AD4278" s="162">
        <f t="shared" si="86"/>
        <v>0</v>
      </c>
      <c r="AE4278" s="160">
        <v>4276</v>
      </c>
    </row>
    <row r="4279" spans="27:31" x14ac:dyDescent="0.25">
      <c r="AA4279" s="160"/>
      <c r="AB4279" s="162"/>
      <c r="AC4279" s="162"/>
      <c r="AD4279" s="162">
        <f t="shared" si="86"/>
        <v>0</v>
      </c>
      <c r="AE4279" s="160">
        <v>4277</v>
      </c>
    </row>
    <row r="4280" spans="27:31" x14ac:dyDescent="0.25">
      <c r="AA4280" s="160"/>
      <c r="AB4280" s="162"/>
      <c r="AC4280" s="162"/>
      <c r="AD4280" s="162">
        <f t="shared" si="86"/>
        <v>0</v>
      </c>
      <c r="AE4280" s="160">
        <v>4278</v>
      </c>
    </row>
    <row r="4281" spans="27:31" x14ac:dyDescent="0.25">
      <c r="AA4281" s="160"/>
      <c r="AB4281" s="162"/>
      <c r="AC4281" s="162"/>
      <c r="AD4281" s="162">
        <f t="shared" si="86"/>
        <v>0</v>
      </c>
      <c r="AE4281" s="160">
        <v>4279</v>
      </c>
    </row>
    <row r="4282" spans="27:31" x14ac:dyDescent="0.25">
      <c r="AA4282" s="160"/>
      <c r="AB4282" s="162"/>
      <c r="AC4282" s="162"/>
      <c r="AD4282" s="162">
        <f t="shared" si="86"/>
        <v>0</v>
      </c>
      <c r="AE4282" s="160">
        <v>4280</v>
      </c>
    </row>
    <row r="4283" spans="27:31" x14ac:dyDescent="0.25">
      <c r="AA4283" s="160"/>
      <c r="AB4283" s="162"/>
      <c r="AC4283" s="162"/>
      <c r="AD4283" s="162">
        <f t="shared" si="86"/>
        <v>0</v>
      </c>
      <c r="AE4283" s="160">
        <v>4281</v>
      </c>
    </row>
    <row r="4284" spans="27:31" x14ac:dyDescent="0.25">
      <c r="AA4284" s="160"/>
      <c r="AB4284" s="162"/>
      <c r="AC4284" s="162"/>
      <c r="AD4284" s="162">
        <f t="shared" si="86"/>
        <v>0</v>
      </c>
      <c r="AE4284" s="160">
        <v>4282</v>
      </c>
    </row>
    <row r="4285" spans="27:31" x14ac:dyDescent="0.25">
      <c r="AA4285" s="160"/>
      <c r="AB4285" s="162"/>
      <c r="AC4285" s="162"/>
      <c r="AD4285" s="162">
        <f t="shared" si="86"/>
        <v>0</v>
      </c>
      <c r="AE4285" s="160">
        <v>4283</v>
      </c>
    </row>
    <row r="4286" spans="27:31" x14ac:dyDescent="0.25">
      <c r="AA4286" s="160"/>
      <c r="AB4286" s="162"/>
      <c r="AC4286" s="162"/>
      <c r="AD4286" s="162">
        <f t="shared" si="86"/>
        <v>0</v>
      </c>
      <c r="AE4286" s="160">
        <v>4284</v>
      </c>
    </row>
    <row r="4287" spans="27:31" x14ac:dyDescent="0.25">
      <c r="AA4287" s="160"/>
      <c r="AB4287" s="162"/>
      <c r="AC4287" s="162"/>
      <c r="AD4287" s="162">
        <f t="shared" si="86"/>
        <v>0</v>
      </c>
      <c r="AE4287" s="160">
        <v>4285</v>
      </c>
    </row>
    <row r="4288" spans="27:31" x14ac:dyDescent="0.25">
      <c r="AA4288" s="160"/>
      <c r="AB4288" s="162"/>
      <c r="AC4288" s="162"/>
      <c r="AD4288" s="162">
        <f t="shared" si="86"/>
        <v>0</v>
      </c>
      <c r="AE4288" s="160">
        <v>4286</v>
      </c>
    </row>
    <row r="4289" spans="27:31" x14ac:dyDescent="0.25">
      <c r="AA4289" s="160"/>
      <c r="AB4289" s="162"/>
      <c r="AC4289" s="162"/>
      <c r="AD4289" s="162">
        <f t="shared" si="86"/>
        <v>0</v>
      </c>
      <c r="AE4289" s="160">
        <v>4287</v>
      </c>
    </row>
    <row r="4290" spans="27:31" x14ac:dyDescent="0.25">
      <c r="AA4290" s="160"/>
      <c r="AB4290" s="162"/>
      <c r="AC4290" s="162"/>
      <c r="AD4290" s="162">
        <f t="shared" si="86"/>
        <v>0</v>
      </c>
      <c r="AE4290" s="160">
        <v>4288</v>
      </c>
    </row>
    <row r="4291" spans="27:31" x14ac:dyDescent="0.25">
      <c r="AA4291" s="160"/>
      <c r="AB4291" s="162"/>
      <c r="AC4291" s="162"/>
      <c r="AD4291" s="162">
        <f t="shared" si="86"/>
        <v>0</v>
      </c>
      <c r="AE4291" s="160">
        <v>4289</v>
      </c>
    </row>
    <row r="4292" spans="27:31" x14ac:dyDescent="0.25">
      <c r="AA4292" s="160"/>
      <c r="AB4292" s="162"/>
      <c r="AC4292" s="162"/>
      <c r="AD4292" s="162">
        <f t="shared" ref="AD4292:AD4355" si="87">AB4292+AC4292</f>
        <v>0</v>
      </c>
      <c r="AE4292" s="160">
        <v>4290</v>
      </c>
    </row>
    <row r="4293" spans="27:31" x14ac:dyDescent="0.25">
      <c r="AA4293" s="160"/>
      <c r="AB4293" s="162"/>
      <c r="AC4293" s="162"/>
      <c r="AD4293" s="162">
        <f t="shared" si="87"/>
        <v>0</v>
      </c>
      <c r="AE4293" s="160">
        <v>4291</v>
      </c>
    </row>
    <row r="4294" spans="27:31" x14ac:dyDescent="0.25">
      <c r="AA4294" s="160"/>
      <c r="AB4294" s="162"/>
      <c r="AC4294" s="162"/>
      <c r="AD4294" s="162">
        <f t="shared" si="87"/>
        <v>0</v>
      </c>
      <c r="AE4294" s="160">
        <v>4292</v>
      </c>
    </row>
    <row r="4295" spans="27:31" x14ac:dyDescent="0.25">
      <c r="AA4295" s="160"/>
      <c r="AB4295" s="162"/>
      <c r="AC4295" s="162"/>
      <c r="AD4295" s="162">
        <f t="shared" si="87"/>
        <v>0</v>
      </c>
      <c r="AE4295" s="160">
        <v>4293</v>
      </c>
    </row>
    <row r="4296" spans="27:31" x14ac:dyDescent="0.25">
      <c r="AA4296" s="160"/>
      <c r="AB4296" s="162"/>
      <c r="AC4296" s="162"/>
      <c r="AD4296" s="162">
        <f t="shared" si="87"/>
        <v>0</v>
      </c>
      <c r="AE4296" s="160">
        <v>4294</v>
      </c>
    </row>
    <row r="4297" spans="27:31" x14ac:dyDescent="0.25">
      <c r="AA4297" s="160"/>
      <c r="AB4297" s="162"/>
      <c r="AC4297" s="162"/>
      <c r="AD4297" s="162">
        <f t="shared" si="87"/>
        <v>0</v>
      </c>
      <c r="AE4297" s="160">
        <v>4295</v>
      </c>
    </row>
    <row r="4298" spans="27:31" x14ac:dyDescent="0.25">
      <c r="AA4298" s="160"/>
      <c r="AB4298" s="162"/>
      <c r="AC4298" s="162"/>
      <c r="AD4298" s="162">
        <f t="shared" si="87"/>
        <v>0</v>
      </c>
      <c r="AE4298" s="160">
        <v>4296</v>
      </c>
    </row>
    <row r="4299" spans="27:31" x14ac:dyDescent="0.25">
      <c r="AA4299" s="160"/>
      <c r="AB4299" s="162"/>
      <c r="AC4299" s="162"/>
      <c r="AD4299" s="162">
        <f t="shared" si="87"/>
        <v>0</v>
      </c>
      <c r="AE4299" s="160">
        <v>4297</v>
      </c>
    </row>
    <row r="4300" spans="27:31" x14ac:dyDescent="0.25">
      <c r="AA4300" s="160"/>
      <c r="AB4300" s="162"/>
      <c r="AC4300" s="162"/>
      <c r="AD4300" s="162">
        <f t="shared" si="87"/>
        <v>0</v>
      </c>
      <c r="AE4300" s="160">
        <v>4298</v>
      </c>
    </row>
    <row r="4301" spans="27:31" x14ac:dyDescent="0.25">
      <c r="AA4301" s="160"/>
      <c r="AB4301" s="162"/>
      <c r="AC4301" s="162"/>
      <c r="AD4301" s="162">
        <f t="shared" si="87"/>
        <v>0</v>
      </c>
      <c r="AE4301" s="160">
        <v>4299</v>
      </c>
    </row>
    <row r="4302" spans="27:31" x14ac:dyDescent="0.25">
      <c r="AA4302" s="160"/>
      <c r="AB4302" s="162"/>
      <c r="AC4302" s="162"/>
      <c r="AD4302" s="162">
        <f t="shared" si="87"/>
        <v>0</v>
      </c>
      <c r="AE4302" s="160">
        <v>4300</v>
      </c>
    </row>
    <row r="4303" spans="27:31" x14ac:dyDescent="0.25">
      <c r="AA4303" s="160"/>
      <c r="AB4303" s="162"/>
      <c r="AC4303" s="162"/>
      <c r="AD4303" s="162">
        <f t="shared" si="87"/>
        <v>0</v>
      </c>
      <c r="AE4303" s="160">
        <v>4301</v>
      </c>
    </row>
    <row r="4304" spans="27:31" x14ac:dyDescent="0.25">
      <c r="AA4304" s="160"/>
      <c r="AB4304" s="162"/>
      <c r="AC4304" s="162"/>
      <c r="AD4304" s="162">
        <f t="shared" si="87"/>
        <v>0</v>
      </c>
      <c r="AE4304" s="160">
        <v>4302</v>
      </c>
    </row>
    <row r="4305" spans="27:31" x14ac:dyDescent="0.25">
      <c r="AA4305" s="160"/>
      <c r="AB4305" s="162"/>
      <c r="AC4305" s="162"/>
      <c r="AD4305" s="162">
        <f t="shared" si="87"/>
        <v>0</v>
      </c>
      <c r="AE4305" s="160">
        <v>4303</v>
      </c>
    </row>
    <row r="4306" spans="27:31" x14ac:dyDescent="0.25">
      <c r="AA4306" s="160"/>
      <c r="AB4306" s="162"/>
      <c r="AC4306" s="162"/>
      <c r="AD4306" s="162">
        <f t="shared" si="87"/>
        <v>0</v>
      </c>
      <c r="AE4306" s="160">
        <v>4304</v>
      </c>
    </row>
    <row r="4307" spans="27:31" x14ac:dyDescent="0.25">
      <c r="AA4307" s="160"/>
      <c r="AB4307" s="162"/>
      <c r="AC4307" s="162"/>
      <c r="AD4307" s="162">
        <f t="shared" si="87"/>
        <v>0</v>
      </c>
      <c r="AE4307" s="160">
        <v>4305</v>
      </c>
    </row>
    <row r="4308" spans="27:31" x14ac:dyDescent="0.25">
      <c r="AA4308" s="160"/>
      <c r="AB4308" s="162"/>
      <c r="AC4308" s="162"/>
      <c r="AD4308" s="162">
        <f t="shared" si="87"/>
        <v>0</v>
      </c>
      <c r="AE4308" s="160">
        <v>4306</v>
      </c>
    </row>
    <row r="4309" spans="27:31" x14ac:dyDescent="0.25">
      <c r="AA4309" s="160"/>
      <c r="AB4309" s="162"/>
      <c r="AC4309" s="162"/>
      <c r="AD4309" s="162">
        <f t="shared" si="87"/>
        <v>0</v>
      </c>
      <c r="AE4309" s="160">
        <v>4307</v>
      </c>
    </row>
    <row r="4310" spans="27:31" x14ac:dyDescent="0.25">
      <c r="AA4310" s="160"/>
      <c r="AB4310" s="162"/>
      <c r="AC4310" s="162"/>
      <c r="AD4310" s="162">
        <f t="shared" si="87"/>
        <v>0</v>
      </c>
      <c r="AE4310" s="160">
        <v>4308</v>
      </c>
    </row>
    <row r="4311" spans="27:31" x14ac:dyDescent="0.25">
      <c r="AA4311" s="160"/>
      <c r="AB4311" s="162"/>
      <c r="AC4311" s="162"/>
      <c r="AD4311" s="162">
        <f t="shared" si="87"/>
        <v>0</v>
      </c>
      <c r="AE4311" s="160">
        <v>4309</v>
      </c>
    </row>
    <row r="4312" spans="27:31" x14ac:dyDescent="0.25">
      <c r="AA4312" s="160"/>
      <c r="AB4312" s="162"/>
      <c r="AC4312" s="162"/>
      <c r="AD4312" s="162">
        <f t="shared" si="87"/>
        <v>0</v>
      </c>
      <c r="AE4312" s="160">
        <v>4310</v>
      </c>
    </row>
    <row r="4313" spans="27:31" x14ac:dyDescent="0.25">
      <c r="AA4313" s="160"/>
      <c r="AB4313" s="162"/>
      <c r="AC4313" s="162"/>
      <c r="AD4313" s="162">
        <f t="shared" si="87"/>
        <v>0</v>
      </c>
      <c r="AE4313" s="160">
        <v>4311</v>
      </c>
    </row>
    <row r="4314" spans="27:31" x14ac:dyDescent="0.25">
      <c r="AA4314" s="160"/>
      <c r="AB4314" s="162"/>
      <c r="AC4314" s="162"/>
      <c r="AD4314" s="162">
        <f t="shared" si="87"/>
        <v>0</v>
      </c>
      <c r="AE4314" s="160">
        <v>4312</v>
      </c>
    </row>
    <row r="4315" spans="27:31" x14ac:dyDescent="0.25">
      <c r="AA4315" s="160"/>
      <c r="AB4315" s="162"/>
      <c r="AC4315" s="162"/>
      <c r="AD4315" s="162">
        <f t="shared" si="87"/>
        <v>0</v>
      </c>
      <c r="AE4315" s="160">
        <v>4313</v>
      </c>
    </row>
    <row r="4316" spans="27:31" x14ac:dyDescent="0.25">
      <c r="AA4316" s="160"/>
      <c r="AB4316" s="162"/>
      <c r="AC4316" s="162"/>
      <c r="AD4316" s="162">
        <f t="shared" si="87"/>
        <v>0</v>
      </c>
      <c r="AE4316" s="160">
        <v>4314</v>
      </c>
    </row>
    <row r="4317" spans="27:31" x14ac:dyDescent="0.25">
      <c r="AA4317" s="160"/>
      <c r="AB4317" s="162"/>
      <c r="AC4317" s="162"/>
      <c r="AD4317" s="162">
        <f t="shared" si="87"/>
        <v>0</v>
      </c>
      <c r="AE4317" s="160">
        <v>4315</v>
      </c>
    </row>
    <row r="4318" spans="27:31" x14ac:dyDescent="0.25">
      <c r="AA4318" s="160"/>
      <c r="AB4318" s="162"/>
      <c r="AC4318" s="162"/>
      <c r="AD4318" s="162">
        <f t="shared" si="87"/>
        <v>0</v>
      </c>
      <c r="AE4318" s="160">
        <v>4316</v>
      </c>
    </row>
    <row r="4319" spans="27:31" x14ac:dyDescent="0.25">
      <c r="AA4319" s="160"/>
      <c r="AB4319" s="162"/>
      <c r="AC4319" s="162"/>
      <c r="AD4319" s="162">
        <f t="shared" si="87"/>
        <v>0</v>
      </c>
      <c r="AE4319" s="160">
        <v>4317</v>
      </c>
    </row>
    <row r="4320" spans="27:31" x14ac:dyDescent="0.25">
      <c r="AA4320" s="160"/>
      <c r="AB4320" s="162"/>
      <c r="AC4320" s="162"/>
      <c r="AD4320" s="162">
        <f t="shared" si="87"/>
        <v>0</v>
      </c>
      <c r="AE4320" s="160">
        <v>4318</v>
      </c>
    </row>
    <row r="4321" spans="27:31" x14ac:dyDescent="0.25">
      <c r="AA4321" s="160"/>
      <c r="AB4321" s="162"/>
      <c r="AC4321" s="162"/>
      <c r="AD4321" s="162">
        <f t="shared" si="87"/>
        <v>0</v>
      </c>
      <c r="AE4321" s="160">
        <v>4319</v>
      </c>
    </row>
    <row r="4322" spans="27:31" x14ac:dyDescent="0.25">
      <c r="AA4322" s="160"/>
      <c r="AB4322" s="162"/>
      <c r="AC4322" s="162"/>
      <c r="AD4322" s="162">
        <f t="shared" si="87"/>
        <v>0</v>
      </c>
      <c r="AE4322" s="160">
        <v>4320</v>
      </c>
    </row>
    <row r="4323" spans="27:31" x14ac:dyDescent="0.25">
      <c r="AA4323" s="160"/>
      <c r="AB4323" s="162"/>
      <c r="AC4323" s="162"/>
      <c r="AD4323" s="162">
        <f t="shared" si="87"/>
        <v>0</v>
      </c>
      <c r="AE4323" s="160">
        <v>4321</v>
      </c>
    </row>
    <row r="4324" spans="27:31" x14ac:dyDescent="0.25">
      <c r="AA4324" s="160"/>
      <c r="AB4324" s="162"/>
      <c r="AC4324" s="162"/>
      <c r="AD4324" s="162">
        <f t="shared" si="87"/>
        <v>0</v>
      </c>
      <c r="AE4324" s="160">
        <v>4322</v>
      </c>
    </row>
    <row r="4325" spans="27:31" x14ac:dyDescent="0.25">
      <c r="AA4325" s="160"/>
      <c r="AB4325" s="162"/>
      <c r="AC4325" s="162"/>
      <c r="AD4325" s="162">
        <f t="shared" si="87"/>
        <v>0</v>
      </c>
      <c r="AE4325" s="160">
        <v>4323</v>
      </c>
    </row>
    <row r="4326" spans="27:31" x14ac:dyDescent="0.25">
      <c r="AA4326" s="160"/>
      <c r="AB4326" s="162"/>
      <c r="AC4326" s="162"/>
      <c r="AD4326" s="162">
        <f t="shared" si="87"/>
        <v>0</v>
      </c>
      <c r="AE4326" s="160">
        <v>4324</v>
      </c>
    </row>
    <row r="4327" spans="27:31" x14ac:dyDescent="0.25">
      <c r="AA4327" s="160"/>
      <c r="AB4327" s="162"/>
      <c r="AC4327" s="162"/>
      <c r="AD4327" s="162">
        <f t="shared" si="87"/>
        <v>0</v>
      </c>
      <c r="AE4327" s="160">
        <v>4325</v>
      </c>
    </row>
    <row r="4328" spans="27:31" x14ac:dyDescent="0.25">
      <c r="AA4328" s="160"/>
      <c r="AB4328" s="162"/>
      <c r="AC4328" s="162"/>
      <c r="AD4328" s="162">
        <f t="shared" si="87"/>
        <v>0</v>
      </c>
      <c r="AE4328" s="160">
        <v>4326</v>
      </c>
    </row>
    <row r="4329" spans="27:31" x14ac:dyDescent="0.25">
      <c r="AA4329" s="160"/>
      <c r="AB4329" s="162"/>
      <c r="AC4329" s="162"/>
      <c r="AD4329" s="162">
        <f t="shared" si="87"/>
        <v>0</v>
      </c>
      <c r="AE4329" s="160">
        <v>4327</v>
      </c>
    </row>
    <row r="4330" spans="27:31" x14ac:dyDescent="0.25">
      <c r="AA4330" s="160"/>
      <c r="AB4330" s="162"/>
      <c r="AC4330" s="162"/>
      <c r="AD4330" s="162">
        <f t="shared" si="87"/>
        <v>0</v>
      </c>
      <c r="AE4330" s="160">
        <v>4328</v>
      </c>
    </row>
    <row r="4331" spans="27:31" x14ac:dyDescent="0.25">
      <c r="AA4331" s="160"/>
      <c r="AB4331" s="162"/>
      <c r="AC4331" s="162"/>
      <c r="AD4331" s="162">
        <f t="shared" si="87"/>
        <v>0</v>
      </c>
      <c r="AE4331" s="160">
        <v>4329</v>
      </c>
    </row>
    <row r="4332" spans="27:31" x14ac:dyDescent="0.25">
      <c r="AA4332" s="160"/>
      <c r="AB4332" s="162"/>
      <c r="AC4332" s="162"/>
      <c r="AD4332" s="162">
        <f t="shared" si="87"/>
        <v>0</v>
      </c>
      <c r="AE4332" s="160">
        <v>4330</v>
      </c>
    </row>
    <row r="4333" spans="27:31" x14ac:dyDescent="0.25">
      <c r="AA4333" s="160"/>
      <c r="AB4333" s="162"/>
      <c r="AC4333" s="162"/>
      <c r="AD4333" s="162">
        <f t="shared" si="87"/>
        <v>0</v>
      </c>
      <c r="AE4333" s="160">
        <v>4331</v>
      </c>
    </row>
    <row r="4334" spans="27:31" x14ac:dyDescent="0.25">
      <c r="AA4334" s="160"/>
      <c r="AB4334" s="162"/>
      <c r="AC4334" s="162"/>
      <c r="AD4334" s="162">
        <f t="shared" si="87"/>
        <v>0</v>
      </c>
      <c r="AE4334" s="160">
        <v>4332</v>
      </c>
    </row>
    <row r="4335" spans="27:31" x14ac:dyDescent="0.25">
      <c r="AA4335" s="160"/>
      <c r="AB4335" s="162"/>
      <c r="AC4335" s="162"/>
      <c r="AD4335" s="162">
        <f t="shared" si="87"/>
        <v>0</v>
      </c>
      <c r="AE4335" s="160">
        <v>4333</v>
      </c>
    </row>
    <row r="4336" spans="27:31" x14ac:dyDescent="0.25">
      <c r="AA4336" s="160"/>
      <c r="AB4336" s="162"/>
      <c r="AC4336" s="162"/>
      <c r="AD4336" s="162">
        <f t="shared" si="87"/>
        <v>0</v>
      </c>
      <c r="AE4336" s="160">
        <v>4334</v>
      </c>
    </row>
    <row r="4337" spans="27:31" x14ac:dyDescent="0.25">
      <c r="AA4337" s="160"/>
      <c r="AB4337" s="162"/>
      <c r="AC4337" s="162"/>
      <c r="AD4337" s="162">
        <f t="shared" si="87"/>
        <v>0</v>
      </c>
      <c r="AE4337" s="160">
        <v>4335</v>
      </c>
    </row>
    <row r="4338" spans="27:31" x14ac:dyDescent="0.25">
      <c r="AA4338" s="160"/>
      <c r="AB4338" s="162"/>
      <c r="AC4338" s="162"/>
      <c r="AD4338" s="162">
        <f t="shared" si="87"/>
        <v>0</v>
      </c>
      <c r="AE4338" s="160">
        <v>4336</v>
      </c>
    </row>
    <row r="4339" spans="27:31" x14ac:dyDescent="0.25">
      <c r="AA4339" s="160"/>
      <c r="AB4339" s="162"/>
      <c r="AC4339" s="162"/>
      <c r="AD4339" s="162">
        <f t="shared" si="87"/>
        <v>0</v>
      </c>
      <c r="AE4339" s="160">
        <v>4337</v>
      </c>
    </row>
    <row r="4340" spans="27:31" x14ac:dyDescent="0.25">
      <c r="AA4340" s="160"/>
      <c r="AB4340" s="162"/>
      <c r="AC4340" s="162"/>
      <c r="AD4340" s="162">
        <f t="shared" si="87"/>
        <v>0</v>
      </c>
      <c r="AE4340" s="160">
        <v>4338</v>
      </c>
    </row>
    <row r="4341" spans="27:31" x14ac:dyDescent="0.25">
      <c r="AA4341" s="160"/>
      <c r="AB4341" s="162"/>
      <c r="AC4341" s="162"/>
      <c r="AD4341" s="162">
        <f t="shared" si="87"/>
        <v>0</v>
      </c>
      <c r="AE4341" s="160">
        <v>4339</v>
      </c>
    </row>
    <row r="4342" spans="27:31" x14ac:dyDescent="0.25">
      <c r="AA4342" s="160"/>
      <c r="AB4342" s="162"/>
      <c r="AC4342" s="162"/>
      <c r="AD4342" s="162">
        <f t="shared" si="87"/>
        <v>0</v>
      </c>
      <c r="AE4342" s="160">
        <v>4340</v>
      </c>
    </row>
    <row r="4343" spans="27:31" x14ac:dyDescent="0.25">
      <c r="AA4343" s="160"/>
      <c r="AB4343" s="162"/>
      <c r="AC4343" s="162"/>
      <c r="AD4343" s="162">
        <f t="shared" si="87"/>
        <v>0</v>
      </c>
      <c r="AE4343" s="160">
        <v>4341</v>
      </c>
    </row>
    <row r="4344" spans="27:31" x14ac:dyDescent="0.25">
      <c r="AA4344" s="160"/>
      <c r="AB4344" s="162"/>
      <c r="AC4344" s="162"/>
      <c r="AD4344" s="162">
        <f t="shared" si="87"/>
        <v>0</v>
      </c>
      <c r="AE4344" s="160">
        <v>4342</v>
      </c>
    </row>
    <row r="4345" spans="27:31" x14ac:dyDescent="0.25">
      <c r="AA4345" s="160"/>
      <c r="AB4345" s="162"/>
      <c r="AC4345" s="162"/>
      <c r="AD4345" s="162">
        <f t="shared" si="87"/>
        <v>0</v>
      </c>
      <c r="AE4345" s="160">
        <v>4343</v>
      </c>
    </row>
    <row r="4346" spans="27:31" x14ac:dyDescent="0.25">
      <c r="AA4346" s="160"/>
      <c r="AB4346" s="162"/>
      <c r="AC4346" s="162"/>
      <c r="AD4346" s="162">
        <f t="shared" si="87"/>
        <v>0</v>
      </c>
      <c r="AE4346" s="160">
        <v>4344</v>
      </c>
    </row>
    <row r="4347" spans="27:31" x14ac:dyDescent="0.25">
      <c r="AA4347" s="160"/>
      <c r="AB4347" s="162"/>
      <c r="AC4347" s="162"/>
      <c r="AD4347" s="162">
        <f t="shared" si="87"/>
        <v>0</v>
      </c>
      <c r="AE4347" s="160">
        <v>4345</v>
      </c>
    </row>
    <row r="4348" spans="27:31" x14ac:dyDescent="0.25">
      <c r="AA4348" s="160"/>
      <c r="AB4348" s="162"/>
      <c r="AC4348" s="162"/>
      <c r="AD4348" s="162">
        <f t="shared" si="87"/>
        <v>0</v>
      </c>
      <c r="AE4348" s="160">
        <v>4346</v>
      </c>
    </row>
    <row r="4349" spans="27:31" x14ac:dyDescent="0.25">
      <c r="AA4349" s="160"/>
      <c r="AB4349" s="162"/>
      <c r="AC4349" s="162"/>
      <c r="AD4349" s="162">
        <f t="shared" si="87"/>
        <v>0</v>
      </c>
      <c r="AE4349" s="160">
        <v>4347</v>
      </c>
    </row>
    <row r="4350" spans="27:31" x14ac:dyDescent="0.25">
      <c r="AA4350" s="160"/>
      <c r="AB4350" s="162"/>
      <c r="AC4350" s="162"/>
      <c r="AD4350" s="162">
        <f t="shared" si="87"/>
        <v>0</v>
      </c>
      <c r="AE4350" s="160">
        <v>4348</v>
      </c>
    </row>
    <row r="4351" spans="27:31" x14ac:dyDescent="0.25">
      <c r="AA4351" s="160"/>
      <c r="AB4351" s="162"/>
      <c r="AC4351" s="162"/>
      <c r="AD4351" s="162">
        <f t="shared" si="87"/>
        <v>0</v>
      </c>
      <c r="AE4351" s="160">
        <v>4349</v>
      </c>
    </row>
    <row r="4352" spans="27:31" x14ac:dyDescent="0.25">
      <c r="AA4352" s="160"/>
      <c r="AB4352" s="162"/>
      <c r="AC4352" s="162"/>
      <c r="AD4352" s="162">
        <f t="shared" si="87"/>
        <v>0</v>
      </c>
      <c r="AE4352" s="160">
        <v>4350</v>
      </c>
    </row>
    <row r="4353" spans="27:31" x14ac:dyDescent="0.25">
      <c r="AA4353" s="160"/>
      <c r="AB4353" s="162"/>
      <c r="AC4353" s="162"/>
      <c r="AD4353" s="162">
        <f t="shared" si="87"/>
        <v>0</v>
      </c>
      <c r="AE4353" s="160">
        <v>4351</v>
      </c>
    </row>
    <row r="4354" spans="27:31" x14ac:dyDescent="0.25">
      <c r="AA4354" s="160"/>
      <c r="AB4354" s="162"/>
      <c r="AC4354" s="162"/>
      <c r="AD4354" s="162">
        <f t="shared" si="87"/>
        <v>0</v>
      </c>
      <c r="AE4354" s="160">
        <v>4352</v>
      </c>
    </row>
    <row r="4355" spans="27:31" x14ac:dyDescent="0.25">
      <c r="AA4355" s="160"/>
      <c r="AB4355" s="162"/>
      <c r="AC4355" s="162"/>
      <c r="AD4355" s="162">
        <f t="shared" si="87"/>
        <v>0</v>
      </c>
      <c r="AE4355" s="160">
        <v>4353</v>
      </c>
    </row>
    <row r="4356" spans="27:31" x14ac:dyDescent="0.25">
      <c r="AA4356" s="160"/>
      <c r="AB4356" s="162"/>
      <c r="AC4356" s="162"/>
      <c r="AD4356" s="162">
        <f t="shared" ref="AD4356:AD4419" si="88">AB4356+AC4356</f>
        <v>0</v>
      </c>
      <c r="AE4356" s="160">
        <v>4354</v>
      </c>
    </row>
    <row r="4357" spans="27:31" x14ac:dyDescent="0.25">
      <c r="AA4357" s="160"/>
      <c r="AB4357" s="162"/>
      <c r="AC4357" s="162"/>
      <c r="AD4357" s="162">
        <f t="shared" si="88"/>
        <v>0</v>
      </c>
      <c r="AE4357" s="160">
        <v>4355</v>
      </c>
    </row>
    <row r="4358" spans="27:31" x14ac:dyDescent="0.25">
      <c r="AA4358" s="160"/>
      <c r="AB4358" s="162"/>
      <c r="AC4358" s="162"/>
      <c r="AD4358" s="162">
        <f t="shared" si="88"/>
        <v>0</v>
      </c>
      <c r="AE4358" s="160">
        <v>4356</v>
      </c>
    </row>
    <row r="4359" spans="27:31" x14ac:dyDescent="0.25">
      <c r="AA4359" s="160"/>
      <c r="AB4359" s="162"/>
      <c r="AC4359" s="162"/>
      <c r="AD4359" s="162">
        <f t="shared" si="88"/>
        <v>0</v>
      </c>
      <c r="AE4359" s="160">
        <v>4357</v>
      </c>
    </row>
    <row r="4360" spans="27:31" x14ac:dyDescent="0.25">
      <c r="AA4360" s="160"/>
      <c r="AB4360" s="162"/>
      <c r="AC4360" s="162"/>
      <c r="AD4360" s="162">
        <f t="shared" si="88"/>
        <v>0</v>
      </c>
      <c r="AE4360" s="160">
        <v>4358</v>
      </c>
    </row>
    <row r="4361" spans="27:31" x14ac:dyDescent="0.25">
      <c r="AA4361" s="160"/>
      <c r="AB4361" s="162"/>
      <c r="AC4361" s="162"/>
      <c r="AD4361" s="162">
        <f t="shared" si="88"/>
        <v>0</v>
      </c>
      <c r="AE4361" s="160">
        <v>4359</v>
      </c>
    </row>
    <row r="4362" spans="27:31" x14ac:dyDescent="0.25">
      <c r="AA4362" s="160"/>
      <c r="AB4362" s="162"/>
      <c r="AC4362" s="162"/>
      <c r="AD4362" s="162">
        <f t="shared" si="88"/>
        <v>0</v>
      </c>
      <c r="AE4362" s="160">
        <v>4360</v>
      </c>
    </row>
    <row r="4363" spans="27:31" x14ac:dyDescent="0.25">
      <c r="AA4363" s="160"/>
      <c r="AB4363" s="162"/>
      <c r="AC4363" s="162"/>
      <c r="AD4363" s="162">
        <f t="shared" si="88"/>
        <v>0</v>
      </c>
      <c r="AE4363" s="160">
        <v>4361</v>
      </c>
    </row>
    <row r="4364" spans="27:31" x14ac:dyDescent="0.25">
      <c r="AA4364" s="160"/>
      <c r="AB4364" s="162"/>
      <c r="AC4364" s="162"/>
      <c r="AD4364" s="162">
        <f t="shared" si="88"/>
        <v>0</v>
      </c>
      <c r="AE4364" s="160">
        <v>4362</v>
      </c>
    </row>
    <row r="4365" spans="27:31" x14ac:dyDescent="0.25">
      <c r="AA4365" s="160"/>
      <c r="AB4365" s="162"/>
      <c r="AC4365" s="162"/>
      <c r="AD4365" s="162">
        <f t="shared" si="88"/>
        <v>0</v>
      </c>
      <c r="AE4365" s="160">
        <v>4363</v>
      </c>
    </row>
    <row r="4366" spans="27:31" x14ac:dyDescent="0.25">
      <c r="AA4366" s="160"/>
      <c r="AB4366" s="162"/>
      <c r="AC4366" s="162"/>
      <c r="AD4366" s="162">
        <f t="shared" si="88"/>
        <v>0</v>
      </c>
      <c r="AE4366" s="160">
        <v>4364</v>
      </c>
    </row>
    <row r="4367" spans="27:31" x14ac:dyDescent="0.25">
      <c r="AA4367" s="160"/>
      <c r="AB4367" s="162"/>
      <c r="AC4367" s="162"/>
      <c r="AD4367" s="162">
        <f t="shared" si="88"/>
        <v>0</v>
      </c>
      <c r="AE4367" s="160">
        <v>4365</v>
      </c>
    </row>
    <row r="4368" spans="27:31" x14ac:dyDescent="0.25">
      <c r="AA4368" s="160"/>
      <c r="AB4368" s="162"/>
      <c r="AC4368" s="162"/>
      <c r="AD4368" s="162">
        <f t="shared" si="88"/>
        <v>0</v>
      </c>
      <c r="AE4368" s="160">
        <v>4366</v>
      </c>
    </row>
    <row r="4369" spans="27:31" x14ac:dyDescent="0.25">
      <c r="AA4369" s="160"/>
      <c r="AB4369" s="162"/>
      <c r="AC4369" s="162"/>
      <c r="AD4369" s="162">
        <f t="shared" si="88"/>
        <v>0</v>
      </c>
      <c r="AE4369" s="160">
        <v>4367</v>
      </c>
    </row>
    <row r="4370" spans="27:31" x14ac:dyDescent="0.25">
      <c r="AA4370" s="160"/>
      <c r="AB4370" s="162"/>
      <c r="AC4370" s="162"/>
      <c r="AD4370" s="162">
        <f t="shared" si="88"/>
        <v>0</v>
      </c>
      <c r="AE4370" s="160">
        <v>4368</v>
      </c>
    </row>
    <row r="4371" spans="27:31" x14ac:dyDescent="0.25">
      <c r="AA4371" s="160"/>
      <c r="AB4371" s="162"/>
      <c r="AC4371" s="162"/>
      <c r="AD4371" s="162">
        <f t="shared" si="88"/>
        <v>0</v>
      </c>
      <c r="AE4371" s="160">
        <v>4369</v>
      </c>
    </row>
    <row r="4372" spans="27:31" x14ac:dyDescent="0.25">
      <c r="AA4372" s="160"/>
      <c r="AB4372" s="162"/>
      <c r="AC4372" s="162"/>
      <c r="AD4372" s="162">
        <f t="shared" si="88"/>
        <v>0</v>
      </c>
      <c r="AE4372" s="160">
        <v>4370</v>
      </c>
    </row>
    <row r="4373" spans="27:31" x14ac:dyDescent="0.25">
      <c r="AA4373" s="160"/>
      <c r="AB4373" s="162"/>
      <c r="AC4373" s="162"/>
      <c r="AD4373" s="162">
        <f t="shared" si="88"/>
        <v>0</v>
      </c>
      <c r="AE4373" s="160">
        <v>4371</v>
      </c>
    </row>
    <row r="4374" spans="27:31" x14ac:dyDescent="0.25">
      <c r="AA4374" s="160"/>
      <c r="AB4374" s="162"/>
      <c r="AC4374" s="162"/>
      <c r="AD4374" s="162">
        <f t="shared" si="88"/>
        <v>0</v>
      </c>
      <c r="AE4374" s="160">
        <v>4372</v>
      </c>
    </row>
    <row r="4375" spans="27:31" x14ac:dyDescent="0.25">
      <c r="AA4375" s="160"/>
      <c r="AB4375" s="162"/>
      <c r="AC4375" s="162"/>
      <c r="AD4375" s="162">
        <f t="shared" si="88"/>
        <v>0</v>
      </c>
      <c r="AE4375" s="160">
        <v>4373</v>
      </c>
    </row>
    <row r="4376" spans="27:31" x14ac:dyDescent="0.25">
      <c r="AA4376" s="160"/>
      <c r="AB4376" s="162"/>
      <c r="AC4376" s="162"/>
      <c r="AD4376" s="162">
        <f t="shared" si="88"/>
        <v>0</v>
      </c>
      <c r="AE4376" s="160">
        <v>4374</v>
      </c>
    </row>
    <row r="4377" spans="27:31" x14ac:dyDescent="0.25">
      <c r="AA4377" s="160"/>
      <c r="AB4377" s="162"/>
      <c r="AC4377" s="162"/>
      <c r="AD4377" s="162">
        <f t="shared" si="88"/>
        <v>0</v>
      </c>
      <c r="AE4377" s="160">
        <v>4375</v>
      </c>
    </row>
    <row r="4378" spans="27:31" x14ac:dyDescent="0.25">
      <c r="AA4378" s="160"/>
      <c r="AB4378" s="162"/>
      <c r="AC4378" s="162"/>
      <c r="AD4378" s="162">
        <f t="shared" si="88"/>
        <v>0</v>
      </c>
      <c r="AE4378" s="160">
        <v>4376</v>
      </c>
    </row>
    <row r="4379" spans="27:31" x14ac:dyDescent="0.25">
      <c r="AA4379" s="160"/>
      <c r="AB4379" s="162"/>
      <c r="AC4379" s="162"/>
      <c r="AD4379" s="162">
        <f t="shared" si="88"/>
        <v>0</v>
      </c>
      <c r="AE4379" s="160">
        <v>4377</v>
      </c>
    </row>
    <row r="4380" spans="27:31" x14ac:dyDescent="0.25">
      <c r="AA4380" s="160"/>
      <c r="AB4380" s="162"/>
      <c r="AC4380" s="162"/>
      <c r="AD4380" s="162">
        <f t="shared" si="88"/>
        <v>0</v>
      </c>
      <c r="AE4380" s="160">
        <v>4378</v>
      </c>
    </row>
    <row r="4381" spans="27:31" x14ac:dyDescent="0.25">
      <c r="AA4381" s="160"/>
      <c r="AB4381" s="162"/>
      <c r="AC4381" s="162"/>
      <c r="AD4381" s="162">
        <f t="shared" si="88"/>
        <v>0</v>
      </c>
      <c r="AE4381" s="160">
        <v>4379</v>
      </c>
    </row>
    <row r="4382" spans="27:31" x14ac:dyDescent="0.25">
      <c r="AA4382" s="160"/>
      <c r="AB4382" s="162"/>
      <c r="AC4382" s="162"/>
      <c r="AD4382" s="162">
        <f t="shared" si="88"/>
        <v>0</v>
      </c>
      <c r="AE4382" s="160">
        <v>4380</v>
      </c>
    </row>
    <row r="4383" spans="27:31" x14ac:dyDescent="0.25">
      <c r="AA4383" s="160"/>
      <c r="AB4383" s="162"/>
      <c r="AC4383" s="162"/>
      <c r="AD4383" s="162">
        <f t="shared" si="88"/>
        <v>0</v>
      </c>
      <c r="AE4383" s="160">
        <v>4381</v>
      </c>
    </row>
    <row r="4384" spans="27:31" x14ac:dyDescent="0.25">
      <c r="AA4384" s="160"/>
      <c r="AB4384" s="162"/>
      <c r="AC4384" s="162"/>
      <c r="AD4384" s="162">
        <f t="shared" si="88"/>
        <v>0</v>
      </c>
      <c r="AE4384" s="160">
        <v>4382</v>
      </c>
    </row>
    <row r="4385" spans="27:31" x14ac:dyDescent="0.25">
      <c r="AA4385" s="160"/>
      <c r="AB4385" s="162"/>
      <c r="AC4385" s="162"/>
      <c r="AD4385" s="162">
        <f t="shared" si="88"/>
        <v>0</v>
      </c>
      <c r="AE4385" s="160">
        <v>4383</v>
      </c>
    </row>
    <row r="4386" spans="27:31" x14ac:dyDescent="0.25">
      <c r="AA4386" s="160"/>
      <c r="AB4386" s="162"/>
      <c r="AC4386" s="162"/>
      <c r="AD4386" s="162">
        <f t="shared" si="88"/>
        <v>0</v>
      </c>
      <c r="AE4386" s="160">
        <v>4384</v>
      </c>
    </row>
    <row r="4387" spans="27:31" x14ac:dyDescent="0.25">
      <c r="AA4387" s="160"/>
      <c r="AB4387" s="162"/>
      <c r="AC4387" s="162"/>
      <c r="AD4387" s="162">
        <f t="shared" si="88"/>
        <v>0</v>
      </c>
      <c r="AE4387" s="160">
        <v>4385</v>
      </c>
    </row>
    <row r="4388" spans="27:31" x14ac:dyDescent="0.25">
      <c r="AA4388" s="160"/>
      <c r="AB4388" s="162"/>
      <c r="AC4388" s="162"/>
      <c r="AD4388" s="162">
        <f t="shared" si="88"/>
        <v>0</v>
      </c>
      <c r="AE4388" s="160">
        <v>4386</v>
      </c>
    </row>
    <row r="4389" spans="27:31" x14ac:dyDescent="0.25">
      <c r="AA4389" s="160"/>
      <c r="AB4389" s="162"/>
      <c r="AC4389" s="162"/>
      <c r="AD4389" s="162">
        <f t="shared" si="88"/>
        <v>0</v>
      </c>
      <c r="AE4389" s="160">
        <v>4387</v>
      </c>
    </row>
    <row r="4390" spans="27:31" x14ac:dyDescent="0.25">
      <c r="AA4390" s="160"/>
      <c r="AB4390" s="162"/>
      <c r="AC4390" s="162"/>
      <c r="AD4390" s="162">
        <f t="shared" si="88"/>
        <v>0</v>
      </c>
      <c r="AE4390" s="160">
        <v>4388</v>
      </c>
    </row>
    <row r="4391" spans="27:31" x14ac:dyDescent="0.25">
      <c r="AA4391" s="160"/>
      <c r="AB4391" s="162"/>
      <c r="AC4391" s="162"/>
      <c r="AD4391" s="162">
        <f t="shared" si="88"/>
        <v>0</v>
      </c>
      <c r="AE4391" s="160">
        <v>4389</v>
      </c>
    </row>
    <row r="4392" spans="27:31" x14ac:dyDescent="0.25">
      <c r="AA4392" s="160"/>
      <c r="AB4392" s="162"/>
      <c r="AC4392" s="162"/>
      <c r="AD4392" s="162">
        <f t="shared" si="88"/>
        <v>0</v>
      </c>
      <c r="AE4392" s="160">
        <v>4390</v>
      </c>
    </row>
    <row r="4393" spans="27:31" x14ac:dyDescent="0.25">
      <c r="AA4393" s="160"/>
      <c r="AB4393" s="162"/>
      <c r="AC4393" s="162"/>
      <c r="AD4393" s="162">
        <f t="shared" si="88"/>
        <v>0</v>
      </c>
      <c r="AE4393" s="160">
        <v>4391</v>
      </c>
    </row>
    <row r="4394" spans="27:31" x14ac:dyDescent="0.25">
      <c r="AA4394" s="160"/>
      <c r="AB4394" s="162"/>
      <c r="AC4394" s="162"/>
      <c r="AD4394" s="162">
        <f t="shared" si="88"/>
        <v>0</v>
      </c>
      <c r="AE4394" s="160">
        <v>4392</v>
      </c>
    </row>
    <row r="4395" spans="27:31" x14ac:dyDescent="0.25">
      <c r="AA4395" s="160"/>
      <c r="AB4395" s="162"/>
      <c r="AC4395" s="162"/>
      <c r="AD4395" s="162">
        <f t="shared" si="88"/>
        <v>0</v>
      </c>
      <c r="AE4395" s="160">
        <v>4393</v>
      </c>
    </row>
    <row r="4396" spans="27:31" x14ac:dyDescent="0.25">
      <c r="AA4396" s="160"/>
      <c r="AB4396" s="162"/>
      <c r="AC4396" s="162"/>
      <c r="AD4396" s="162">
        <f t="shared" si="88"/>
        <v>0</v>
      </c>
      <c r="AE4396" s="160">
        <v>4394</v>
      </c>
    </row>
    <row r="4397" spans="27:31" x14ac:dyDescent="0.25">
      <c r="AA4397" s="160"/>
      <c r="AB4397" s="162"/>
      <c r="AC4397" s="162"/>
      <c r="AD4397" s="162">
        <f t="shared" si="88"/>
        <v>0</v>
      </c>
      <c r="AE4397" s="160">
        <v>4395</v>
      </c>
    </row>
    <row r="4398" spans="27:31" x14ac:dyDescent="0.25">
      <c r="AA4398" s="160"/>
      <c r="AB4398" s="162"/>
      <c r="AC4398" s="162"/>
      <c r="AD4398" s="162">
        <f t="shared" si="88"/>
        <v>0</v>
      </c>
      <c r="AE4398" s="160">
        <v>4396</v>
      </c>
    </row>
    <row r="4399" spans="27:31" x14ac:dyDescent="0.25">
      <c r="AA4399" s="160"/>
      <c r="AB4399" s="162"/>
      <c r="AC4399" s="162"/>
      <c r="AD4399" s="162">
        <f t="shared" si="88"/>
        <v>0</v>
      </c>
      <c r="AE4399" s="160">
        <v>4397</v>
      </c>
    </row>
    <row r="4400" spans="27:31" x14ac:dyDescent="0.25">
      <c r="AA4400" s="160"/>
      <c r="AB4400" s="162"/>
      <c r="AC4400" s="162"/>
      <c r="AD4400" s="162">
        <f t="shared" si="88"/>
        <v>0</v>
      </c>
      <c r="AE4400" s="160">
        <v>4398</v>
      </c>
    </row>
    <row r="4401" spans="27:31" x14ac:dyDescent="0.25">
      <c r="AA4401" s="160"/>
      <c r="AB4401" s="162"/>
      <c r="AC4401" s="162"/>
      <c r="AD4401" s="162">
        <f t="shared" si="88"/>
        <v>0</v>
      </c>
      <c r="AE4401" s="160">
        <v>4399</v>
      </c>
    </row>
    <row r="4402" spans="27:31" x14ac:dyDescent="0.25">
      <c r="AA4402" s="160"/>
      <c r="AB4402" s="162"/>
      <c r="AC4402" s="162"/>
      <c r="AD4402" s="162">
        <f t="shared" si="88"/>
        <v>0</v>
      </c>
      <c r="AE4402" s="160">
        <v>4400</v>
      </c>
    </row>
    <row r="4403" spans="27:31" x14ac:dyDescent="0.25">
      <c r="AA4403" s="160"/>
      <c r="AB4403" s="162"/>
      <c r="AC4403" s="162"/>
      <c r="AD4403" s="162">
        <f t="shared" si="88"/>
        <v>0</v>
      </c>
      <c r="AE4403" s="160">
        <v>4401</v>
      </c>
    </row>
    <row r="4404" spans="27:31" x14ac:dyDescent="0.25">
      <c r="AA4404" s="160"/>
      <c r="AB4404" s="162"/>
      <c r="AC4404" s="162"/>
      <c r="AD4404" s="162">
        <f t="shared" si="88"/>
        <v>0</v>
      </c>
      <c r="AE4404" s="160">
        <v>4402</v>
      </c>
    </row>
    <row r="4405" spans="27:31" x14ac:dyDescent="0.25">
      <c r="AA4405" s="160"/>
      <c r="AB4405" s="162"/>
      <c r="AC4405" s="162"/>
      <c r="AD4405" s="162">
        <f t="shared" si="88"/>
        <v>0</v>
      </c>
      <c r="AE4405" s="160">
        <v>4403</v>
      </c>
    </row>
    <row r="4406" spans="27:31" x14ac:dyDescent="0.25">
      <c r="AA4406" s="160"/>
      <c r="AB4406" s="162"/>
      <c r="AC4406" s="162"/>
      <c r="AD4406" s="162">
        <f t="shared" si="88"/>
        <v>0</v>
      </c>
      <c r="AE4406" s="160">
        <v>4404</v>
      </c>
    </row>
    <row r="4407" spans="27:31" x14ac:dyDescent="0.25">
      <c r="AA4407" s="160"/>
      <c r="AB4407" s="162"/>
      <c r="AC4407" s="162"/>
      <c r="AD4407" s="162">
        <f t="shared" si="88"/>
        <v>0</v>
      </c>
      <c r="AE4407" s="160">
        <v>4405</v>
      </c>
    </row>
    <row r="4408" spans="27:31" x14ac:dyDescent="0.25">
      <c r="AA4408" s="160"/>
      <c r="AB4408" s="162"/>
      <c r="AC4408" s="162"/>
      <c r="AD4408" s="162">
        <f t="shared" si="88"/>
        <v>0</v>
      </c>
      <c r="AE4408" s="160">
        <v>4406</v>
      </c>
    </row>
    <row r="4409" spans="27:31" x14ac:dyDescent="0.25">
      <c r="AA4409" s="160"/>
      <c r="AB4409" s="162"/>
      <c r="AC4409" s="162"/>
      <c r="AD4409" s="162">
        <f t="shared" si="88"/>
        <v>0</v>
      </c>
      <c r="AE4409" s="160">
        <v>4407</v>
      </c>
    </row>
    <row r="4410" spans="27:31" x14ac:dyDescent="0.25">
      <c r="AA4410" s="160"/>
      <c r="AB4410" s="162"/>
      <c r="AC4410" s="162"/>
      <c r="AD4410" s="162">
        <f t="shared" si="88"/>
        <v>0</v>
      </c>
      <c r="AE4410" s="160">
        <v>4408</v>
      </c>
    </row>
    <row r="4411" spans="27:31" x14ac:dyDescent="0.25">
      <c r="AA4411" s="160"/>
      <c r="AB4411" s="162"/>
      <c r="AC4411" s="162"/>
      <c r="AD4411" s="162">
        <f t="shared" si="88"/>
        <v>0</v>
      </c>
      <c r="AE4411" s="160">
        <v>4409</v>
      </c>
    </row>
    <row r="4412" spans="27:31" x14ac:dyDescent="0.25">
      <c r="AA4412" s="160"/>
      <c r="AB4412" s="162"/>
      <c r="AC4412" s="162"/>
      <c r="AD4412" s="162">
        <f t="shared" si="88"/>
        <v>0</v>
      </c>
      <c r="AE4412" s="160">
        <v>4410</v>
      </c>
    </row>
    <row r="4413" spans="27:31" x14ac:dyDescent="0.25">
      <c r="AA4413" s="160"/>
      <c r="AB4413" s="162"/>
      <c r="AC4413" s="162"/>
      <c r="AD4413" s="162">
        <f t="shared" si="88"/>
        <v>0</v>
      </c>
      <c r="AE4413" s="160">
        <v>4411</v>
      </c>
    </row>
    <row r="4414" spans="27:31" x14ac:dyDescent="0.25">
      <c r="AA4414" s="160"/>
      <c r="AB4414" s="162"/>
      <c r="AC4414" s="162"/>
      <c r="AD4414" s="162">
        <f t="shared" si="88"/>
        <v>0</v>
      </c>
      <c r="AE4414" s="160">
        <v>4412</v>
      </c>
    </row>
    <row r="4415" spans="27:31" x14ac:dyDescent="0.25">
      <c r="AA4415" s="160"/>
      <c r="AB4415" s="162"/>
      <c r="AC4415" s="162"/>
      <c r="AD4415" s="162">
        <f t="shared" si="88"/>
        <v>0</v>
      </c>
      <c r="AE4415" s="160">
        <v>4413</v>
      </c>
    </row>
    <row r="4416" spans="27:31" x14ac:dyDescent="0.25">
      <c r="AA4416" s="160"/>
      <c r="AB4416" s="162"/>
      <c r="AC4416" s="162"/>
      <c r="AD4416" s="162">
        <f t="shared" si="88"/>
        <v>0</v>
      </c>
      <c r="AE4416" s="160">
        <v>4414</v>
      </c>
    </row>
    <row r="4417" spans="27:31" x14ac:dyDescent="0.25">
      <c r="AA4417" s="160"/>
      <c r="AB4417" s="162"/>
      <c r="AC4417" s="162"/>
      <c r="AD4417" s="162">
        <f t="shared" si="88"/>
        <v>0</v>
      </c>
      <c r="AE4417" s="160">
        <v>4415</v>
      </c>
    </row>
    <row r="4418" spans="27:31" x14ac:dyDescent="0.25">
      <c r="AA4418" s="160"/>
      <c r="AB4418" s="162"/>
      <c r="AC4418" s="162"/>
      <c r="AD4418" s="162">
        <f t="shared" si="88"/>
        <v>0</v>
      </c>
      <c r="AE4418" s="160">
        <v>4416</v>
      </c>
    </row>
    <row r="4419" spans="27:31" x14ac:dyDescent="0.25">
      <c r="AA4419" s="160"/>
      <c r="AB4419" s="162"/>
      <c r="AC4419" s="162"/>
      <c r="AD4419" s="162">
        <f t="shared" si="88"/>
        <v>0</v>
      </c>
      <c r="AE4419" s="160">
        <v>4417</v>
      </c>
    </row>
    <row r="4420" spans="27:31" x14ac:dyDescent="0.25">
      <c r="AA4420" s="160"/>
      <c r="AB4420" s="162"/>
      <c r="AC4420" s="162"/>
      <c r="AD4420" s="162">
        <f t="shared" ref="AD4420:AD4483" si="89">AB4420+AC4420</f>
        <v>0</v>
      </c>
      <c r="AE4420" s="160">
        <v>4418</v>
      </c>
    </row>
    <row r="4421" spans="27:31" x14ac:dyDescent="0.25">
      <c r="AA4421" s="160"/>
      <c r="AB4421" s="162"/>
      <c r="AC4421" s="162"/>
      <c r="AD4421" s="162">
        <f t="shared" si="89"/>
        <v>0</v>
      </c>
      <c r="AE4421" s="160">
        <v>4419</v>
      </c>
    </row>
    <row r="4422" spans="27:31" x14ac:dyDescent="0.25">
      <c r="AA4422" s="160"/>
      <c r="AB4422" s="162"/>
      <c r="AC4422" s="162"/>
      <c r="AD4422" s="162">
        <f t="shared" si="89"/>
        <v>0</v>
      </c>
      <c r="AE4422" s="160">
        <v>4420</v>
      </c>
    </row>
    <row r="4423" spans="27:31" x14ac:dyDescent="0.25">
      <c r="AA4423" s="160"/>
      <c r="AB4423" s="162"/>
      <c r="AC4423" s="162"/>
      <c r="AD4423" s="162">
        <f t="shared" si="89"/>
        <v>0</v>
      </c>
      <c r="AE4423" s="160">
        <v>4421</v>
      </c>
    </row>
    <row r="4424" spans="27:31" x14ac:dyDescent="0.25">
      <c r="AA4424" s="160"/>
      <c r="AB4424" s="162"/>
      <c r="AC4424" s="162"/>
      <c r="AD4424" s="162">
        <f t="shared" si="89"/>
        <v>0</v>
      </c>
      <c r="AE4424" s="160">
        <v>4422</v>
      </c>
    </row>
    <row r="4425" spans="27:31" x14ac:dyDescent="0.25">
      <c r="AA4425" s="160"/>
      <c r="AB4425" s="162"/>
      <c r="AC4425" s="162"/>
      <c r="AD4425" s="162">
        <f t="shared" si="89"/>
        <v>0</v>
      </c>
      <c r="AE4425" s="160">
        <v>4423</v>
      </c>
    </row>
    <row r="4426" spans="27:31" x14ac:dyDescent="0.25">
      <c r="AA4426" s="160"/>
      <c r="AB4426" s="162"/>
      <c r="AC4426" s="162"/>
      <c r="AD4426" s="162">
        <f t="shared" si="89"/>
        <v>0</v>
      </c>
      <c r="AE4426" s="160">
        <v>4424</v>
      </c>
    </row>
    <row r="4427" spans="27:31" x14ac:dyDescent="0.25">
      <c r="AA4427" s="160"/>
      <c r="AB4427" s="162"/>
      <c r="AC4427" s="162"/>
      <c r="AD4427" s="162">
        <f t="shared" si="89"/>
        <v>0</v>
      </c>
      <c r="AE4427" s="160">
        <v>4425</v>
      </c>
    </row>
    <row r="4428" spans="27:31" x14ac:dyDescent="0.25">
      <c r="AA4428" s="160"/>
      <c r="AB4428" s="162"/>
      <c r="AC4428" s="162"/>
      <c r="AD4428" s="162">
        <f t="shared" si="89"/>
        <v>0</v>
      </c>
      <c r="AE4428" s="160">
        <v>4426</v>
      </c>
    </row>
    <row r="4429" spans="27:31" x14ac:dyDescent="0.25">
      <c r="AA4429" s="160"/>
      <c r="AB4429" s="162"/>
      <c r="AC4429" s="162"/>
      <c r="AD4429" s="162">
        <f t="shared" si="89"/>
        <v>0</v>
      </c>
      <c r="AE4429" s="160">
        <v>4427</v>
      </c>
    </row>
    <row r="4430" spans="27:31" x14ac:dyDescent="0.25">
      <c r="AA4430" s="160"/>
      <c r="AB4430" s="162"/>
      <c r="AC4430" s="162"/>
      <c r="AD4430" s="162">
        <f t="shared" si="89"/>
        <v>0</v>
      </c>
      <c r="AE4430" s="160">
        <v>4428</v>
      </c>
    </row>
    <row r="4431" spans="27:31" x14ac:dyDescent="0.25">
      <c r="AA4431" s="160"/>
      <c r="AB4431" s="162"/>
      <c r="AC4431" s="162"/>
      <c r="AD4431" s="162">
        <f t="shared" si="89"/>
        <v>0</v>
      </c>
      <c r="AE4431" s="160">
        <v>4429</v>
      </c>
    </row>
    <row r="4432" spans="27:31" x14ac:dyDescent="0.25">
      <c r="AA4432" s="160"/>
      <c r="AB4432" s="162"/>
      <c r="AC4432" s="162"/>
      <c r="AD4432" s="162">
        <f t="shared" si="89"/>
        <v>0</v>
      </c>
      <c r="AE4432" s="160">
        <v>4430</v>
      </c>
    </row>
    <row r="4433" spans="27:31" x14ac:dyDescent="0.25">
      <c r="AA4433" s="160"/>
      <c r="AB4433" s="162"/>
      <c r="AC4433" s="162"/>
      <c r="AD4433" s="162">
        <f t="shared" si="89"/>
        <v>0</v>
      </c>
      <c r="AE4433" s="160">
        <v>4431</v>
      </c>
    </row>
    <row r="4434" spans="27:31" x14ac:dyDescent="0.25">
      <c r="AA4434" s="160"/>
      <c r="AB4434" s="162"/>
      <c r="AC4434" s="162"/>
      <c r="AD4434" s="162">
        <f t="shared" si="89"/>
        <v>0</v>
      </c>
      <c r="AE4434" s="160">
        <v>4432</v>
      </c>
    </row>
    <row r="4435" spans="27:31" x14ac:dyDescent="0.25">
      <c r="AA4435" s="160"/>
      <c r="AB4435" s="162"/>
      <c r="AC4435" s="162"/>
      <c r="AD4435" s="162">
        <f t="shared" si="89"/>
        <v>0</v>
      </c>
      <c r="AE4435" s="160">
        <v>4433</v>
      </c>
    </row>
    <row r="4436" spans="27:31" x14ac:dyDescent="0.25">
      <c r="AA4436" s="160"/>
      <c r="AB4436" s="162"/>
      <c r="AC4436" s="162"/>
      <c r="AD4436" s="162">
        <f t="shared" si="89"/>
        <v>0</v>
      </c>
      <c r="AE4436" s="160">
        <v>4434</v>
      </c>
    </row>
    <row r="4437" spans="27:31" x14ac:dyDescent="0.25">
      <c r="AA4437" s="160"/>
      <c r="AB4437" s="162"/>
      <c r="AC4437" s="162"/>
      <c r="AD4437" s="162">
        <f t="shared" si="89"/>
        <v>0</v>
      </c>
      <c r="AE4437" s="160">
        <v>4435</v>
      </c>
    </row>
    <row r="4438" spans="27:31" x14ac:dyDescent="0.25">
      <c r="AA4438" s="160"/>
      <c r="AB4438" s="162"/>
      <c r="AC4438" s="162"/>
      <c r="AD4438" s="162">
        <f t="shared" si="89"/>
        <v>0</v>
      </c>
      <c r="AE4438" s="160">
        <v>4436</v>
      </c>
    </row>
    <row r="4439" spans="27:31" x14ac:dyDescent="0.25">
      <c r="AA4439" s="160"/>
      <c r="AB4439" s="162"/>
      <c r="AC4439" s="162"/>
      <c r="AD4439" s="162">
        <f t="shared" si="89"/>
        <v>0</v>
      </c>
      <c r="AE4439" s="160">
        <v>4437</v>
      </c>
    </row>
    <row r="4440" spans="27:31" x14ac:dyDescent="0.25">
      <c r="AA4440" s="160"/>
      <c r="AB4440" s="162"/>
      <c r="AC4440" s="162"/>
      <c r="AD4440" s="162">
        <f t="shared" si="89"/>
        <v>0</v>
      </c>
      <c r="AE4440" s="160">
        <v>4438</v>
      </c>
    </row>
    <row r="4441" spans="27:31" x14ac:dyDescent="0.25">
      <c r="AA4441" s="160"/>
      <c r="AB4441" s="162"/>
      <c r="AC4441" s="162"/>
      <c r="AD4441" s="162">
        <f t="shared" si="89"/>
        <v>0</v>
      </c>
      <c r="AE4441" s="160">
        <v>4439</v>
      </c>
    </row>
    <row r="4442" spans="27:31" x14ac:dyDescent="0.25">
      <c r="AA4442" s="160"/>
      <c r="AB4442" s="162"/>
      <c r="AC4442" s="162"/>
      <c r="AD4442" s="162">
        <f t="shared" si="89"/>
        <v>0</v>
      </c>
      <c r="AE4442" s="160">
        <v>4440</v>
      </c>
    </row>
    <row r="4443" spans="27:31" x14ac:dyDescent="0.25">
      <c r="AA4443" s="160"/>
      <c r="AB4443" s="162"/>
      <c r="AC4443" s="162"/>
      <c r="AD4443" s="162">
        <f t="shared" si="89"/>
        <v>0</v>
      </c>
      <c r="AE4443" s="160">
        <v>4441</v>
      </c>
    </row>
    <row r="4444" spans="27:31" x14ac:dyDescent="0.25">
      <c r="AA4444" s="160"/>
      <c r="AB4444" s="162"/>
      <c r="AC4444" s="162"/>
      <c r="AD4444" s="162">
        <f t="shared" si="89"/>
        <v>0</v>
      </c>
      <c r="AE4444" s="160">
        <v>4442</v>
      </c>
    </row>
    <row r="4445" spans="27:31" x14ac:dyDescent="0.25">
      <c r="AA4445" s="160"/>
      <c r="AB4445" s="162"/>
      <c r="AC4445" s="162"/>
      <c r="AD4445" s="162">
        <f t="shared" si="89"/>
        <v>0</v>
      </c>
      <c r="AE4445" s="160">
        <v>4443</v>
      </c>
    </row>
    <row r="4446" spans="27:31" x14ac:dyDescent="0.25">
      <c r="AA4446" s="160"/>
      <c r="AB4446" s="162"/>
      <c r="AC4446" s="162"/>
      <c r="AD4446" s="162">
        <f t="shared" si="89"/>
        <v>0</v>
      </c>
      <c r="AE4446" s="160">
        <v>4444</v>
      </c>
    </row>
    <row r="4447" spans="27:31" x14ac:dyDescent="0.25">
      <c r="AA4447" s="160"/>
      <c r="AB4447" s="162"/>
      <c r="AC4447" s="162"/>
      <c r="AD4447" s="162">
        <f t="shared" si="89"/>
        <v>0</v>
      </c>
      <c r="AE4447" s="160">
        <v>4445</v>
      </c>
    </row>
    <row r="4448" spans="27:31" x14ac:dyDescent="0.25">
      <c r="AA4448" s="160"/>
      <c r="AB4448" s="162"/>
      <c r="AC4448" s="162"/>
      <c r="AD4448" s="162">
        <f t="shared" si="89"/>
        <v>0</v>
      </c>
      <c r="AE4448" s="160">
        <v>4446</v>
      </c>
    </row>
    <row r="4449" spans="27:31" x14ac:dyDescent="0.25">
      <c r="AA4449" s="160"/>
      <c r="AB4449" s="162"/>
      <c r="AC4449" s="162"/>
      <c r="AD4449" s="162">
        <f t="shared" si="89"/>
        <v>0</v>
      </c>
      <c r="AE4449" s="160">
        <v>4447</v>
      </c>
    </row>
    <row r="4450" spans="27:31" x14ac:dyDescent="0.25">
      <c r="AA4450" s="160"/>
      <c r="AB4450" s="162"/>
      <c r="AC4450" s="162"/>
      <c r="AD4450" s="162">
        <f t="shared" si="89"/>
        <v>0</v>
      </c>
      <c r="AE4450" s="160">
        <v>4448</v>
      </c>
    </row>
    <row r="4451" spans="27:31" x14ac:dyDescent="0.25">
      <c r="AA4451" s="160"/>
      <c r="AB4451" s="162"/>
      <c r="AC4451" s="162"/>
      <c r="AD4451" s="162">
        <f t="shared" si="89"/>
        <v>0</v>
      </c>
      <c r="AE4451" s="160">
        <v>4449</v>
      </c>
    </row>
    <row r="4452" spans="27:31" x14ac:dyDescent="0.25">
      <c r="AA4452" s="160"/>
      <c r="AB4452" s="162"/>
      <c r="AC4452" s="162"/>
      <c r="AD4452" s="162">
        <f t="shared" si="89"/>
        <v>0</v>
      </c>
      <c r="AE4452" s="160">
        <v>4450</v>
      </c>
    </row>
    <row r="4453" spans="27:31" x14ac:dyDescent="0.25">
      <c r="AA4453" s="160"/>
      <c r="AB4453" s="162"/>
      <c r="AC4453" s="162"/>
      <c r="AD4453" s="162">
        <f t="shared" si="89"/>
        <v>0</v>
      </c>
      <c r="AE4453" s="160">
        <v>4451</v>
      </c>
    </row>
    <row r="4454" spans="27:31" x14ac:dyDescent="0.25">
      <c r="AA4454" s="160"/>
      <c r="AB4454" s="162"/>
      <c r="AC4454" s="162"/>
      <c r="AD4454" s="162">
        <f t="shared" si="89"/>
        <v>0</v>
      </c>
      <c r="AE4454" s="160">
        <v>4452</v>
      </c>
    </row>
    <row r="4455" spans="27:31" x14ac:dyDescent="0.25">
      <c r="AA4455" s="160"/>
      <c r="AB4455" s="162"/>
      <c r="AC4455" s="162"/>
      <c r="AD4455" s="162">
        <f t="shared" si="89"/>
        <v>0</v>
      </c>
      <c r="AE4455" s="160">
        <v>4453</v>
      </c>
    </row>
    <row r="4456" spans="27:31" x14ac:dyDescent="0.25">
      <c r="AA4456" s="160"/>
      <c r="AB4456" s="162"/>
      <c r="AC4456" s="162"/>
      <c r="AD4456" s="162">
        <f t="shared" si="89"/>
        <v>0</v>
      </c>
      <c r="AE4456" s="160">
        <v>4454</v>
      </c>
    </row>
    <row r="4457" spans="27:31" x14ac:dyDescent="0.25">
      <c r="AA4457" s="160"/>
      <c r="AB4457" s="162"/>
      <c r="AC4457" s="162"/>
      <c r="AD4457" s="162">
        <f t="shared" si="89"/>
        <v>0</v>
      </c>
      <c r="AE4457" s="160">
        <v>4455</v>
      </c>
    </row>
    <row r="4458" spans="27:31" x14ac:dyDescent="0.25">
      <c r="AA4458" s="160"/>
      <c r="AB4458" s="162"/>
      <c r="AC4458" s="162"/>
      <c r="AD4458" s="162">
        <f t="shared" si="89"/>
        <v>0</v>
      </c>
      <c r="AE4458" s="160">
        <v>4456</v>
      </c>
    </row>
    <row r="4459" spans="27:31" x14ac:dyDescent="0.25">
      <c r="AA4459" s="160"/>
      <c r="AB4459" s="162"/>
      <c r="AC4459" s="162"/>
      <c r="AD4459" s="162">
        <f t="shared" si="89"/>
        <v>0</v>
      </c>
      <c r="AE4459" s="160">
        <v>4457</v>
      </c>
    </row>
    <row r="4460" spans="27:31" x14ac:dyDescent="0.25">
      <c r="AA4460" s="160"/>
      <c r="AB4460" s="162"/>
      <c r="AC4460" s="162"/>
      <c r="AD4460" s="162">
        <f t="shared" si="89"/>
        <v>0</v>
      </c>
      <c r="AE4460" s="160">
        <v>4458</v>
      </c>
    </row>
    <row r="4461" spans="27:31" x14ac:dyDescent="0.25">
      <c r="AA4461" s="160"/>
      <c r="AB4461" s="162"/>
      <c r="AC4461" s="162"/>
      <c r="AD4461" s="162">
        <f t="shared" si="89"/>
        <v>0</v>
      </c>
      <c r="AE4461" s="160">
        <v>4459</v>
      </c>
    </row>
    <row r="4462" spans="27:31" x14ac:dyDescent="0.25">
      <c r="AA4462" s="160"/>
      <c r="AB4462" s="162"/>
      <c r="AC4462" s="162"/>
      <c r="AD4462" s="162">
        <f t="shared" si="89"/>
        <v>0</v>
      </c>
      <c r="AE4462" s="160">
        <v>4460</v>
      </c>
    </row>
    <row r="4463" spans="27:31" x14ac:dyDescent="0.25">
      <c r="AA4463" s="160"/>
      <c r="AB4463" s="162"/>
      <c r="AC4463" s="162"/>
      <c r="AD4463" s="162">
        <f t="shared" si="89"/>
        <v>0</v>
      </c>
      <c r="AE4463" s="160">
        <v>4461</v>
      </c>
    </row>
    <row r="4464" spans="27:31" x14ac:dyDescent="0.25">
      <c r="AA4464" s="160"/>
      <c r="AB4464" s="162"/>
      <c r="AC4464" s="162"/>
      <c r="AD4464" s="162">
        <f t="shared" si="89"/>
        <v>0</v>
      </c>
      <c r="AE4464" s="160">
        <v>4462</v>
      </c>
    </row>
    <row r="4465" spans="27:31" x14ac:dyDescent="0.25">
      <c r="AA4465" s="160"/>
      <c r="AB4465" s="162"/>
      <c r="AC4465" s="162"/>
      <c r="AD4465" s="162">
        <f t="shared" si="89"/>
        <v>0</v>
      </c>
      <c r="AE4465" s="160">
        <v>4463</v>
      </c>
    </row>
    <row r="4466" spans="27:31" x14ac:dyDescent="0.25">
      <c r="AA4466" s="160"/>
      <c r="AB4466" s="162"/>
      <c r="AC4466" s="162"/>
      <c r="AD4466" s="162">
        <f t="shared" si="89"/>
        <v>0</v>
      </c>
      <c r="AE4466" s="160">
        <v>4464</v>
      </c>
    </row>
    <row r="4467" spans="27:31" x14ac:dyDescent="0.25">
      <c r="AA4467" s="160"/>
      <c r="AB4467" s="162"/>
      <c r="AC4467" s="162"/>
      <c r="AD4467" s="162">
        <f t="shared" si="89"/>
        <v>0</v>
      </c>
      <c r="AE4467" s="160">
        <v>4465</v>
      </c>
    </row>
    <row r="4468" spans="27:31" x14ac:dyDescent="0.25">
      <c r="AA4468" s="160"/>
      <c r="AB4468" s="162"/>
      <c r="AC4468" s="162"/>
      <c r="AD4468" s="162">
        <f t="shared" si="89"/>
        <v>0</v>
      </c>
      <c r="AE4468" s="160">
        <v>4466</v>
      </c>
    </row>
    <row r="4469" spans="27:31" x14ac:dyDescent="0.25">
      <c r="AA4469" s="160"/>
      <c r="AB4469" s="162"/>
      <c r="AC4469" s="162"/>
      <c r="AD4469" s="162">
        <f t="shared" si="89"/>
        <v>0</v>
      </c>
      <c r="AE4469" s="160">
        <v>4467</v>
      </c>
    </row>
    <row r="4470" spans="27:31" x14ac:dyDescent="0.25">
      <c r="AA4470" s="160"/>
      <c r="AB4470" s="162"/>
      <c r="AC4470" s="162"/>
      <c r="AD4470" s="162">
        <f t="shared" si="89"/>
        <v>0</v>
      </c>
      <c r="AE4470" s="160">
        <v>4468</v>
      </c>
    </row>
    <row r="4471" spans="27:31" x14ac:dyDescent="0.25">
      <c r="AA4471" s="160"/>
      <c r="AB4471" s="162"/>
      <c r="AC4471" s="162"/>
      <c r="AD4471" s="162">
        <f t="shared" si="89"/>
        <v>0</v>
      </c>
      <c r="AE4471" s="160">
        <v>4469</v>
      </c>
    </row>
    <row r="4472" spans="27:31" x14ac:dyDescent="0.25">
      <c r="AA4472" s="160"/>
      <c r="AB4472" s="162"/>
      <c r="AC4472" s="162"/>
      <c r="AD4472" s="162">
        <f t="shared" si="89"/>
        <v>0</v>
      </c>
      <c r="AE4472" s="160">
        <v>4470</v>
      </c>
    </row>
    <row r="4473" spans="27:31" x14ac:dyDescent="0.25">
      <c r="AA4473" s="160"/>
      <c r="AB4473" s="162"/>
      <c r="AC4473" s="162"/>
      <c r="AD4473" s="162">
        <f t="shared" si="89"/>
        <v>0</v>
      </c>
      <c r="AE4473" s="160">
        <v>4471</v>
      </c>
    </row>
    <row r="4474" spans="27:31" x14ac:dyDescent="0.25">
      <c r="AA4474" s="160"/>
      <c r="AB4474" s="162"/>
      <c r="AC4474" s="162"/>
      <c r="AD4474" s="162">
        <f t="shared" si="89"/>
        <v>0</v>
      </c>
      <c r="AE4474" s="160">
        <v>4472</v>
      </c>
    </row>
    <row r="4475" spans="27:31" x14ac:dyDescent="0.25">
      <c r="AA4475" s="160"/>
      <c r="AB4475" s="162"/>
      <c r="AC4475" s="162"/>
      <c r="AD4475" s="162">
        <f t="shared" si="89"/>
        <v>0</v>
      </c>
      <c r="AE4475" s="160">
        <v>4473</v>
      </c>
    </row>
    <row r="4476" spans="27:31" x14ac:dyDescent="0.25">
      <c r="AA4476" s="160"/>
      <c r="AB4476" s="162"/>
      <c r="AC4476" s="162"/>
      <c r="AD4476" s="162">
        <f t="shared" si="89"/>
        <v>0</v>
      </c>
      <c r="AE4476" s="160">
        <v>4474</v>
      </c>
    </row>
    <row r="4477" spans="27:31" x14ac:dyDescent="0.25">
      <c r="AA4477" s="160"/>
      <c r="AB4477" s="162"/>
      <c r="AC4477" s="162"/>
      <c r="AD4477" s="162">
        <f t="shared" si="89"/>
        <v>0</v>
      </c>
      <c r="AE4477" s="160">
        <v>4475</v>
      </c>
    </row>
    <row r="4478" spans="27:31" x14ac:dyDescent="0.25">
      <c r="AA4478" s="160"/>
      <c r="AB4478" s="162"/>
      <c r="AC4478" s="162"/>
      <c r="AD4478" s="162">
        <f t="shared" si="89"/>
        <v>0</v>
      </c>
      <c r="AE4478" s="160">
        <v>4476</v>
      </c>
    </row>
    <row r="4479" spans="27:31" x14ac:dyDescent="0.25">
      <c r="AA4479" s="160"/>
      <c r="AB4479" s="162"/>
      <c r="AC4479" s="162"/>
      <c r="AD4479" s="162">
        <f t="shared" si="89"/>
        <v>0</v>
      </c>
      <c r="AE4479" s="160">
        <v>4477</v>
      </c>
    </row>
    <row r="4480" spans="27:31" x14ac:dyDescent="0.25">
      <c r="AA4480" s="160"/>
      <c r="AB4480" s="162"/>
      <c r="AC4480" s="162"/>
      <c r="AD4480" s="162">
        <f t="shared" si="89"/>
        <v>0</v>
      </c>
      <c r="AE4480" s="160">
        <v>4478</v>
      </c>
    </row>
    <row r="4481" spans="27:31" x14ac:dyDescent="0.25">
      <c r="AA4481" s="160"/>
      <c r="AB4481" s="162"/>
      <c r="AC4481" s="162"/>
      <c r="AD4481" s="162">
        <f t="shared" si="89"/>
        <v>0</v>
      </c>
      <c r="AE4481" s="160">
        <v>4479</v>
      </c>
    </row>
    <row r="4482" spans="27:31" x14ac:dyDescent="0.25">
      <c r="AA4482" s="160"/>
      <c r="AB4482" s="162"/>
      <c r="AC4482" s="162"/>
      <c r="AD4482" s="162">
        <f t="shared" si="89"/>
        <v>0</v>
      </c>
      <c r="AE4482" s="160">
        <v>4480</v>
      </c>
    </row>
    <row r="4483" spans="27:31" x14ac:dyDescent="0.25">
      <c r="AA4483" s="160"/>
      <c r="AB4483" s="162"/>
      <c r="AC4483" s="162"/>
      <c r="AD4483" s="162">
        <f t="shared" si="89"/>
        <v>0</v>
      </c>
      <c r="AE4483" s="160">
        <v>4481</v>
      </c>
    </row>
    <row r="4484" spans="27:31" x14ac:dyDescent="0.25">
      <c r="AA4484" s="160"/>
      <c r="AB4484" s="162"/>
      <c r="AC4484" s="162"/>
      <c r="AD4484" s="162">
        <f t="shared" ref="AD4484:AD4547" si="90">AB4484+AC4484</f>
        <v>0</v>
      </c>
      <c r="AE4484" s="160">
        <v>4482</v>
      </c>
    </row>
    <row r="4485" spans="27:31" x14ac:dyDescent="0.25">
      <c r="AA4485" s="160"/>
      <c r="AB4485" s="162"/>
      <c r="AC4485" s="162"/>
      <c r="AD4485" s="162">
        <f t="shared" si="90"/>
        <v>0</v>
      </c>
      <c r="AE4485" s="160">
        <v>4483</v>
      </c>
    </row>
    <row r="4486" spans="27:31" x14ac:dyDescent="0.25">
      <c r="AA4486" s="160"/>
      <c r="AB4486" s="162"/>
      <c r="AC4486" s="162"/>
      <c r="AD4486" s="162">
        <f t="shared" si="90"/>
        <v>0</v>
      </c>
      <c r="AE4486" s="160">
        <v>4484</v>
      </c>
    </row>
    <row r="4487" spans="27:31" x14ac:dyDescent="0.25">
      <c r="AA4487" s="160"/>
      <c r="AB4487" s="162"/>
      <c r="AC4487" s="162"/>
      <c r="AD4487" s="162">
        <f t="shared" si="90"/>
        <v>0</v>
      </c>
      <c r="AE4487" s="160">
        <v>4485</v>
      </c>
    </row>
    <row r="4488" spans="27:31" x14ac:dyDescent="0.25">
      <c r="AA4488" s="160"/>
      <c r="AB4488" s="162"/>
      <c r="AC4488" s="162"/>
      <c r="AD4488" s="162">
        <f t="shared" si="90"/>
        <v>0</v>
      </c>
      <c r="AE4488" s="160">
        <v>4486</v>
      </c>
    </row>
    <row r="4489" spans="27:31" x14ac:dyDescent="0.25">
      <c r="AA4489" s="160"/>
      <c r="AB4489" s="162"/>
      <c r="AC4489" s="162"/>
      <c r="AD4489" s="162">
        <f t="shared" si="90"/>
        <v>0</v>
      </c>
      <c r="AE4489" s="160">
        <v>4487</v>
      </c>
    </row>
    <row r="4490" spans="27:31" x14ac:dyDescent="0.25">
      <c r="AA4490" s="160"/>
      <c r="AB4490" s="162"/>
      <c r="AC4490" s="162"/>
      <c r="AD4490" s="162">
        <f t="shared" si="90"/>
        <v>0</v>
      </c>
      <c r="AE4490" s="160">
        <v>4488</v>
      </c>
    </row>
    <row r="4491" spans="27:31" x14ac:dyDescent="0.25">
      <c r="AA4491" s="160"/>
      <c r="AB4491" s="162"/>
      <c r="AC4491" s="162"/>
      <c r="AD4491" s="162">
        <f t="shared" si="90"/>
        <v>0</v>
      </c>
      <c r="AE4491" s="160">
        <v>4489</v>
      </c>
    </row>
    <row r="4492" spans="27:31" x14ac:dyDescent="0.25">
      <c r="AA4492" s="160"/>
      <c r="AB4492" s="162"/>
      <c r="AC4492" s="162"/>
      <c r="AD4492" s="162">
        <f t="shared" si="90"/>
        <v>0</v>
      </c>
      <c r="AE4492" s="160">
        <v>4490</v>
      </c>
    </row>
    <row r="4493" spans="27:31" x14ac:dyDescent="0.25">
      <c r="AA4493" s="160"/>
      <c r="AB4493" s="162"/>
      <c r="AC4493" s="162"/>
      <c r="AD4493" s="162">
        <f t="shared" si="90"/>
        <v>0</v>
      </c>
      <c r="AE4493" s="160">
        <v>4491</v>
      </c>
    </row>
    <row r="4494" spans="27:31" x14ac:dyDescent="0.25">
      <c r="AA4494" s="160"/>
      <c r="AB4494" s="162"/>
      <c r="AC4494" s="162"/>
      <c r="AD4494" s="162">
        <f t="shared" si="90"/>
        <v>0</v>
      </c>
      <c r="AE4494" s="160">
        <v>4492</v>
      </c>
    </row>
    <row r="4495" spans="27:31" x14ac:dyDescent="0.25">
      <c r="AA4495" s="160"/>
      <c r="AB4495" s="162"/>
      <c r="AC4495" s="162"/>
      <c r="AD4495" s="162">
        <f t="shared" si="90"/>
        <v>0</v>
      </c>
      <c r="AE4495" s="160">
        <v>4493</v>
      </c>
    </row>
    <row r="4496" spans="27:31" x14ac:dyDescent="0.25">
      <c r="AA4496" s="160"/>
      <c r="AB4496" s="162"/>
      <c r="AC4496" s="162"/>
      <c r="AD4496" s="162">
        <f t="shared" si="90"/>
        <v>0</v>
      </c>
      <c r="AE4496" s="160">
        <v>4494</v>
      </c>
    </row>
    <row r="4497" spans="27:31" x14ac:dyDescent="0.25">
      <c r="AA4497" s="160"/>
      <c r="AB4497" s="162"/>
      <c r="AC4497" s="162"/>
      <c r="AD4497" s="162">
        <f t="shared" si="90"/>
        <v>0</v>
      </c>
      <c r="AE4497" s="160">
        <v>4495</v>
      </c>
    </row>
    <row r="4498" spans="27:31" x14ac:dyDescent="0.25">
      <c r="AA4498" s="160"/>
      <c r="AB4498" s="162"/>
      <c r="AC4498" s="162"/>
      <c r="AD4498" s="162">
        <f t="shared" si="90"/>
        <v>0</v>
      </c>
      <c r="AE4498" s="160">
        <v>4496</v>
      </c>
    </row>
    <row r="4499" spans="27:31" x14ac:dyDescent="0.25">
      <c r="AA4499" s="160"/>
      <c r="AB4499" s="162"/>
      <c r="AC4499" s="162"/>
      <c r="AD4499" s="162">
        <f t="shared" si="90"/>
        <v>0</v>
      </c>
      <c r="AE4499" s="160">
        <v>4497</v>
      </c>
    </row>
    <row r="4500" spans="27:31" x14ac:dyDescent="0.25">
      <c r="AA4500" s="160"/>
      <c r="AB4500" s="162"/>
      <c r="AC4500" s="162"/>
      <c r="AD4500" s="162">
        <f t="shared" si="90"/>
        <v>0</v>
      </c>
      <c r="AE4500" s="160">
        <v>4498</v>
      </c>
    </row>
    <row r="4501" spans="27:31" x14ac:dyDescent="0.25">
      <c r="AA4501" s="160"/>
      <c r="AB4501" s="162"/>
      <c r="AC4501" s="162"/>
      <c r="AD4501" s="162">
        <f t="shared" si="90"/>
        <v>0</v>
      </c>
      <c r="AE4501" s="160">
        <v>4499</v>
      </c>
    </row>
    <row r="4502" spans="27:31" x14ac:dyDescent="0.25">
      <c r="AA4502" s="160"/>
      <c r="AB4502" s="162"/>
      <c r="AC4502" s="162"/>
      <c r="AD4502" s="162">
        <f t="shared" si="90"/>
        <v>0</v>
      </c>
      <c r="AE4502" s="160">
        <v>4500</v>
      </c>
    </row>
    <row r="4503" spans="27:31" x14ac:dyDescent="0.25">
      <c r="AA4503" s="160"/>
      <c r="AB4503" s="162"/>
      <c r="AC4503" s="162"/>
      <c r="AD4503" s="162">
        <f t="shared" si="90"/>
        <v>0</v>
      </c>
      <c r="AE4503" s="160">
        <v>4501</v>
      </c>
    </row>
    <row r="4504" spans="27:31" x14ac:dyDescent="0.25">
      <c r="AA4504" s="160"/>
      <c r="AB4504" s="162"/>
      <c r="AC4504" s="162"/>
      <c r="AD4504" s="162">
        <f t="shared" si="90"/>
        <v>0</v>
      </c>
      <c r="AE4504" s="160">
        <v>4502</v>
      </c>
    </row>
    <row r="4505" spans="27:31" x14ac:dyDescent="0.25">
      <c r="AA4505" s="160"/>
      <c r="AB4505" s="162"/>
      <c r="AC4505" s="162"/>
      <c r="AD4505" s="162">
        <f t="shared" si="90"/>
        <v>0</v>
      </c>
      <c r="AE4505" s="160">
        <v>4503</v>
      </c>
    </row>
    <row r="4506" spans="27:31" x14ac:dyDescent="0.25">
      <c r="AA4506" s="160"/>
      <c r="AB4506" s="162"/>
      <c r="AC4506" s="162"/>
      <c r="AD4506" s="162">
        <f t="shared" si="90"/>
        <v>0</v>
      </c>
      <c r="AE4506" s="160">
        <v>4504</v>
      </c>
    </row>
    <row r="4507" spans="27:31" x14ac:dyDescent="0.25">
      <c r="AA4507" s="160"/>
      <c r="AB4507" s="162"/>
      <c r="AC4507" s="162"/>
      <c r="AD4507" s="162">
        <f t="shared" si="90"/>
        <v>0</v>
      </c>
      <c r="AE4507" s="160">
        <v>4505</v>
      </c>
    </row>
    <row r="4508" spans="27:31" x14ac:dyDescent="0.25">
      <c r="AA4508" s="160"/>
      <c r="AB4508" s="162"/>
      <c r="AC4508" s="162"/>
      <c r="AD4508" s="162">
        <f t="shared" si="90"/>
        <v>0</v>
      </c>
      <c r="AE4508" s="160">
        <v>4506</v>
      </c>
    </row>
    <row r="4509" spans="27:31" x14ac:dyDescent="0.25">
      <c r="AA4509" s="160"/>
      <c r="AB4509" s="162"/>
      <c r="AC4509" s="162"/>
      <c r="AD4509" s="162">
        <f t="shared" si="90"/>
        <v>0</v>
      </c>
      <c r="AE4509" s="160">
        <v>4507</v>
      </c>
    </row>
    <row r="4510" spans="27:31" x14ac:dyDescent="0.25">
      <c r="AA4510" s="160"/>
      <c r="AB4510" s="162"/>
      <c r="AC4510" s="162"/>
      <c r="AD4510" s="162">
        <f t="shared" si="90"/>
        <v>0</v>
      </c>
      <c r="AE4510" s="160">
        <v>4508</v>
      </c>
    </row>
    <row r="4511" spans="27:31" x14ac:dyDescent="0.25">
      <c r="AA4511" s="160"/>
      <c r="AB4511" s="162"/>
      <c r="AC4511" s="162"/>
      <c r="AD4511" s="162">
        <f t="shared" si="90"/>
        <v>0</v>
      </c>
      <c r="AE4511" s="160">
        <v>4509</v>
      </c>
    </row>
    <row r="4512" spans="27:31" x14ac:dyDescent="0.25">
      <c r="AA4512" s="160"/>
      <c r="AB4512" s="162"/>
      <c r="AC4512" s="162"/>
      <c r="AD4512" s="162">
        <f t="shared" si="90"/>
        <v>0</v>
      </c>
      <c r="AE4512" s="160">
        <v>4510</v>
      </c>
    </row>
    <row r="4513" spans="27:31" x14ac:dyDescent="0.25">
      <c r="AA4513" s="160"/>
      <c r="AB4513" s="162"/>
      <c r="AC4513" s="162"/>
      <c r="AD4513" s="162">
        <f t="shared" si="90"/>
        <v>0</v>
      </c>
      <c r="AE4513" s="160">
        <v>4511</v>
      </c>
    </row>
    <row r="4514" spans="27:31" x14ac:dyDescent="0.25">
      <c r="AA4514" s="160"/>
      <c r="AB4514" s="162"/>
      <c r="AC4514" s="162"/>
      <c r="AD4514" s="162">
        <f t="shared" si="90"/>
        <v>0</v>
      </c>
      <c r="AE4514" s="160">
        <v>4512</v>
      </c>
    </row>
    <row r="4515" spans="27:31" x14ac:dyDescent="0.25">
      <c r="AA4515" s="160"/>
      <c r="AB4515" s="162"/>
      <c r="AC4515" s="162"/>
      <c r="AD4515" s="162">
        <f t="shared" si="90"/>
        <v>0</v>
      </c>
      <c r="AE4515" s="160">
        <v>4513</v>
      </c>
    </row>
    <row r="4516" spans="27:31" x14ac:dyDescent="0.25">
      <c r="AA4516" s="160"/>
      <c r="AB4516" s="162"/>
      <c r="AC4516" s="162"/>
      <c r="AD4516" s="162">
        <f t="shared" si="90"/>
        <v>0</v>
      </c>
      <c r="AE4516" s="160">
        <v>4514</v>
      </c>
    </row>
    <row r="4517" spans="27:31" x14ac:dyDescent="0.25">
      <c r="AA4517" s="160"/>
      <c r="AB4517" s="162"/>
      <c r="AC4517" s="162"/>
      <c r="AD4517" s="162">
        <f t="shared" si="90"/>
        <v>0</v>
      </c>
      <c r="AE4517" s="160">
        <v>4515</v>
      </c>
    </row>
    <row r="4518" spans="27:31" x14ac:dyDescent="0.25">
      <c r="AA4518" s="160"/>
      <c r="AB4518" s="162"/>
      <c r="AC4518" s="162"/>
      <c r="AD4518" s="162">
        <f t="shared" si="90"/>
        <v>0</v>
      </c>
      <c r="AE4518" s="160">
        <v>4516</v>
      </c>
    </row>
    <row r="4519" spans="27:31" x14ac:dyDescent="0.25">
      <c r="AA4519" s="160"/>
      <c r="AB4519" s="162"/>
      <c r="AC4519" s="162"/>
      <c r="AD4519" s="162">
        <f t="shared" si="90"/>
        <v>0</v>
      </c>
      <c r="AE4519" s="160">
        <v>4517</v>
      </c>
    </row>
    <row r="4520" spans="27:31" x14ac:dyDescent="0.25">
      <c r="AA4520" s="160"/>
      <c r="AB4520" s="162"/>
      <c r="AC4520" s="162"/>
      <c r="AD4520" s="162">
        <f t="shared" si="90"/>
        <v>0</v>
      </c>
      <c r="AE4520" s="160">
        <v>4518</v>
      </c>
    </row>
    <row r="4521" spans="27:31" x14ac:dyDescent="0.25">
      <c r="AA4521" s="160"/>
      <c r="AB4521" s="162"/>
      <c r="AC4521" s="162"/>
      <c r="AD4521" s="162">
        <f t="shared" si="90"/>
        <v>0</v>
      </c>
      <c r="AE4521" s="160">
        <v>4519</v>
      </c>
    </row>
    <row r="4522" spans="27:31" x14ac:dyDescent="0.25">
      <c r="AA4522" s="160"/>
      <c r="AB4522" s="162"/>
      <c r="AC4522" s="162"/>
      <c r="AD4522" s="162">
        <f t="shared" si="90"/>
        <v>0</v>
      </c>
      <c r="AE4522" s="160">
        <v>4520</v>
      </c>
    </row>
    <row r="4523" spans="27:31" x14ac:dyDescent="0.25">
      <c r="AA4523" s="160"/>
      <c r="AB4523" s="162"/>
      <c r="AC4523" s="162"/>
      <c r="AD4523" s="162">
        <f t="shared" si="90"/>
        <v>0</v>
      </c>
      <c r="AE4523" s="160">
        <v>4521</v>
      </c>
    </row>
    <row r="4524" spans="27:31" x14ac:dyDescent="0.25">
      <c r="AA4524" s="160"/>
      <c r="AB4524" s="162"/>
      <c r="AC4524" s="162"/>
      <c r="AD4524" s="162">
        <f t="shared" si="90"/>
        <v>0</v>
      </c>
      <c r="AE4524" s="160">
        <v>4522</v>
      </c>
    </row>
    <row r="4525" spans="27:31" x14ac:dyDescent="0.25">
      <c r="AA4525" s="160"/>
      <c r="AB4525" s="162"/>
      <c r="AC4525" s="162"/>
      <c r="AD4525" s="162">
        <f t="shared" si="90"/>
        <v>0</v>
      </c>
      <c r="AE4525" s="160">
        <v>4523</v>
      </c>
    </row>
    <row r="4526" spans="27:31" x14ac:dyDescent="0.25">
      <c r="AA4526" s="160"/>
      <c r="AB4526" s="162"/>
      <c r="AC4526" s="162"/>
      <c r="AD4526" s="162">
        <f t="shared" si="90"/>
        <v>0</v>
      </c>
      <c r="AE4526" s="160">
        <v>4524</v>
      </c>
    </row>
    <row r="4527" spans="27:31" x14ac:dyDescent="0.25">
      <c r="AA4527" s="160"/>
      <c r="AB4527" s="162"/>
      <c r="AC4527" s="162"/>
      <c r="AD4527" s="162">
        <f t="shared" si="90"/>
        <v>0</v>
      </c>
      <c r="AE4527" s="160">
        <v>4525</v>
      </c>
    </row>
    <row r="4528" spans="27:31" x14ac:dyDescent="0.25">
      <c r="AA4528" s="160"/>
      <c r="AB4528" s="162"/>
      <c r="AC4528" s="162"/>
      <c r="AD4528" s="162">
        <f t="shared" si="90"/>
        <v>0</v>
      </c>
      <c r="AE4528" s="160">
        <v>4526</v>
      </c>
    </row>
    <row r="4529" spans="27:31" x14ac:dyDescent="0.25">
      <c r="AA4529" s="160"/>
      <c r="AB4529" s="162"/>
      <c r="AC4529" s="162"/>
      <c r="AD4529" s="162">
        <f t="shared" si="90"/>
        <v>0</v>
      </c>
      <c r="AE4529" s="160">
        <v>4527</v>
      </c>
    </row>
    <row r="4530" spans="27:31" x14ac:dyDescent="0.25">
      <c r="AA4530" s="160"/>
      <c r="AB4530" s="162"/>
      <c r="AC4530" s="162"/>
      <c r="AD4530" s="162">
        <f t="shared" si="90"/>
        <v>0</v>
      </c>
      <c r="AE4530" s="160">
        <v>4528</v>
      </c>
    </row>
    <row r="4531" spans="27:31" x14ac:dyDescent="0.25">
      <c r="AA4531" s="160"/>
      <c r="AB4531" s="162"/>
      <c r="AC4531" s="162"/>
      <c r="AD4531" s="162">
        <f t="shared" si="90"/>
        <v>0</v>
      </c>
      <c r="AE4531" s="160">
        <v>4529</v>
      </c>
    </row>
    <row r="4532" spans="27:31" x14ac:dyDescent="0.25">
      <c r="AA4532" s="160"/>
      <c r="AB4532" s="162"/>
      <c r="AC4532" s="162"/>
      <c r="AD4532" s="162">
        <f t="shared" si="90"/>
        <v>0</v>
      </c>
      <c r="AE4532" s="160">
        <v>4530</v>
      </c>
    </row>
    <row r="4533" spans="27:31" x14ac:dyDescent="0.25">
      <c r="AA4533" s="160"/>
      <c r="AB4533" s="162"/>
      <c r="AC4533" s="162"/>
      <c r="AD4533" s="162">
        <f t="shared" si="90"/>
        <v>0</v>
      </c>
      <c r="AE4533" s="160">
        <v>4531</v>
      </c>
    </row>
    <row r="4534" spans="27:31" x14ac:dyDescent="0.25">
      <c r="AA4534" s="160"/>
      <c r="AB4534" s="162"/>
      <c r="AC4534" s="162"/>
      <c r="AD4534" s="162">
        <f t="shared" si="90"/>
        <v>0</v>
      </c>
      <c r="AE4534" s="160">
        <v>4532</v>
      </c>
    </row>
    <row r="4535" spans="27:31" x14ac:dyDescent="0.25">
      <c r="AA4535" s="160"/>
      <c r="AB4535" s="162"/>
      <c r="AC4535" s="162"/>
      <c r="AD4535" s="162">
        <f t="shared" si="90"/>
        <v>0</v>
      </c>
      <c r="AE4535" s="160">
        <v>4533</v>
      </c>
    </row>
    <row r="4536" spans="27:31" x14ac:dyDescent="0.25">
      <c r="AA4536" s="160"/>
      <c r="AB4536" s="162"/>
      <c r="AC4536" s="162"/>
      <c r="AD4536" s="162">
        <f t="shared" si="90"/>
        <v>0</v>
      </c>
      <c r="AE4536" s="160">
        <v>4534</v>
      </c>
    </row>
    <row r="4537" spans="27:31" x14ac:dyDescent="0.25">
      <c r="AA4537" s="160"/>
      <c r="AB4537" s="162"/>
      <c r="AC4537" s="162"/>
      <c r="AD4537" s="162">
        <f t="shared" si="90"/>
        <v>0</v>
      </c>
      <c r="AE4537" s="160">
        <v>4535</v>
      </c>
    </row>
    <row r="4538" spans="27:31" x14ac:dyDescent="0.25">
      <c r="AA4538" s="160"/>
      <c r="AB4538" s="162"/>
      <c r="AC4538" s="162"/>
      <c r="AD4538" s="162">
        <f t="shared" si="90"/>
        <v>0</v>
      </c>
      <c r="AE4538" s="160">
        <v>4536</v>
      </c>
    </row>
    <row r="4539" spans="27:31" x14ac:dyDescent="0.25">
      <c r="AA4539" s="160"/>
      <c r="AB4539" s="162"/>
      <c r="AC4539" s="162"/>
      <c r="AD4539" s="162">
        <f t="shared" si="90"/>
        <v>0</v>
      </c>
      <c r="AE4539" s="160">
        <v>4537</v>
      </c>
    </row>
    <row r="4540" spans="27:31" x14ac:dyDescent="0.25">
      <c r="AA4540" s="160"/>
      <c r="AB4540" s="162"/>
      <c r="AC4540" s="162"/>
      <c r="AD4540" s="162">
        <f t="shared" si="90"/>
        <v>0</v>
      </c>
      <c r="AE4540" s="160">
        <v>4538</v>
      </c>
    </row>
    <row r="4541" spans="27:31" x14ac:dyDescent="0.25">
      <c r="AA4541" s="160"/>
      <c r="AB4541" s="162"/>
      <c r="AC4541" s="162"/>
      <c r="AD4541" s="162">
        <f t="shared" si="90"/>
        <v>0</v>
      </c>
      <c r="AE4541" s="160">
        <v>4539</v>
      </c>
    </row>
    <row r="4542" spans="27:31" x14ac:dyDescent="0.25">
      <c r="AA4542" s="160"/>
      <c r="AB4542" s="162"/>
      <c r="AC4542" s="162"/>
      <c r="AD4542" s="162">
        <f t="shared" si="90"/>
        <v>0</v>
      </c>
      <c r="AE4542" s="160">
        <v>4540</v>
      </c>
    </row>
    <row r="4543" spans="27:31" x14ac:dyDescent="0.25">
      <c r="AA4543" s="160"/>
      <c r="AB4543" s="162"/>
      <c r="AC4543" s="162"/>
      <c r="AD4543" s="162">
        <f t="shared" si="90"/>
        <v>0</v>
      </c>
      <c r="AE4543" s="160">
        <v>4541</v>
      </c>
    </row>
    <row r="4544" spans="27:31" x14ac:dyDescent="0.25">
      <c r="AA4544" s="160"/>
      <c r="AB4544" s="162"/>
      <c r="AC4544" s="162"/>
      <c r="AD4544" s="162">
        <f t="shared" si="90"/>
        <v>0</v>
      </c>
      <c r="AE4544" s="160">
        <v>4542</v>
      </c>
    </row>
    <row r="4545" spans="27:31" x14ac:dyDescent="0.25">
      <c r="AA4545" s="160"/>
      <c r="AB4545" s="162"/>
      <c r="AC4545" s="162"/>
      <c r="AD4545" s="162">
        <f t="shared" si="90"/>
        <v>0</v>
      </c>
      <c r="AE4545" s="160">
        <v>4543</v>
      </c>
    </row>
    <row r="4546" spans="27:31" x14ac:dyDescent="0.25">
      <c r="AA4546" s="160"/>
      <c r="AB4546" s="162"/>
      <c r="AC4546" s="162"/>
      <c r="AD4546" s="162">
        <f t="shared" si="90"/>
        <v>0</v>
      </c>
      <c r="AE4546" s="160">
        <v>4544</v>
      </c>
    </row>
    <row r="4547" spans="27:31" x14ac:dyDescent="0.25">
      <c r="AA4547" s="160"/>
      <c r="AB4547" s="162"/>
      <c r="AC4547" s="162"/>
      <c r="AD4547" s="162">
        <f t="shared" si="90"/>
        <v>0</v>
      </c>
      <c r="AE4547" s="160">
        <v>4545</v>
      </c>
    </row>
    <row r="4548" spans="27:31" x14ac:dyDescent="0.25">
      <c r="AA4548" s="160"/>
      <c r="AB4548" s="162"/>
      <c r="AC4548" s="162"/>
      <c r="AD4548" s="162">
        <f t="shared" ref="AD4548:AD4611" si="91">AB4548+AC4548</f>
        <v>0</v>
      </c>
      <c r="AE4548" s="160">
        <v>4546</v>
      </c>
    </row>
    <row r="4549" spans="27:31" x14ac:dyDescent="0.25">
      <c r="AA4549" s="160"/>
      <c r="AB4549" s="162"/>
      <c r="AC4549" s="162"/>
      <c r="AD4549" s="162">
        <f t="shared" si="91"/>
        <v>0</v>
      </c>
      <c r="AE4549" s="160">
        <v>4547</v>
      </c>
    </row>
    <row r="4550" spans="27:31" x14ac:dyDescent="0.25">
      <c r="AA4550" s="160"/>
      <c r="AB4550" s="162"/>
      <c r="AC4550" s="162"/>
      <c r="AD4550" s="162">
        <f t="shared" si="91"/>
        <v>0</v>
      </c>
      <c r="AE4550" s="160">
        <v>4548</v>
      </c>
    </row>
    <row r="4551" spans="27:31" x14ac:dyDescent="0.25">
      <c r="AA4551" s="160"/>
      <c r="AB4551" s="162"/>
      <c r="AC4551" s="162"/>
      <c r="AD4551" s="162">
        <f t="shared" si="91"/>
        <v>0</v>
      </c>
      <c r="AE4551" s="160">
        <v>4549</v>
      </c>
    </row>
    <row r="4552" spans="27:31" x14ac:dyDescent="0.25">
      <c r="AA4552" s="160"/>
      <c r="AB4552" s="162"/>
      <c r="AC4552" s="162"/>
      <c r="AD4552" s="162">
        <f t="shared" si="91"/>
        <v>0</v>
      </c>
      <c r="AE4552" s="160">
        <v>4550</v>
      </c>
    </row>
    <row r="4553" spans="27:31" x14ac:dyDescent="0.25">
      <c r="AA4553" s="160"/>
      <c r="AB4553" s="162"/>
      <c r="AC4553" s="162"/>
      <c r="AD4553" s="162">
        <f t="shared" si="91"/>
        <v>0</v>
      </c>
      <c r="AE4553" s="160">
        <v>4551</v>
      </c>
    </row>
    <row r="4554" spans="27:31" x14ac:dyDescent="0.25">
      <c r="AA4554" s="160"/>
      <c r="AB4554" s="162"/>
      <c r="AC4554" s="162"/>
      <c r="AD4554" s="162">
        <f t="shared" si="91"/>
        <v>0</v>
      </c>
      <c r="AE4554" s="160">
        <v>4552</v>
      </c>
    </row>
    <row r="4555" spans="27:31" x14ac:dyDescent="0.25">
      <c r="AA4555" s="160"/>
      <c r="AB4555" s="162"/>
      <c r="AC4555" s="162"/>
      <c r="AD4555" s="162">
        <f t="shared" si="91"/>
        <v>0</v>
      </c>
      <c r="AE4555" s="160">
        <v>4553</v>
      </c>
    </row>
    <row r="4556" spans="27:31" x14ac:dyDescent="0.25">
      <c r="AA4556" s="160"/>
      <c r="AB4556" s="162"/>
      <c r="AC4556" s="162"/>
      <c r="AD4556" s="162">
        <f t="shared" si="91"/>
        <v>0</v>
      </c>
      <c r="AE4556" s="160">
        <v>4554</v>
      </c>
    </row>
    <row r="4557" spans="27:31" x14ac:dyDescent="0.25">
      <c r="AA4557" s="160"/>
      <c r="AB4557" s="162"/>
      <c r="AC4557" s="162"/>
      <c r="AD4557" s="162">
        <f t="shared" si="91"/>
        <v>0</v>
      </c>
      <c r="AE4557" s="160">
        <v>4555</v>
      </c>
    </row>
    <row r="4558" spans="27:31" x14ac:dyDescent="0.25">
      <c r="AA4558" s="160"/>
      <c r="AB4558" s="162"/>
      <c r="AC4558" s="162"/>
      <c r="AD4558" s="162">
        <f t="shared" si="91"/>
        <v>0</v>
      </c>
      <c r="AE4558" s="160">
        <v>4556</v>
      </c>
    </row>
    <row r="4559" spans="27:31" x14ac:dyDescent="0.25">
      <c r="AA4559" s="160"/>
      <c r="AB4559" s="162"/>
      <c r="AC4559" s="162"/>
      <c r="AD4559" s="162">
        <f t="shared" si="91"/>
        <v>0</v>
      </c>
      <c r="AE4559" s="160">
        <v>4557</v>
      </c>
    </row>
    <row r="4560" spans="27:31" x14ac:dyDescent="0.25">
      <c r="AA4560" s="160"/>
      <c r="AB4560" s="162"/>
      <c r="AC4560" s="162"/>
      <c r="AD4560" s="162">
        <f t="shared" si="91"/>
        <v>0</v>
      </c>
      <c r="AE4560" s="160">
        <v>4558</v>
      </c>
    </row>
    <row r="4561" spans="27:31" x14ac:dyDescent="0.25">
      <c r="AA4561" s="160"/>
      <c r="AB4561" s="162"/>
      <c r="AC4561" s="162"/>
      <c r="AD4561" s="162">
        <f t="shared" si="91"/>
        <v>0</v>
      </c>
      <c r="AE4561" s="160">
        <v>4559</v>
      </c>
    </row>
    <row r="4562" spans="27:31" x14ac:dyDescent="0.25">
      <c r="AA4562" s="160"/>
      <c r="AB4562" s="162"/>
      <c r="AC4562" s="162"/>
      <c r="AD4562" s="162">
        <f t="shared" si="91"/>
        <v>0</v>
      </c>
      <c r="AE4562" s="160">
        <v>4560</v>
      </c>
    </row>
    <row r="4563" spans="27:31" x14ac:dyDescent="0.25">
      <c r="AA4563" s="160"/>
      <c r="AB4563" s="162"/>
      <c r="AC4563" s="162"/>
      <c r="AD4563" s="162">
        <f t="shared" si="91"/>
        <v>0</v>
      </c>
      <c r="AE4563" s="160">
        <v>4561</v>
      </c>
    </row>
    <row r="4564" spans="27:31" x14ac:dyDescent="0.25">
      <c r="AA4564" s="160"/>
      <c r="AB4564" s="162"/>
      <c r="AC4564" s="162"/>
      <c r="AD4564" s="162">
        <f t="shared" si="91"/>
        <v>0</v>
      </c>
      <c r="AE4564" s="160">
        <v>4562</v>
      </c>
    </row>
    <row r="4565" spans="27:31" x14ac:dyDescent="0.25">
      <c r="AA4565" s="160"/>
      <c r="AB4565" s="162"/>
      <c r="AC4565" s="162"/>
      <c r="AD4565" s="162">
        <f t="shared" si="91"/>
        <v>0</v>
      </c>
      <c r="AE4565" s="160">
        <v>4563</v>
      </c>
    </row>
    <row r="4566" spans="27:31" x14ac:dyDescent="0.25">
      <c r="AA4566" s="160"/>
      <c r="AB4566" s="162"/>
      <c r="AC4566" s="162"/>
      <c r="AD4566" s="162">
        <f t="shared" si="91"/>
        <v>0</v>
      </c>
      <c r="AE4566" s="160">
        <v>4564</v>
      </c>
    </row>
    <row r="4567" spans="27:31" x14ac:dyDescent="0.25">
      <c r="AA4567" s="160"/>
      <c r="AB4567" s="162"/>
      <c r="AC4567" s="162"/>
      <c r="AD4567" s="162">
        <f t="shared" si="91"/>
        <v>0</v>
      </c>
      <c r="AE4567" s="160">
        <v>4565</v>
      </c>
    </row>
    <row r="4568" spans="27:31" x14ac:dyDescent="0.25">
      <c r="AA4568" s="160"/>
      <c r="AB4568" s="162"/>
      <c r="AC4568" s="162"/>
      <c r="AD4568" s="162">
        <f t="shared" si="91"/>
        <v>0</v>
      </c>
      <c r="AE4568" s="160">
        <v>4566</v>
      </c>
    </row>
    <row r="4569" spans="27:31" x14ac:dyDescent="0.25">
      <c r="AA4569" s="160"/>
      <c r="AB4569" s="162"/>
      <c r="AC4569" s="162"/>
      <c r="AD4569" s="162">
        <f t="shared" si="91"/>
        <v>0</v>
      </c>
      <c r="AE4569" s="160">
        <v>4567</v>
      </c>
    </row>
    <row r="4570" spans="27:31" x14ac:dyDescent="0.25">
      <c r="AA4570" s="160"/>
      <c r="AB4570" s="162"/>
      <c r="AC4570" s="162"/>
      <c r="AD4570" s="162">
        <f t="shared" si="91"/>
        <v>0</v>
      </c>
      <c r="AE4570" s="160">
        <v>4568</v>
      </c>
    </row>
    <row r="4571" spans="27:31" x14ac:dyDescent="0.25">
      <c r="AA4571" s="160"/>
      <c r="AB4571" s="162"/>
      <c r="AC4571" s="162"/>
      <c r="AD4571" s="162">
        <f t="shared" si="91"/>
        <v>0</v>
      </c>
      <c r="AE4571" s="160">
        <v>4569</v>
      </c>
    </row>
    <row r="4572" spans="27:31" x14ac:dyDescent="0.25">
      <c r="AA4572" s="160"/>
      <c r="AB4572" s="162"/>
      <c r="AC4572" s="162"/>
      <c r="AD4572" s="162">
        <f t="shared" si="91"/>
        <v>0</v>
      </c>
      <c r="AE4572" s="160">
        <v>4570</v>
      </c>
    </row>
    <row r="4573" spans="27:31" x14ac:dyDescent="0.25">
      <c r="AA4573" s="160"/>
      <c r="AB4573" s="162"/>
      <c r="AC4573" s="162"/>
      <c r="AD4573" s="162">
        <f t="shared" si="91"/>
        <v>0</v>
      </c>
      <c r="AE4573" s="160">
        <v>4571</v>
      </c>
    </row>
    <row r="4574" spans="27:31" x14ac:dyDescent="0.25">
      <c r="AA4574" s="160"/>
      <c r="AB4574" s="162"/>
      <c r="AC4574" s="162"/>
      <c r="AD4574" s="162">
        <f t="shared" si="91"/>
        <v>0</v>
      </c>
      <c r="AE4574" s="160">
        <v>4572</v>
      </c>
    </row>
    <row r="4575" spans="27:31" x14ac:dyDescent="0.25">
      <c r="AA4575" s="160"/>
      <c r="AB4575" s="162"/>
      <c r="AC4575" s="162"/>
      <c r="AD4575" s="162">
        <f t="shared" si="91"/>
        <v>0</v>
      </c>
      <c r="AE4575" s="160">
        <v>4573</v>
      </c>
    </row>
    <row r="4576" spans="27:31" x14ac:dyDescent="0.25">
      <c r="AA4576" s="160"/>
      <c r="AB4576" s="162"/>
      <c r="AC4576" s="162"/>
      <c r="AD4576" s="162">
        <f t="shared" si="91"/>
        <v>0</v>
      </c>
      <c r="AE4576" s="160">
        <v>4574</v>
      </c>
    </row>
    <row r="4577" spans="27:31" x14ac:dyDescent="0.25">
      <c r="AA4577" s="160"/>
      <c r="AB4577" s="162"/>
      <c r="AC4577" s="162"/>
      <c r="AD4577" s="162">
        <f t="shared" si="91"/>
        <v>0</v>
      </c>
      <c r="AE4577" s="160">
        <v>4575</v>
      </c>
    </row>
    <row r="4578" spans="27:31" x14ac:dyDescent="0.25">
      <c r="AA4578" s="160"/>
      <c r="AB4578" s="162"/>
      <c r="AC4578" s="162"/>
      <c r="AD4578" s="162">
        <f t="shared" si="91"/>
        <v>0</v>
      </c>
      <c r="AE4578" s="160">
        <v>4576</v>
      </c>
    </row>
    <row r="4579" spans="27:31" x14ac:dyDescent="0.25">
      <c r="AA4579" s="160"/>
      <c r="AB4579" s="162"/>
      <c r="AC4579" s="162"/>
      <c r="AD4579" s="162">
        <f t="shared" si="91"/>
        <v>0</v>
      </c>
      <c r="AE4579" s="160">
        <v>4577</v>
      </c>
    </row>
    <row r="4580" spans="27:31" x14ac:dyDescent="0.25">
      <c r="AA4580" s="160"/>
      <c r="AB4580" s="162"/>
      <c r="AC4580" s="162"/>
      <c r="AD4580" s="162">
        <f t="shared" si="91"/>
        <v>0</v>
      </c>
      <c r="AE4580" s="160">
        <v>4578</v>
      </c>
    </row>
    <row r="4581" spans="27:31" x14ac:dyDescent="0.25">
      <c r="AA4581" s="160"/>
      <c r="AB4581" s="162"/>
      <c r="AC4581" s="162"/>
      <c r="AD4581" s="162">
        <f t="shared" si="91"/>
        <v>0</v>
      </c>
      <c r="AE4581" s="160">
        <v>4579</v>
      </c>
    </row>
    <row r="4582" spans="27:31" x14ac:dyDescent="0.25">
      <c r="AA4582" s="160"/>
      <c r="AB4582" s="162"/>
      <c r="AC4582" s="162"/>
      <c r="AD4582" s="162">
        <f t="shared" si="91"/>
        <v>0</v>
      </c>
      <c r="AE4582" s="160">
        <v>4580</v>
      </c>
    </row>
    <row r="4583" spans="27:31" x14ac:dyDescent="0.25">
      <c r="AA4583" s="160"/>
      <c r="AB4583" s="162"/>
      <c r="AC4583" s="162"/>
      <c r="AD4583" s="162">
        <f t="shared" si="91"/>
        <v>0</v>
      </c>
      <c r="AE4583" s="160">
        <v>4581</v>
      </c>
    </row>
    <row r="4584" spans="27:31" x14ac:dyDescent="0.25">
      <c r="AA4584" s="160"/>
      <c r="AB4584" s="162"/>
      <c r="AC4584" s="162"/>
      <c r="AD4584" s="162">
        <f t="shared" si="91"/>
        <v>0</v>
      </c>
      <c r="AE4584" s="160">
        <v>4582</v>
      </c>
    </row>
    <row r="4585" spans="27:31" x14ac:dyDescent="0.25">
      <c r="AA4585" s="160"/>
      <c r="AB4585" s="162"/>
      <c r="AC4585" s="162"/>
      <c r="AD4585" s="162">
        <f t="shared" si="91"/>
        <v>0</v>
      </c>
      <c r="AE4585" s="160">
        <v>4583</v>
      </c>
    </row>
    <row r="4586" spans="27:31" x14ac:dyDescent="0.25">
      <c r="AA4586" s="160"/>
      <c r="AB4586" s="162"/>
      <c r="AC4586" s="162"/>
      <c r="AD4586" s="162">
        <f t="shared" si="91"/>
        <v>0</v>
      </c>
      <c r="AE4586" s="160">
        <v>4584</v>
      </c>
    </row>
    <row r="4587" spans="27:31" x14ac:dyDescent="0.25">
      <c r="AA4587" s="160"/>
      <c r="AB4587" s="162"/>
      <c r="AC4587" s="162"/>
      <c r="AD4587" s="162">
        <f t="shared" si="91"/>
        <v>0</v>
      </c>
      <c r="AE4587" s="160">
        <v>4585</v>
      </c>
    </row>
    <row r="4588" spans="27:31" x14ac:dyDescent="0.25">
      <c r="AA4588" s="160"/>
      <c r="AB4588" s="162"/>
      <c r="AC4588" s="162"/>
      <c r="AD4588" s="162">
        <f t="shared" si="91"/>
        <v>0</v>
      </c>
      <c r="AE4588" s="160">
        <v>4586</v>
      </c>
    </row>
    <row r="4589" spans="27:31" x14ac:dyDescent="0.25">
      <c r="AA4589" s="160"/>
      <c r="AB4589" s="162"/>
      <c r="AC4589" s="162"/>
      <c r="AD4589" s="162">
        <f t="shared" si="91"/>
        <v>0</v>
      </c>
      <c r="AE4589" s="160">
        <v>4587</v>
      </c>
    </row>
    <row r="4590" spans="27:31" x14ac:dyDescent="0.25">
      <c r="AA4590" s="160"/>
      <c r="AB4590" s="162"/>
      <c r="AC4590" s="162"/>
      <c r="AD4590" s="162">
        <f t="shared" si="91"/>
        <v>0</v>
      </c>
      <c r="AE4590" s="160">
        <v>4588</v>
      </c>
    </row>
    <row r="4591" spans="27:31" x14ac:dyDescent="0.25">
      <c r="AA4591" s="160"/>
      <c r="AB4591" s="162"/>
      <c r="AC4591" s="162"/>
      <c r="AD4591" s="162">
        <f t="shared" si="91"/>
        <v>0</v>
      </c>
      <c r="AE4591" s="160">
        <v>4589</v>
      </c>
    </row>
    <row r="4592" spans="27:31" x14ac:dyDescent="0.25">
      <c r="AA4592" s="160"/>
      <c r="AB4592" s="162"/>
      <c r="AC4592" s="162"/>
      <c r="AD4592" s="162">
        <f t="shared" si="91"/>
        <v>0</v>
      </c>
      <c r="AE4592" s="160">
        <v>4590</v>
      </c>
    </row>
    <row r="4593" spans="27:31" x14ac:dyDescent="0.25">
      <c r="AA4593" s="160"/>
      <c r="AB4593" s="162"/>
      <c r="AC4593" s="162"/>
      <c r="AD4593" s="162">
        <f t="shared" si="91"/>
        <v>0</v>
      </c>
      <c r="AE4593" s="160">
        <v>4591</v>
      </c>
    </row>
    <row r="4594" spans="27:31" x14ac:dyDescent="0.25">
      <c r="AA4594" s="160"/>
      <c r="AB4594" s="162"/>
      <c r="AC4594" s="162"/>
      <c r="AD4594" s="162">
        <f t="shared" si="91"/>
        <v>0</v>
      </c>
      <c r="AE4594" s="160">
        <v>4592</v>
      </c>
    </row>
    <row r="4595" spans="27:31" x14ac:dyDescent="0.25">
      <c r="AA4595" s="160"/>
      <c r="AB4595" s="162"/>
      <c r="AC4595" s="162"/>
      <c r="AD4595" s="162">
        <f t="shared" si="91"/>
        <v>0</v>
      </c>
      <c r="AE4595" s="160">
        <v>4593</v>
      </c>
    </row>
    <row r="4596" spans="27:31" x14ac:dyDescent="0.25">
      <c r="AA4596" s="160"/>
      <c r="AB4596" s="162"/>
      <c r="AC4596" s="162"/>
      <c r="AD4596" s="162">
        <f t="shared" si="91"/>
        <v>0</v>
      </c>
      <c r="AE4596" s="160">
        <v>4594</v>
      </c>
    </row>
    <row r="4597" spans="27:31" x14ac:dyDescent="0.25">
      <c r="AA4597" s="160"/>
      <c r="AB4597" s="162"/>
      <c r="AC4597" s="162"/>
      <c r="AD4597" s="162">
        <f t="shared" si="91"/>
        <v>0</v>
      </c>
      <c r="AE4597" s="160">
        <v>4595</v>
      </c>
    </row>
    <row r="4598" spans="27:31" x14ac:dyDescent="0.25">
      <c r="AA4598" s="160"/>
      <c r="AB4598" s="162"/>
      <c r="AC4598" s="162"/>
      <c r="AD4598" s="162">
        <f t="shared" si="91"/>
        <v>0</v>
      </c>
      <c r="AE4598" s="160">
        <v>4596</v>
      </c>
    </row>
    <row r="4599" spans="27:31" x14ac:dyDescent="0.25">
      <c r="AA4599" s="160"/>
      <c r="AB4599" s="162"/>
      <c r="AC4599" s="162"/>
      <c r="AD4599" s="162">
        <f t="shared" si="91"/>
        <v>0</v>
      </c>
      <c r="AE4599" s="160">
        <v>4597</v>
      </c>
    </row>
    <row r="4600" spans="27:31" x14ac:dyDescent="0.25">
      <c r="AA4600" s="160"/>
      <c r="AB4600" s="162"/>
      <c r="AC4600" s="162"/>
      <c r="AD4600" s="162">
        <f t="shared" si="91"/>
        <v>0</v>
      </c>
      <c r="AE4600" s="160">
        <v>4598</v>
      </c>
    </row>
    <row r="4601" spans="27:31" x14ac:dyDescent="0.25">
      <c r="AA4601" s="160"/>
      <c r="AB4601" s="162"/>
      <c r="AC4601" s="162"/>
      <c r="AD4601" s="162">
        <f t="shared" si="91"/>
        <v>0</v>
      </c>
      <c r="AE4601" s="160">
        <v>4599</v>
      </c>
    </row>
    <row r="4602" spans="27:31" x14ac:dyDescent="0.25">
      <c r="AA4602" s="160"/>
      <c r="AB4602" s="162"/>
      <c r="AC4602" s="162"/>
      <c r="AD4602" s="162">
        <f t="shared" si="91"/>
        <v>0</v>
      </c>
      <c r="AE4602" s="160">
        <v>4600</v>
      </c>
    </row>
    <row r="4603" spans="27:31" x14ac:dyDescent="0.25">
      <c r="AA4603" s="160"/>
      <c r="AB4603" s="162"/>
      <c r="AC4603" s="162"/>
      <c r="AD4603" s="162">
        <f t="shared" si="91"/>
        <v>0</v>
      </c>
      <c r="AE4603" s="160">
        <v>4601</v>
      </c>
    </row>
    <row r="4604" spans="27:31" x14ac:dyDescent="0.25">
      <c r="AA4604" s="160"/>
      <c r="AB4604" s="162"/>
      <c r="AC4604" s="162"/>
      <c r="AD4604" s="162">
        <f t="shared" si="91"/>
        <v>0</v>
      </c>
      <c r="AE4604" s="160">
        <v>4602</v>
      </c>
    </row>
    <row r="4605" spans="27:31" x14ac:dyDescent="0.25">
      <c r="AA4605" s="160"/>
      <c r="AB4605" s="162"/>
      <c r="AC4605" s="162"/>
      <c r="AD4605" s="162">
        <f t="shared" si="91"/>
        <v>0</v>
      </c>
      <c r="AE4605" s="160">
        <v>4603</v>
      </c>
    </row>
    <row r="4606" spans="27:31" x14ac:dyDescent="0.25">
      <c r="AA4606" s="160"/>
      <c r="AB4606" s="162"/>
      <c r="AC4606" s="162"/>
      <c r="AD4606" s="162">
        <f t="shared" si="91"/>
        <v>0</v>
      </c>
      <c r="AE4606" s="160">
        <v>4604</v>
      </c>
    </row>
    <row r="4607" spans="27:31" x14ac:dyDescent="0.25">
      <c r="AA4607" s="160"/>
      <c r="AB4607" s="162"/>
      <c r="AC4607" s="162"/>
      <c r="AD4607" s="162">
        <f t="shared" si="91"/>
        <v>0</v>
      </c>
      <c r="AE4607" s="160">
        <v>4605</v>
      </c>
    </row>
    <row r="4608" spans="27:31" x14ac:dyDescent="0.25">
      <c r="AA4608" s="160"/>
      <c r="AB4608" s="162"/>
      <c r="AC4608" s="162"/>
      <c r="AD4608" s="162">
        <f t="shared" si="91"/>
        <v>0</v>
      </c>
      <c r="AE4608" s="160">
        <v>4606</v>
      </c>
    </row>
    <row r="4609" spans="27:31" x14ac:dyDescent="0.25">
      <c r="AA4609" s="160"/>
      <c r="AB4609" s="162"/>
      <c r="AC4609" s="162"/>
      <c r="AD4609" s="162">
        <f t="shared" si="91"/>
        <v>0</v>
      </c>
      <c r="AE4609" s="160">
        <v>4607</v>
      </c>
    </row>
    <row r="4610" spans="27:31" x14ac:dyDescent="0.25">
      <c r="AA4610" s="160"/>
      <c r="AB4610" s="162"/>
      <c r="AC4610" s="162"/>
      <c r="AD4610" s="162">
        <f t="shared" si="91"/>
        <v>0</v>
      </c>
      <c r="AE4610" s="160">
        <v>4608</v>
      </c>
    </row>
    <row r="4611" spans="27:31" x14ac:dyDescent="0.25">
      <c r="AA4611" s="160"/>
      <c r="AB4611" s="162"/>
      <c r="AC4611" s="162"/>
      <c r="AD4611" s="162">
        <f t="shared" si="91"/>
        <v>0</v>
      </c>
      <c r="AE4611" s="160">
        <v>4609</v>
      </c>
    </row>
    <row r="4612" spans="27:31" x14ac:dyDescent="0.25">
      <c r="AA4612" s="160"/>
      <c r="AB4612" s="162"/>
      <c r="AC4612" s="162"/>
      <c r="AD4612" s="162">
        <f t="shared" ref="AD4612:AD4675" si="92">AB4612+AC4612</f>
        <v>0</v>
      </c>
      <c r="AE4612" s="160">
        <v>4610</v>
      </c>
    </row>
    <row r="4613" spans="27:31" x14ac:dyDescent="0.25">
      <c r="AA4613" s="160"/>
      <c r="AB4613" s="162"/>
      <c r="AC4613" s="162"/>
      <c r="AD4613" s="162">
        <f t="shared" si="92"/>
        <v>0</v>
      </c>
      <c r="AE4613" s="160">
        <v>4611</v>
      </c>
    </row>
    <row r="4614" spans="27:31" x14ac:dyDescent="0.25">
      <c r="AA4614" s="160"/>
      <c r="AB4614" s="162"/>
      <c r="AC4614" s="162"/>
      <c r="AD4614" s="162">
        <f t="shared" si="92"/>
        <v>0</v>
      </c>
      <c r="AE4614" s="160">
        <v>4612</v>
      </c>
    </row>
    <row r="4615" spans="27:31" x14ac:dyDescent="0.25">
      <c r="AA4615" s="160"/>
      <c r="AB4615" s="162"/>
      <c r="AC4615" s="162"/>
      <c r="AD4615" s="162">
        <f t="shared" si="92"/>
        <v>0</v>
      </c>
      <c r="AE4615" s="160">
        <v>4613</v>
      </c>
    </row>
    <row r="4616" spans="27:31" x14ac:dyDescent="0.25">
      <c r="AA4616" s="160"/>
      <c r="AB4616" s="162"/>
      <c r="AC4616" s="162"/>
      <c r="AD4616" s="162">
        <f t="shared" si="92"/>
        <v>0</v>
      </c>
      <c r="AE4616" s="160">
        <v>4614</v>
      </c>
    </row>
    <row r="4617" spans="27:31" x14ac:dyDescent="0.25">
      <c r="AA4617" s="160"/>
      <c r="AB4617" s="162"/>
      <c r="AC4617" s="162"/>
      <c r="AD4617" s="162">
        <f t="shared" si="92"/>
        <v>0</v>
      </c>
      <c r="AE4617" s="160">
        <v>4615</v>
      </c>
    </row>
    <row r="4618" spans="27:31" x14ac:dyDescent="0.25">
      <c r="AA4618" s="160"/>
      <c r="AB4618" s="162"/>
      <c r="AC4618" s="162"/>
      <c r="AD4618" s="162">
        <f t="shared" si="92"/>
        <v>0</v>
      </c>
      <c r="AE4618" s="160">
        <v>4616</v>
      </c>
    </row>
    <row r="4619" spans="27:31" x14ac:dyDescent="0.25">
      <c r="AA4619" s="160"/>
      <c r="AB4619" s="162"/>
      <c r="AC4619" s="162"/>
      <c r="AD4619" s="162">
        <f t="shared" si="92"/>
        <v>0</v>
      </c>
      <c r="AE4619" s="160">
        <v>4617</v>
      </c>
    </row>
    <row r="4620" spans="27:31" x14ac:dyDescent="0.25">
      <c r="AA4620" s="160"/>
      <c r="AB4620" s="162"/>
      <c r="AC4620" s="162"/>
      <c r="AD4620" s="162">
        <f t="shared" si="92"/>
        <v>0</v>
      </c>
      <c r="AE4620" s="160">
        <v>4618</v>
      </c>
    </row>
    <row r="4621" spans="27:31" x14ac:dyDescent="0.25">
      <c r="AA4621" s="160"/>
      <c r="AB4621" s="162"/>
      <c r="AC4621" s="162"/>
      <c r="AD4621" s="162">
        <f t="shared" si="92"/>
        <v>0</v>
      </c>
      <c r="AE4621" s="160">
        <v>4619</v>
      </c>
    </row>
    <row r="4622" spans="27:31" x14ac:dyDescent="0.25">
      <c r="AA4622" s="160"/>
      <c r="AB4622" s="162"/>
      <c r="AC4622" s="162"/>
      <c r="AD4622" s="162">
        <f t="shared" si="92"/>
        <v>0</v>
      </c>
      <c r="AE4622" s="160">
        <v>4620</v>
      </c>
    </row>
    <row r="4623" spans="27:31" x14ac:dyDescent="0.25">
      <c r="AA4623" s="160"/>
      <c r="AB4623" s="162"/>
      <c r="AC4623" s="162"/>
      <c r="AD4623" s="162">
        <f t="shared" si="92"/>
        <v>0</v>
      </c>
      <c r="AE4623" s="160">
        <v>4621</v>
      </c>
    </row>
    <row r="4624" spans="27:31" x14ac:dyDescent="0.25">
      <c r="AA4624" s="160"/>
      <c r="AB4624" s="162"/>
      <c r="AC4624" s="162"/>
      <c r="AD4624" s="162">
        <f t="shared" si="92"/>
        <v>0</v>
      </c>
      <c r="AE4624" s="160">
        <v>4622</v>
      </c>
    </row>
    <row r="4625" spans="27:31" x14ac:dyDescent="0.25">
      <c r="AA4625" s="160"/>
      <c r="AB4625" s="162"/>
      <c r="AC4625" s="162"/>
      <c r="AD4625" s="162">
        <f t="shared" si="92"/>
        <v>0</v>
      </c>
      <c r="AE4625" s="160">
        <v>4623</v>
      </c>
    </row>
    <row r="4626" spans="27:31" x14ac:dyDescent="0.25">
      <c r="AA4626" s="160"/>
      <c r="AB4626" s="162"/>
      <c r="AC4626" s="162"/>
      <c r="AD4626" s="162">
        <f t="shared" si="92"/>
        <v>0</v>
      </c>
      <c r="AE4626" s="160">
        <v>4624</v>
      </c>
    </row>
    <row r="4627" spans="27:31" x14ac:dyDescent="0.25">
      <c r="AA4627" s="160"/>
      <c r="AB4627" s="162"/>
      <c r="AC4627" s="162"/>
      <c r="AD4627" s="162">
        <f t="shared" si="92"/>
        <v>0</v>
      </c>
      <c r="AE4627" s="160">
        <v>4625</v>
      </c>
    </row>
    <row r="4628" spans="27:31" x14ac:dyDescent="0.25">
      <c r="AA4628" s="160"/>
      <c r="AB4628" s="162"/>
      <c r="AC4628" s="162"/>
      <c r="AD4628" s="162">
        <f t="shared" si="92"/>
        <v>0</v>
      </c>
      <c r="AE4628" s="160">
        <v>4626</v>
      </c>
    </row>
    <row r="4629" spans="27:31" x14ac:dyDescent="0.25">
      <c r="AA4629" s="160"/>
      <c r="AB4629" s="162"/>
      <c r="AC4629" s="162"/>
      <c r="AD4629" s="162">
        <f t="shared" si="92"/>
        <v>0</v>
      </c>
      <c r="AE4629" s="160">
        <v>4627</v>
      </c>
    </row>
    <row r="4630" spans="27:31" x14ac:dyDescent="0.25">
      <c r="AA4630" s="160"/>
      <c r="AB4630" s="162"/>
      <c r="AC4630" s="162"/>
      <c r="AD4630" s="162">
        <f t="shared" si="92"/>
        <v>0</v>
      </c>
      <c r="AE4630" s="160">
        <v>4628</v>
      </c>
    </row>
    <row r="4631" spans="27:31" x14ac:dyDescent="0.25">
      <c r="AA4631" s="160"/>
      <c r="AB4631" s="162"/>
      <c r="AC4631" s="162"/>
      <c r="AD4631" s="162">
        <f t="shared" si="92"/>
        <v>0</v>
      </c>
      <c r="AE4631" s="160">
        <v>4629</v>
      </c>
    </row>
    <row r="4632" spans="27:31" x14ac:dyDescent="0.25">
      <c r="AA4632" s="160"/>
      <c r="AB4632" s="162"/>
      <c r="AC4632" s="162"/>
      <c r="AD4632" s="162">
        <f t="shared" si="92"/>
        <v>0</v>
      </c>
      <c r="AE4632" s="160">
        <v>4630</v>
      </c>
    </row>
    <row r="4633" spans="27:31" x14ac:dyDescent="0.25">
      <c r="AA4633" s="160"/>
      <c r="AB4633" s="162"/>
      <c r="AC4633" s="162"/>
      <c r="AD4633" s="162">
        <f t="shared" si="92"/>
        <v>0</v>
      </c>
      <c r="AE4633" s="160">
        <v>4631</v>
      </c>
    </row>
    <row r="4634" spans="27:31" x14ac:dyDescent="0.25">
      <c r="AA4634" s="160"/>
      <c r="AB4634" s="162"/>
      <c r="AC4634" s="162"/>
      <c r="AD4634" s="162">
        <f t="shared" si="92"/>
        <v>0</v>
      </c>
      <c r="AE4634" s="160">
        <v>4632</v>
      </c>
    </row>
    <row r="4635" spans="27:31" x14ac:dyDescent="0.25">
      <c r="AA4635" s="160"/>
      <c r="AB4635" s="162"/>
      <c r="AC4635" s="162"/>
      <c r="AD4635" s="162">
        <f t="shared" si="92"/>
        <v>0</v>
      </c>
      <c r="AE4635" s="160">
        <v>4633</v>
      </c>
    </row>
    <row r="4636" spans="27:31" x14ac:dyDescent="0.25">
      <c r="AA4636" s="160"/>
      <c r="AB4636" s="162"/>
      <c r="AC4636" s="162"/>
      <c r="AD4636" s="162">
        <f t="shared" si="92"/>
        <v>0</v>
      </c>
      <c r="AE4636" s="160">
        <v>4634</v>
      </c>
    </row>
    <row r="4637" spans="27:31" x14ac:dyDescent="0.25">
      <c r="AA4637" s="160"/>
      <c r="AB4637" s="162"/>
      <c r="AC4637" s="162"/>
      <c r="AD4637" s="162">
        <f t="shared" si="92"/>
        <v>0</v>
      </c>
      <c r="AE4637" s="160">
        <v>4635</v>
      </c>
    </row>
    <row r="4638" spans="27:31" x14ac:dyDescent="0.25">
      <c r="AA4638" s="160"/>
      <c r="AB4638" s="162"/>
      <c r="AC4638" s="162"/>
      <c r="AD4638" s="162">
        <f t="shared" si="92"/>
        <v>0</v>
      </c>
      <c r="AE4638" s="160">
        <v>4636</v>
      </c>
    </row>
    <row r="4639" spans="27:31" x14ac:dyDescent="0.25">
      <c r="AA4639" s="160"/>
      <c r="AB4639" s="162"/>
      <c r="AC4639" s="162"/>
      <c r="AD4639" s="162">
        <f t="shared" si="92"/>
        <v>0</v>
      </c>
      <c r="AE4639" s="160">
        <v>4637</v>
      </c>
    </row>
    <row r="4640" spans="27:31" x14ac:dyDescent="0.25">
      <c r="AA4640" s="160"/>
      <c r="AB4640" s="162"/>
      <c r="AC4640" s="162"/>
      <c r="AD4640" s="162">
        <f t="shared" si="92"/>
        <v>0</v>
      </c>
      <c r="AE4640" s="160">
        <v>4638</v>
      </c>
    </row>
    <row r="4641" spans="27:31" x14ac:dyDescent="0.25">
      <c r="AA4641" s="160"/>
      <c r="AB4641" s="162"/>
      <c r="AC4641" s="162"/>
      <c r="AD4641" s="162">
        <f t="shared" si="92"/>
        <v>0</v>
      </c>
      <c r="AE4641" s="160">
        <v>4639</v>
      </c>
    </row>
    <row r="4642" spans="27:31" x14ac:dyDescent="0.25">
      <c r="AA4642" s="160"/>
      <c r="AB4642" s="162"/>
      <c r="AC4642" s="162"/>
      <c r="AD4642" s="162">
        <f t="shared" si="92"/>
        <v>0</v>
      </c>
      <c r="AE4642" s="160">
        <v>4640</v>
      </c>
    </row>
    <row r="4643" spans="27:31" x14ac:dyDescent="0.25">
      <c r="AA4643" s="160"/>
      <c r="AB4643" s="162"/>
      <c r="AC4643" s="162"/>
      <c r="AD4643" s="162">
        <f t="shared" si="92"/>
        <v>0</v>
      </c>
      <c r="AE4643" s="160">
        <v>4641</v>
      </c>
    </row>
    <row r="4644" spans="27:31" x14ac:dyDescent="0.25">
      <c r="AA4644" s="160"/>
      <c r="AB4644" s="162"/>
      <c r="AC4644" s="162"/>
      <c r="AD4644" s="162">
        <f t="shared" si="92"/>
        <v>0</v>
      </c>
      <c r="AE4644" s="160">
        <v>4642</v>
      </c>
    </row>
    <row r="4645" spans="27:31" x14ac:dyDescent="0.25">
      <c r="AA4645" s="160"/>
      <c r="AB4645" s="162"/>
      <c r="AC4645" s="162"/>
      <c r="AD4645" s="162">
        <f t="shared" si="92"/>
        <v>0</v>
      </c>
      <c r="AE4645" s="160">
        <v>4643</v>
      </c>
    </row>
    <row r="4646" spans="27:31" x14ac:dyDescent="0.25">
      <c r="AA4646" s="160"/>
      <c r="AB4646" s="162"/>
      <c r="AC4646" s="162"/>
      <c r="AD4646" s="162">
        <f t="shared" si="92"/>
        <v>0</v>
      </c>
      <c r="AE4646" s="160">
        <v>4644</v>
      </c>
    </row>
    <row r="4647" spans="27:31" x14ac:dyDescent="0.25">
      <c r="AA4647" s="160"/>
      <c r="AB4647" s="162"/>
      <c r="AC4647" s="162"/>
      <c r="AD4647" s="162">
        <f t="shared" si="92"/>
        <v>0</v>
      </c>
      <c r="AE4647" s="160">
        <v>4645</v>
      </c>
    </row>
    <row r="4648" spans="27:31" x14ac:dyDescent="0.25">
      <c r="AA4648" s="160"/>
      <c r="AB4648" s="162"/>
      <c r="AC4648" s="162"/>
      <c r="AD4648" s="162">
        <f t="shared" si="92"/>
        <v>0</v>
      </c>
      <c r="AE4648" s="160">
        <v>4646</v>
      </c>
    </row>
    <row r="4649" spans="27:31" x14ac:dyDescent="0.25">
      <c r="AA4649" s="160"/>
      <c r="AB4649" s="162"/>
      <c r="AC4649" s="162"/>
      <c r="AD4649" s="162">
        <f t="shared" si="92"/>
        <v>0</v>
      </c>
      <c r="AE4649" s="160">
        <v>4647</v>
      </c>
    </row>
    <row r="4650" spans="27:31" x14ac:dyDescent="0.25">
      <c r="AA4650" s="160"/>
      <c r="AB4650" s="162"/>
      <c r="AC4650" s="162"/>
      <c r="AD4650" s="162">
        <f t="shared" si="92"/>
        <v>0</v>
      </c>
      <c r="AE4650" s="160">
        <v>4648</v>
      </c>
    </row>
    <row r="4651" spans="27:31" x14ac:dyDescent="0.25">
      <c r="AA4651" s="160"/>
      <c r="AB4651" s="162"/>
      <c r="AC4651" s="162"/>
      <c r="AD4651" s="162">
        <f t="shared" si="92"/>
        <v>0</v>
      </c>
      <c r="AE4651" s="160">
        <v>4649</v>
      </c>
    </row>
    <row r="4652" spans="27:31" x14ac:dyDescent="0.25">
      <c r="AA4652" s="160"/>
      <c r="AB4652" s="162"/>
      <c r="AC4652" s="162"/>
      <c r="AD4652" s="162">
        <f t="shared" si="92"/>
        <v>0</v>
      </c>
      <c r="AE4652" s="160">
        <v>4650</v>
      </c>
    </row>
    <row r="4653" spans="27:31" x14ac:dyDescent="0.25">
      <c r="AA4653" s="160"/>
      <c r="AB4653" s="162"/>
      <c r="AC4653" s="162"/>
      <c r="AD4653" s="162">
        <f t="shared" si="92"/>
        <v>0</v>
      </c>
      <c r="AE4653" s="160">
        <v>4651</v>
      </c>
    </row>
    <row r="4654" spans="27:31" x14ac:dyDescent="0.25">
      <c r="AA4654" s="160"/>
      <c r="AB4654" s="162"/>
      <c r="AC4654" s="162"/>
      <c r="AD4654" s="162">
        <f t="shared" si="92"/>
        <v>0</v>
      </c>
      <c r="AE4654" s="160">
        <v>4652</v>
      </c>
    </row>
    <row r="4655" spans="27:31" x14ac:dyDescent="0.25">
      <c r="AA4655" s="160"/>
      <c r="AB4655" s="162"/>
      <c r="AC4655" s="162"/>
      <c r="AD4655" s="162">
        <f t="shared" si="92"/>
        <v>0</v>
      </c>
      <c r="AE4655" s="160">
        <v>4653</v>
      </c>
    </row>
    <row r="4656" spans="27:31" x14ac:dyDescent="0.25">
      <c r="AA4656" s="160"/>
      <c r="AB4656" s="162"/>
      <c r="AC4656" s="162"/>
      <c r="AD4656" s="162">
        <f t="shared" si="92"/>
        <v>0</v>
      </c>
      <c r="AE4656" s="160">
        <v>4654</v>
      </c>
    </row>
    <row r="4657" spans="27:31" x14ac:dyDescent="0.25">
      <c r="AA4657" s="160"/>
      <c r="AB4657" s="162"/>
      <c r="AC4657" s="162"/>
      <c r="AD4657" s="162">
        <f t="shared" si="92"/>
        <v>0</v>
      </c>
      <c r="AE4657" s="160">
        <v>4655</v>
      </c>
    </row>
    <row r="4658" spans="27:31" x14ac:dyDescent="0.25">
      <c r="AA4658" s="160"/>
      <c r="AB4658" s="162"/>
      <c r="AC4658" s="162"/>
      <c r="AD4658" s="162">
        <f t="shared" si="92"/>
        <v>0</v>
      </c>
      <c r="AE4658" s="160">
        <v>4656</v>
      </c>
    </row>
    <row r="4659" spans="27:31" x14ac:dyDescent="0.25">
      <c r="AA4659" s="160"/>
      <c r="AB4659" s="162"/>
      <c r="AC4659" s="162"/>
      <c r="AD4659" s="162">
        <f t="shared" si="92"/>
        <v>0</v>
      </c>
      <c r="AE4659" s="160">
        <v>4657</v>
      </c>
    </row>
    <row r="4660" spans="27:31" x14ac:dyDescent="0.25">
      <c r="AA4660" s="160"/>
      <c r="AB4660" s="162"/>
      <c r="AC4660" s="162"/>
      <c r="AD4660" s="162">
        <f t="shared" si="92"/>
        <v>0</v>
      </c>
      <c r="AE4660" s="160">
        <v>4658</v>
      </c>
    </row>
    <row r="4661" spans="27:31" x14ac:dyDescent="0.25">
      <c r="AA4661" s="160"/>
      <c r="AB4661" s="162"/>
      <c r="AC4661" s="162"/>
      <c r="AD4661" s="162">
        <f t="shared" si="92"/>
        <v>0</v>
      </c>
      <c r="AE4661" s="160">
        <v>4659</v>
      </c>
    </row>
    <row r="4662" spans="27:31" x14ac:dyDescent="0.25">
      <c r="AA4662" s="160"/>
      <c r="AB4662" s="162"/>
      <c r="AC4662" s="162"/>
      <c r="AD4662" s="162">
        <f t="shared" si="92"/>
        <v>0</v>
      </c>
      <c r="AE4662" s="160">
        <v>4660</v>
      </c>
    </row>
    <row r="4663" spans="27:31" x14ac:dyDescent="0.25">
      <c r="AA4663" s="160"/>
      <c r="AB4663" s="162"/>
      <c r="AC4663" s="162"/>
      <c r="AD4663" s="162">
        <f t="shared" si="92"/>
        <v>0</v>
      </c>
      <c r="AE4663" s="160">
        <v>4661</v>
      </c>
    </row>
    <row r="4664" spans="27:31" x14ac:dyDescent="0.25">
      <c r="AA4664" s="160"/>
      <c r="AB4664" s="162"/>
      <c r="AC4664" s="162"/>
      <c r="AD4664" s="162">
        <f t="shared" si="92"/>
        <v>0</v>
      </c>
      <c r="AE4664" s="160">
        <v>4662</v>
      </c>
    </row>
    <row r="4665" spans="27:31" x14ac:dyDescent="0.25">
      <c r="AA4665" s="160"/>
      <c r="AB4665" s="162"/>
      <c r="AC4665" s="162"/>
      <c r="AD4665" s="162">
        <f t="shared" si="92"/>
        <v>0</v>
      </c>
      <c r="AE4665" s="160">
        <v>4663</v>
      </c>
    </row>
    <row r="4666" spans="27:31" x14ac:dyDescent="0.25">
      <c r="AA4666" s="160"/>
      <c r="AB4666" s="162"/>
      <c r="AC4666" s="162"/>
      <c r="AD4666" s="162">
        <f t="shared" si="92"/>
        <v>0</v>
      </c>
      <c r="AE4666" s="160">
        <v>4664</v>
      </c>
    </row>
    <row r="4667" spans="27:31" x14ac:dyDescent="0.25">
      <c r="AA4667" s="160"/>
      <c r="AB4667" s="162"/>
      <c r="AC4667" s="162"/>
      <c r="AD4667" s="162">
        <f t="shared" si="92"/>
        <v>0</v>
      </c>
      <c r="AE4667" s="160">
        <v>4665</v>
      </c>
    </row>
    <row r="4668" spans="27:31" x14ac:dyDescent="0.25">
      <c r="AA4668" s="160"/>
      <c r="AB4668" s="162"/>
      <c r="AC4668" s="162"/>
      <c r="AD4668" s="162">
        <f t="shared" si="92"/>
        <v>0</v>
      </c>
      <c r="AE4668" s="160">
        <v>4666</v>
      </c>
    </row>
    <row r="4669" spans="27:31" x14ac:dyDescent="0.25">
      <c r="AA4669" s="160"/>
      <c r="AB4669" s="162"/>
      <c r="AC4669" s="162"/>
      <c r="AD4669" s="162">
        <f t="shared" si="92"/>
        <v>0</v>
      </c>
      <c r="AE4669" s="160">
        <v>4667</v>
      </c>
    </row>
    <row r="4670" spans="27:31" x14ac:dyDescent="0.25">
      <c r="AA4670" s="160"/>
      <c r="AB4670" s="162"/>
      <c r="AC4670" s="162"/>
      <c r="AD4670" s="162">
        <f t="shared" si="92"/>
        <v>0</v>
      </c>
      <c r="AE4670" s="160">
        <v>4668</v>
      </c>
    </row>
    <row r="4671" spans="27:31" x14ac:dyDescent="0.25">
      <c r="AA4671" s="160"/>
      <c r="AB4671" s="162"/>
      <c r="AC4671" s="162"/>
      <c r="AD4671" s="162">
        <f t="shared" si="92"/>
        <v>0</v>
      </c>
      <c r="AE4671" s="160">
        <v>4669</v>
      </c>
    </row>
    <row r="4672" spans="27:31" x14ac:dyDescent="0.25">
      <c r="AA4672" s="160"/>
      <c r="AB4672" s="162"/>
      <c r="AC4672" s="162"/>
      <c r="AD4672" s="162">
        <f t="shared" si="92"/>
        <v>0</v>
      </c>
      <c r="AE4672" s="160">
        <v>4670</v>
      </c>
    </row>
    <row r="4673" spans="27:31" x14ac:dyDescent="0.25">
      <c r="AA4673" s="160"/>
      <c r="AB4673" s="162"/>
      <c r="AC4673" s="162"/>
      <c r="AD4673" s="162">
        <f t="shared" si="92"/>
        <v>0</v>
      </c>
      <c r="AE4673" s="160">
        <v>4671</v>
      </c>
    </row>
    <row r="4674" spans="27:31" x14ac:dyDescent="0.25">
      <c r="AA4674" s="160"/>
      <c r="AB4674" s="162"/>
      <c r="AC4674" s="162"/>
      <c r="AD4674" s="162">
        <f t="shared" si="92"/>
        <v>0</v>
      </c>
      <c r="AE4674" s="160">
        <v>4672</v>
      </c>
    </row>
    <row r="4675" spans="27:31" x14ac:dyDescent="0.25">
      <c r="AA4675" s="160"/>
      <c r="AB4675" s="162"/>
      <c r="AC4675" s="162"/>
      <c r="AD4675" s="162">
        <f t="shared" si="92"/>
        <v>0</v>
      </c>
      <c r="AE4675" s="160">
        <v>4673</v>
      </c>
    </row>
    <row r="4676" spans="27:31" x14ac:dyDescent="0.25">
      <c r="AA4676" s="160"/>
      <c r="AB4676" s="162"/>
      <c r="AC4676" s="162"/>
      <c r="AD4676" s="162">
        <f t="shared" ref="AD4676:AD4739" si="93">AB4676+AC4676</f>
        <v>0</v>
      </c>
      <c r="AE4676" s="160">
        <v>4674</v>
      </c>
    </row>
    <row r="4677" spans="27:31" x14ac:dyDescent="0.25">
      <c r="AA4677" s="160"/>
      <c r="AB4677" s="162"/>
      <c r="AC4677" s="162"/>
      <c r="AD4677" s="162">
        <f t="shared" si="93"/>
        <v>0</v>
      </c>
      <c r="AE4677" s="160">
        <v>4675</v>
      </c>
    </row>
    <row r="4678" spans="27:31" x14ac:dyDescent="0.25">
      <c r="AA4678" s="160"/>
      <c r="AB4678" s="162"/>
      <c r="AC4678" s="162"/>
      <c r="AD4678" s="162">
        <f t="shared" si="93"/>
        <v>0</v>
      </c>
      <c r="AE4678" s="160">
        <v>4676</v>
      </c>
    </row>
    <row r="4679" spans="27:31" x14ac:dyDescent="0.25">
      <c r="AA4679" s="160"/>
      <c r="AB4679" s="162"/>
      <c r="AC4679" s="162"/>
      <c r="AD4679" s="162">
        <f t="shared" si="93"/>
        <v>0</v>
      </c>
      <c r="AE4679" s="160">
        <v>4677</v>
      </c>
    </row>
    <row r="4680" spans="27:31" x14ac:dyDescent="0.25">
      <c r="AA4680" s="160"/>
      <c r="AB4680" s="162"/>
      <c r="AC4680" s="162"/>
      <c r="AD4680" s="162">
        <f t="shared" si="93"/>
        <v>0</v>
      </c>
      <c r="AE4680" s="160">
        <v>4678</v>
      </c>
    </row>
    <row r="4681" spans="27:31" x14ac:dyDescent="0.25">
      <c r="AA4681" s="160"/>
      <c r="AB4681" s="162"/>
      <c r="AC4681" s="162"/>
      <c r="AD4681" s="162">
        <f t="shared" si="93"/>
        <v>0</v>
      </c>
      <c r="AE4681" s="160">
        <v>4679</v>
      </c>
    </row>
    <row r="4682" spans="27:31" x14ac:dyDescent="0.25">
      <c r="AA4682" s="160"/>
      <c r="AB4682" s="162"/>
      <c r="AC4682" s="162"/>
      <c r="AD4682" s="162">
        <f t="shared" si="93"/>
        <v>0</v>
      </c>
      <c r="AE4682" s="160">
        <v>4680</v>
      </c>
    </row>
    <row r="4683" spans="27:31" x14ac:dyDescent="0.25">
      <c r="AA4683" s="160"/>
      <c r="AB4683" s="162"/>
      <c r="AC4683" s="162"/>
      <c r="AD4683" s="162">
        <f t="shared" si="93"/>
        <v>0</v>
      </c>
      <c r="AE4683" s="160">
        <v>4681</v>
      </c>
    </row>
    <row r="4684" spans="27:31" x14ac:dyDescent="0.25">
      <c r="AA4684" s="160"/>
      <c r="AB4684" s="162"/>
      <c r="AC4684" s="162"/>
      <c r="AD4684" s="162">
        <f t="shared" si="93"/>
        <v>0</v>
      </c>
      <c r="AE4684" s="160">
        <v>4682</v>
      </c>
    </row>
    <row r="4685" spans="27:31" x14ac:dyDescent="0.25">
      <c r="AA4685" s="160"/>
      <c r="AB4685" s="162"/>
      <c r="AC4685" s="162"/>
      <c r="AD4685" s="162">
        <f t="shared" si="93"/>
        <v>0</v>
      </c>
      <c r="AE4685" s="160">
        <v>4683</v>
      </c>
    </row>
    <row r="4686" spans="27:31" x14ac:dyDescent="0.25">
      <c r="AA4686" s="160"/>
      <c r="AB4686" s="162"/>
      <c r="AC4686" s="162"/>
      <c r="AD4686" s="162">
        <f t="shared" si="93"/>
        <v>0</v>
      </c>
      <c r="AE4686" s="160">
        <v>4684</v>
      </c>
    </row>
    <row r="4687" spans="27:31" x14ac:dyDescent="0.25">
      <c r="AA4687" s="160"/>
      <c r="AB4687" s="162"/>
      <c r="AC4687" s="162"/>
      <c r="AD4687" s="162">
        <f t="shared" si="93"/>
        <v>0</v>
      </c>
      <c r="AE4687" s="160">
        <v>4685</v>
      </c>
    </row>
    <row r="4688" spans="27:31" x14ac:dyDescent="0.25">
      <c r="AA4688" s="160"/>
      <c r="AB4688" s="162"/>
      <c r="AC4688" s="162"/>
      <c r="AD4688" s="162">
        <f t="shared" si="93"/>
        <v>0</v>
      </c>
      <c r="AE4688" s="160">
        <v>4686</v>
      </c>
    </row>
    <row r="4689" spans="27:31" x14ac:dyDescent="0.25">
      <c r="AA4689" s="160"/>
      <c r="AB4689" s="162"/>
      <c r="AC4689" s="162"/>
      <c r="AD4689" s="162">
        <f t="shared" si="93"/>
        <v>0</v>
      </c>
      <c r="AE4689" s="160">
        <v>4687</v>
      </c>
    </row>
    <row r="4690" spans="27:31" x14ac:dyDescent="0.25">
      <c r="AA4690" s="160"/>
      <c r="AB4690" s="162"/>
      <c r="AC4690" s="162"/>
      <c r="AD4690" s="162">
        <f t="shared" si="93"/>
        <v>0</v>
      </c>
      <c r="AE4690" s="160">
        <v>4688</v>
      </c>
    </row>
    <row r="4691" spans="27:31" x14ac:dyDescent="0.25">
      <c r="AA4691" s="160"/>
      <c r="AB4691" s="162"/>
      <c r="AC4691" s="162"/>
      <c r="AD4691" s="162">
        <f t="shared" si="93"/>
        <v>0</v>
      </c>
      <c r="AE4691" s="160">
        <v>4689</v>
      </c>
    </row>
    <row r="4692" spans="27:31" x14ac:dyDescent="0.25">
      <c r="AA4692" s="160"/>
      <c r="AB4692" s="162"/>
      <c r="AC4692" s="162"/>
      <c r="AD4692" s="162">
        <f t="shared" si="93"/>
        <v>0</v>
      </c>
      <c r="AE4692" s="160">
        <v>4690</v>
      </c>
    </row>
    <row r="4693" spans="27:31" x14ac:dyDescent="0.25">
      <c r="AA4693" s="160"/>
      <c r="AB4693" s="162"/>
      <c r="AC4693" s="162"/>
      <c r="AD4693" s="162">
        <f t="shared" si="93"/>
        <v>0</v>
      </c>
      <c r="AE4693" s="160">
        <v>4691</v>
      </c>
    </row>
    <row r="4694" spans="27:31" x14ac:dyDescent="0.25">
      <c r="AA4694" s="160"/>
      <c r="AB4694" s="162"/>
      <c r="AC4694" s="162"/>
      <c r="AD4694" s="162">
        <f t="shared" si="93"/>
        <v>0</v>
      </c>
      <c r="AE4694" s="160">
        <v>4692</v>
      </c>
    </row>
    <row r="4695" spans="27:31" x14ac:dyDescent="0.25">
      <c r="AA4695" s="160"/>
      <c r="AB4695" s="162"/>
      <c r="AC4695" s="162"/>
      <c r="AD4695" s="162">
        <f t="shared" si="93"/>
        <v>0</v>
      </c>
      <c r="AE4695" s="160">
        <v>4693</v>
      </c>
    </row>
    <row r="4696" spans="27:31" x14ac:dyDescent="0.25">
      <c r="AA4696" s="160"/>
      <c r="AB4696" s="162"/>
      <c r="AC4696" s="162"/>
      <c r="AD4696" s="162">
        <f t="shared" si="93"/>
        <v>0</v>
      </c>
      <c r="AE4696" s="160">
        <v>4694</v>
      </c>
    </row>
    <row r="4697" spans="27:31" x14ac:dyDescent="0.25">
      <c r="AA4697" s="160"/>
      <c r="AB4697" s="162"/>
      <c r="AC4697" s="162"/>
      <c r="AD4697" s="162">
        <f t="shared" si="93"/>
        <v>0</v>
      </c>
      <c r="AE4697" s="160">
        <v>4695</v>
      </c>
    </row>
    <row r="4698" spans="27:31" x14ac:dyDescent="0.25">
      <c r="AA4698" s="160"/>
      <c r="AB4698" s="162"/>
      <c r="AC4698" s="162"/>
      <c r="AD4698" s="162">
        <f t="shared" si="93"/>
        <v>0</v>
      </c>
      <c r="AE4698" s="160">
        <v>4696</v>
      </c>
    </row>
    <row r="4699" spans="27:31" x14ac:dyDescent="0.25">
      <c r="AA4699" s="160"/>
      <c r="AB4699" s="162"/>
      <c r="AC4699" s="162"/>
      <c r="AD4699" s="162">
        <f t="shared" si="93"/>
        <v>0</v>
      </c>
      <c r="AE4699" s="160">
        <v>4697</v>
      </c>
    </row>
    <row r="4700" spans="27:31" x14ac:dyDescent="0.25">
      <c r="AA4700" s="160"/>
      <c r="AB4700" s="162"/>
      <c r="AC4700" s="162"/>
      <c r="AD4700" s="162">
        <f t="shared" si="93"/>
        <v>0</v>
      </c>
      <c r="AE4700" s="160">
        <v>4698</v>
      </c>
    </row>
    <row r="4701" spans="27:31" x14ac:dyDescent="0.25">
      <c r="AA4701" s="160"/>
      <c r="AB4701" s="162"/>
      <c r="AC4701" s="162"/>
      <c r="AD4701" s="162">
        <f t="shared" si="93"/>
        <v>0</v>
      </c>
      <c r="AE4701" s="160">
        <v>4699</v>
      </c>
    </row>
    <row r="4702" spans="27:31" x14ac:dyDescent="0.25">
      <c r="AA4702" s="160"/>
      <c r="AB4702" s="162"/>
      <c r="AC4702" s="162"/>
      <c r="AD4702" s="162">
        <f t="shared" si="93"/>
        <v>0</v>
      </c>
      <c r="AE4702" s="160">
        <v>4700</v>
      </c>
    </row>
    <row r="4703" spans="27:31" x14ac:dyDescent="0.25">
      <c r="AA4703" s="160"/>
      <c r="AB4703" s="162"/>
      <c r="AC4703" s="162"/>
      <c r="AD4703" s="162">
        <f t="shared" si="93"/>
        <v>0</v>
      </c>
      <c r="AE4703" s="160">
        <v>4701</v>
      </c>
    </row>
    <row r="4704" spans="27:31" x14ac:dyDescent="0.25">
      <c r="AA4704" s="160"/>
      <c r="AB4704" s="162"/>
      <c r="AC4704" s="162"/>
      <c r="AD4704" s="162">
        <f t="shared" si="93"/>
        <v>0</v>
      </c>
      <c r="AE4704" s="160">
        <v>4702</v>
      </c>
    </row>
    <row r="4705" spans="27:31" x14ac:dyDescent="0.25">
      <c r="AA4705" s="160"/>
      <c r="AB4705" s="162"/>
      <c r="AC4705" s="162"/>
      <c r="AD4705" s="162">
        <f t="shared" si="93"/>
        <v>0</v>
      </c>
      <c r="AE4705" s="160">
        <v>4703</v>
      </c>
    </row>
    <row r="4706" spans="27:31" x14ac:dyDescent="0.25">
      <c r="AA4706" s="160"/>
      <c r="AB4706" s="162"/>
      <c r="AC4706" s="162"/>
      <c r="AD4706" s="162">
        <f t="shared" si="93"/>
        <v>0</v>
      </c>
      <c r="AE4706" s="160">
        <v>4704</v>
      </c>
    </row>
    <row r="4707" spans="27:31" x14ac:dyDescent="0.25">
      <c r="AA4707" s="160"/>
      <c r="AB4707" s="162"/>
      <c r="AC4707" s="162"/>
      <c r="AD4707" s="162">
        <f t="shared" si="93"/>
        <v>0</v>
      </c>
      <c r="AE4707" s="160">
        <v>4705</v>
      </c>
    </row>
    <row r="4708" spans="27:31" x14ac:dyDescent="0.25">
      <c r="AA4708" s="160"/>
      <c r="AB4708" s="162"/>
      <c r="AC4708" s="162"/>
      <c r="AD4708" s="162">
        <f t="shared" si="93"/>
        <v>0</v>
      </c>
      <c r="AE4708" s="160">
        <v>4706</v>
      </c>
    </row>
    <row r="4709" spans="27:31" x14ac:dyDescent="0.25">
      <c r="AA4709" s="160"/>
      <c r="AB4709" s="162"/>
      <c r="AC4709" s="162"/>
      <c r="AD4709" s="162">
        <f t="shared" si="93"/>
        <v>0</v>
      </c>
      <c r="AE4709" s="160">
        <v>4707</v>
      </c>
    </row>
    <row r="4710" spans="27:31" x14ac:dyDescent="0.25">
      <c r="AA4710" s="160"/>
      <c r="AB4710" s="162"/>
      <c r="AC4710" s="162"/>
      <c r="AD4710" s="162">
        <f t="shared" si="93"/>
        <v>0</v>
      </c>
      <c r="AE4710" s="160">
        <v>4708</v>
      </c>
    </row>
    <row r="4711" spans="27:31" x14ac:dyDescent="0.25">
      <c r="AA4711" s="160"/>
      <c r="AB4711" s="162"/>
      <c r="AC4711" s="162"/>
      <c r="AD4711" s="162">
        <f t="shared" si="93"/>
        <v>0</v>
      </c>
      <c r="AE4711" s="160">
        <v>4709</v>
      </c>
    </row>
    <row r="4712" spans="27:31" x14ac:dyDescent="0.25">
      <c r="AA4712" s="160"/>
      <c r="AB4712" s="162"/>
      <c r="AC4712" s="162"/>
      <c r="AD4712" s="162">
        <f t="shared" si="93"/>
        <v>0</v>
      </c>
      <c r="AE4712" s="160">
        <v>4710</v>
      </c>
    </row>
    <row r="4713" spans="27:31" x14ac:dyDescent="0.25">
      <c r="AA4713" s="160"/>
      <c r="AB4713" s="162"/>
      <c r="AC4713" s="162"/>
      <c r="AD4713" s="162">
        <f t="shared" si="93"/>
        <v>0</v>
      </c>
      <c r="AE4713" s="160">
        <v>4711</v>
      </c>
    </row>
    <row r="4714" spans="27:31" x14ac:dyDescent="0.25">
      <c r="AA4714" s="160"/>
      <c r="AB4714" s="162"/>
      <c r="AC4714" s="162"/>
      <c r="AD4714" s="162">
        <f t="shared" si="93"/>
        <v>0</v>
      </c>
      <c r="AE4714" s="160">
        <v>4712</v>
      </c>
    </row>
    <row r="4715" spans="27:31" x14ac:dyDescent="0.25">
      <c r="AA4715" s="160"/>
      <c r="AB4715" s="162"/>
      <c r="AC4715" s="162"/>
      <c r="AD4715" s="162">
        <f t="shared" si="93"/>
        <v>0</v>
      </c>
      <c r="AE4715" s="160">
        <v>4713</v>
      </c>
    </row>
    <row r="4716" spans="27:31" x14ac:dyDescent="0.25">
      <c r="AA4716" s="160"/>
      <c r="AB4716" s="162"/>
      <c r="AC4716" s="162"/>
      <c r="AD4716" s="162">
        <f t="shared" si="93"/>
        <v>0</v>
      </c>
      <c r="AE4716" s="160">
        <v>4714</v>
      </c>
    </row>
    <row r="4717" spans="27:31" x14ac:dyDescent="0.25">
      <c r="AA4717" s="160"/>
      <c r="AB4717" s="162"/>
      <c r="AC4717" s="162"/>
      <c r="AD4717" s="162">
        <f t="shared" si="93"/>
        <v>0</v>
      </c>
      <c r="AE4717" s="160">
        <v>4715</v>
      </c>
    </row>
    <row r="4718" spans="27:31" x14ac:dyDescent="0.25">
      <c r="AA4718" s="160"/>
      <c r="AB4718" s="162"/>
      <c r="AC4718" s="162"/>
      <c r="AD4718" s="162">
        <f t="shared" si="93"/>
        <v>0</v>
      </c>
      <c r="AE4718" s="160">
        <v>4716</v>
      </c>
    </row>
    <row r="4719" spans="27:31" x14ac:dyDescent="0.25">
      <c r="AA4719" s="160"/>
      <c r="AB4719" s="162"/>
      <c r="AC4719" s="162"/>
      <c r="AD4719" s="162">
        <f t="shared" si="93"/>
        <v>0</v>
      </c>
      <c r="AE4719" s="160">
        <v>4717</v>
      </c>
    </row>
    <row r="4720" spans="27:31" x14ac:dyDescent="0.25">
      <c r="AA4720" s="160"/>
      <c r="AB4720" s="162"/>
      <c r="AC4720" s="162"/>
      <c r="AD4720" s="162">
        <f t="shared" si="93"/>
        <v>0</v>
      </c>
      <c r="AE4720" s="160">
        <v>4718</v>
      </c>
    </row>
    <row r="4721" spans="27:31" x14ac:dyDescent="0.25">
      <c r="AA4721" s="160"/>
      <c r="AB4721" s="162"/>
      <c r="AC4721" s="162"/>
      <c r="AD4721" s="162">
        <f t="shared" si="93"/>
        <v>0</v>
      </c>
      <c r="AE4721" s="160">
        <v>4719</v>
      </c>
    </row>
    <row r="4722" spans="27:31" x14ac:dyDescent="0.25">
      <c r="AA4722" s="160"/>
      <c r="AB4722" s="162"/>
      <c r="AC4722" s="162"/>
      <c r="AD4722" s="162">
        <f t="shared" si="93"/>
        <v>0</v>
      </c>
      <c r="AE4722" s="160">
        <v>4720</v>
      </c>
    </row>
    <row r="4723" spans="27:31" x14ac:dyDescent="0.25">
      <c r="AA4723" s="160"/>
      <c r="AB4723" s="162"/>
      <c r="AC4723" s="162"/>
      <c r="AD4723" s="162">
        <f t="shared" si="93"/>
        <v>0</v>
      </c>
      <c r="AE4723" s="160">
        <v>4721</v>
      </c>
    </row>
    <row r="4724" spans="27:31" x14ac:dyDescent="0.25">
      <c r="AA4724" s="160"/>
      <c r="AB4724" s="162"/>
      <c r="AC4724" s="162"/>
      <c r="AD4724" s="162">
        <f t="shared" si="93"/>
        <v>0</v>
      </c>
      <c r="AE4724" s="160">
        <v>4722</v>
      </c>
    </row>
    <row r="4725" spans="27:31" x14ac:dyDescent="0.25">
      <c r="AA4725" s="160"/>
      <c r="AB4725" s="162"/>
      <c r="AC4725" s="162"/>
      <c r="AD4725" s="162">
        <f t="shared" si="93"/>
        <v>0</v>
      </c>
      <c r="AE4725" s="160">
        <v>4723</v>
      </c>
    </row>
    <row r="4726" spans="27:31" x14ac:dyDescent="0.25">
      <c r="AA4726" s="160"/>
      <c r="AB4726" s="162"/>
      <c r="AC4726" s="162"/>
      <c r="AD4726" s="162">
        <f t="shared" si="93"/>
        <v>0</v>
      </c>
      <c r="AE4726" s="160">
        <v>4724</v>
      </c>
    </row>
    <row r="4727" spans="27:31" x14ac:dyDescent="0.25">
      <c r="AA4727" s="160"/>
      <c r="AB4727" s="162"/>
      <c r="AC4727" s="162"/>
      <c r="AD4727" s="162">
        <f t="shared" si="93"/>
        <v>0</v>
      </c>
      <c r="AE4727" s="160">
        <v>4725</v>
      </c>
    </row>
    <row r="4728" spans="27:31" x14ac:dyDescent="0.25">
      <c r="AA4728" s="160"/>
      <c r="AB4728" s="162"/>
      <c r="AC4728" s="162"/>
      <c r="AD4728" s="162">
        <f t="shared" si="93"/>
        <v>0</v>
      </c>
      <c r="AE4728" s="160">
        <v>4726</v>
      </c>
    </row>
    <row r="4729" spans="27:31" x14ac:dyDescent="0.25">
      <c r="AA4729" s="160"/>
      <c r="AB4729" s="162"/>
      <c r="AC4729" s="162"/>
      <c r="AD4729" s="162">
        <f t="shared" si="93"/>
        <v>0</v>
      </c>
      <c r="AE4729" s="160">
        <v>4727</v>
      </c>
    </row>
    <row r="4730" spans="27:31" x14ac:dyDescent="0.25">
      <c r="AA4730" s="160"/>
      <c r="AB4730" s="162"/>
      <c r="AC4730" s="162"/>
      <c r="AD4730" s="162">
        <f t="shared" si="93"/>
        <v>0</v>
      </c>
      <c r="AE4730" s="160">
        <v>4728</v>
      </c>
    </row>
    <row r="4731" spans="27:31" x14ac:dyDescent="0.25">
      <c r="AA4731" s="160"/>
      <c r="AB4731" s="162"/>
      <c r="AC4731" s="162"/>
      <c r="AD4731" s="162">
        <f t="shared" si="93"/>
        <v>0</v>
      </c>
      <c r="AE4731" s="160">
        <v>4729</v>
      </c>
    </row>
    <row r="4732" spans="27:31" x14ac:dyDescent="0.25">
      <c r="AA4732" s="160"/>
      <c r="AB4732" s="162"/>
      <c r="AC4732" s="162"/>
      <c r="AD4732" s="162">
        <f t="shared" si="93"/>
        <v>0</v>
      </c>
      <c r="AE4732" s="160">
        <v>4730</v>
      </c>
    </row>
    <row r="4733" spans="27:31" x14ac:dyDescent="0.25">
      <c r="AA4733" s="160"/>
      <c r="AB4733" s="162"/>
      <c r="AC4733" s="162"/>
      <c r="AD4733" s="162">
        <f t="shared" si="93"/>
        <v>0</v>
      </c>
      <c r="AE4733" s="160">
        <v>4731</v>
      </c>
    </row>
    <row r="4734" spans="27:31" x14ac:dyDescent="0.25">
      <c r="AA4734" s="160"/>
      <c r="AB4734" s="162"/>
      <c r="AC4734" s="162"/>
      <c r="AD4734" s="162">
        <f t="shared" si="93"/>
        <v>0</v>
      </c>
      <c r="AE4734" s="160">
        <v>4732</v>
      </c>
    </row>
    <row r="4735" spans="27:31" x14ac:dyDescent="0.25">
      <c r="AA4735" s="160"/>
      <c r="AB4735" s="162"/>
      <c r="AC4735" s="162"/>
      <c r="AD4735" s="162">
        <f t="shared" si="93"/>
        <v>0</v>
      </c>
      <c r="AE4735" s="160">
        <v>4733</v>
      </c>
    </row>
    <row r="4736" spans="27:31" x14ac:dyDescent="0.25">
      <c r="AA4736" s="160"/>
      <c r="AB4736" s="162"/>
      <c r="AC4736" s="162"/>
      <c r="AD4736" s="162">
        <f t="shared" si="93"/>
        <v>0</v>
      </c>
      <c r="AE4736" s="160">
        <v>4734</v>
      </c>
    </row>
    <row r="4737" spans="27:31" x14ac:dyDescent="0.25">
      <c r="AA4737" s="160"/>
      <c r="AB4737" s="162"/>
      <c r="AC4737" s="162"/>
      <c r="AD4737" s="162">
        <f t="shared" si="93"/>
        <v>0</v>
      </c>
      <c r="AE4737" s="160">
        <v>4735</v>
      </c>
    </row>
    <row r="4738" spans="27:31" x14ac:dyDescent="0.25">
      <c r="AA4738" s="160"/>
      <c r="AB4738" s="162"/>
      <c r="AC4738" s="162"/>
      <c r="AD4738" s="162">
        <f t="shared" si="93"/>
        <v>0</v>
      </c>
      <c r="AE4738" s="160">
        <v>4736</v>
      </c>
    </row>
    <row r="4739" spans="27:31" x14ac:dyDescent="0.25">
      <c r="AA4739" s="160"/>
      <c r="AB4739" s="162"/>
      <c r="AC4739" s="162"/>
      <c r="AD4739" s="162">
        <f t="shared" si="93"/>
        <v>0</v>
      </c>
      <c r="AE4739" s="160">
        <v>4737</v>
      </c>
    </row>
    <row r="4740" spans="27:31" x14ac:dyDescent="0.25">
      <c r="AA4740" s="160"/>
      <c r="AB4740" s="162"/>
      <c r="AC4740" s="162"/>
      <c r="AD4740" s="162">
        <f t="shared" ref="AD4740:AD4803" si="94">AB4740+AC4740</f>
        <v>0</v>
      </c>
      <c r="AE4740" s="160">
        <v>4738</v>
      </c>
    </row>
    <row r="4741" spans="27:31" x14ac:dyDescent="0.25">
      <c r="AA4741" s="160"/>
      <c r="AB4741" s="162"/>
      <c r="AC4741" s="162"/>
      <c r="AD4741" s="162">
        <f t="shared" si="94"/>
        <v>0</v>
      </c>
      <c r="AE4741" s="160">
        <v>4739</v>
      </c>
    </row>
    <row r="4742" spans="27:31" x14ac:dyDescent="0.25">
      <c r="AA4742" s="160"/>
      <c r="AB4742" s="162"/>
      <c r="AC4742" s="162"/>
      <c r="AD4742" s="162">
        <f t="shared" si="94"/>
        <v>0</v>
      </c>
      <c r="AE4742" s="160">
        <v>4740</v>
      </c>
    </row>
    <row r="4743" spans="27:31" x14ac:dyDescent="0.25">
      <c r="AA4743" s="160"/>
      <c r="AB4743" s="162"/>
      <c r="AC4743" s="162"/>
      <c r="AD4743" s="162">
        <f t="shared" si="94"/>
        <v>0</v>
      </c>
      <c r="AE4743" s="160">
        <v>4741</v>
      </c>
    </row>
    <row r="4744" spans="27:31" x14ac:dyDescent="0.25">
      <c r="AA4744" s="160"/>
      <c r="AB4744" s="162"/>
      <c r="AC4744" s="162"/>
      <c r="AD4744" s="162">
        <f t="shared" si="94"/>
        <v>0</v>
      </c>
      <c r="AE4744" s="160">
        <v>4742</v>
      </c>
    </row>
    <row r="4745" spans="27:31" x14ac:dyDescent="0.25">
      <c r="AA4745" s="160"/>
      <c r="AB4745" s="162"/>
      <c r="AC4745" s="162"/>
      <c r="AD4745" s="162">
        <f t="shared" si="94"/>
        <v>0</v>
      </c>
      <c r="AE4745" s="160">
        <v>4743</v>
      </c>
    </row>
    <row r="4746" spans="27:31" x14ac:dyDescent="0.25">
      <c r="AA4746" s="160"/>
      <c r="AB4746" s="162"/>
      <c r="AC4746" s="162"/>
      <c r="AD4746" s="162">
        <f t="shared" si="94"/>
        <v>0</v>
      </c>
      <c r="AE4746" s="160">
        <v>4744</v>
      </c>
    </row>
    <row r="4747" spans="27:31" x14ac:dyDescent="0.25">
      <c r="AA4747" s="160"/>
      <c r="AB4747" s="162"/>
      <c r="AC4747" s="162"/>
      <c r="AD4747" s="162">
        <f t="shared" si="94"/>
        <v>0</v>
      </c>
      <c r="AE4747" s="160">
        <v>4745</v>
      </c>
    </row>
    <row r="4748" spans="27:31" x14ac:dyDescent="0.25">
      <c r="AA4748" s="160"/>
      <c r="AB4748" s="162"/>
      <c r="AC4748" s="162"/>
      <c r="AD4748" s="162">
        <f t="shared" si="94"/>
        <v>0</v>
      </c>
      <c r="AE4748" s="160">
        <v>4746</v>
      </c>
    </row>
    <row r="4749" spans="27:31" x14ac:dyDescent="0.25">
      <c r="AA4749" s="160"/>
      <c r="AB4749" s="162"/>
      <c r="AC4749" s="162"/>
      <c r="AD4749" s="162">
        <f t="shared" si="94"/>
        <v>0</v>
      </c>
      <c r="AE4749" s="160">
        <v>4747</v>
      </c>
    </row>
    <row r="4750" spans="27:31" x14ac:dyDescent="0.25">
      <c r="AA4750" s="160"/>
      <c r="AB4750" s="162"/>
      <c r="AC4750" s="162"/>
      <c r="AD4750" s="162">
        <f t="shared" si="94"/>
        <v>0</v>
      </c>
      <c r="AE4750" s="160">
        <v>4748</v>
      </c>
    </row>
    <row r="4751" spans="27:31" x14ac:dyDescent="0.25">
      <c r="AA4751" s="160"/>
      <c r="AB4751" s="162"/>
      <c r="AC4751" s="162"/>
      <c r="AD4751" s="162">
        <f t="shared" si="94"/>
        <v>0</v>
      </c>
      <c r="AE4751" s="160">
        <v>4749</v>
      </c>
    </row>
    <row r="4752" spans="27:31" x14ac:dyDescent="0.25">
      <c r="AA4752" s="160"/>
      <c r="AB4752" s="162"/>
      <c r="AC4752" s="162"/>
      <c r="AD4752" s="162">
        <f t="shared" si="94"/>
        <v>0</v>
      </c>
      <c r="AE4752" s="160">
        <v>4750</v>
      </c>
    </row>
    <row r="4753" spans="27:31" x14ac:dyDescent="0.25">
      <c r="AA4753" s="160"/>
      <c r="AB4753" s="162"/>
      <c r="AC4753" s="162"/>
      <c r="AD4753" s="162">
        <f t="shared" si="94"/>
        <v>0</v>
      </c>
      <c r="AE4753" s="160">
        <v>4751</v>
      </c>
    </row>
    <row r="4754" spans="27:31" x14ac:dyDescent="0.25">
      <c r="AA4754" s="160"/>
      <c r="AB4754" s="162"/>
      <c r="AC4754" s="162"/>
      <c r="AD4754" s="162">
        <f t="shared" si="94"/>
        <v>0</v>
      </c>
      <c r="AE4754" s="160">
        <v>4752</v>
      </c>
    </row>
    <row r="4755" spans="27:31" x14ac:dyDescent="0.25">
      <c r="AA4755" s="160"/>
      <c r="AB4755" s="162"/>
      <c r="AC4755" s="162"/>
      <c r="AD4755" s="162">
        <f t="shared" si="94"/>
        <v>0</v>
      </c>
      <c r="AE4755" s="160">
        <v>4753</v>
      </c>
    </row>
    <row r="4756" spans="27:31" x14ac:dyDescent="0.25">
      <c r="AA4756" s="160"/>
      <c r="AB4756" s="162"/>
      <c r="AC4756" s="162"/>
      <c r="AD4756" s="162">
        <f t="shared" si="94"/>
        <v>0</v>
      </c>
      <c r="AE4756" s="160">
        <v>4754</v>
      </c>
    </row>
    <row r="4757" spans="27:31" x14ac:dyDescent="0.25">
      <c r="AA4757" s="160"/>
      <c r="AB4757" s="162"/>
      <c r="AC4757" s="162"/>
      <c r="AD4757" s="162">
        <f t="shared" si="94"/>
        <v>0</v>
      </c>
      <c r="AE4757" s="160">
        <v>4755</v>
      </c>
    </row>
    <row r="4758" spans="27:31" x14ac:dyDescent="0.25">
      <c r="AA4758" s="160"/>
      <c r="AB4758" s="162"/>
      <c r="AC4758" s="162"/>
      <c r="AD4758" s="162">
        <f t="shared" si="94"/>
        <v>0</v>
      </c>
      <c r="AE4758" s="160">
        <v>4756</v>
      </c>
    </row>
    <row r="4759" spans="27:31" x14ac:dyDescent="0.25">
      <c r="AA4759" s="160"/>
      <c r="AB4759" s="162"/>
      <c r="AC4759" s="162"/>
      <c r="AD4759" s="162">
        <f t="shared" si="94"/>
        <v>0</v>
      </c>
      <c r="AE4759" s="160">
        <v>4757</v>
      </c>
    </row>
    <row r="4760" spans="27:31" x14ac:dyDescent="0.25">
      <c r="AA4760" s="160"/>
      <c r="AB4760" s="162"/>
      <c r="AC4760" s="162"/>
      <c r="AD4760" s="162">
        <f t="shared" si="94"/>
        <v>0</v>
      </c>
      <c r="AE4760" s="160">
        <v>4758</v>
      </c>
    </row>
    <row r="4761" spans="27:31" x14ac:dyDescent="0.25">
      <c r="AA4761" s="160"/>
      <c r="AB4761" s="162"/>
      <c r="AC4761" s="162"/>
      <c r="AD4761" s="162">
        <f t="shared" si="94"/>
        <v>0</v>
      </c>
      <c r="AE4761" s="160">
        <v>4759</v>
      </c>
    </row>
    <row r="4762" spans="27:31" x14ac:dyDescent="0.25">
      <c r="AA4762" s="160"/>
      <c r="AB4762" s="162"/>
      <c r="AC4762" s="162"/>
      <c r="AD4762" s="162">
        <f t="shared" si="94"/>
        <v>0</v>
      </c>
      <c r="AE4762" s="160">
        <v>4760</v>
      </c>
    </row>
    <row r="4763" spans="27:31" x14ac:dyDescent="0.25">
      <c r="AA4763" s="160"/>
      <c r="AB4763" s="162"/>
      <c r="AC4763" s="162"/>
      <c r="AD4763" s="162">
        <f t="shared" si="94"/>
        <v>0</v>
      </c>
      <c r="AE4763" s="160">
        <v>4761</v>
      </c>
    </row>
    <row r="4764" spans="27:31" x14ac:dyDescent="0.25">
      <c r="AA4764" s="160"/>
      <c r="AB4764" s="162"/>
      <c r="AC4764" s="162"/>
      <c r="AD4764" s="162">
        <f t="shared" si="94"/>
        <v>0</v>
      </c>
      <c r="AE4764" s="160">
        <v>4762</v>
      </c>
    </row>
    <row r="4765" spans="27:31" x14ac:dyDescent="0.25">
      <c r="AA4765" s="160"/>
      <c r="AB4765" s="162"/>
      <c r="AC4765" s="162"/>
      <c r="AD4765" s="162">
        <f t="shared" si="94"/>
        <v>0</v>
      </c>
      <c r="AE4765" s="160">
        <v>4763</v>
      </c>
    </row>
    <row r="4766" spans="27:31" x14ac:dyDescent="0.25">
      <c r="AA4766" s="160"/>
      <c r="AB4766" s="162"/>
      <c r="AC4766" s="162"/>
      <c r="AD4766" s="162">
        <f t="shared" si="94"/>
        <v>0</v>
      </c>
      <c r="AE4766" s="160">
        <v>4764</v>
      </c>
    </row>
    <row r="4767" spans="27:31" x14ac:dyDescent="0.25">
      <c r="AA4767" s="160"/>
      <c r="AB4767" s="162"/>
      <c r="AC4767" s="162"/>
      <c r="AD4767" s="162">
        <f t="shared" si="94"/>
        <v>0</v>
      </c>
      <c r="AE4767" s="160">
        <v>4765</v>
      </c>
    </row>
    <row r="4768" spans="27:31" x14ac:dyDescent="0.25">
      <c r="AA4768" s="160"/>
      <c r="AB4768" s="162"/>
      <c r="AC4768" s="162"/>
      <c r="AD4768" s="162">
        <f t="shared" si="94"/>
        <v>0</v>
      </c>
      <c r="AE4768" s="160">
        <v>4766</v>
      </c>
    </row>
    <row r="4769" spans="27:31" x14ac:dyDescent="0.25">
      <c r="AA4769" s="160"/>
      <c r="AB4769" s="162"/>
      <c r="AC4769" s="162"/>
      <c r="AD4769" s="162">
        <f t="shared" si="94"/>
        <v>0</v>
      </c>
      <c r="AE4769" s="160">
        <v>4767</v>
      </c>
    </row>
    <row r="4770" spans="27:31" x14ac:dyDescent="0.25">
      <c r="AA4770" s="160"/>
      <c r="AB4770" s="162"/>
      <c r="AC4770" s="162"/>
      <c r="AD4770" s="162">
        <f t="shared" si="94"/>
        <v>0</v>
      </c>
      <c r="AE4770" s="160">
        <v>4768</v>
      </c>
    </row>
    <row r="4771" spans="27:31" x14ac:dyDescent="0.25">
      <c r="AA4771" s="160"/>
      <c r="AB4771" s="162"/>
      <c r="AC4771" s="162"/>
      <c r="AD4771" s="162">
        <f t="shared" si="94"/>
        <v>0</v>
      </c>
      <c r="AE4771" s="160">
        <v>4769</v>
      </c>
    </row>
    <row r="4772" spans="27:31" x14ac:dyDescent="0.25">
      <c r="AA4772" s="160"/>
      <c r="AB4772" s="162"/>
      <c r="AC4772" s="162"/>
      <c r="AD4772" s="162">
        <f t="shared" si="94"/>
        <v>0</v>
      </c>
      <c r="AE4772" s="160">
        <v>4770</v>
      </c>
    </row>
    <row r="4773" spans="27:31" x14ac:dyDescent="0.25">
      <c r="AA4773" s="160"/>
      <c r="AB4773" s="162"/>
      <c r="AC4773" s="162"/>
      <c r="AD4773" s="162">
        <f t="shared" si="94"/>
        <v>0</v>
      </c>
      <c r="AE4773" s="160">
        <v>4771</v>
      </c>
    </row>
    <row r="4774" spans="27:31" x14ac:dyDescent="0.25">
      <c r="AA4774" s="160"/>
      <c r="AB4774" s="162"/>
      <c r="AC4774" s="162"/>
      <c r="AD4774" s="162">
        <f t="shared" si="94"/>
        <v>0</v>
      </c>
      <c r="AE4774" s="160">
        <v>4772</v>
      </c>
    </row>
    <row r="4775" spans="27:31" x14ac:dyDescent="0.25">
      <c r="AA4775" s="160"/>
      <c r="AB4775" s="162"/>
      <c r="AC4775" s="162"/>
      <c r="AD4775" s="162">
        <f t="shared" si="94"/>
        <v>0</v>
      </c>
      <c r="AE4775" s="160">
        <v>4773</v>
      </c>
    </row>
    <row r="4776" spans="27:31" x14ac:dyDescent="0.25">
      <c r="AA4776" s="160"/>
      <c r="AB4776" s="162"/>
      <c r="AC4776" s="162"/>
      <c r="AD4776" s="162">
        <f t="shared" si="94"/>
        <v>0</v>
      </c>
      <c r="AE4776" s="160">
        <v>4774</v>
      </c>
    </row>
    <row r="4777" spans="27:31" x14ac:dyDescent="0.25">
      <c r="AA4777" s="160"/>
      <c r="AB4777" s="162"/>
      <c r="AC4777" s="162"/>
      <c r="AD4777" s="162">
        <f t="shared" si="94"/>
        <v>0</v>
      </c>
      <c r="AE4777" s="160">
        <v>4775</v>
      </c>
    </row>
    <row r="4778" spans="27:31" x14ac:dyDescent="0.25">
      <c r="AA4778" s="160"/>
      <c r="AB4778" s="162"/>
      <c r="AC4778" s="162"/>
      <c r="AD4778" s="162">
        <f t="shared" si="94"/>
        <v>0</v>
      </c>
      <c r="AE4778" s="160">
        <v>4776</v>
      </c>
    </row>
    <row r="4779" spans="27:31" x14ac:dyDescent="0.25">
      <c r="AA4779" s="160"/>
      <c r="AB4779" s="162"/>
      <c r="AC4779" s="162"/>
      <c r="AD4779" s="162">
        <f t="shared" si="94"/>
        <v>0</v>
      </c>
      <c r="AE4779" s="160">
        <v>4777</v>
      </c>
    </row>
    <row r="4780" spans="27:31" x14ac:dyDescent="0.25">
      <c r="AA4780" s="160"/>
      <c r="AB4780" s="162"/>
      <c r="AC4780" s="162"/>
      <c r="AD4780" s="162">
        <f t="shared" si="94"/>
        <v>0</v>
      </c>
      <c r="AE4780" s="160">
        <v>4778</v>
      </c>
    </row>
    <row r="4781" spans="27:31" x14ac:dyDescent="0.25">
      <c r="AA4781" s="160"/>
      <c r="AB4781" s="162"/>
      <c r="AC4781" s="162"/>
      <c r="AD4781" s="162">
        <f t="shared" si="94"/>
        <v>0</v>
      </c>
      <c r="AE4781" s="160">
        <v>4779</v>
      </c>
    </row>
    <row r="4782" spans="27:31" x14ac:dyDescent="0.25">
      <c r="AA4782" s="160"/>
      <c r="AB4782" s="162"/>
      <c r="AC4782" s="162"/>
      <c r="AD4782" s="162">
        <f t="shared" si="94"/>
        <v>0</v>
      </c>
      <c r="AE4782" s="160">
        <v>4780</v>
      </c>
    </row>
    <row r="4783" spans="27:31" x14ac:dyDescent="0.25">
      <c r="AA4783" s="160"/>
      <c r="AB4783" s="162"/>
      <c r="AC4783" s="162"/>
      <c r="AD4783" s="162">
        <f t="shared" si="94"/>
        <v>0</v>
      </c>
      <c r="AE4783" s="160">
        <v>4781</v>
      </c>
    </row>
    <row r="4784" spans="27:31" x14ac:dyDescent="0.25">
      <c r="AA4784" s="160"/>
      <c r="AB4784" s="162"/>
      <c r="AC4784" s="162"/>
      <c r="AD4784" s="162">
        <f t="shared" si="94"/>
        <v>0</v>
      </c>
      <c r="AE4784" s="160">
        <v>4782</v>
      </c>
    </row>
    <row r="4785" spans="27:31" x14ac:dyDescent="0.25">
      <c r="AA4785" s="160"/>
      <c r="AB4785" s="162"/>
      <c r="AC4785" s="162"/>
      <c r="AD4785" s="162">
        <f t="shared" si="94"/>
        <v>0</v>
      </c>
      <c r="AE4785" s="160">
        <v>4783</v>
      </c>
    </row>
    <row r="4786" spans="27:31" x14ac:dyDescent="0.25">
      <c r="AA4786" s="160"/>
      <c r="AB4786" s="162"/>
      <c r="AC4786" s="162"/>
      <c r="AD4786" s="162">
        <f t="shared" si="94"/>
        <v>0</v>
      </c>
      <c r="AE4786" s="160">
        <v>4784</v>
      </c>
    </row>
    <row r="4787" spans="27:31" x14ac:dyDescent="0.25">
      <c r="AA4787" s="160"/>
      <c r="AB4787" s="162"/>
      <c r="AC4787" s="162"/>
      <c r="AD4787" s="162">
        <f t="shared" si="94"/>
        <v>0</v>
      </c>
      <c r="AE4787" s="160">
        <v>4785</v>
      </c>
    </row>
    <row r="4788" spans="27:31" x14ac:dyDescent="0.25">
      <c r="AA4788" s="160"/>
      <c r="AB4788" s="162"/>
      <c r="AC4788" s="162"/>
      <c r="AD4788" s="162">
        <f t="shared" si="94"/>
        <v>0</v>
      </c>
      <c r="AE4788" s="160">
        <v>4786</v>
      </c>
    </row>
    <row r="4789" spans="27:31" x14ac:dyDescent="0.25">
      <c r="AA4789" s="160"/>
      <c r="AB4789" s="162"/>
      <c r="AC4789" s="162"/>
      <c r="AD4789" s="162">
        <f t="shared" si="94"/>
        <v>0</v>
      </c>
      <c r="AE4789" s="160">
        <v>4787</v>
      </c>
    </row>
    <row r="4790" spans="27:31" x14ac:dyDescent="0.25">
      <c r="AA4790" s="160"/>
      <c r="AB4790" s="162"/>
      <c r="AC4790" s="162"/>
      <c r="AD4790" s="162">
        <f t="shared" si="94"/>
        <v>0</v>
      </c>
      <c r="AE4790" s="160">
        <v>4788</v>
      </c>
    </row>
    <row r="4791" spans="27:31" x14ac:dyDescent="0.25">
      <c r="AA4791" s="160"/>
      <c r="AB4791" s="162"/>
      <c r="AC4791" s="162"/>
      <c r="AD4791" s="162">
        <f t="shared" si="94"/>
        <v>0</v>
      </c>
      <c r="AE4791" s="160">
        <v>4789</v>
      </c>
    </row>
    <row r="4792" spans="27:31" x14ac:dyDescent="0.25">
      <c r="AA4792" s="160"/>
      <c r="AB4792" s="162"/>
      <c r="AC4792" s="162"/>
      <c r="AD4792" s="162">
        <f t="shared" si="94"/>
        <v>0</v>
      </c>
      <c r="AE4792" s="160">
        <v>4790</v>
      </c>
    </row>
    <row r="4793" spans="27:31" x14ac:dyDescent="0.25">
      <c r="AA4793" s="160"/>
      <c r="AB4793" s="162"/>
      <c r="AC4793" s="162"/>
      <c r="AD4793" s="162">
        <f t="shared" si="94"/>
        <v>0</v>
      </c>
      <c r="AE4793" s="160">
        <v>4791</v>
      </c>
    </row>
    <row r="4794" spans="27:31" x14ac:dyDescent="0.25">
      <c r="AA4794" s="160"/>
      <c r="AB4794" s="162"/>
      <c r="AC4794" s="162"/>
      <c r="AD4794" s="162">
        <f t="shared" si="94"/>
        <v>0</v>
      </c>
      <c r="AE4794" s="160">
        <v>4792</v>
      </c>
    </row>
    <row r="4795" spans="27:31" x14ac:dyDescent="0.25">
      <c r="AA4795" s="160"/>
      <c r="AB4795" s="162"/>
      <c r="AC4795" s="162"/>
      <c r="AD4795" s="162">
        <f t="shared" si="94"/>
        <v>0</v>
      </c>
      <c r="AE4795" s="160">
        <v>4793</v>
      </c>
    </row>
    <row r="4796" spans="27:31" x14ac:dyDescent="0.25">
      <c r="AA4796" s="160"/>
      <c r="AB4796" s="162"/>
      <c r="AC4796" s="162"/>
      <c r="AD4796" s="162">
        <f t="shared" si="94"/>
        <v>0</v>
      </c>
      <c r="AE4796" s="160">
        <v>4794</v>
      </c>
    </row>
    <row r="4797" spans="27:31" x14ac:dyDescent="0.25">
      <c r="AA4797" s="160"/>
      <c r="AB4797" s="162"/>
      <c r="AC4797" s="162"/>
      <c r="AD4797" s="162">
        <f t="shared" si="94"/>
        <v>0</v>
      </c>
      <c r="AE4797" s="160">
        <v>4795</v>
      </c>
    </row>
    <row r="4798" spans="27:31" x14ac:dyDescent="0.25">
      <c r="AA4798" s="160"/>
      <c r="AB4798" s="162"/>
      <c r="AC4798" s="162"/>
      <c r="AD4798" s="162">
        <f t="shared" si="94"/>
        <v>0</v>
      </c>
      <c r="AE4798" s="160">
        <v>4796</v>
      </c>
    </row>
    <row r="4799" spans="27:31" x14ac:dyDescent="0.25">
      <c r="AA4799" s="160"/>
      <c r="AB4799" s="162"/>
      <c r="AC4799" s="162"/>
      <c r="AD4799" s="162">
        <f t="shared" si="94"/>
        <v>0</v>
      </c>
      <c r="AE4799" s="160">
        <v>4797</v>
      </c>
    </row>
    <row r="4800" spans="27:31" x14ac:dyDescent="0.25">
      <c r="AA4800" s="160"/>
      <c r="AB4800" s="162"/>
      <c r="AC4800" s="162"/>
      <c r="AD4800" s="162">
        <f t="shared" si="94"/>
        <v>0</v>
      </c>
      <c r="AE4800" s="160">
        <v>4798</v>
      </c>
    </row>
    <row r="4801" spans="27:31" x14ac:dyDescent="0.25">
      <c r="AA4801" s="160"/>
      <c r="AB4801" s="162"/>
      <c r="AC4801" s="162"/>
      <c r="AD4801" s="162">
        <f t="shared" si="94"/>
        <v>0</v>
      </c>
      <c r="AE4801" s="160">
        <v>4799</v>
      </c>
    </row>
    <row r="4802" spans="27:31" x14ac:dyDescent="0.25">
      <c r="AA4802" s="160"/>
      <c r="AB4802" s="162"/>
      <c r="AC4802" s="162"/>
      <c r="AD4802" s="162">
        <f t="shared" si="94"/>
        <v>0</v>
      </c>
      <c r="AE4802" s="160">
        <v>4800</v>
      </c>
    </row>
    <row r="4803" spans="27:31" x14ac:dyDescent="0.25">
      <c r="AA4803" s="160"/>
      <c r="AB4803" s="162"/>
      <c r="AC4803" s="162"/>
      <c r="AD4803" s="162">
        <f t="shared" si="94"/>
        <v>0</v>
      </c>
      <c r="AE4803" s="160">
        <v>4801</v>
      </c>
    </row>
    <row r="4804" spans="27:31" x14ac:dyDescent="0.25">
      <c r="AA4804" s="160"/>
      <c r="AB4804" s="162"/>
      <c r="AC4804" s="162"/>
      <c r="AD4804" s="162">
        <f t="shared" ref="AD4804:AD4867" si="95">AB4804+AC4804</f>
        <v>0</v>
      </c>
      <c r="AE4804" s="160">
        <v>4802</v>
      </c>
    </row>
    <row r="4805" spans="27:31" x14ac:dyDescent="0.25">
      <c r="AA4805" s="160"/>
      <c r="AB4805" s="162"/>
      <c r="AC4805" s="162"/>
      <c r="AD4805" s="162">
        <f t="shared" si="95"/>
        <v>0</v>
      </c>
      <c r="AE4805" s="160">
        <v>4803</v>
      </c>
    </row>
    <row r="4806" spans="27:31" x14ac:dyDescent="0.25">
      <c r="AA4806" s="160"/>
      <c r="AB4806" s="162"/>
      <c r="AC4806" s="162"/>
      <c r="AD4806" s="162">
        <f t="shared" si="95"/>
        <v>0</v>
      </c>
      <c r="AE4806" s="160">
        <v>4804</v>
      </c>
    </row>
    <row r="4807" spans="27:31" x14ac:dyDescent="0.25">
      <c r="AA4807" s="160"/>
      <c r="AB4807" s="162"/>
      <c r="AC4807" s="162"/>
      <c r="AD4807" s="162">
        <f t="shared" si="95"/>
        <v>0</v>
      </c>
      <c r="AE4807" s="160">
        <v>4805</v>
      </c>
    </row>
    <row r="4808" spans="27:31" x14ac:dyDescent="0.25">
      <c r="AA4808" s="160"/>
      <c r="AB4808" s="162"/>
      <c r="AC4808" s="162"/>
      <c r="AD4808" s="162">
        <f t="shared" si="95"/>
        <v>0</v>
      </c>
      <c r="AE4808" s="160">
        <v>4806</v>
      </c>
    </row>
    <row r="4809" spans="27:31" x14ac:dyDescent="0.25">
      <c r="AA4809" s="160"/>
      <c r="AB4809" s="162"/>
      <c r="AC4809" s="162"/>
      <c r="AD4809" s="162">
        <f t="shared" si="95"/>
        <v>0</v>
      </c>
      <c r="AE4809" s="160">
        <v>4807</v>
      </c>
    </row>
    <row r="4810" spans="27:31" x14ac:dyDescent="0.25">
      <c r="AA4810" s="160"/>
      <c r="AB4810" s="162"/>
      <c r="AC4810" s="162"/>
      <c r="AD4810" s="162">
        <f t="shared" si="95"/>
        <v>0</v>
      </c>
      <c r="AE4810" s="160">
        <v>4808</v>
      </c>
    </row>
    <row r="4811" spans="27:31" x14ac:dyDescent="0.25">
      <c r="AA4811" s="160"/>
      <c r="AB4811" s="162"/>
      <c r="AC4811" s="162"/>
      <c r="AD4811" s="162">
        <f t="shared" si="95"/>
        <v>0</v>
      </c>
      <c r="AE4811" s="160">
        <v>4809</v>
      </c>
    </row>
    <row r="4812" spans="27:31" x14ac:dyDescent="0.25">
      <c r="AA4812" s="160"/>
      <c r="AB4812" s="162"/>
      <c r="AC4812" s="162"/>
      <c r="AD4812" s="162">
        <f t="shared" si="95"/>
        <v>0</v>
      </c>
      <c r="AE4812" s="160">
        <v>4810</v>
      </c>
    </row>
    <row r="4813" spans="27:31" x14ac:dyDescent="0.25">
      <c r="AA4813" s="160"/>
      <c r="AB4813" s="162"/>
      <c r="AC4813" s="162"/>
      <c r="AD4813" s="162">
        <f t="shared" si="95"/>
        <v>0</v>
      </c>
      <c r="AE4813" s="160">
        <v>4811</v>
      </c>
    </row>
    <row r="4814" spans="27:31" x14ac:dyDescent="0.25">
      <c r="AA4814" s="160"/>
      <c r="AB4814" s="162"/>
      <c r="AC4814" s="162"/>
      <c r="AD4814" s="162">
        <f t="shared" si="95"/>
        <v>0</v>
      </c>
      <c r="AE4814" s="160">
        <v>4812</v>
      </c>
    </row>
    <row r="4815" spans="27:31" x14ac:dyDescent="0.25">
      <c r="AA4815" s="160"/>
      <c r="AB4815" s="162"/>
      <c r="AC4815" s="162"/>
      <c r="AD4815" s="162">
        <f t="shared" si="95"/>
        <v>0</v>
      </c>
      <c r="AE4815" s="160">
        <v>4813</v>
      </c>
    </row>
    <row r="4816" spans="27:31" x14ac:dyDescent="0.25">
      <c r="AA4816" s="160"/>
      <c r="AB4816" s="162"/>
      <c r="AC4816" s="162"/>
      <c r="AD4816" s="162">
        <f t="shared" si="95"/>
        <v>0</v>
      </c>
      <c r="AE4816" s="160">
        <v>4814</v>
      </c>
    </row>
    <row r="4817" spans="27:31" x14ac:dyDescent="0.25">
      <c r="AA4817" s="160"/>
      <c r="AB4817" s="162"/>
      <c r="AC4817" s="162"/>
      <c r="AD4817" s="162">
        <f t="shared" si="95"/>
        <v>0</v>
      </c>
      <c r="AE4817" s="160">
        <v>4815</v>
      </c>
    </row>
    <row r="4818" spans="27:31" x14ac:dyDescent="0.25">
      <c r="AA4818" s="160"/>
      <c r="AB4818" s="162"/>
      <c r="AC4818" s="162"/>
      <c r="AD4818" s="162">
        <f t="shared" si="95"/>
        <v>0</v>
      </c>
      <c r="AE4818" s="160">
        <v>4816</v>
      </c>
    </row>
    <row r="4819" spans="27:31" x14ac:dyDescent="0.25">
      <c r="AA4819" s="160"/>
      <c r="AB4819" s="162"/>
      <c r="AC4819" s="162"/>
      <c r="AD4819" s="162">
        <f t="shared" si="95"/>
        <v>0</v>
      </c>
      <c r="AE4819" s="160">
        <v>4817</v>
      </c>
    </row>
    <row r="4820" spans="27:31" x14ac:dyDescent="0.25">
      <c r="AA4820" s="160"/>
      <c r="AB4820" s="162"/>
      <c r="AC4820" s="162"/>
      <c r="AD4820" s="162">
        <f t="shared" si="95"/>
        <v>0</v>
      </c>
      <c r="AE4820" s="160">
        <v>4818</v>
      </c>
    </row>
    <row r="4821" spans="27:31" x14ac:dyDescent="0.25">
      <c r="AA4821" s="160"/>
      <c r="AB4821" s="162"/>
      <c r="AC4821" s="162"/>
      <c r="AD4821" s="162">
        <f t="shared" si="95"/>
        <v>0</v>
      </c>
      <c r="AE4821" s="160">
        <v>4819</v>
      </c>
    </row>
    <row r="4822" spans="27:31" x14ac:dyDescent="0.25">
      <c r="AA4822" s="160"/>
      <c r="AB4822" s="162"/>
      <c r="AC4822" s="162"/>
      <c r="AD4822" s="162">
        <f t="shared" si="95"/>
        <v>0</v>
      </c>
      <c r="AE4822" s="160">
        <v>4820</v>
      </c>
    </row>
    <row r="4823" spans="27:31" x14ac:dyDescent="0.25">
      <c r="AA4823" s="160"/>
      <c r="AB4823" s="162"/>
      <c r="AC4823" s="162"/>
      <c r="AD4823" s="162">
        <f t="shared" si="95"/>
        <v>0</v>
      </c>
      <c r="AE4823" s="160">
        <v>4821</v>
      </c>
    </row>
    <row r="4824" spans="27:31" x14ac:dyDescent="0.25">
      <c r="AA4824" s="160"/>
      <c r="AB4824" s="162"/>
      <c r="AC4824" s="162"/>
      <c r="AD4824" s="162">
        <f t="shared" si="95"/>
        <v>0</v>
      </c>
      <c r="AE4824" s="160">
        <v>4822</v>
      </c>
    </row>
    <row r="4825" spans="27:31" x14ac:dyDescent="0.25">
      <c r="AA4825" s="160"/>
      <c r="AB4825" s="162"/>
      <c r="AC4825" s="162"/>
      <c r="AD4825" s="162">
        <f t="shared" si="95"/>
        <v>0</v>
      </c>
      <c r="AE4825" s="160">
        <v>4823</v>
      </c>
    </row>
    <row r="4826" spans="27:31" x14ac:dyDescent="0.25">
      <c r="AA4826" s="160"/>
      <c r="AB4826" s="162"/>
      <c r="AC4826" s="162"/>
      <c r="AD4826" s="162">
        <f t="shared" si="95"/>
        <v>0</v>
      </c>
      <c r="AE4826" s="160">
        <v>4824</v>
      </c>
    </row>
    <row r="4827" spans="27:31" x14ac:dyDescent="0.25">
      <c r="AA4827" s="160"/>
      <c r="AB4827" s="162"/>
      <c r="AC4827" s="162"/>
      <c r="AD4827" s="162">
        <f t="shared" si="95"/>
        <v>0</v>
      </c>
      <c r="AE4827" s="160">
        <v>4825</v>
      </c>
    </row>
    <row r="4828" spans="27:31" x14ac:dyDescent="0.25">
      <c r="AA4828" s="160"/>
      <c r="AB4828" s="162"/>
      <c r="AC4828" s="162"/>
      <c r="AD4828" s="162">
        <f t="shared" si="95"/>
        <v>0</v>
      </c>
      <c r="AE4828" s="160">
        <v>4826</v>
      </c>
    </row>
    <row r="4829" spans="27:31" x14ac:dyDescent="0.25">
      <c r="AA4829" s="160"/>
      <c r="AB4829" s="162"/>
      <c r="AC4829" s="162"/>
      <c r="AD4829" s="162">
        <f t="shared" si="95"/>
        <v>0</v>
      </c>
      <c r="AE4829" s="160">
        <v>4827</v>
      </c>
    </row>
    <row r="4830" spans="27:31" x14ac:dyDescent="0.25">
      <c r="AA4830" s="160"/>
      <c r="AB4830" s="162"/>
      <c r="AC4830" s="162"/>
      <c r="AD4830" s="162">
        <f t="shared" si="95"/>
        <v>0</v>
      </c>
      <c r="AE4830" s="160">
        <v>4828</v>
      </c>
    </row>
    <row r="4831" spans="27:31" x14ac:dyDescent="0.25">
      <c r="AA4831" s="160"/>
      <c r="AB4831" s="162"/>
      <c r="AC4831" s="162"/>
      <c r="AD4831" s="162">
        <f t="shared" si="95"/>
        <v>0</v>
      </c>
      <c r="AE4831" s="160">
        <v>4829</v>
      </c>
    </row>
    <row r="4832" spans="27:31" x14ac:dyDescent="0.25">
      <c r="AA4832" s="160"/>
      <c r="AB4832" s="162"/>
      <c r="AC4832" s="162"/>
      <c r="AD4832" s="162">
        <f t="shared" si="95"/>
        <v>0</v>
      </c>
      <c r="AE4832" s="160">
        <v>4830</v>
      </c>
    </row>
    <row r="4833" spans="27:31" x14ac:dyDescent="0.25">
      <c r="AA4833" s="160"/>
      <c r="AB4833" s="162"/>
      <c r="AC4833" s="162"/>
      <c r="AD4833" s="162">
        <f t="shared" si="95"/>
        <v>0</v>
      </c>
      <c r="AE4833" s="160">
        <v>4831</v>
      </c>
    </row>
    <row r="4834" spans="27:31" x14ac:dyDescent="0.25">
      <c r="AA4834" s="160"/>
      <c r="AB4834" s="162"/>
      <c r="AC4834" s="162"/>
      <c r="AD4834" s="162">
        <f t="shared" si="95"/>
        <v>0</v>
      </c>
      <c r="AE4834" s="160">
        <v>4832</v>
      </c>
    </row>
    <row r="4835" spans="27:31" x14ac:dyDescent="0.25">
      <c r="AA4835" s="160"/>
      <c r="AB4835" s="162"/>
      <c r="AC4835" s="162"/>
      <c r="AD4835" s="162">
        <f t="shared" si="95"/>
        <v>0</v>
      </c>
      <c r="AE4835" s="160">
        <v>4833</v>
      </c>
    </row>
    <row r="4836" spans="27:31" x14ac:dyDescent="0.25">
      <c r="AA4836" s="160"/>
      <c r="AB4836" s="162"/>
      <c r="AC4836" s="162"/>
      <c r="AD4836" s="162">
        <f t="shared" si="95"/>
        <v>0</v>
      </c>
      <c r="AE4836" s="160">
        <v>4834</v>
      </c>
    </row>
    <row r="4837" spans="27:31" x14ac:dyDescent="0.25">
      <c r="AA4837" s="160"/>
      <c r="AB4837" s="162"/>
      <c r="AC4837" s="162"/>
      <c r="AD4837" s="162">
        <f t="shared" si="95"/>
        <v>0</v>
      </c>
      <c r="AE4837" s="160">
        <v>4835</v>
      </c>
    </row>
    <row r="4838" spans="27:31" x14ac:dyDescent="0.25">
      <c r="AA4838" s="160"/>
      <c r="AB4838" s="162"/>
      <c r="AC4838" s="162"/>
      <c r="AD4838" s="162">
        <f t="shared" si="95"/>
        <v>0</v>
      </c>
      <c r="AE4838" s="160">
        <v>4836</v>
      </c>
    </row>
    <row r="4839" spans="27:31" x14ac:dyDescent="0.25">
      <c r="AA4839" s="160"/>
      <c r="AB4839" s="162"/>
      <c r="AC4839" s="162"/>
      <c r="AD4839" s="162">
        <f t="shared" si="95"/>
        <v>0</v>
      </c>
      <c r="AE4839" s="160">
        <v>4837</v>
      </c>
    </row>
    <row r="4840" spans="27:31" x14ac:dyDescent="0.25">
      <c r="AA4840" s="160"/>
      <c r="AB4840" s="162"/>
      <c r="AC4840" s="162"/>
      <c r="AD4840" s="162">
        <f t="shared" si="95"/>
        <v>0</v>
      </c>
      <c r="AE4840" s="160">
        <v>4838</v>
      </c>
    </row>
    <row r="4841" spans="27:31" x14ac:dyDescent="0.25">
      <c r="AA4841" s="160"/>
      <c r="AB4841" s="162"/>
      <c r="AC4841" s="162"/>
      <c r="AD4841" s="162">
        <f t="shared" si="95"/>
        <v>0</v>
      </c>
      <c r="AE4841" s="160">
        <v>4839</v>
      </c>
    </row>
    <row r="4842" spans="27:31" x14ac:dyDescent="0.25">
      <c r="AA4842" s="160"/>
      <c r="AB4842" s="162"/>
      <c r="AC4842" s="162"/>
      <c r="AD4842" s="162">
        <f t="shared" si="95"/>
        <v>0</v>
      </c>
      <c r="AE4842" s="160">
        <v>4840</v>
      </c>
    </row>
    <row r="4843" spans="27:31" x14ac:dyDescent="0.25">
      <c r="AA4843" s="160"/>
      <c r="AB4843" s="162"/>
      <c r="AC4843" s="162"/>
      <c r="AD4843" s="162">
        <f t="shared" si="95"/>
        <v>0</v>
      </c>
      <c r="AE4843" s="160">
        <v>4841</v>
      </c>
    </row>
    <row r="4844" spans="27:31" x14ac:dyDescent="0.25">
      <c r="AA4844" s="160"/>
      <c r="AB4844" s="162"/>
      <c r="AC4844" s="162"/>
      <c r="AD4844" s="162">
        <f t="shared" si="95"/>
        <v>0</v>
      </c>
      <c r="AE4844" s="160">
        <v>4842</v>
      </c>
    </row>
    <row r="4845" spans="27:31" x14ac:dyDescent="0.25">
      <c r="AA4845" s="160"/>
      <c r="AB4845" s="162"/>
      <c r="AC4845" s="162"/>
      <c r="AD4845" s="162">
        <f t="shared" si="95"/>
        <v>0</v>
      </c>
      <c r="AE4845" s="160">
        <v>4843</v>
      </c>
    </row>
    <row r="4846" spans="27:31" x14ac:dyDescent="0.25">
      <c r="AA4846" s="160"/>
      <c r="AB4846" s="162"/>
      <c r="AC4846" s="162"/>
      <c r="AD4846" s="162">
        <f t="shared" si="95"/>
        <v>0</v>
      </c>
      <c r="AE4846" s="160">
        <v>4844</v>
      </c>
    </row>
    <row r="4847" spans="27:31" x14ac:dyDescent="0.25">
      <c r="AA4847" s="160"/>
      <c r="AB4847" s="162"/>
      <c r="AC4847" s="162"/>
      <c r="AD4847" s="162">
        <f t="shared" si="95"/>
        <v>0</v>
      </c>
      <c r="AE4847" s="160">
        <v>4845</v>
      </c>
    </row>
    <row r="4848" spans="27:31" x14ac:dyDescent="0.25">
      <c r="AA4848" s="160"/>
      <c r="AB4848" s="162"/>
      <c r="AC4848" s="162"/>
      <c r="AD4848" s="162">
        <f t="shared" si="95"/>
        <v>0</v>
      </c>
      <c r="AE4848" s="160">
        <v>4846</v>
      </c>
    </row>
    <row r="4849" spans="27:31" x14ac:dyDescent="0.25">
      <c r="AA4849" s="160"/>
      <c r="AB4849" s="162"/>
      <c r="AC4849" s="162"/>
      <c r="AD4849" s="162">
        <f t="shared" si="95"/>
        <v>0</v>
      </c>
      <c r="AE4849" s="160">
        <v>4847</v>
      </c>
    </row>
    <row r="4850" spans="27:31" x14ac:dyDescent="0.25">
      <c r="AA4850" s="160"/>
      <c r="AB4850" s="162"/>
      <c r="AC4850" s="162"/>
      <c r="AD4850" s="162">
        <f t="shared" si="95"/>
        <v>0</v>
      </c>
      <c r="AE4850" s="160">
        <v>4848</v>
      </c>
    </row>
    <row r="4851" spans="27:31" x14ac:dyDescent="0.25">
      <c r="AA4851" s="160"/>
      <c r="AB4851" s="162"/>
      <c r="AC4851" s="162"/>
      <c r="AD4851" s="162">
        <f t="shared" si="95"/>
        <v>0</v>
      </c>
      <c r="AE4851" s="160">
        <v>4849</v>
      </c>
    </row>
    <row r="4852" spans="27:31" x14ac:dyDescent="0.25">
      <c r="AA4852" s="160"/>
      <c r="AB4852" s="162"/>
      <c r="AC4852" s="162"/>
      <c r="AD4852" s="162">
        <f t="shared" si="95"/>
        <v>0</v>
      </c>
      <c r="AE4852" s="160">
        <v>4850</v>
      </c>
    </row>
    <row r="4853" spans="27:31" x14ac:dyDescent="0.25">
      <c r="AA4853" s="160"/>
      <c r="AB4853" s="162"/>
      <c r="AC4853" s="162"/>
      <c r="AD4853" s="162">
        <f t="shared" si="95"/>
        <v>0</v>
      </c>
      <c r="AE4853" s="160">
        <v>4851</v>
      </c>
    </row>
    <row r="4854" spans="27:31" x14ac:dyDescent="0.25">
      <c r="AA4854" s="160"/>
      <c r="AB4854" s="162"/>
      <c r="AC4854" s="162"/>
      <c r="AD4854" s="162">
        <f t="shared" si="95"/>
        <v>0</v>
      </c>
      <c r="AE4854" s="160">
        <v>4852</v>
      </c>
    </row>
    <row r="4855" spans="27:31" x14ac:dyDescent="0.25">
      <c r="AA4855" s="160"/>
      <c r="AB4855" s="162"/>
      <c r="AC4855" s="162"/>
      <c r="AD4855" s="162">
        <f t="shared" si="95"/>
        <v>0</v>
      </c>
      <c r="AE4855" s="160">
        <v>4853</v>
      </c>
    </row>
    <row r="4856" spans="27:31" x14ac:dyDescent="0.25">
      <c r="AA4856" s="160"/>
      <c r="AB4856" s="162"/>
      <c r="AC4856" s="162"/>
      <c r="AD4856" s="162">
        <f t="shared" si="95"/>
        <v>0</v>
      </c>
      <c r="AE4856" s="160">
        <v>4854</v>
      </c>
    </row>
    <row r="4857" spans="27:31" x14ac:dyDescent="0.25">
      <c r="AA4857" s="160"/>
      <c r="AB4857" s="162"/>
      <c r="AC4857" s="162"/>
      <c r="AD4857" s="162">
        <f t="shared" si="95"/>
        <v>0</v>
      </c>
      <c r="AE4857" s="160">
        <v>4855</v>
      </c>
    </row>
    <row r="4858" spans="27:31" x14ac:dyDescent="0.25">
      <c r="AA4858" s="160"/>
      <c r="AB4858" s="162"/>
      <c r="AC4858" s="162"/>
      <c r="AD4858" s="162">
        <f t="shared" si="95"/>
        <v>0</v>
      </c>
      <c r="AE4858" s="160">
        <v>4856</v>
      </c>
    </row>
    <row r="4859" spans="27:31" x14ac:dyDescent="0.25">
      <c r="AA4859" s="160"/>
      <c r="AB4859" s="162"/>
      <c r="AC4859" s="162"/>
      <c r="AD4859" s="162">
        <f t="shared" si="95"/>
        <v>0</v>
      </c>
      <c r="AE4859" s="160">
        <v>4857</v>
      </c>
    </row>
    <row r="4860" spans="27:31" x14ac:dyDescent="0.25">
      <c r="AA4860" s="160"/>
      <c r="AB4860" s="162"/>
      <c r="AC4860" s="162"/>
      <c r="AD4860" s="162">
        <f t="shared" si="95"/>
        <v>0</v>
      </c>
      <c r="AE4860" s="160">
        <v>4858</v>
      </c>
    </row>
    <row r="4861" spans="27:31" x14ac:dyDescent="0.25">
      <c r="AA4861" s="160"/>
      <c r="AB4861" s="162"/>
      <c r="AC4861" s="162"/>
      <c r="AD4861" s="162">
        <f t="shared" si="95"/>
        <v>0</v>
      </c>
      <c r="AE4861" s="160">
        <v>4859</v>
      </c>
    </row>
    <row r="4862" spans="27:31" x14ac:dyDescent="0.25">
      <c r="AA4862" s="160"/>
      <c r="AB4862" s="162"/>
      <c r="AC4862" s="162"/>
      <c r="AD4862" s="162">
        <f t="shared" si="95"/>
        <v>0</v>
      </c>
      <c r="AE4862" s="160">
        <v>4860</v>
      </c>
    </row>
    <row r="4863" spans="27:31" x14ac:dyDescent="0.25">
      <c r="AA4863" s="160"/>
      <c r="AB4863" s="162"/>
      <c r="AC4863" s="162"/>
      <c r="AD4863" s="162">
        <f t="shared" si="95"/>
        <v>0</v>
      </c>
      <c r="AE4863" s="160">
        <v>4861</v>
      </c>
    </row>
    <row r="4864" spans="27:31" x14ac:dyDescent="0.25">
      <c r="AA4864" s="160"/>
      <c r="AB4864" s="162"/>
      <c r="AC4864" s="162"/>
      <c r="AD4864" s="162">
        <f t="shared" si="95"/>
        <v>0</v>
      </c>
      <c r="AE4864" s="160">
        <v>4862</v>
      </c>
    </row>
    <row r="4865" spans="27:31" x14ac:dyDescent="0.25">
      <c r="AA4865" s="160"/>
      <c r="AB4865" s="162"/>
      <c r="AC4865" s="162"/>
      <c r="AD4865" s="162">
        <f t="shared" si="95"/>
        <v>0</v>
      </c>
      <c r="AE4865" s="160">
        <v>4863</v>
      </c>
    </row>
    <row r="4866" spans="27:31" x14ac:dyDescent="0.25">
      <c r="AA4866" s="160"/>
      <c r="AB4866" s="162"/>
      <c r="AC4866" s="162"/>
      <c r="AD4866" s="162">
        <f t="shared" si="95"/>
        <v>0</v>
      </c>
      <c r="AE4866" s="160">
        <v>4864</v>
      </c>
    </row>
    <row r="4867" spans="27:31" x14ac:dyDescent="0.25">
      <c r="AA4867" s="160"/>
      <c r="AB4867" s="162"/>
      <c r="AC4867" s="162"/>
      <c r="AD4867" s="162">
        <f t="shared" si="95"/>
        <v>0</v>
      </c>
      <c r="AE4867" s="160">
        <v>4865</v>
      </c>
    </row>
    <row r="4868" spans="27:31" x14ac:dyDescent="0.25">
      <c r="AA4868" s="160"/>
      <c r="AB4868" s="162"/>
      <c r="AC4868" s="162"/>
      <c r="AD4868" s="162">
        <f t="shared" ref="AD4868:AD4931" si="96">AB4868+AC4868</f>
        <v>0</v>
      </c>
      <c r="AE4868" s="160">
        <v>4866</v>
      </c>
    </row>
    <row r="4869" spans="27:31" x14ac:dyDescent="0.25">
      <c r="AA4869" s="160"/>
      <c r="AB4869" s="162"/>
      <c r="AC4869" s="162"/>
      <c r="AD4869" s="162">
        <f t="shared" si="96"/>
        <v>0</v>
      </c>
      <c r="AE4869" s="160">
        <v>4867</v>
      </c>
    </row>
    <row r="4870" spans="27:31" x14ac:dyDescent="0.25">
      <c r="AA4870" s="160"/>
      <c r="AB4870" s="162"/>
      <c r="AC4870" s="162"/>
      <c r="AD4870" s="162">
        <f t="shared" si="96"/>
        <v>0</v>
      </c>
      <c r="AE4870" s="160">
        <v>4868</v>
      </c>
    </row>
    <row r="4871" spans="27:31" x14ac:dyDescent="0.25">
      <c r="AA4871" s="160"/>
      <c r="AB4871" s="162"/>
      <c r="AC4871" s="162"/>
      <c r="AD4871" s="162">
        <f t="shared" si="96"/>
        <v>0</v>
      </c>
      <c r="AE4871" s="160">
        <v>4869</v>
      </c>
    </row>
    <row r="4872" spans="27:31" x14ac:dyDescent="0.25">
      <c r="AA4872" s="160"/>
      <c r="AB4872" s="162"/>
      <c r="AC4872" s="162"/>
      <c r="AD4872" s="162">
        <f t="shared" si="96"/>
        <v>0</v>
      </c>
      <c r="AE4872" s="160">
        <v>4870</v>
      </c>
    </row>
    <row r="4873" spans="27:31" x14ac:dyDescent="0.25">
      <c r="AA4873" s="160"/>
      <c r="AB4873" s="162"/>
      <c r="AC4873" s="162"/>
      <c r="AD4873" s="162">
        <f t="shared" si="96"/>
        <v>0</v>
      </c>
      <c r="AE4873" s="160">
        <v>4871</v>
      </c>
    </row>
    <row r="4874" spans="27:31" x14ac:dyDescent="0.25">
      <c r="AA4874" s="160"/>
      <c r="AB4874" s="162"/>
      <c r="AC4874" s="162"/>
      <c r="AD4874" s="162">
        <f t="shared" si="96"/>
        <v>0</v>
      </c>
      <c r="AE4874" s="160">
        <v>4872</v>
      </c>
    </row>
    <row r="4875" spans="27:31" x14ac:dyDescent="0.25">
      <c r="AA4875" s="160"/>
      <c r="AB4875" s="162"/>
      <c r="AC4875" s="162"/>
      <c r="AD4875" s="162">
        <f t="shared" si="96"/>
        <v>0</v>
      </c>
      <c r="AE4875" s="160">
        <v>4873</v>
      </c>
    </row>
    <row r="4876" spans="27:31" x14ac:dyDescent="0.25">
      <c r="AA4876" s="160"/>
      <c r="AB4876" s="162"/>
      <c r="AC4876" s="162"/>
      <c r="AD4876" s="162">
        <f t="shared" si="96"/>
        <v>0</v>
      </c>
      <c r="AE4876" s="160">
        <v>4874</v>
      </c>
    </row>
    <row r="4877" spans="27:31" x14ac:dyDescent="0.25">
      <c r="AA4877" s="160"/>
      <c r="AB4877" s="162"/>
      <c r="AC4877" s="162"/>
      <c r="AD4877" s="162">
        <f t="shared" si="96"/>
        <v>0</v>
      </c>
      <c r="AE4877" s="160">
        <v>4875</v>
      </c>
    </row>
    <row r="4878" spans="27:31" x14ac:dyDescent="0.25">
      <c r="AA4878" s="160"/>
      <c r="AB4878" s="162"/>
      <c r="AC4878" s="162"/>
      <c r="AD4878" s="162">
        <f t="shared" si="96"/>
        <v>0</v>
      </c>
      <c r="AE4878" s="160">
        <v>4876</v>
      </c>
    </row>
    <row r="4879" spans="27:31" x14ac:dyDescent="0.25">
      <c r="AA4879" s="160"/>
      <c r="AB4879" s="162"/>
      <c r="AC4879" s="162"/>
      <c r="AD4879" s="162">
        <f t="shared" si="96"/>
        <v>0</v>
      </c>
      <c r="AE4879" s="160">
        <v>4877</v>
      </c>
    </row>
    <row r="4880" spans="27:31" x14ac:dyDescent="0.25">
      <c r="AA4880" s="160"/>
      <c r="AB4880" s="162"/>
      <c r="AC4880" s="162"/>
      <c r="AD4880" s="162">
        <f t="shared" si="96"/>
        <v>0</v>
      </c>
      <c r="AE4880" s="160">
        <v>4878</v>
      </c>
    </row>
    <row r="4881" spans="27:31" x14ac:dyDescent="0.25">
      <c r="AA4881" s="160"/>
      <c r="AB4881" s="162"/>
      <c r="AC4881" s="162"/>
      <c r="AD4881" s="162">
        <f t="shared" si="96"/>
        <v>0</v>
      </c>
      <c r="AE4881" s="160">
        <v>4879</v>
      </c>
    </row>
    <row r="4882" spans="27:31" x14ac:dyDescent="0.25">
      <c r="AA4882" s="160"/>
      <c r="AB4882" s="162"/>
      <c r="AC4882" s="162"/>
      <c r="AD4882" s="162">
        <f t="shared" si="96"/>
        <v>0</v>
      </c>
      <c r="AE4882" s="160">
        <v>4880</v>
      </c>
    </row>
    <row r="4883" spans="27:31" x14ac:dyDescent="0.25">
      <c r="AA4883" s="160"/>
      <c r="AB4883" s="162"/>
      <c r="AC4883" s="162"/>
      <c r="AD4883" s="162">
        <f t="shared" si="96"/>
        <v>0</v>
      </c>
      <c r="AE4883" s="160">
        <v>4881</v>
      </c>
    </row>
    <row r="4884" spans="27:31" x14ac:dyDescent="0.25">
      <c r="AA4884" s="160"/>
      <c r="AB4884" s="162"/>
      <c r="AC4884" s="162"/>
      <c r="AD4884" s="162">
        <f t="shared" si="96"/>
        <v>0</v>
      </c>
      <c r="AE4884" s="160">
        <v>4882</v>
      </c>
    </row>
    <row r="4885" spans="27:31" x14ac:dyDescent="0.25">
      <c r="AA4885" s="160"/>
      <c r="AB4885" s="162"/>
      <c r="AC4885" s="162"/>
      <c r="AD4885" s="162">
        <f t="shared" si="96"/>
        <v>0</v>
      </c>
      <c r="AE4885" s="160">
        <v>4883</v>
      </c>
    </row>
    <row r="4886" spans="27:31" x14ac:dyDescent="0.25">
      <c r="AA4886" s="160"/>
      <c r="AB4886" s="162"/>
      <c r="AC4886" s="162"/>
      <c r="AD4886" s="162">
        <f t="shared" si="96"/>
        <v>0</v>
      </c>
      <c r="AE4886" s="160">
        <v>4884</v>
      </c>
    </row>
    <row r="4887" spans="27:31" x14ac:dyDescent="0.25">
      <c r="AA4887" s="160"/>
      <c r="AB4887" s="162"/>
      <c r="AC4887" s="162"/>
      <c r="AD4887" s="162">
        <f t="shared" si="96"/>
        <v>0</v>
      </c>
      <c r="AE4887" s="160">
        <v>4885</v>
      </c>
    </row>
    <row r="4888" spans="27:31" x14ac:dyDescent="0.25">
      <c r="AA4888" s="160"/>
      <c r="AB4888" s="162"/>
      <c r="AC4888" s="162"/>
      <c r="AD4888" s="162">
        <f t="shared" si="96"/>
        <v>0</v>
      </c>
      <c r="AE4888" s="160">
        <v>4886</v>
      </c>
    </row>
    <row r="4889" spans="27:31" x14ac:dyDescent="0.25">
      <c r="AA4889" s="160"/>
      <c r="AB4889" s="162"/>
      <c r="AC4889" s="162"/>
      <c r="AD4889" s="162">
        <f t="shared" si="96"/>
        <v>0</v>
      </c>
      <c r="AE4889" s="160">
        <v>4887</v>
      </c>
    </row>
    <row r="4890" spans="27:31" x14ac:dyDescent="0.25">
      <c r="AA4890" s="160"/>
      <c r="AB4890" s="162"/>
      <c r="AC4890" s="162"/>
      <c r="AD4890" s="162">
        <f t="shared" si="96"/>
        <v>0</v>
      </c>
      <c r="AE4890" s="160">
        <v>4888</v>
      </c>
    </row>
    <row r="4891" spans="27:31" x14ac:dyDescent="0.25">
      <c r="AA4891" s="160"/>
      <c r="AB4891" s="162"/>
      <c r="AC4891" s="162"/>
      <c r="AD4891" s="162">
        <f t="shared" si="96"/>
        <v>0</v>
      </c>
      <c r="AE4891" s="160">
        <v>4889</v>
      </c>
    </row>
    <row r="4892" spans="27:31" x14ac:dyDescent="0.25">
      <c r="AA4892" s="160"/>
      <c r="AB4892" s="162"/>
      <c r="AC4892" s="162"/>
      <c r="AD4892" s="162">
        <f t="shared" si="96"/>
        <v>0</v>
      </c>
      <c r="AE4892" s="160">
        <v>4890</v>
      </c>
    </row>
    <row r="4893" spans="27:31" x14ac:dyDescent="0.25">
      <c r="AA4893" s="160"/>
      <c r="AB4893" s="162"/>
      <c r="AC4893" s="162"/>
      <c r="AD4893" s="162">
        <f t="shared" si="96"/>
        <v>0</v>
      </c>
      <c r="AE4893" s="160">
        <v>4891</v>
      </c>
    </row>
    <row r="4894" spans="27:31" x14ac:dyDescent="0.25">
      <c r="AA4894" s="160"/>
      <c r="AB4894" s="162"/>
      <c r="AC4894" s="162"/>
      <c r="AD4894" s="162">
        <f t="shared" si="96"/>
        <v>0</v>
      </c>
      <c r="AE4894" s="160">
        <v>4892</v>
      </c>
    </row>
    <row r="4895" spans="27:31" x14ac:dyDescent="0.25">
      <c r="AA4895" s="160"/>
      <c r="AB4895" s="162"/>
      <c r="AC4895" s="162"/>
      <c r="AD4895" s="162">
        <f t="shared" si="96"/>
        <v>0</v>
      </c>
      <c r="AE4895" s="160">
        <v>4893</v>
      </c>
    </row>
    <row r="4896" spans="27:31" x14ac:dyDescent="0.25">
      <c r="AA4896" s="160"/>
      <c r="AB4896" s="162"/>
      <c r="AC4896" s="162"/>
      <c r="AD4896" s="162">
        <f t="shared" si="96"/>
        <v>0</v>
      </c>
      <c r="AE4896" s="160">
        <v>4894</v>
      </c>
    </row>
    <row r="4897" spans="27:31" x14ac:dyDescent="0.25">
      <c r="AA4897" s="160"/>
      <c r="AB4897" s="162"/>
      <c r="AC4897" s="162"/>
      <c r="AD4897" s="162">
        <f t="shared" si="96"/>
        <v>0</v>
      </c>
      <c r="AE4897" s="160">
        <v>4895</v>
      </c>
    </row>
    <row r="4898" spans="27:31" x14ac:dyDescent="0.25">
      <c r="AA4898" s="160"/>
      <c r="AB4898" s="162"/>
      <c r="AC4898" s="162"/>
      <c r="AD4898" s="162">
        <f t="shared" si="96"/>
        <v>0</v>
      </c>
      <c r="AE4898" s="160">
        <v>4896</v>
      </c>
    </row>
    <row r="4899" spans="27:31" x14ac:dyDescent="0.25">
      <c r="AA4899" s="160"/>
      <c r="AB4899" s="162"/>
      <c r="AC4899" s="162"/>
      <c r="AD4899" s="162">
        <f t="shared" si="96"/>
        <v>0</v>
      </c>
      <c r="AE4899" s="160">
        <v>4897</v>
      </c>
    </row>
    <row r="4900" spans="27:31" x14ac:dyDescent="0.25">
      <c r="AA4900" s="160"/>
      <c r="AB4900" s="162"/>
      <c r="AC4900" s="162"/>
      <c r="AD4900" s="162">
        <f t="shared" si="96"/>
        <v>0</v>
      </c>
      <c r="AE4900" s="160">
        <v>4898</v>
      </c>
    </row>
    <row r="4901" spans="27:31" x14ac:dyDescent="0.25">
      <c r="AA4901" s="160"/>
      <c r="AB4901" s="162"/>
      <c r="AC4901" s="162"/>
      <c r="AD4901" s="162">
        <f t="shared" si="96"/>
        <v>0</v>
      </c>
      <c r="AE4901" s="160">
        <v>4899</v>
      </c>
    </row>
    <row r="4902" spans="27:31" x14ac:dyDescent="0.25">
      <c r="AA4902" s="160"/>
      <c r="AB4902" s="162"/>
      <c r="AC4902" s="162"/>
      <c r="AD4902" s="162">
        <f t="shared" si="96"/>
        <v>0</v>
      </c>
      <c r="AE4902" s="160">
        <v>4900</v>
      </c>
    </row>
    <row r="4903" spans="27:31" x14ac:dyDescent="0.25">
      <c r="AA4903" s="160"/>
      <c r="AB4903" s="162"/>
      <c r="AC4903" s="162"/>
      <c r="AD4903" s="162">
        <f t="shared" si="96"/>
        <v>0</v>
      </c>
      <c r="AE4903" s="160">
        <v>4901</v>
      </c>
    </row>
    <row r="4904" spans="27:31" x14ac:dyDescent="0.25">
      <c r="AA4904" s="160"/>
      <c r="AB4904" s="162"/>
      <c r="AC4904" s="162"/>
      <c r="AD4904" s="162">
        <f t="shared" si="96"/>
        <v>0</v>
      </c>
      <c r="AE4904" s="160">
        <v>4902</v>
      </c>
    </row>
    <row r="4905" spans="27:31" x14ac:dyDescent="0.25">
      <c r="AA4905" s="160"/>
      <c r="AB4905" s="162"/>
      <c r="AC4905" s="162"/>
      <c r="AD4905" s="162">
        <f t="shared" si="96"/>
        <v>0</v>
      </c>
      <c r="AE4905" s="160">
        <v>4903</v>
      </c>
    </row>
    <row r="4906" spans="27:31" x14ac:dyDescent="0.25">
      <c r="AA4906" s="160"/>
      <c r="AB4906" s="162"/>
      <c r="AC4906" s="162"/>
      <c r="AD4906" s="162">
        <f t="shared" si="96"/>
        <v>0</v>
      </c>
      <c r="AE4906" s="160">
        <v>4904</v>
      </c>
    </row>
    <row r="4907" spans="27:31" x14ac:dyDescent="0.25">
      <c r="AA4907" s="160"/>
      <c r="AB4907" s="162"/>
      <c r="AC4907" s="162"/>
      <c r="AD4907" s="162">
        <f t="shared" si="96"/>
        <v>0</v>
      </c>
      <c r="AE4907" s="160">
        <v>4905</v>
      </c>
    </row>
    <row r="4908" spans="27:31" x14ac:dyDescent="0.25">
      <c r="AA4908" s="160"/>
      <c r="AB4908" s="162"/>
      <c r="AC4908" s="162"/>
      <c r="AD4908" s="162">
        <f t="shared" si="96"/>
        <v>0</v>
      </c>
      <c r="AE4908" s="160">
        <v>4906</v>
      </c>
    </row>
    <row r="4909" spans="27:31" x14ac:dyDescent="0.25">
      <c r="AA4909" s="160"/>
      <c r="AB4909" s="162"/>
      <c r="AC4909" s="162"/>
      <c r="AD4909" s="162">
        <f t="shared" si="96"/>
        <v>0</v>
      </c>
      <c r="AE4909" s="160">
        <v>4907</v>
      </c>
    </row>
    <row r="4910" spans="27:31" x14ac:dyDescent="0.25">
      <c r="AA4910" s="160"/>
      <c r="AB4910" s="162"/>
      <c r="AC4910" s="162"/>
      <c r="AD4910" s="162">
        <f t="shared" si="96"/>
        <v>0</v>
      </c>
      <c r="AE4910" s="160">
        <v>4908</v>
      </c>
    </row>
    <row r="4911" spans="27:31" x14ac:dyDescent="0.25">
      <c r="AA4911" s="160"/>
      <c r="AB4911" s="162"/>
      <c r="AC4911" s="162"/>
      <c r="AD4911" s="162">
        <f t="shared" si="96"/>
        <v>0</v>
      </c>
      <c r="AE4911" s="160">
        <v>4909</v>
      </c>
    </row>
    <row r="4912" spans="27:31" x14ac:dyDescent="0.25">
      <c r="AA4912" s="160"/>
      <c r="AB4912" s="162"/>
      <c r="AC4912" s="162"/>
      <c r="AD4912" s="162">
        <f t="shared" si="96"/>
        <v>0</v>
      </c>
      <c r="AE4912" s="160">
        <v>4910</v>
      </c>
    </row>
    <row r="4913" spans="27:31" x14ac:dyDescent="0.25">
      <c r="AA4913" s="160"/>
      <c r="AB4913" s="162"/>
      <c r="AC4913" s="162"/>
      <c r="AD4913" s="162">
        <f t="shared" si="96"/>
        <v>0</v>
      </c>
      <c r="AE4913" s="160">
        <v>4911</v>
      </c>
    </row>
    <row r="4914" spans="27:31" x14ac:dyDescent="0.25">
      <c r="AA4914" s="160"/>
      <c r="AB4914" s="162"/>
      <c r="AC4914" s="162"/>
      <c r="AD4914" s="162">
        <f t="shared" si="96"/>
        <v>0</v>
      </c>
      <c r="AE4914" s="160">
        <v>4912</v>
      </c>
    </row>
    <row r="4915" spans="27:31" x14ac:dyDescent="0.25">
      <c r="AA4915" s="160"/>
      <c r="AB4915" s="162"/>
      <c r="AC4915" s="162"/>
      <c r="AD4915" s="162">
        <f t="shared" si="96"/>
        <v>0</v>
      </c>
      <c r="AE4915" s="160">
        <v>4913</v>
      </c>
    </row>
    <row r="4916" spans="27:31" x14ac:dyDescent="0.25">
      <c r="AA4916" s="160"/>
      <c r="AB4916" s="162"/>
      <c r="AC4916" s="162"/>
      <c r="AD4916" s="162">
        <f t="shared" si="96"/>
        <v>0</v>
      </c>
      <c r="AE4916" s="160">
        <v>4914</v>
      </c>
    </row>
    <row r="4917" spans="27:31" x14ac:dyDescent="0.25">
      <c r="AA4917" s="160"/>
      <c r="AB4917" s="162"/>
      <c r="AC4917" s="162"/>
      <c r="AD4917" s="162">
        <f t="shared" si="96"/>
        <v>0</v>
      </c>
      <c r="AE4917" s="160">
        <v>4915</v>
      </c>
    </row>
    <row r="4918" spans="27:31" x14ac:dyDescent="0.25">
      <c r="AA4918" s="160"/>
      <c r="AB4918" s="162"/>
      <c r="AC4918" s="162"/>
      <c r="AD4918" s="162">
        <f t="shared" si="96"/>
        <v>0</v>
      </c>
      <c r="AE4918" s="160">
        <v>4916</v>
      </c>
    </row>
    <row r="4919" spans="27:31" x14ac:dyDescent="0.25">
      <c r="AA4919" s="160"/>
      <c r="AB4919" s="162"/>
      <c r="AC4919" s="162"/>
      <c r="AD4919" s="162">
        <f t="shared" si="96"/>
        <v>0</v>
      </c>
      <c r="AE4919" s="160">
        <v>4917</v>
      </c>
    </row>
    <row r="4920" spans="27:31" x14ac:dyDescent="0.25">
      <c r="AA4920" s="160"/>
      <c r="AB4920" s="162"/>
      <c r="AC4920" s="162"/>
      <c r="AD4920" s="162">
        <f t="shared" si="96"/>
        <v>0</v>
      </c>
      <c r="AE4920" s="160">
        <v>4918</v>
      </c>
    </row>
    <row r="4921" spans="27:31" x14ac:dyDescent="0.25">
      <c r="AA4921" s="160"/>
      <c r="AB4921" s="162"/>
      <c r="AC4921" s="162"/>
      <c r="AD4921" s="162">
        <f t="shared" si="96"/>
        <v>0</v>
      </c>
      <c r="AE4921" s="160">
        <v>4919</v>
      </c>
    </row>
    <row r="4922" spans="27:31" x14ac:dyDescent="0.25">
      <c r="AA4922" s="160"/>
      <c r="AB4922" s="162"/>
      <c r="AC4922" s="162"/>
      <c r="AD4922" s="162">
        <f t="shared" si="96"/>
        <v>0</v>
      </c>
      <c r="AE4922" s="160">
        <v>4920</v>
      </c>
    </row>
    <row r="4923" spans="27:31" x14ac:dyDescent="0.25">
      <c r="AA4923" s="160"/>
      <c r="AB4923" s="162"/>
      <c r="AC4923" s="162"/>
      <c r="AD4923" s="162">
        <f t="shared" si="96"/>
        <v>0</v>
      </c>
      <c r="AE4923" s="160">
        <v>4921</v>
      </c>
    </row>
    <row r="4924" spans="27:31" x14ac:dyDescent="0.25">
      <c r="AA4924" s="160"/>
      <c r="AB4924" s="162"/>
      <c r="AC4924" s="162"/>
      <c r="AD4924" s="162">
        <f t="shared" si="96"/>
        <v>0</v>
      </c>
      <c r="AE4924" s="160">
        <v>4922</v>
      </c>
    </row>
    <row r="4925" spans="27:31" x14ac:dyDescent="0.25">
      <c r="AA4925" s="160"/>
      <c r="AB4925" s="162"/>
      <c r="AC4925" s="162"/>
      <c r="AD4925" s="162">
        <f t="shared" si="96"/>
        <v>0</v>
      </c>
      <c r="AE4925" s="160">
        <v>4923</v>
      </c>
    </row>
    <row r="4926" spans="27:31" x14ac:dyDescent="0.25">
      <c r="AA4926" s="160"/>
      <c r="AB4926" s="162"/>
      <c r="AC4926" s="162"/>
      <c r="AD4926" s="162">
        <f t="shared" si="96"/>
        <v>0</v>
      </c>
      <c r="AE4926" s="160">
        <v>4924</v>
      </c>
    </row>
    <row r="4927" spans="27:31" x14ac:dyDescent="0.25">
      <c r="AA4927" s="160"/>
      <c r="AB4927" s="162"/>
      <c r="AC4927" s="162"/>
      <c r="AD4927" s="162">
        <f t="shared" si="96"/>
        <v>0</v>
      </c>
      <c r="AE4927" s="160">
        <v>4925</v>
      </c>
    </row>
    <row r="4928" spans="27:31" x14ac:dyDescent="0.25">
      <c r="AA4928" s="160"/>
      <c r="AB4928" s="162"/>
      <c r="AC4928" s="162"/>
      <c r="AD4928" s="162">
        <f t="shared" si="96"/>
        <v>0</v>
      </c>
      <c r="AE4928" s="160">
        <v>4926</v>
      </c>
    </row>
    <row r="4929" spans="27:31" x14ac:dyDescent="0.25">
      <c r="AA4929" s="160"/>
      <c r="AB4929" s="162"/>
      <c r="AC4929" s="162"/>
      <c r="AD4929" s="162">
        <f t="shared" si="96"/>
        <v>0</v>
      </c>
      <c r="AE4929" s="160">
        <v>4927</v>
      </c>
    </row>
    <row r="4930" spans="27:31" x14ac:dyDescent="0.25">
      <c r="AA4930" s="160"/>
      <c r="AB4930" s="162"/>
      <c r="AC4930" s="162"/>
      <c r="AD4930" s="162">
        <f t="shared" si="96"/>
        <v>0</v>
      </c>
      <c r="AE4930" s="160">
        <v>4928</v>
      </c>
    </row>
    <row r="4931" spans="27:31" x14ac:dyDescent="0.25">
      <c r="AA4931" s="160"/>
      <c r="AB4931" s="162"/>
      <c r="AC4931" s="162"/>
      <c r="AD4931" s="162">
        <f t="shared" si="96"/>
        <v>0</v>
      </c>
      <c r="AE4931" s="160">
        <v>4929</v>
      </c>
    </row>
    <row r="4932" spans="27:31" x14ac:dyDescent="0.25">
      <c r="AA4932" s="160"/>
      <c r="AB4932" s="162"/>
      <c r="AC4932" s="162"/>
      <c r="AD4932" s="162">
        <f t="shared" ref="AD4932:AD4995" si="97">AB4932+AC4932</f>
        <v>0</v>
      </c>
      <c r="AE4932" s="160">
        <v>4930</v>
      </c>
    </row>
    <row r="4933" spans="27:31" x14ac:dyDescent="0.25">
      <c r="AA4933" s="160"/>
      <c r="AB4933" s="162"/>
      <c r="AC4933" s="162"/>
      <c r="AD4933" s="162">
        <f t="shared" si="97"/>
        <v>0</v>
      </c>
      <c r="AE4933" s="160">
        <v>4931</v>
      </c>
    </row>
    <row r="4934" spans="27:31" x14ac:dyDescent="0.25">
      <c r="AA4934" s="160"/>
      <c r="AB4934" s="162"/>
      <c r="AC4934" s="162"/>
      <c r="AD4934" s="162">
        <f t="shared" si="97"/>
        <v>0</v>
      </c>
      <c r="AE4934" s="160">
        <v>4932</v>
      </c>
    </row>
    <row r="4935" spans="27:31" x14ac:dyDescent="0.25">
      <c r="AA4935" s="160"/>
      <c r="AB4935" s="162"/>
      <c r="AC4935" s="162"/>
      <c r="AD4935" s="162">
        <f t="shared" si="97"/>
        <v>0</v>
      </c>
      <c r="AE4935" s="160">
        <v>4933</v>
      </c>
    </row>
    <row r="4936" spans="27:31" x14ac:dyDescent="0.25">
      <c r="AA4936" s="160"/>
      <c r="AB4936" s="162"/>
      <c r="AC4936" s="162"/>
      <c r="AD4936" s="162">
        <f t="shared" si="97"/>
        <v>0</v>
      </c>
      <c r="AE4936" s="160">
        <v>4934</v>
      </c>
    </row>
    <row r="4937" spans="27:31" x14ac:dyDescent="0.25">
      <c r="AA4937" s="160"/>
      <c r="AB4937" s="162"/>
      <c r="AC4937" s="162"/>
      <c r="AD4937" s="162">
        <f t="shared" si="97"/>
        <v>0</v>
      </c>
      <c r="AE4937" s="160">
        <v>4935</v>
      </c>
    </row>
    <row r="4938" spans="27:31" x14ac:dyDescent="0.25">
      <c r="AA4938" s="160"/>
      <c r="AB4938" s="162"/>
      <c r="AC4938" s="162"/>
      <c r="AD4938" s="162">
        <f t="shared" si="97"/>
        <v>0</v>
      </c>
      <c r="AE4938" s="160">
        <v>4936</v>
      </c>
    </row>
    <row r="4939" spans="27:31" x14ac:dyDescent="0.25">
      <c r="AA4939" s="160"/>
      <c r="AB4939" s="162"/>
      <c r="AC4939" s="162"/>
      <c r="AD4939" s="162">
        <f t="shared" si="97"/>
        <v>0</v>
      </c>
      <c r="AE4939" s="160">
        <v>4937</v>
      </c>
    </row>
    <row r="4940" spans="27:31" x14ac:dyDescent="0.25">
      <c r="AA4940" s="160"/>
      <c r="AB4940" s="162"/>
      <c r="AC4940" s="162"/>
      <c r="AD4940" s="162">
        <f t="shared" si="97"/>
        <v>0</v>
      </c>
      <c r="AE4940" s="160">
        <v>4938</v>
      </c>
    </row>
    <row r="4941" spans="27:31" x14ac:dyDescent="0.25">
      <c r="AA4941" s="160"/>
      <c r="AB4941" s="162"/>
      <c r="AC4941" s="162"/>
      <c r="AD4941" s="162">
        <f t="shared" si="97"/>
        <v>0</v>
      </c>
      <c r="AE4941" s="160">
        <v>4939</v>
      </c>
    </row>
    <row r="4942" spans="27:31" x14ac:dyDescent="0.25">
      <c r="AA4942" s="160"/>
      <c r="AB4942" s="162"/>
      <c r="AC4942" s="162"/>
      <c r="AD4942" s="162">
        <f t="shared" si="97"/>
        <v>0</v>
      </c>
      <c r="AE4942" s="160">
        <v>4940</v>
      </c>
    </row>
    <row r="4943" spans="27:31" x14ac:dyDescent="0.25">
      <c r="AA4943" s="160"/>
      <c r="AB4943" s="162"/>
      <c r="AC4943" s="162"/>
      <c r="AD4943" s="162">
        <f t="shared" si="97"/>
        <v>0</v>
      </c>
      <c r="AE4943" s="160">
        <v>4941</v>
      </c>
    </row>
    <row r="4944" spans="27:31" x14ac:dyDescent="0.25">
      <c r="AA4944" s="160"/>
      <c r="AB4944" s="162"/>
      <c r="AC4944" s="162"/>
      <c r="AD4944" s="162">
        <f t="shared" si="97"/>
        <v>0</v>
      </c>
      <c r="AE4944" s="160">
        <v>4942</v>
      </c>
    </row>
    <row r="4945" spans="27:31" x14ac:dyDescent="0.25">
      <c r="AA4945" s="160"/>
      <c r="AB4945" s="162"/>
      <c r="AC4945" s="162"/>
      <c r="AD4945" s="162">
        <f t="shared" si="97"/>
        <v>0</v>
      </c>
      <c r="AE4945" s="160">
        <v>4943</v>
      </c>
    </row>
    <row r="4946" spans="27:31" x14ac:dyDescent="0.25">
      <c r="AA4946" s="160"/>
      <c r="AB4946" s="162"/>
      <c r="AC4946" s="162"/>
      <c r="AD4946" s="162">
        <f t="shared" si="97"/>
        <v>0</v>
      </c>
      <c r="AE4946" s="160">
        <v>4944</v>
      </c>
    </row>
    <row r="4947" spans="27:31" x14ac:dyDescent="0.25">
      <c r="AA4947" s="160"/>
      <c r="AB4947" s="162"/>
      <c r="AC4947" s="162"/>
      <c r="AD4947" s="162">
        <f t="shared" si="97"/>
        <v>0</v>
      </c>
      <c r="AE4947" s="160">
        <v>4945</v>
      </c>
    </row>
    <row r="4948" spans="27:31" x14ac:dyDescent="0.25">
      <c r="AA4948" s="160"/>
      <c r="AB4948" s="162"/>
      <c r="AC4948" s="162"/>
      <c r="AD4948" s="162">
        <f t="shared" si="97"/>
        <v>0</v>
      </c>
      <c r="AE4948" s="160">
        <v>4946</v>
      </c>
    </row>
    <row r="4949" spans="27:31" x14ac:dyDescent="0.25">
      <c r="AA4949" s="160"/>
      <c r="AB4949" s="162"/>
      <c r="AC4949" s="162"/>
      <c r="AD4949" s="162">
        <f t="shared" si="97"/>
        <v>0</v>
      </c>
      <c r="AE4949" s="160">
        <v>4947</v>
      </c>
    </row>
    <row r="4950" spans="27:31" x14ac:dyDescent="0.25">
      <c r="AA4950" s="160"/>
      <c r="AB4950" s="162"/>
      <c r="AC4950" s="162"/>
      <c r="AD4950" s="162">
        <f t="shared" si="97"/>
        <v>0</v>
      </c>
      <c r="AE4950" s="160">
        <v>4948</v>
      </c>
    </row>
    <row r="4951" spans="27:31" x14ac:dyDescent="0.25">
      <c r="AA4951" s="160"/>
      <c r="AB4951" s="162"/>
      <c r="AC4951" s="162"/>
      <c r="AD4951" s="162">
        <f t="shared" si="97"/>
        <v>0</v>
      </c>
      <c r="AE4951" s="160">
        <v>4949</v>
      </c>
    </row>
    <row r="4952" spans="27:31" x14ac:dyDescent="0.25">
      <c r="AA4952" s="160"/>
      <c r="AB4952" s="162"/>
      <c r="AC4952" s="162"/>
      <c r="AD4952" s="162">
        <f t="shared" si="97"/>
        <v>0</v>
      </c>
      <c r="AE4952" s="160">
        <v>4950</v>
      </c>
    </row>
    <row r="4953" spans="27:31" x14ac:dyDescent="0.25">
      <c r="AA4953" s="160"/>
      <c r="AB4953" s="162"/>
      <c r="AC4953" s="162"/>
      <c r="AD4953" s="162">
        <f t="shared" si="97"/>
        <v>0</v>
      </c>
      <c r="AE4953" s="160">
        <v>4951</v>
      </c>
    </row>
    <row r="4954" spans="27:31" x14ac:dyDescent="0.25">
      <c r="AA4954" s="160"/>
      <c r="AB4954" s="162"/>
      <c r="AC4954" s="162"/>
      <c r="AD4954" s="162">
        <f t="shared" si="97"/>
        <v>0</v>
      </c>
      <c r="AE4954" s="160">
        <v>4952</v>
      </c>
    </row>
    <row r="4955" spans="27:31" x14ac:dyDescent="0.25">
      <c r="AA4955" s="160"/>
      <c r="AB4955" s="162"/>
      <c r="AC4955" s="162"/>
      <c r="AD4955" s="162">
        <f t="shared" si="97"/>
        <v>0</v>
      </c>
      <c r="AE4955" s="160">
        <v>4953</v>
      </c>
    </row>
    <row r="4956" spans="27:31" x14ac:dyDescent="0.25">
      <c r="AA4956" s="160"/>
      <c r="AB4956" s="162"/>
      <c r="AC4956" s="162"/>
      <c r="AD4956" s="162">
        <f t="shared" si="97"/>
        <v>0</v>
      </c>
      <c r="AE4956" s="160">
        <v>4954</v>
      </c>
    </row>
    <row r="4957" spans="27:31" x14ac:dyDescent="0.25">
      <c r="AA4957" s="160"/>
      <c r="AB4957" s="162"/>
      <c r="AC4957" s="162"/>
      <c r="AD4957" s="162">
        <f t="shared" si="97"/>
        <v>0</v>
      </c>
      <c r="AE4957" s="160">
        <v>4955</v>
      </c>
    </row>
    <row r="4958" spans="27:31" x14ac:dyDescent="0.25">
      <c r="AA4958" s="160"/>
      <c r="AB4958" s="162"/>
      <c r="AC4958" s="162"/>
      <c r="AD4958" s="162">
        <f t="shared" si="97"/>
        <v>0</v>
      </c>
      <c r="AE4958" s="160">
        <v>4956</v>
      </c>
    </row>
    <row r="4959" spans="27:31" x14ac:dyDescent="0.25">
      <c r="AA4959" s="160"/>
      <c r="AB4959" s="162"/>
      <c r="AC4959" s="162"/>
      <c r="AD4959" s="162">
        <f t="shared" si="97"/>
        <v>0</v>
      </c>
      <c r="AE4959" s="160">
        <v>4957</v>
      </c>
    </row>
    <row r="4960" spans="27:31" x14ac:dyDescent="0.25">
      <c r="AA4960" s="160"/>
      <c r="AB4960" s="162"/>
      <c r="AC4960" s="162"/>
      <c r="AD4960" s="162">
        <f t="shared" si="97"/>
        <v>0</v>
      </c>
      <c r="AE4960" s="160">
        <v>4958</v>
      </c>
    </row>
    <row r="4961" spans="27:31" x14ac:dyDescent="0.25">
      <c r="AA4961" s="160"/>
      <c r="AB4961" s="162"/>
      <c r="AC4961" s="162"/>
      <c r="AD4961" s="162">
        <f t="shared" si="97"/>
        <v>0</v>
      </c>
      <c r="AE4961" s="160">
        <v>4959</v>
      </c>
    </row>
    <row r="4962" spans="27:31" x14ac:dyDescent="0.25">
      <c r="AA4962" s="160"/>
      <c r="AB4962" s="162"/>
      <c r="AC4962" s="162"/>
      <c r="AD4962" s="162">
        <f t="shared" si="97"/>
        <v>0</v>
      </c>
      <c r="AE4962" s="160">
        <v>4960</v>
      </c>
    </row>
    <row r="4963" spans="27:31" x14ac:dyDescent="0.25">
      <c r="AA4963" s="160"/>
      <c r="AB4963" s="162"/>
      <c r="AC4963" s="162"/>
      <c r="AD4963" s="162">
        <f t="shared" si="97"/>
        <v>0</v>
      </c>
      <c r="AE4963" s="160">
        <v>4961</v>
      </c>
    </row>
    <row r="4964" spans="27:31" x14ac:dyDescent="0.25">
      <c r="AA4964" s="160"/>
      <c r="AB4964" s="162"/>
      <c r="AC4964" s="162"/>
      <c r="AD4964" s="162">
        <f t="shared" si="97"/>
        <v>0</v>
      </c>
      <c r="AE4964" s="160">
        <v>4962</v>
      </c>
    </row>
    <row r="4965" spans="27:31" x14ac:dyDescent="0.25">
      <c r="AA4965" s="160"/>
      <c r="AB4965" s="162"/>
      <c r="AC4965" s="162"/>
      <c r="AD4965" s="162">
        <f t="shared" si="97"/>
        <v>0</v>
      </c>
      <c r="AE4965" s="160">
        <v>4963</v>
      </c>
    </row>
    <row r="4966" spans="27:31" x14ac:dyDescent="0.25">
      <c r="AA4966" s="160"/>
      <c r="AB4966" s="162"/>
      <c r="AC4966" s="162"/>
      <c r="AD4966" s="162">
        <f t="shared" si="97"/>
        <v>0</v>
      </c>
      <c r="AE4966" s="160">
        <v>4964</v>
      </c>
    </row>
    <row r="4967" spans="27:31" x14ac:dyDescent="0.25">
      <c r="AA4967" s="160"/>
      <c r="AB4967" s="162"/>
      <c r="AC4967" s="162"/>
      <c r="AD4967" s="162">
        <f t="shared" si="97"/>
        <v>0</v>
      </c>
      <c r="AE4967" s="160">
        <v>4965</v>
      </c>
    </row>
    <row r="4968" spans="27:31" x14ac:dyDescent="0.25">
      <c r="AA4968" s="160"/>
      <c r="AB4968" s="162"/>
      <c r="AC4968" s="162"/>
      <c r="AD4968" s="162">
        <f t="shared" si="97"/>
        <v>0</v>
      </c>
      <c r="AE4968" s="160">
        <v>4966</v>
      </c>
    </row>
    <row r="4969" spans="27:31" x14ac:dyDescent="0.25">
      <c r="AA4969" s="160"/>
      <c r="AB4969" s="162"/>
      <c r="AC4969" s="162"/>
      <c r="AD4969" s="162">
        <f t="shared" si="97"/>
        <v>0</v>
      </c>
      <c r="AE4969" s="160">
        <v>4967</v>
      </c>
    </row>
    <row r="4970" spans="27:31" x14ac:dyDescent="0.25">
      <c r="AA4970" s="160"/>
      <c r="AB4970" s="162"/>
      <c r="AC4970" s="162"/>
      <c r="AD4970" s="162">
        <f t="shared" si="97"/>
        <v>0</v>
      </c>
      <c r="AE4970" s="160">
        <v>4968</v>
      </c>
    </row>
    <row r="4971" spans="27:31" x14ac:dyDescent="0.25">
      <c r="AA4971" s="160"/>
      <c r="AB4971" s="162"/>
      <c r="AC4971" s="162"/>
      <c r="AD4971" s="162">
        <f t="shared" si="97"/>
        <v>0</v>
      </c>
      <c r="AE4971" s="160">
        <v>4969</v>
      </c>
    </row>
    <row r="4972" spans="27:31" x14ac:dyDescent="0.25">
      <c r="AA4972" s="160"/>
      <c r="AB4972" s="162"/>
      <c r="AC4972" s="162"/>
      <c r="AD4972" s="162">
        <f t="shared" si="97"/>
        <v>0</v>
      </c>
      <c r="AE4972" s="160">
        <v>4970</v>
      </c>
    </row>
    <row r="4973" spans="27:31" x14ac:dyDescent="0.25">
      <c r="AA4973" s="160"/>
      <c r="AB4973" s="162"/>
      <c r="AC4973" s="162"/>
      <c r="AD4973" s="162">
        <f t="shared" si="97"/>
        <v>0</v>
      </c>
      <c r="AE4973" s="160">
        <v>4971</v>
      </c>
    </row>
    <row r="4974" spans="27:31" x14ac:dyDescent="0.25">
      <c r="AA4974" s="160"/>
      <c r="AB4974" s="162"/>
      <c r="AC4974" s="162"/>
      <c r="AD4974" s="162">
        <f t="shared" si="97"/>
        <v>0</v>
      </c>
      <c r="AE4974" s="160">
        <v>4972</v>
      </c>
    </row>
    <row r="4975" spans="27:31" x14ac:dyDescent="0.25">
      <c r="AA4975" s="160"/>
      <c r="AB4975" s="162"/>
      <c r="AC4975" s="162"/>
      <c r="AD4975" s="162">
        <f t="shared" si="97"/>
        <v>0</v>
      </c>
      <c r="AE4975" s="160">
        <v>4973</v>
      </c>
    </row>
    <row r="4976" spans="27:31" x14ac:dyDescent="0.25">
      <c r="AA4976" s="160"/>
      <c r="AB4976" s="162"/>
      <c r="AC4976" s="162"/>
      <c r="AD4976" s="162">
        <f t="shared" si="97"/>
        <v>0</v>
      </c>
      <c r="AE4976" s="160">
        <v>4974</v>
      </c>
    </row>
    <row r="4977" spans="27:31" x14ac:dyDescent="0.25">
      <c r="AA4977" s="160"/>
      <c r="AB4977" s="162"/>
      <c r="AC4977" s="162"/>
      <c r="AD4977" s="162">
        <f t="shared" si="97"/>
        <v>0</v>
      </c>
      <c r="AE4977" s="160">
        <v>4975</v>
      </c>
    </row>
    <row r="4978" spans="27:31" x14ac:dyDescent="0.25">
      <c r="AA4978" s="160"/>
      <c r="AB4978" s="162"/>
      <c r="AC4978" s="162"/>
      <c r="AD4978" s="162">
        <f t="shared" si="97"/>
        <v>0</v>
      </c>
      <c r="AE4978" s="160">
        <v>4976</v>
      </c>
    </row>
    <row r="4979" spans="27:31" x14ac:dyDescent="0.25">
      <c r="AA4979" s="160"/>
      <c r="AB4979" s="162"/>
      <c r="AC4979" s="162"/>
      <c r="AD4979" s="162">
        <f t="shared" si="97"/>
        <v>0</v>
      </c>
      <c r="AE4979" s="160">
        <v>4977</v>
      </c>
    </row>
    <row r="4980" spans="27:31" x14ac:dyDescent="0.25">
      <c r="AA4980" s="160"/>
      <c r="AB4980" s="162"/>
      <c r="AC4980" s="162"/>
      <c r="AD4980" s="162">
        <f t="shared" si="97"/>
        <v>0</v>
      </c>
      <c r="AE4980" s="160">
        <v>4978</v>
      </c>
    </row>
    <row r="4981" spans="27:31" x14ac:dyDescent="0.25">
      <c r="AA4981" s="160"/>
      <c r="AB4981" s="162"/>
      <c r="AC4981" s="162"/>
      <c r="AD4981" s="162">
        <f t="shared" si="97"/>
        <v>0</v>
      </c>
      <c r="AE4981" s="160">
        <v>4979</v>
      </c>
    </row>
    <row r="4982" spans="27:31" x14ac:dyDescent="0.25">
      <c r="AA4982" s="160"/>
      <c r="AB4982" s="162"/>
      <c r="AC4982" s="162"/>
      <c r="AD4982" s="162">
        <f t="shared" si="97"/>
        <v>0</v>
      </c>
      <c r="AE4982" s="160">
        <v>4980</v>
      </c>
    </row>
    <row r="4983" spans="27:31" x14ac:dyDescent="0.25">
      <c r="AA4983" s="160"/>
      <c r="AB4983" s="162"/>
      <c r="AC4983" s="162"/>
      <c r="AD4983" s="162">
        <f t="shared" si="97"/>
        <v>0</v>
      </c>
      <c r="AE4983" s="160">
        <v>4981</v>
      </c>
    </row>
    <row r="4984" spans="27:31" x14ac:dyDescent="0.25">
      <c r="AA4984" s="160"/>
      <c r="AB4984" s="162"/>
      <c r="AC4984" s="162"/>
      <c r="AD4984" s="162">
        <f t="shared" si="97"/>
        <v>0</v>
      </c>
      <c r="AE4984" s="160">
        <v>4982</v>
      </c>
    </row>
    <row r="4985" spans="27:31" x14ac:dyDescent="0.25">
      <c r="AA4985" s="160"/>
      <c r="AB4985" s="162"/>
      <c r="AC4985" s="162"/>
      <c r="AD4985" s="162">
        <f t="shared" si="97"/>
        <v>0</v>
      </c>
      <c r="AE4985" s="160">
        <v>4983</v>
      </c>
    </row>
    <row r="4986" spans="27:31" x14ac:dyDescent="0.25">
      <c r="AA4986" s="160"/>
      <c r="AB4986" s="162"/>
      <c r="AC4986" s="162"/>
      <c r="AD4986" s="162">
        <f t="shared" si="97"/>
        <v>0</v>
      </c>
      <c r="AE4986" s="160">
        <v>4984</v>
      </c>
    </row>
    <row r="4987" spans="27:31" x14ac:dyDescent="0.25">
      <c r="AA4987" s="160"/>
      <c r="AB4987" s="162"/>
      <c r="AC4987" s="162"/>
      <c r="AD4987" s="162">
        <f t="shared" si="97"/>
        <v>0</v>
      </c>
      <c r="AE4987" s="160">
        <v>4985</v>
      </c>
    </row>
    <row r="4988" spans="27:31" x14ac:dyDescent="0.25">
      <c r="AA4988" s="160"/>
      <c r="AB4988" s="162"/>
      <c r="AC4988" s="162"/>
      <c r="AD4988" s="162">
        <f t="shared" si="97"/>
        <v>0</v>
      </c>
      <c r="AE4988" s="160">
        <v>4986</v>
      </c>
    </row>
    <row r="4989" spans="27:31" x14ac:dyDescent="0.25">
      <c r="AA4989" s="160"/>
      <c r="AB4989" s="162"/>
      <c r="AC4989" s="162"/>
      <c r="AD4989" s="162">
        <f t="shared" si="97"/>
        <v>0</v>
      </c>
      <c r="AE4989" s="160">
        <v>4987</v>
      </c>
    </row>
    <row r="4990" spans="27:31" x14ac:dyDescent="0.25">
      <c r="AA4990" s="160"/>
      <c r="AB4990" s="162"/>
      <c r="AC4990" s="162"/>
      <c r="AD4990" s="162">
        <f t="shared" si="97"/>
        <v>0</v>
      </c>
      <c r="AE4990" s="160">
        <v>4988</v>
      </c>
    </row>
    <row r="4991" spans="27:31" x14ac:dyDescent="0.25">
      <c r="AA4991" s="160"/>
      <c r="AB4991" s="162"/>
      <c r="AC4991" s="162"/>
      <c r="AD4991" s="162">
        <f t="shared" si="97"/>
        <v>0</v>
      </c>
      <c r="AE4991" s="160">
        <v>4989</v>
      </c>
    </row>
    <row r="4992" spans="27:31" x14ac:dyDescent="0.25">
      <c r="AA4992" s="160"/>
      <c r="AB4992" s="162"/>
      <c r="AC4992" s="162"/>
      <c r="AD4992" s="162">
        <f t="shared" si="97"/>
        <v>0</v>
      </c>
      <c r="AE4992" s="160">
        <v>4990</v>
      </c>
    </row>
    <row r="4993" spans="27:31" x14ac:dyDescent="0.25">
      <c r="AA4993" s="160"/>
      <c r="AB4993" s="162"/>
      <c r="AC4993" s="162"/>
      <c r="AD4993" s="162">
        <f t="shared" si="97"/>
        <v>0</v>
      </c>
      <c r="AE4993" s="160">
        <v>4991</v>
      </c>
    </row>
    <row r="4994" spans="27:31" x14ac:dyDescent="0.25">
      <c r="AA4994" s="160"/>
      <c r="AB4994" s="162"/>
      <c r="AC4994" s="162"/>
      <c r="AD4994" s="162">
        <f t="shared" si="97"/>
        <v>0</v>
      </c>
      <c r="AE4994" s="160">
        <v>4992</v>
      </c>
    </row>
    <row r="4995" spans="27:31" x14ac:dyDescent="0.25">
      <c r="AA4995" s="160"/>
      <c r="AB4995" s="162"/>
      <c r="AC4995" s="162"/>
      <c r="AD4995" s="162">
        <f t="shared" si="97"/>
        <v>0</v>
      </c>
      <c r="AE4995" s="160">
        <v>4993</v>
      </c>
    </row>
    <row r="4996" spans="27:31" x14ac:dyDescent="0.25">
      <c r="AA4996" s="160"/>
      <c r="AB4996" s="162"/>
      <c r="AC4996" s="162"/>
      <c r="AD4996" s="162">
        <f t="shared" ref="AD4996:AD5059" si="98">AB4996+AC4996</f>
        <v>0</v>
      </c>
      <c r="AE4996" s="160">
        <v>4994</v>
      </c>
    </row>
    <row r="4997" spans="27:31" x14ac:dyDescent="0.25">
      <c r="AA4997" s="160"/>
      <c r="AB4997" s="162"/>
      <c r="AC4997" s="162"/>
      <c r="AD4997" s="162">
        <f t="shared" si="98"/>
        <v>0</v>
      </c>
      <c r="AE4997" s="160">
        <v>4995</v>
      </c>
    </row>
    <row r="4998" spans="27:31" x14ac:dyDescent="0.25">
      <c r="AA4998" s="160"/>
      <c r="AB4998" s="162"/>
      <c r="AC4998" s="162"/>
      <c r="AD4998" s="162">
        <f t="shared" si="98"/>
        <v>0</v>
      </c>
      <c r="AE4998" s="160">
        <v>4996</v>
      </c>
    </row>
    <row r="4999" spans="27:31" x14ac:dyDescent="0.25">
      <c r="AA4999" s="160"/>
      <c r="AB4999" s="162"/>
      <c r="AC4999" s="162"/>
      <c r="AD4999" s="162">
        <f t="shared" si="98"/>
        <v>0</v>
      </c>
      <c r="AE4999" s="160">
        <v>4997</v>
      </c>
    </row>
    <row r="5000" spans="27:31" x14ac:dyDescent="0.25">
      <c r="AA5000" s="160"/>
      <c r="AB5000" s="162"/>
      <c r="AC5000" s="162"/>
      <c r="AD5000" s="162">
        <f t="shared" si="98"/>
        <v>0</v>
      </c>
      <c r="AE5000" s="160">
        <v>4998</v>
      </c>
    </row>
    <row r="5001" spans="27:31" x14ac:dyDescent="0.25">
      <c r="AA5001" s="160"/>
      <c r="AB5001" s="162"/>
      <c r="AC5001" s="162"/>
      <c r="AD5001" s="162">
        <f t="shared" si="98"/>
        <v>0</v>
      </c>
      <c r="AE5001" s="160">
        <v>4999</v>
      </c>
    </row>
    <row r="5002" spans="27:31" x14ac:dyDescent="0.25">
      <c r="AA5002" s="160"/>
      <c r="AB5002" s="162"/>
      <c r="AC5002" s="162"/>
      <c r="AD5002" s="162">
        <f t="shared" si="98"/>
        <v>0</v>
      </c>
      <c r="AE5002" s="160">
        <v>5000</v>
      </c>
    </row>
    <row r="5003" spans="27:31" x14ac:dyDescent="0.25">
      <c r="AA5003" s="160"/>
      <c r="AB5003" s="162"/>
      <c r="AC5003" s="162"/>
      <c r="AD5003" s="162">
        <f t="shared" si="98"/>
        <v>0</v>
      </c>
      <c r="AE5003" s="160">
        <v>5001</v>
      </c>
    </row>
    <row r="5004" spans="27:31" x14ac:dyDescent="0.25">
      <c r="AA5004" s="160"/>
      <c r="AB5004" s="162"/>
      <c r="AC5004" s="162"/>
      <c r="AD5004" s="162">
        <f t="shared" si="98"/>
        <v>0</v>
      </c>
      <c r="AE5004" s="160">
        <v>5002</v>
      </c>
    </row>
    <row r="5005" spans="27:31" x14ac:dyDescent="0.25">
      <c r="AA5005" s="160"/>
      <c r="AB5005" s="162"/>
      <c r="AC5005" s="162"/>
      <c r="AD5005" s="162">
        <f t="shared" si="98"/>
        <v>0</v>
      </c>
      <c r="AE5005" s="160">
        <v>5003</v>
      </c>
    </row>
    <row r="5006" spans="27:31" x14ac:dyDescent="0.25">
      <c r="AA5006" s="160"/>
      <c r="AB5006" s="162"/>
      <c r="AC5006" s="162"/>
      <c r="AD5006" s="162">
        <f t="shared" si="98"/>
        <v>0</v>
      </c>
      <c r="AE5006" s="160">
        <v>5004</v>
      </c>
    </row>
    <row r="5007" spans="27:31" x14ac:dyDescent="0.25">
      <c r="AA5007" s="160"/>
      <c r="AB5007" s="162"/>
      <c r="AC5007" s="162"/>
      <c r="AD5007" s="162">
        <f t="shared" si="98"/>
        <v>0</v>
      </c>
      <c r="AE5007" s="160">
        <v>5005</v>
      </c>
    </row>
    <row r="5008" spans="27:31" x14ac:dyDescent="0.25">
      <c r="AA5008" s="160"/>
      <c r="AB5008" s="162"/>
      <c r="AC5008" s="162"/>
      <c r="AD5008" s="162">
        <f t="shared" si="98"/>
        <v>0</v>
      </c>
      <c r="AE5008" s="160">
        <v>5006</v>
      </c>
    </row>
    <row r="5009" spans="27:31" x14ac:dyDescent="0.25">
      <c r="AA5009" s="160"/>
      <c r="AB5009" s="162"/>
      <c r="AC5009" s="162"/>
      <c r="AD5009" s="162">
        <f t="shared" si="98"/>
        <v>0</v>
      </c>
      <c r="AE5009" s="160">
        <v>5007</v>
      </c>
    </row>
    <row r="5010" spans="27:31" x14ac:dyDescent="0.25">
      <c r="AA5010" s="160"/>
      <c r="AB5010" s="162"/>
      <c r="AC5010" s="162"/>
      <c r="AD5010" s="162">
        <f t="shared" si="98"/>
        <v>0</v>
      </c>
      <c r="AE5010" s="160">
        <v>5008</v>
      </c>
    </row>
    <row r="5011" spans="27:31" x14ac:dyDescent="0.25">
      <c r="AA5011" s="160"/>
      <c r="AB5011" s="162"/>
      <c r="AC5011" s="162"/>
      <c r="AD5011" s="162">
        <f t="shared" si="98"/>
        <v>0</v>
      </c>
      <c r="AE5011" s="160">
        <v>5009</v>
      </c>
    </row>
    <row r="5012" spans="27:31" x14ac:dyDescent="0.25">
      <c r="AA5012" s="160"/>
      <c r="AB5012" s="162"/>
      <c r="AC5012" s="162"/>
      <c r="AD5012" s="162">
        <f t="shared" si="98"/>
        <v>0</v>
      </c>
      <c r="AE5012" s="160">
        <v>5010</v>
      </c>
    </row>
    <row r="5013" spans="27:31" x14ac:dyDescent="0.25">
      <c r="AA5013" s="160"/>
      <c r="AB5013" s="162"/>
      <c r="AC5013" s="162"/>
      <c r="AD5013" s="162">
        <f t="shared" si="98"/>
        <v>0</v>
      </c>
      <c r="AE5013" s="160">
        <v>5011</v>
      </c>
    </row>
    <row r="5014" spans="27:31" x14ac:dyDescent="0.25">
      <c r="AA5014" s="160"/>
      <c r="AB5014" s="162"/>
      <c r="AC5014" s="162"/>
      <c r="AD5014" s="162">
        <f t="shared" si="98"/>
        <v>0</v>
      </c>
      <c r="AE5014" s="160">
        <v>5012</v>
      </c>
    </row>
    <row r="5015" spans="27:31" x14ac:dyDescent="0.25">
      <c r="AA5015" s="160"/>
      <c r="AB5015" s="162"/>
      <c r="AC5015" s="162"/>
      <c r="AD5015" s="162">
        <f t="shared" si="98"/>
        <v>0</v>
      </c>
      <c r="AE5015" s="160">
        <v>5013</v>
      </c>
    </row>
    <row r="5016" spans="27:31" x14ac:dyDescent="0.25">
      <c r="AA5016" s="160"/>
      <c r="AB5016" s="162"/>
      <c r="AC5016" s="162"/>
      <c r="AD5016" s="162">
        <f t="shared" si="98"/>
        <v>0</v>
      </c>
      <c r="AE5016" s="160">
        <v>5014</v>
      </c>
    </row>
    <row r="5017" spans="27:31" x14ac:dyDescent="0.25">
      <c r="AA5017" s="160"/>
      <c r="AB5017" s="162"/>
      <c r="AC5017" s="162"/>
      <c r="AD5017" s="162">
        <f t="shared" si="98"/>
        <v>0</v>
      </c>
      <c r="AE5017" s="160">
        <v>5015</v>
      </c>
    </row>
    <row r="5018" spans="27:31" x14ac:dyDescent="0.25">
      <c r="AA5018" s="160"/>
      <c r="AB5018" s="162"/>
      <c r="AC5018" s="162"/>
      <c r="AD5018" s="162">
        <f t="shared" si="98"/>
        <v>0</v>
      </c>
      <c r="AE5018" s="160">
        <v>5016</v>
      </c>
    </row>
    <row r="5019" spans="27:31" x14ac:dyDescent="0.25">
      <c r="AA5019" s="160"/>
      <c r="AB5019" s="162"/>
      <c r="AC5019" s="162"/>
      <c r="AD5019" s="162">
        <f t="shared" si="98"/>
        <v>0</v>
      </c>
      <c r="AE5019" s="160">
        <v>5017</v>
      </c>
    </row>
    <row r="5020" spans="27:31" x14ac:dyDescent="0.25">
      <c r="AA5020" s="160"/>
      <c r="AB5020" s="162"/>
      <c r="AC5020" s="162"/>
      <c r="AD5020" s="162">
        <f t="shared" si="98"/>
        <v>0</v>
      </c>
      <c r="AE5020" s="160">
        <v>5018</v>
      </c>
    </row>
    <row r="5021" spans="27:31" x14ac:dyDescent="0.25">
      <c r="AA5021" s="160"/>
      <c r="AB5021" s="162"/>
      <c r="AC5021" s="162"/>
      <c r="AD5021" s="162">
        <f t="shared" si="98"/>
        <v>0</v>
      </c>
      <c r="AE5021" s="160">
        <v>5019</v>
      </c>
    </row>
    <row r="5022" spans="27:31" x14ac:dyDescent="0.25">
      <c r="AA5022" s="160"/>
      <c r="AB5022" s="162"/>
      <c r="AC5022" s="162"/>
      <c r="AD5022" s="162">
        <f t="shared" si="98"/>
        <v>0</v>
      </c>
      <c r="AE5022" s="160">
        <v>5020</v>
      </c>
    </row>
    <row r="5023" spans="27:31" x14ac:dyDescent="0.25">
      <c r="AA5023" s="160"/>
      <c r="AB5023" s="162"/>
      <c r="AC5023" s="162"/>
      <c r="AD5023" s="162">
        <f t="shared" si="98"/>
        <v>0</v>
      </c>
      <c r="AE5023" s="160">
        <v>5021</v>
      </c>
    </row>
    <row r="5024" spans="27:31" x14ac:dyDescent="0.25">
      <c r="AA5024" s="160"/>
      <c r="AB5024" s="162"/>
      <c r="AC5024" s="162"/>
      <c r="AD5024" s="162">
        <f t="shared" si="98"/>
        <v>0</v>
      </c>
      <c r="AE5024" s="160">
        <v>5022</v>
      </c>
    </row>
    <row r="5025" spans="27:31" x14ac:dyDescent="0.25">
      <c r="AA5025" s="160"/>
      <c r="AB5025" s="162"/>
      <c r="AC5025" s="162"/>
      <c r="AD5025" s="162">
        <f t="shared" si="98"/>
        <v>0</v>
      </c>
      <c r="AE5025" s="160">
        <v>5023</v>
      </c>
    </row>
    <row r="5026" spans="27:31" x14ac:dyDescent="0.25">
      <c r="AA5026" s="160"/>
      <c r="AB5026" s="162"/>
      <c r="AC5026" s="162"/>
      <c r="AD5026" s="162">
        <f t="shared" si="98"/>
        <v>0</v>
      </c>
      <c r="AE5026" s="160">
        <v>5024</v>
      </c>
    </row>
    <row r="5027" spans="27:31" x14ac:dyDescent="0.25">
      <c r="AA5027" s="160"/>
      <c r="AB5027" s="162"/>
      <c r="AC5027" s="162"/>
      <c r="AD5027" s="162">
        <f t="shared" si="98"/>
        <v>0</v>
      </c>
      <c r="AE5027" s="160">
        <v>5025</v>
      </c>
    </row>
    <row r="5028" spans="27:31" x14ac:dyDescent="0.25">
      <c r="AA5028" s="160"/>
      <c r="AB5028" s="162"/>
      <c r="AC5028" s="162"/>
      <c r="AD5028" s="162">
        <f t="shared" si="98"/>
        <v>0</v>
      </c>
      <c r="AE5028" s="160">
        <v>5026</v>
      </c>
    </row>
    <row r="5029" spans="27:31" x14ac:dyDescent="0.25">
      <c r="AA5029" s="160"/>
      <c r="AB5029" s="162"/>
      <c r="AC5029" s="162"/>
      <c r="AD5029" s="162">
        <f t="shared" si="98"/>
        <v>0</v>
      </c>
      <c r="AE5029" s="160">
        <v>5027</v>
      </c>
    </row>
    <row r="5030" spans="27:31" x14ac:dyDescent="0.25">
      <c r="AA5030" s="160"/>
      <c r="AB5030" s="162"/>
      <c r="AC5030" s="162"/>
      <c r="AD5030" s="162">
        <f t="shared" si="98"/>
        <v>0</v>
      </c>
      <c r="AE5030" s="160">
        <v>5028</v>
      </c>
    </row>
    <row r="5031" spans="27:31" x14ac:dyDescent="0.25">
      <c r="AA5031" s="160"/>
      <c r="AB5031" s="162"/>
      <c r="AC5031" s="162"/>
      <c r="AD5031" s="162">
        <f t="shared" si="98"/>
        <v>0</v>
      </c>
      <c r="AE5031" s="160">
        <v>5029</v>
      </c>
    </row>
    <row r="5032" spans="27:31" x14ac:dyDescent="0.25">
      <c r="AA5032" s="160"/>
      <c r="AB5032" s="162"/>
      <c r="AC5032" s="162"/>
      <c r="AD5032" s="162">
        <f t="shared" si="98"/>
        <v>0</v>
      </c>
      <c r="AE5032" s="160">
        <v>5030</v>
      </c>
    </row>
    <row r="5033" spans="27:31" x14ac:dyDescent="0.25">
      <c r="AA5033" s="160"/>
      <c r="AB5033" s="162"/>
      <c r="AC5033" s="162"/>
      <c r="AD5033" s="162">
        <f t="shared" si="98"/>
        <v>0</v>
      </c>
      <c r="AE5033" s="160">
        <v>5031</v>
      </c>
    </row>
    <row r="5034" spans="27:31" x14ac:dyDescent="0.25">
      <c r="AA5034" s="160"/>
      <c r="AB5034" s="162"/>
      <c r="AC5034" s="162"/>
      <c r="AD5034" s="162">
        <f t="shared" si="98"/>
        <v>0</v>
      </c>
      <c r="AE5034" s="160">
        <v>5032</v>
      </c>
    </row>
    <row r="5035" spans="27:31" x14ac:dyDescent="0.25">
      <c r="AA5035" s="160"/>
      <c r="AB5035" s="162"/>
      <c r="AC5035" s="162"/>
      <c r="AD5035" s="162">
        <f t="shared" si="98"/>
        <v>0</v>
      </c>
      <c r="AE5035" s="160">
        <v>5033</v>
      </c>
    </row>
    <row r="5036" spans="27:31" x14ac:dyDescent="0.25">
      <c r="AA5036" s="160"/>
      <c r="AB5036" s="162"/>
      <c r="AC5036" s="162"/>
      <c r="AD5036" s="162">
        <f t="shared" si="98"/>
        <v>0</v>
      </c>
      <c r="AE5036" s="160">
        <v>5034</v>
      </c>
    </row>
    <row r="5037" spans="27:31" x14ac:dyDescent="0.25">
      <c r="AA5037" s="160"/>
      <c r="AB5037" s="162"/>
      <c r="AC5037" s="162"/>
      <c r="AD5037" s="162">
        <f t="shared" si="98"/>
        <v>0</v>
      </c>
      <c r="AE5037" s="160">
        <v>5035</v>
      </c>
    </row>
    <row r="5038" spans="27:31" x14ac:dyDescent="0.25">
      <c r="AA5038" s="160"/>
      <c r="AB5038" s="162"/>
      <c r="AC5038" s="162"/>
      <c r="AD5038" s="162">
        <f t="shared" si="98"/>
        <v>0</v>
      </c>
      <c r="AE5038" s="160">
        <v>5036</v>
      </c>
    </row>
    <row r="5039" spans="27:31" x14ac:dyDescent="0.25">
      <c r="AA5039" s="160"/>
      <c r="AB5039" s="162"/>
      <c r="AC5039" s="162"/>
      <c r="AD5039" s="162">
        <f t="shared" si="98"/>
        <v>0</v>
      </c>
      <c r="AE5039" s="160">
        <v>5037</v>
      </c>
    </row>
    <row r="5040" spans="27:31" x14ac:dyDescent="0.25">
      <c r="AA5040" s="160"/>
      <c r="AB5040" s="162"/>
      <c r="AC5040" s="162"/>
      <c r="AD5040" s="162">
        <f t="shared" si="98"/>
        <v>0</v>
      </c>
      <c r="AE5040" s="160">
        <v>5038</v>
      </c>
    </row>
    <row r="5041" spans="27:31" x14ac:dyDescent="0.25">
      <c r="AA5041" s="160"/>
      <c r="AB5041" s="162"/>
      <c r="AC5041" s="162"/>
      <c r="AD5041" s="162">
        <f t="shared" si="98"/>
        <v>0</v>
      </c>
      <c r="AE5041" s="160">
        <v>5039</v>
      </c>
    </row>
    <row r="5042" spans="27:31" x14ac:dyDescent="0.25">
      <c r="AA5042" s="160"/>
      <c r="AB5042" s="162"/>
      <c r="AC5042" s="162"/>
      <c r="AD5042" s="162">
        <f t="shared" si="98"/>
        <v>0</v>
      </c>
      <c r="AE5042" s="160">
        <v>5040</v>
      </c>
    </row>
    <row r="5043" spans="27:31" x14ac:dyDescent="0.25">
      <c r="AA5043" s="160"/>
      <c r="AB5043" s="162"/>
      <c r="AC5043" s="162"/>
      <c r="AD5043" s="162">
        <f t="shared" si="98"/>
        <v>0</v>
      </c>
      <c r="AE5043" s="160">
        <v>5041</v>
      </c>
    </row>
    <row r="5044" spans="27:31" x14ac:dyDescent="0.25">
      <c r="AA5044" s="160"/>
      <c r="AB5044" s="162"/>
      <c r="AC5044" s="162"/>
      <c r="AD5044" s="162">
        <f t="shared" si="98"/>
        <v>0</v>
      </c>
      <c r="AE5044" s="160">
        <v>5042</v>
      </c>
    </row>
    <row r="5045" spans="27:31" x14ac:dyDescent="0.25">
      <c r="AA5045" s="160"/>
      <c r="AB5045" s="162"/>
      <c r="AC5045" s="162"/>
      <c r="AD5045" s="162">
        <f t="shared" si="98"/>
        <v>0</v>
      </c>
      <c r="AE5045" s="160">
        <v>5043</v>
      </c>
    </row>
    <row r="5046" spans="27:31" x14ac:dyDescent="0.25">
      <c r="AA5046" s="160"/>
      <c r="AB5046" s="162"/>
      <c r="AC5046" s="162"/>
      <c r="AD5046" s="162">
        <f t="shared" si="98"/>
        <v>0</v>
      </c>
      <c r="AE5046" s="160">
        <v>5044</v>
      </c>
    </row>
    <row r="5047" spans="27:31" x14ac:dyDescent="0.25">
      <c r="AA5047" s="160"/>
      <c r="AB5047" s="162"/>
      <c r="AC5047" s="162"/>
      <c r="AD5047" s="162">
        <f t="shared" si="98"/>
        <v>0</v>
      </c>
      <c r="AE5047" s="160">
        <v>5045</v>
      </c>
    </row>
    <row r="5048" spans="27:31" x14ac:dyDescent="0.25">
      <c r="AA5048" s="160"/>
      <c r="AB5048" s="162"/>
      <c r="AC5048" s="162"/>
      <c r="AD5048" s="162">
        <f t="shared" si="98"/>
        <v>0</v>
      </c>
      <c r="AE5048" s="160">
        <v>5046</v>
      </c>
    </row>
    <row r="5049" spans="27:31" x14ac:dyDescent="0.25">
      <c r="AA5049" s="160"/>
      <c r="AB5049" s="162"/>
      <c r="AC5049" s="162"/>
      <c r="AD5049" s="162">
        <f t="shared" si="98"/>
        <v>0</v>
      </c>
      <c r="AE5049" s="160">
        <v>5047</v>
      </c>
    </row>
    <row r="5050" spans="27:31" x14ac:dyDescent="0.25">
      <c r="AA5050" s="160"/>
      <c r="AB5050" s="162"/>
      <c r="AC5050" s="162"/>
      <c r="AD5050" s="162">
        <f t="shared" si="98"/>
        <v>0</v>
      </c>
      <c r="AE5050" s="160">
        <v>5048</v>
      </c>
    </row>
    <row r="5051" spans="27:31" x14ac:dyDescent="0.25">
      <c r="AA5051" s="160"/>
      <c r="AB5051" s="162"/>
      <c r="AC5051" s="162"/>
      <c r="AD5051" s="162">
        <f t="shared" si="98"/>
        <v>0</v>
      </c>
      <c r="AE5051" s="160">
        <v>5049</v>
      </c>
    </row>
    <row r="5052" spans="27:31" x14ac:dyDescent="0.25">
      <c r="AA5052" s="160"/>
      <c r="AB5052" s="162"/>
      <c r="AC5052" s="162"/>
      <c r="AD5052" s="162">
        <f t="shared" si="98"/>
        <v>0</v>
      </c>
      <c r="AE5052" s="160">
        <v>5050</v>
      </c>
    </row>
    <row r="5053" spans="27:31" x14ac:dyDescent="0.25">
      <c r="AA5053" s="160"/>
      <c r="AB5053" s="162"/>
      <c r="AC5053" s="162"/>
      <c r="AD5053" s="162">
        <f t="shared" si="98"/>
        <v>0</v>
      </c>
      <c r="AE5053" s="160">
        <v>5051</v>
      </c>
    </row>
    <row r="5054" spans="27:31" x14ac:dyDescent="0.25">
      <c r="AA5054" s="160"/>
      <c r="AB5054" s="162"/>
      <c r="AC5054" s="162"/>
      <c r="AD5054" s="162">
        <f t="shared" si="98"/>
        <v>0</v>
      </c>
      <c r="AE5054" s="160">
        <v>5052</v>
      </c>
    </row>
    <row r="5055" spans="27:31" x14ac:dyDescent="0.25">
      <c r="AA5055" s="160"/>
      <c r="AB5055" s="162"/>
      <c r="AC5055" s="162"/>
      <c r="AD5055" s="162">
        <f t="shared" si="98"/>
        <v>0</v>
      </c>
      <c r="AE5055" s="160">
        <v>5053</v>
      </c>
    </row>
    <row r="5056" spans="27:31" x14ac:dyDescent="0.25">
      <c r="AA5056" s="160"/>
      <c r="AB5056" s="162"/>
      <c r="AC5056" s="162"/>
      <c r="AD5056" s="162">
        <f t="shared" si="98"/>
        <v>0</v>
      </c>
      <c r="AE5056" s="160">
        <v>5054</v>
      </c>
    </row>
    <row r="5057" spans="27:31" x14ac:dyDescent="0.25">
      <c r="AA5057" s="160"/>
      <c r="AB5057" s="162"/>
      <c r="AC5057" s="162"/>
      <c r="AD5057" s="162">
        <f t="shared" si="98"/>
        <v>0</v>
      </c>
      <c r="AE5057" s="160">
        <v>5055</v>
      </c>
    </row>
    <row r="5058" spans="27:31" x14ac:dyDescent="0.25">
      <c r="AA5058" s="160"/>
      <c r="AB5058" s="162"/>
      <c r="AC5058" s="162"/>
      <c r="AD5058" s="162">
        <f t="shared" si="98"/>
        <v>0</v>
      </c>
      <c r="AE5058" s="160">
        <v>5056</v>
      </c>
    </row>
    <row r="5059" spans="27:31" x14ac:dyDescent="0.25">
      <c r="AA5059" s="160"/>
      <c r="AB5059" s="162"/>
      <c r="AC5059" s="162"/>
      <c r="AD5059" s="162">
        <f t="shared" si="98"/>
        <v>0</v>
      </c>
      <c r="AE5059" s="160">
        <v>5057</v>
      </c>
    </row>
    <row r="5060" spans="27:31" x14ac:dyDescent="0.25">
      <c r="AA5060" s="160"/>
      <c r="AB5060" s="162"/>
      <c r="AC5060" s="162"/>
      <c r="AD5060" s="162">
        <f t="shared" ref="AD5060:AD5123" si="99">AB5060+AC5060</f>
        <v>0</v>
      </c>
      <c r="AE5060" s="160">
        <v>5058</v>
      </c>
    </row>
    <row r="5061" spans="27:31" x14ac:dyDescent="0.25">
      <c r="AA5061" s="160"/>
      <c r="AB5061" s="162"/>
      <c r="AC5061" s="162"/>
      <c r="AD5061" s="162">
        <f t="shared" si="99"/>
        <v>0</v>
      </c>
      <c r="AE5061" s="160">
        <v>5059</v>
      </c>
    </row>
    <row r="5062" spans="27:31" x14ac:dyDescent="0.25">
      <c r="AA5062" s="160"/>
      <c r="AB5062" s="162"/>
      <c r="AC5062" s="162"/>
      <c r="AD5062" s="162">
        <f t="shared" si="99"/>
        <v>0</v>
      </c>
      <c r="AE5062" s="160">
        <v>5060</v>
      </c>
    </row>
    <row r="5063" spans="27:31" x14ac:dyDescent="0.25">
      <c r="AA5063" s="160"/>
      <c r="AB5063" s="162"/>
      <c r="AC5063" s="162"/>
      <c r="AD5063" s="162">
        <f t="shared" si="99"/>
        <v>0</v>
      </c>
      <c r="AE5063" s="160">
        <v>5061</v>
      </c>
    </row>
    <row r="5064" spans="27:31" x14ac:dyDescent="0.25">
      <c r="AA5064" s="160"/>
      <c r="AB5064" s="162"/>
      <c r="AC5064" s="162"/>
      <c r="AD5064" s="162">
        <f t="shared" si="99"/>
        <v>0</v>
      </c>
      <c r="AE5064" s="160">
        <v>5062</v>
      </c>
    </row>
    <row r="5065" spans="27:31" x14ac:dyDescent="0.25">
      <c r="AA5065" s="160"/>
      <c r="AB5065" s="162"/>
      <c r="AC5065" s="162"/>
      <c r="AD5065" s="162">
        <f t="shared" si="99"/>
        <v>0</v>
      </c>
      <c r="AE5065" s="160">
        <v>5063</v>
      </c>
    </row>
    <row r="5066" spans="27:31" x14ac:dyDescent="0.25">
      <c r="AA5066" s="160"/>
      <c r="AB5066" s="162"/>
      <c r="AC5066" s="162"/>
      <c r="AD5066" s="162">
        <f t="shared" si="99"/>
        <v>0</v>
      </c>
      <c r="AE5066" s="160">
        <v>5064</v>
      </c>
    </row>
    <row r="5067" spans="27:31" x14ac:dyDescent="0.25">
      <c r="AA5067" s="160"/>
      <c r="AB5067" s="162"/>
      <c r="AC5067" s="162"/>
      <c r="AD5067" s="162">
        <f t="shared" si="99"/>
        <v>0</v>
      </c>
      <c r="AE5067" s="160">
        <v>5065</v>
      </c>
    </row>
    <row r="5068" spans="27:31" x14ac:dyDescent="0.25">
      <c r="AA5068" s="160"/>
      <c r="AB5068" s="162"/>
      <c r="AC5068" s="162"/>
      <c r="AD5068" s="162">
        <f t="shared" si="99"/>
        <v>0</v>
      </c>
      <c r="AE5068" s="160">
        <v>5066</v>
      </c>
    </row>
    <row r="5069" spans="27:31" x14ac:dyDescent="0.25">
      <c r="AA5069" s="160"/>
      <c r="AB5069" s="162"/>
      <c r="AC5069" s="162"/>
      <c r="AD5069" s="162">
        <f t="shared" si="99"/>
        <v>0</v>
      </c>
      <c r="AE5069" s="160">
        <v>5067</v>
      </c>
    </row>
    <row r="5070" spans="27:31" x14ac:dyDescent="0.25">
      <c r="AA5070" s="160"/>
      <c r="AB5070" s="162"/>
      <c r="AC5070" s="162"/>
      <c r="AD5070" s="162">
        <f t="shared" si="99"/>
        <v>0</v>
      </c>
      <c r="AE5070" s="160">
        <v>5068</v>
      </c>
    </row>
    <row r="5071" spans="27:31" x14ac:dyDescent="0.25">
      <c r="AA5071" s="160"/>
      <c r="AB5071" s="162"/>
      <c r="AC5071" s="162"/>
      <c r="AD5071" s="162">
        <f t="shared" si="99"/>
        <v>0</v>
      </c>
      <c r="AE5071" s="160">
        <v>5069</v>
      </c>
    </row>
    <row r="5072" spans="27:31" x14ac:dyDescent="0.25">
      <c r="AA5072" s="160"/>
      <c r="AB5072" s="162"/>
      <c r="AC5072" s="162"/>
      <c r="AD5072" s="162">
        <f t="shared" si="99"/>
        <v>0</v>
      </c>
      <c r="AE5072" s="160">
        <v>5070</v>
      </c>
    </row>
    <row r="5073" spans="27:31" x14ac:dyDescent="0.25">
      <c r="AA5073" s="160"/>
      <c r="AB5073" s="162"/>
      <c r="AC5073" s="162"/>
      <c r="AD5073" s="162">
        <f t="shared" si="99"/>
        <v>0</v>
      </c>
      <c r="AE5073" s="160">
        <v>5071</v>
      </c>
    </row>
    <row r="5074" spans="27:31" x14ac:dyDescent="0.25">
      <c r="AA5074" s="160"/>
      <c r="AB5074" s="162"/>
      <c r="AC5074" s="162"/>
      <c r="AD5074" s="162">
        <f t="shared" si="99"/>
        <v>0</v>
      </c>
      <c r="AE5074" s="160">
        <v>5072</v>
      </c>
    </row>
    <row r="5075" spans="27:31" x14ac:dyDescent="0.25">
      <c r="AA5075" s="160"/>
      <c r="AB5075" s="162"/>
      <c r="AC5075" s="162"/>
      <c r="AD5075" s="162">
        <f t="shared" si="99"/>
        <v>0</v>
      </c>
      <c r="AE5075" s="160">
        <v>5073</v>
      </c>
    </row>
    <row r="5076" spans="27:31" x14ac:dyDescent="0.25">
      <c r="AA5076" s="160"/>
      <c r="AB5076" s="162"/>
      <c r="AC5076" s="162"/>
      <c r="AD5076" s="162">
        <f t="shared" si="99"/>
        <v>0</v>
      </c>
      <c r="AE5076" s="160">
        <v>5074</v>
      </c>
    </row>
    <row r="5077" spans="27:31" x14ac:dyDescent="0.25">
      <c r="AA5077" s="160"/>
      <c r="AB5077" s="162"/>
      <c r="AC5077" s="162"/>
      <c r="AD5077" s="162">
        <f t="shared" si="99"/>
        <v>0</v>
      </c>
      <c r="AE5077" s="160">
        <v>5075</v>
      </c>
    </row>
    <row r="5078" spans="27:31" x14ac:dyDescent="0.25">
      <c r="AA5078" s="160"/>
      <c r="AB5078" s="162"/>
      <c r="AC5078" s="162"/>
      <c r="AD5078" s="162">
        <f t="shared" si="99"/>
        <v>0</v>
      </c>
      <c r="AE5078" s="160">
        <v>5076</v>
      </c>
    </row>
    <row r="5079" spans="27:31" x14ac:dyDescent="0.25">
      <c r="AA5079" s="160"/>
      <c r="AB5079" s="162"/>
      <c r="AC5079" s="162"/>
      <c r="AD5079" s="162">
        <f t="shared" si="99"/>
        <v>0</v>
      </c>
      <c r="AE5079" s="160">
        <v>5077</v>
      </c>
    </row>
    <row r="5080" spans="27:31" x14ac:dyDescent="0.25">
      <c r="AA5080" s="160"/>
      <c r="AB5080" s="162"/>
      <c r="AC5080" s="162"/>
      <c r="AD5080" s="162">
        <f t="shared" si="99"/>
        <v>0</v>
      </c>
      <c r="AE5080" s="160">
        <v>5078</v>
      </c>
    </row>
    <row r="5081" spans="27:31" x14ac:dyDescent="0.25">
      <c r="AA5081" s="160"/>
      <c r="AB5081" s="162"/>
      <c r="AC5081" s="162"/>
      <c r="AD5081" s="162">
        <f t="shared" si="99"/>
        <v>0</v>
      </c>
      <c r="AE5081" s="160">
        <v>5079</v>
      </c>
    </row>
    <row r="5082" spans="27:31" x14ac:dyDescent="0.25">
      <c r="AA5082" s="160"/>
      <c r="AB5082" s="162"/>
      <c r="AC5082" s="162"/>
      <c r="AD5082" s="162">
        <f t="shared" si="99"/>
        <v>0</v>
      </c>
      <c r="AE5082" s="160">
        <v>5080</v>
      </c>
    </row>
    <row r="5083" spans="27:31" x14ac:dyDescent="0.25">
      <c r="AA5083" s="160"/>
      <c r="AB5083" s="162"/>
      <c r="AC5083" s="162"/>
      <c r="AD5083" s="162">
        <f t="shared" si="99"/>
        <v>0</v>
      </c>
      <c r="AE5083" s="160">
        <v>5081</v>
      </c>
    </row>
    <row r="5084" spans="27:31" x14ac:dyDescent="0.25">
      <c r="AA5084" s="160"/>
      <c r="AB5084" s="162"/>
      <c r="AC5084" s="162"/>
      <c r="AD5084" s="162">
        <f t="shared" si="99"/>
        <v>0</v>
      </c>
      <c r="AE5084" s="160">
        <v>5082</v>
      </c>
    </row>
    <row r="5085" spans="27:31" x14ac:dyDescent="0.25">
      <c r="AA5085" s="160"/>
      <c r="AB5085" s="162"/>
      <c r="AC5085" s="162"/>
      <c r="AD5085" s="162">
        <f t="shared" si="99"/>
        <v>0</v>
      </c>
      <c r="AE5085" s="160">
        <v>5083</v>
      </c>
    </row>
    <row r="5086" spans="27:31" x14ac:dyDescent="0.25">
      <c r="AA5086" s="160"/>
      <c r="AB5086" s="162"/>
      <c r="AC5086" s="162"/>
      <c r="AD5086" s="162">
        <f t="shared" si="99"/>
        <v>0</v>
      </c>
      <c r="AE5086" s="160">
        <v>5084</v>
      </c>
    </row>
    <row r="5087" spans="27:31" x14ac:dyDescent="0.25">
      <c r="AA5087" s="160"/>
      <c r="AB5087" s="162"/>
      <c r="AC5087" s="162"/>
      <c r="AD5087" s="162">
        <f t="shared" si="99"/>
        <v>0</v>
      </c>
      <c r="AE5087" s="160">
        <v>5085</v>
      </c>
    </row>
    <row r="5088" spans="27:31" x14ac:dyDescent="0.25">
      <c r="AA5088" s="160"/>
      <c r="AB5088" s="162"/>
      <c r="AC5088" s="162"/>
      <c r="AD5088" s="162">
        <f t="shared" si="99"/>
        <v>0</v>
      </c>
      <c r="AE5088" s="160">
        <v>5086</v>
      </c>
    </row>
    <row r="5089" spans="27:31" x14ac:dyDescent="0.25">
      <c r="AA5089" s="160"/>
      <c r="AB5089" s="162"/>
      <c r="AC5089" s="162"/>
      <c r="AD5089" s="162">
        <f t="shared" si="99"/>
        <v>0</v>
      </c>
      <c r="AE5089" s="160">
        <v>5087</v>
      </c>
    </row>
    <row r="5090" spans="27:31" x14ac:dyDescent="0.25">
      <c r="AA5090" s="160"/>
      <c r="AB5090" s="162"/>
      <c r="AC5090" s="162"/>
      <c r="AD5090" s="162">
        <f t="shared" si="99"/>
        <v>0</v>
      </c>
      <c r="AE5090" s="160">
        <v>5088</v>
      </c>
    </row>
    <row r="5091" spans="27:31" x14ac:dyDescent="0.25">
      <c r="AA5091" s="160"/>
      <c r="AB5091" s="162"/>
      <c r="AC5091" s="162"/>
      <c r="AD5091" s="162">
        <f t="shared" si="99"/>
        <v>0</v>
      </c>
      <c r="AE5091" s="160">
        <v>5089</v>
      </c>
    </row>
    <row r="5092" spans="27:31" x14ac:dyDescent="0.25">
      <c r="AA5092" s="160"/>
      <c r="AB5092" s="162"/>
      <c r="AC5092" s="162"/>
      <c r="AD5092" s="162">
        <f t="shared" si="99"/>
        <v>0</v>
      </c>
      <c r="AE5092" s="160">
        <v>5090</v>
      </c>
    </row>
    <row r="5093" spans="27:31" x14ac:dyDescent="0.25">
      <c r="AA5093" s="160"/>
      <c r="AB5093" s="162"/>
      <c r="AC5093" s="162"/>
      <c r="AD5093" s="162">
        <f t="shared" si="99"/>
        <v>0</v>
      </c>
      <c r="AE5093" s="160">
        <v>5091</v>
      </c>
    </row>
    <row r="5094" spans="27:31" x14ac:dyDescent="0.25">
      <c r="AA5094" s="160"/>
      <c r="AB5094" s="162"/>
      <c r="AC5094" s="162"/>
      <c r="AD5094" s="162">
        <f t="shared" si="99"/>
        <v>0</v>
      </c>
      <c r="AE5094" s="160">
        <v>5092</v>
      </c>
    </row>
    <row r="5095" spans="27:31" x14ac:dyDescent="0.25">
      <c r="AA5095" s="160"/>
      <c r="AB5095" s="162"/>
      <c r="AC5095" s="162"/>
      <c r="AD5095" s="162">
        <f t="shared" si="99"/>
        <v>0</v>
      </c>
      <c r="AE5095" s="160">
        <v>5093</v>
      </c>
    </row>
    <row r="5096" spans="27:31" x14ac:dyDescent="0.25">
      <c r="AA5096" s="160"/>
      <c r="AB5096" s="162"/>
      <c r="AC5096" s="162"/>
      <c r="AD5096" s="162">
        <f t="shared" si="99"/>
        <v>0</v>
      </c>
      <c r="AE5096" s="160">
        <v>5094</v>
      </c>
    </row>
    <row r="5097" spans="27:31" x14ac:dyDescent="0.25">
      <c r="AA5097" s="160"/>
      <c r="AB5097" s="162"/>
      <c r="AC5097" s="162"/>
      <c r="AD5097" s="162">
        <f t="shared" si="99"/>
        <v>0</v>
      </c>
      <c r="AE5097" s="160">
        <v>5095</v>
      </c>
    </row>
    <row r="5098" spans="27:31" x14ac:dyDescent="0.25">
      <c r="AA5098" s="160"/>
      <c r="AB5098" s="162"/>
      <c r="AC5098" s="162"/>
      <c r="AD5098" s="162">
        <f t="shared" si="99"/>
        <v>0</v>
      </c>
      <c r="AE5098" s="160">
        <v>5096</v>
      </c>
    </row>
    <row r="5099" spans="27:31" x14ac:dyDescent="0.25">
      <c r="AA5099" s="160"/>
      <c r="AB5099" s="162"/>
      <c r="AC5099" s="162"/>
      <c r="AD5099" s="162">
        <f t="shared" si="99"/>
        <v>0</v>
      </c>
      <c r="AE5099" s="160">
        <v>5097</v>
      </c>
    </row>
    <row r="5100" spans="27:31" x14ac:dyDescent="0.25">
      <c r="AA5100" s="160"/>
      <c r="AB5100" s="162"/>
      <c r="AC5100" s="162"/>
      <c r="AD5100" s="162">
        <f t="shared" si="99"/>
        <v>0</v>
      </c>
      <c r="AE5100" s="160">
        <v>5098</v>
      </c>
    </row>
    <row r="5101" spans="27:31" x14ac:dyDescent="0.25">
      <c r="AA5101" s="160"/>
      <c r="AB5101" s="162"/>
      <c r="AC5101" s="162"/>
      <c r="AD5101" s="162">
        <f t="shared" si="99"/>
        <v>0</v>
      </c>
      <c r="AE5101" s="160">
        <v>5099</v>
      </c>
    </row>
    <row r="5102" spans="27:31" x14ac:dyDescent="0.25">
      <c r="AA5102" s="160"/>
      <c r="AB5102" s="162"/>
      <c r="AC5102" s="162"/>
      <c r="AD5102" s="162">
        <f t="shared" si="99"/>
        <v>0</v>
      </c>
      <c r="AE5102" s="160">
        <v>5100</v>
      </c>
    </row>
    <row r="5103" spans="27:31" x14ac:dyDescent="0.25">
      <c r="AA5103" s="160"/>
      <c r="AB5103" s="162"/>
      <c r="AC5103" s="162"/>
      <c r="AD5103" s="162">
        <f t="shared" si="99"/>
        <v>0</v>
      </c>
      <c r="AE5103" s="160">
        <v>5101</v>
      </c>
    </row>
    <row r="5104" spans="27:31" x14ac:dyDescent="0.25">
      <c r="AA5104" s="160"/>
      <c r="AB5104" s="162"/>
      <c r="AC5104" s="162"/>
      <c r="AD5104" s="162">
        <f t="shared" si="99"/>
        <v>0</v>
      </c>
      <c r="AE5104" s="160">
        <v>5102</v>
      </c>
    </row>
    <row r="5105" spans="27:31" x14ac:dyDescent="0.25">
      <c r="AA5105" s="160"/>
      <c r="AB5105" s="162"/>
      <c r="AC5105" s="162"/>
      <c r="AD5105" s="162">
        <f t="shared" si="99"/>
        <v>0</v>
      </c>
      <c r="AE5105" s="160">
        <v>5103</v>
      </c>
    </row>
    <row r="5106" spans="27:31" x14ac:dyDescent="0.25">
      <c r="AA5106" s="160"/>
      <c r="AB5106" s="162"/>
      <c r="AC5106" s="162"/>
      <c r="AD5106" s="162">
        <f t="shared" si="99"/>
        <v>0</v>
      </c>
      <c r="AE5106" s="160">
        <v>5104</v>
      </c>
    </row>
    <row r="5107" spans="27:31" x14ac:dyDescent="0.25">
      <c r="AA5107" s="160"/>
      <c r="AB5107" s="162"/>
      <c r="AC5107" s="162"/>
      <c r="AD5107" s="162">
        <f t="shared" si="99"/>
        <v>0</v>
      </c>
      <c r="AE5107" s="160">
        <v>5105</v>
      </c>
    </row>
    <row r="5108" spans="27:31" x14ac:dyDescent="0.25">
      <c r="AA5108" s="160"/>
      <c r="AB5108" s="162"/>
      <c r="AC5108" s="162"/>
      <c r="AD5108" s="162">
        <f t="shared" si="99"/>
        <v>0</v>
      </c>
      <c r="AE5108" s="160">
        <v>5106</v>
      </c>
    </row>
    <row r="5109" spans="27:31" x14ac:dyDescent="0.25">
      <c r="AA5109" s="160"/>
      <c r="AB5109" s="162"/>
      <c r="AC5109" s="162"/>
      <c r="AD5109" s="162">
        <f t="shared" si="99"/>
        <v>0</v>
      </c>
      <c r="AE5109" s="160">
        <v>5107</v>
      </c>
    </row>
    <row r="5110" spans="27:31" x14ac:dyDescent="0.25">
      <c r="AA5110" s="160"/>
      <c r="AB5110" s="162"/>
      <c r="AC5110" s="162"/>
      <c r="AD5110" s="162">
        <f t="shared" si="99"/>
        <v>0</v>
      </c>
      <c r="AE5110" s="160">
        <v>5108</v>
      </c>
    </row>
    <row r="5111" spans="27:31" x14ac:dyDescent="0.25">
      <c r="AA5111" s="160"/>
      <c r="AB5111" s="162"/>
      <c r="AC5111" s="162"/>
      <c r="AD5111" s="162">
        <f t="shared" si="99"/>
        <v>0</v>
      </c>
      <c r="AE5111" s="160">
        <v>5109</v>
      </c>
    </row>
    <row r="5112" spans="27:31" x14ac:dyDescent="0.25">
      <c r="AA5112" s="160"/>
      <c r="AB5112" s="162"/>
      <c r="AC5112" s="162"/>
      <c r="AD5112" s="162">
        <f t="shared" si="99"/>
        <v>0</v>
      </c>
      <c r="AE5112" s="160">
        <v>5110</v>
      </c>
    </row>
    <row r="5113" spans="27:31" x14ac:dyDescent="0.25">
      <c r="AA5113" s="160"/>
      <c r="AB5113" s="162"/>
      <c r="AC5113" s="162"/>
      <c r="AD5113" s="162">
        <f t="shared" si="99"/>
        <v>0</v>
      </c>
      <c r="AE5113" s="160">
        <v>5111</v>
      </c>
    </row>
    <row r="5114" spans="27:31" x14ac:dyDescent="0.25">
      <c r="AA5114" s="160"/>
      <c r="AB5114" s="162"/>
      <c r="AC5114" s="162"/>
      <c r="AD5114" s="162">
        <f t="shared" si="99"/>
        <v>0</v>
      </c>
      <c r="AE5114" s="160">
        <v>5112</v>
      </c>
    </row>
    <row r="5115" spans="27:31" x14ac:dyDescent="0.25">
      <c r="AA5115" s="160"/>
      <c r="AB5115" s="162"/>
      <c r="AC5115" s="162"/>
      <c r="AD5115" s="162">
        <f t="shared" si="99"/>
        <v>0</v>
      </c>
      <c r="AE5115" s="160">
        <v>5113</v>
      </c>
    </row>
    <row r="5116" spans="27:31" x14ac:dyDescent="0.25">
      <c r="AA5116" s="160"/>
      <c r="AB5116" s="162"/>
      <c r="AC5116" s="162"/>
      <c r="AD5116" s="162">
        <f t="shared" si="99"/>
        <v>0</v>
      </c>
      <c r="AE5116" s="160">
        <v>5114</v>
      </c>
    </row>
    <row r="5117" spans="27:31" x14ac:dyDescent="0.25">
      <c r="AA5117" s="160"/>
      <c r="AB5117" s="162"/>
      <c r="AC5117" s="162"/>
      <c r="AD5117" s="162">
        <f t="shared" si="99"/>
        <v>0</v>
      </c>
      <c r="AE5117" s="160">
        <v>5115</v>
      </c>
    </row>
    <row r="5118" spans="27:31" x14ac:dyDescent="0.25">
      <c r="AA5118" s="160"/>
      <c r="AB5118" s="162"/>
      <c r="AC5118" s="162"/>
      <c r="AD5118" s="162">
        <f t="shared" si="99"/>
        <v>0</v>
      </c>
      <c r="AE5118" s="160">
        <v>5116</v>
      </c>
    </row>
    <row r="5119" spans="27:31" x14ac:dyDescent="0.25">
      <c r="AA5119" s="160"/>
      <c r="AB5119" s="162"/>
      <c r="AC5119" s="162"/>
      <c r="AD5119" s="162">
        <f t="shared" si="99"/>
        <v>0</v>
      </c>
      <c r="AE5119" s="160">
        <v>5117</v>
      </c>
    </row>
    <row r="5120" spans="27:31" x14ac:dyDescent="0.25">
      <c r="AA5120" s="160"/>
      <c r="AB5120" s="162"/>
      <c r="AC5120" s="162"/>
      <c r="AD5120" s="162">
        <f t="shared" si="99"/>
        <v>0</v>
      </c>
      <c r="AE5120" s="160">
        <v>5118</v>
      </c>
    </row>
    <row r="5121" spans="27:31" x14ac:dyDescent="0.25">
      <c r="AA5121" s="160"/>
      <c r="AB5121" s="162"/>
      <c r="AC5121" s="162"/>
      <c r="AD5121" s="162">
        <f t="shared" si="99"/>
        <v>0</v>
      </c>
      <c r="AE5121" s="160">
        <v>5119</v>
      </c>
    </row>
    <row r="5122" spans="27:31" x14ac:dyDescent="0.25">
      <c r="AA5122" s="160"/>
      <c r="AB5122" s="162"/>
      <c r="AC5122" s="162"/>
      <c r="AD5122" s="162">
        <f t="shared" si="99"/>
        <v>0</v>
      </c>
      <c r="AE5122" s="160">
        <v>5120</v>
      </c>
    </row>
    <row r="5123" spans="27:31" x14ac:dyDescent="0.25">
      <c r="AA5123" s="160"/>
      <c r="AB5123" s="162"/>
      <c r="AC5123" s="162"/>
      <c r="AD5123" s="162">
        <f t="shared" si="99"/>
        <v>0</v>
      </c>
      <c r="AE5123" s="160">
        <v>5121</v>
      </c>
    </row>
    <row r="5124" spans="27:31" x14ac:dyDescent="0.25">
      <c r="AA5124" s="160"/>
      <c r="AB5124" s="162"/>
      <c r="AC5124" s="162"/>
      <c r="AD5124" s="162">
        <f t="shared" ref="AD5124:AD5187" si="100">AB5124+AC5124</f>
        <v>0</v>
      </c>
      <c r="AE5124" s="160">
        <v>5122</v>
      </c>
    </row>
    <row r="5125" spans="27:31" x14ac:dyDescent="0.25">
      <c r="AA5125" s="160"/>
      <c r="AB5125" s="162"/>
      <c r="AC5125" s="162"/>
      <c r="AD5125" s="162">
        <f t="shared" si="100"/>
        <v>0</v>
      </c>
      <c r="AE5125" s="160">
        <v>5123</v>
      </c>
    </row>
    <row r="5126" spans="27:31" x14ac:dyDescent="0.25">
      <c r="AA5126" s="160"/>
      <c r="AB5126" s="162"/>
      <c r="AC5126" s="162"/>
      <c r="AD5126" s="162">
        <f t="shared" si="100"/>
        <v>0</v>
      </c>
      <c r="AE5126" s="160">
        <v>5124</v>
      </c>
    </row>
    <row r="5127" spans="27:31" x14ac:dyDescent="0.25">
      <c r="AA5127" s="160"/>
      <c r="AB5127" s="162"/>
      <c r="AC5127" s="162"/>
      <c r="AD5127" s="162">
        <f t="shared" si="100"/>
        <v>0</v>
      </c>
      <c r="AE5127" s="160">
        <v>5125</v>
      </c>
    </row>
    <row r="5128" spans="27:31" x14ac:dyDescent="0.25">
      <c r="AA5128" s="160"/>
      <c r="AB5128" s="162"/>
      <c r="AC5128" s="162"/>
      <c r="AD5128" s="162">
        <f t="shared" si="100"/>
        <v>0</v>
      </c>
      <c r="AE5128" s="160">
        <v>5126</v>
      </c>
    </row>
    <row r="5129" spans="27:31" x14ac:dyDescent="0.25">
      <c r="AA5129" s="160"/>
      <c r="AB5129" s="162"/>
      <c r="AC5129" s="162"/>
      <c r="AD5129" s="162">
        <f t="shared" si="100"/>
        <v>0</v>
      </c>
      <c r="AE5129" s="160">
        <v>5127</v>
      </c>
    </row>
    <row r="5130" spans="27:31" x14ac:dyDescent="0.25">
      <c r="AA5130" s="160"/>
      <c r="AB5130" s="162"/>
      <c r="AC5130" s="162"/>
      <c r="AD5130" s="162">
        <f t="shared" si="100"/>
        <v>0</v>
      </c>
      <c r="AE5130" s="160">
        <v>5128</v>
      </c>
    </row>
    <row r="5131" spans="27:31" x14ac:dyDescent="0.25">
      <c r="AA5131" s="160"/>
      <c r="AB5131" s="162"/>
      <c r="AC5131" s="162"/>
      <c r="AD5131" s="162">
        <f t="shared" si="100"/>
        <v>0</v>
      </c>
      <c r="AE5131" s="160">
        <v>5129</v>
      </c>
    </row>
    <row r="5132" spans="27:31" x14ac:dyDescent="0.25">
      <c r="AA5132" s="160"/>
      <c r="AB5132" s="162"/>
      <c r="AC5132" s="162"/>
      <c r="AD5132" s="162">
        <f t="shared" si="100"/>
        <v>0</v>
      </c>
      <c r="AE5132" s="160">
        <v>5130</v>
      </c>
    </row>
    <row r="5133" spans="27:31" x14ac:dyDescent="0.25">
      <c r="AA5133" s="160"/>
      <c r="AB5133" s="162"/>
      <c r="AC5133" s="162"/>
      <c r="AD5133" s="162">
        <f t="shared" si="100"/>
        <v>0</v>
      </c>
      <c r="AE5133" s="160">
        <v>5131</v>
      </c>
    </row>
    <row r="5134" spans="27:31" x14ac:dyDescent="0.25">
      <c r="AA5134" s="160"/>
      <c r="AB5134" s="162"/>
      <c r="AC5134" s="162"/>
      <c r="AD5134" s="162">
        <f t="shared" si="100"/>
        <v>0</v>
      </c>
      <c r="AE5134" s="160">
        <v>5132</v>
      </c>
    </row>
    <row r="5135" spans="27:31" x14ac:dyDescent="0.25">
      <c r="AA5135" s="160"/>
      <c r="AB5135" s="162"/>
      <c r="AC5135" s="162"/>
      <c r="AD5135" s="162">
        <f t="shared" si="100"/>
        <v>0</v>
      </c>
      <c r="AE5135" s="160">
        <v>5133</v>
      </c>
    </row>
    <row r="5136" spans="27:31" x14ac:dyDescent="0.25">
      <c r="AA5136" s="160"/>
      <c r="AB5136" s="162"/>
      <c r="AC5136" s="162"/>
      <c r="AD5136" s="162">
        <f t="shared" si="100"/>
        <v>0</v>
      </c>
      <c r="AE5136" s="160">
        <v>5134</v>
      </c>
    </row>
    <row r="5137" spans="27:31" x14ac:dyDescent="0.25">
      <c r="AA5137" s="160"/>
      <c r="AB5137" s="162"/>
      <c r="AC5137" s="162"/>
      <c r="AD5137" s="162">
        <f t="shared" si="100"/>
        <v>0</v>
      </c>
      <c r="AE5137" s="160">
        <v>5135</v>
      </c>
    </row>
    <row r="5138" spans="27:31" x14ac:dyDescent="0.25">
      <c r="AA5138" s="160"/>
      <c r="AB5138" s="162"/>
      <c r="AC5138" s="162"/>
      <c r="AD5138" s="162">
        <f t="shared" si="100"/>
        <v>0</v>
      </c>
      <c r="AE5138" s="160">
        <v>5136</v>
      </c>
    </row>
    <row r="5139" spans="27:31" x14ac:dyDescent="0.25">
      <c r="AA5139" s="160"/>
      <c r="AB5139" s="162"/>
      <c r="AC5139" s="162"/>
      <c r="AD5139" s="162">
        <f t="shared" si="100"/>
        <v>0</v>
      </c>
      <c r="AE5139" s="160">
        <v>5137</v>
      </c>
    </row>
    <row r="5140" spans="27:31" x14ac:dyDescent="0.25">
      <c r="AA5140" s="160"/>
      <c r="AB5140" s="162"/>
      <c r="AC5140" s="162"/>
      <c r="AD5140" s="162">
        <f t="shared" si="100"/>
        <v>0</v>
      </c>
      <c r="AE5140" s="160">
        <v>5138</v>
      </c>
    </row>
    <row r="5141" spans="27:31" x14ac:dyDescent="0.25">
      <c r="AA5141" s="160"/>
      <c r="AB5141" s="162"/>
      <c r="AC5141" s="162"/>
      <c r="AD5141" s="162">
        <f t="shared" si="100"/>
        <v>0</v>
      </c>
      <c r="AE5141" s="160">
        <v>5139</v>
      </c>
    </row>
    <row r="5142" spans="27:31" x14ac:dyDescent="0.25">
      <c r="AA5142" s="160"/>
      <c r="AB5142" s="162"/>
      <c r="AC5142" s="162"/>
      <c r="AD5142" s="162">
        <f t="shared" si="100"/>
        <v>0</v>
      </c>
      <c r="AE5142" s="160">
        <v>5140</v>
      </c>
    </row>
    <row r="5143" spans="27:31" x14ac:dyDescent="0.25">
      <c r="AA5143" s="160"/>
      <c r="AB5143" s="162"/>
      <c r="AC5143" s="162"/>
      <c r="AD5143" s="162">
        <f t="shared" si="100"/>
        <v>0</v>
      </c>
      <c r="AE5143" s="160">
        <v>5141</v>
      </c>
    </row>
    <row r="5144" spans="27:31" x14ac:dyDescent="0.25">
      <c r="AA5144" s="160"/>
      <c r="AB5144" s="162"/>
      <c r="AC5144" s="162"/>
      <c r="AD5144" s="162">
        <f t="shared" si="100"/>
        <v>0</v>
      </c>
      <c r="AE5144" s="160">
        <v>5142</v>
      </c>
    </row>
    <row r="5145" spans="27:31" x14ac:dyDescent="0.25">
      <c r="AA5145" s="160"/>
      <c r="AB5145" s="162"/>
      <c r="AC5145" s="162"/>
      <c r="AD5145" s="162">
        <f t="shared" si="100"/>
        <v>0</v>
      </c>
      <c r="AE5145" s="160">
        <v>5143</v>
      </c>
    </row>
    <row r="5146" spans="27:31" x14ac:dyDescent="0.25">
      <c r="AA5146" s="160"/>
      <c r="AB5146" s="162"/>
      <c r="AC5146" s="162"/>
      <c r="AD5146" s="162">
        <f t="shared" si="100"/>
        <v>0</v>
      </c>
      <c r="AE5146" s="160">
        <v>5144</v>
      </c>
    </row>
    <row r="5147" spans="27:31" x14ac:dyDescent="0.25">
      <c r="AA5147" s="160"/>
      <c r="AB5147" s="162"/>
      <c r="AC5147" s="162"/>
      <c r="AD5147" s="162">
        <f t="shared" si="100"/>
        <v>0</v>
      </c>
      <c r="AE5147" s="160">
        <v>5145</v>
      </c>
    </row>
    <row r="5148" spans="27:31" x14ac:dyDescent="0.25">
      <c r="AA5148" s="160"/>
      <c r="AB5148" s="162"/>
      <c r="AC5148" s="162"/>
      <c r="AD5148" s="162">
        <f t="shared" si="100"/>
        <v>0</v>
      </c>
      <c r="AE5148" s="160">
        <v>5146</v>
      </c>
    </row>
    <row r="5149" spans="27:31" x14ac:dyDescent="0.25">
      <c r="AA5149" s="160"/>
      <c r="AB5149" s="162"/>
      <c r="AC5149" s="162"/>
      <c r="AD5149" s="162">
        <f t="shared" si="100"/>
        <v>0</v>
      </c>
      <c r="AE5149" s="160">
        <v>5147</v>
      </c>
    </row>
    <row r="5150" spans="27:31" x14ac:dyDescent="0.25">
      <c r="AA5150" s="160"/>
      <c r="AB5150" s="162"/>
      <c r="AC5150" s="162"/>
      <c r="AD5150" s="162">
        <f t="shared" si="100"/>
        <v>0</v>
      </c>
      <c r="AE5150" s="160">
        <v>5148</v>
      </c>
    </row>
    <row r="5151" spans="27:31" x14ac:dyDescent="0.25">
      <c r="AA5151" s="160"/>
      <c r="AB5151" s="162"/>
      <c r="AC5151" s="162"/>
      <c r="AD5151" s="162">
        <f t="shared" si="100"/>
        <v>0</v>
      </c>
      <c r="AE5151" s="160">
        <v>5149</v>
      </c>
    </row>
    <row r="5152" spans="27:31" x14ac:dyDescent="0.25">
      <c r="AA5152" s="160"/>
      <c r="AB5152" s="162"/>
      <c r="AC5152" s="162"/>
      <c r="AD5152" s="162">
        <f t="shared" si="100"/>
        <v>0</v>
      </c>
      <c r="AE5152" s="160">
        <v>5150</v>
      </c>
    </row>
    <row r="5153" spans="27:31" x14ac:dyDescent="0.25">
      <c r="AA5153" s="160"/>
      <c r="AB5153" s="162"/>
      <c r="AC5153" s="162"/>
      <c r="AD5153" s="162">
        <f t="shared" si="100"/>
        <v>0</v>
      </c>
      <c r="AE5153" s="160">
        <v>5151</v>
      </c>
    </row>
    <row r="5154" spans="27:31" x14ac:dyDescent="0.25">
      <c r="AA5154" s="160"/>
      <c r="AB5154" s="162"/>
      <c r="AC5154" s="162"/>
      <c r="AD5154" s="162">
        <f t="shared" si="100"/>
        <v>0</v>
      </c>
      <c r="AE5154" s="160">
        <v>5152</v>
      </c>
    </row>
    <row r="5155" spans="27:31" x14ac:dyDescent="0.25">
      <c r="AA5155" s="160"/>
      <c r="AB5155" s="162"/>
      <c r="AC5155" s="162"/>
      <c r="AD5155" s="162">
        <f t="shared" si="100"/>
        <v>0</v>
      </c>
      <c r="AE5155" s="160">
        <v>5153</v>
      </c>
    </row>
    <row r="5156" spans="27:31" x14ac:dyDescent="0.25">
      <c r="AA5156" s="160"/>
      <c r="AB5156" s="162"/>
      <c r="AC5156" s="162"/>
      <c r="AD5156" s="162">
        <f t="shared" si="100"/>
        <v>0</v>
      </c>
      <c r="AE5156" s="160">
        <v>5154</v>
      </c>
    </row>
    <row r="5157" spans="27:31" x14ac:dyDescent="0.25">
      <c r="AA5157" s="160"/>
      <c r="AB5157" s="162"/>
      <c r="AC5157" s="162"/>
      <c r="AD5157" s="162">
        <f t="shared" si="100"/>
        <v>0</v>
      </c>
      <c r="AE5157" s="160">
        <v>5155</v>
      </c>
    </row>
    <row r="5158" spans="27:31" x14ac:dyDescent="0.25">
      <c r="AA5158" s="160"/>
      <c r="AB5158" s="162"/>
      <c r="AC5158" s="162"/>
      <c r="AD5158" s="162">
        <f t="shared" si="100"/>
        <v>0</v>
      </c>
      <c r="AE5158" s="160">
        <v>5156</v>
      </c>
    </row>
    <row r="5159" spans="27:31" x14ac:dyDescent="0.25">
      <c r="AA5159" s="160"/>
      <c r="AB5159" s="162"/>
      <c r="AC5159" s="162"/>
      <c r="AD5159" s="162">
        <f t="shared" si="100"/>
        <v>0</v>
      </c>
      <c r="AE5159" s="160">
        <v>5157</v>
      </c>
    </row>
    <row r="5160" spans="27:31" x14ac:dyDescent="0.25">
      <c r="AA5160" s="160"/>
      <c r="AB5160" s="162"/>
      <c r="AC5160" s="162"/>
      <c r="AD5160" s="162">
        <f t="shared" si="100"/>
        <v>0</v>
      </c>
      <c r="AE5160" s="160">
        <v>5158</v>
      </c>
    </row>
    <row r="5161" spans="27:31" x14ac:dyDescent="0.25">
      <c r="AA5161" s="160"/>
      <c r="AB5161" s="162"/>
      <c r="AC5161" s="162"/>
      <c r="AD5161" s="162">
        <f t="shared" si="100"/>
        <v>0</v>
      </c>
      <c r="AE5161" s="160">
        <v>5159</v>
      </c>
    </row>
    <row r="5162" spans="27:31" x14ac:dyDescent="0.25">
      <c r="AA5162" s="160"/>
      <c r="AB5162" s="162"/>
      <c r="AC5162" s="162"/>
      <c r="AD5162" s="162">
        <f t="shared" si="100"/>
        <v>0</v>
      </c>
      <c r="AE5162" s="160">
        <v>5160</v>
      </c>
    </row>
    <row r="5163" spans="27:31" x14ac:dyDescent="0.25">
      <c r="AA5163" s="160"/>
      <c r="AB5163" s="162"/>
      <c r="AC5163" s="162"/>
      <c r="AD5163" s="162">
        <f t="shared" si="100"/>
        <v>0</v>
      </c>
      <c r="AE5163" s="160">
        <v>5161</v>
      </c>
    </row>
    <row r="5164" spans="27:31" x14ac:dyDescent="0.25">
      <c r="AA5164" s="160"/>
      <c r="AB5164" s="162"/>
      <c r="AC5164" s="162"/>
      <c r="AD5164" s="162">
        <f t="shared" si="100"/>
        <v>0</v>
      </c>
      <c r="AE5164" s="160">
        <v>5162</v>
      </c>
    </row>
    <row r="5165" spans="27:31" x14ac:dyDescent="0.25">
      <c r="AA5165" s="160"/>
      <c r="AB5165" s="162"/>
      <c r="AC5165" s="162"/>
      <c r="AD5165" s="162">
        <f t="shared" si="100"/>
        <v>0</v>
      </c>
      <c r="AE5165" s="160">
        <v>5163</v>
      </c>
    </row>
    <row r="5166" spans="27:31" x14ac:dyDescent="0.25">
      <c r="AA5166" s="160"/>
      <c r="AB5166" s="162"/>
      <c r="AC5166" s="162"/>
      <c r="AD5166" s="162">
        <f t="shared" si="100"/>
        <v>0</v>
      </c>
      <c r="AE5166" s="160">
        <v>5164</v>
      </c>
    </row>
    <row r="5167" spans="27:31" x14ac:dyDescent="0.25">
      <c r="AA5167" s="160"/>
      <c r="AB5167" s="162"/>
      <c r="AC5167" s="162"/>
      <c r="AD5167" s="162">
        <f t="shared" si="100"/>
        <v>0</v>
      </c>
      <c r="AE5167" s="160">
        <v>5165</v>
      </c>
    </row>
    <row r="5168" spans="27:31" x14ac:dyDescent="0.25">
      <c r="AA5168" s="160"/>
      <c r="AB5168" s="162"/>
      <c r="AC5168" s="162"/>
      <c r="AD5168" s="162">
        <f t="shared" si="100"/>
        <v>0</v>
      </c>
      <c r="AE5168" s="160">
        <v>5166</v>
      </c>
    </row>
    <row r="5169" spans="27:31" x14ac:dyDescent="0.25">
      <c r="AA5169" s="160"/>
      <c r="AB5169" s="162"/>
      <c r="AC5169" s="162"/>
      <c r="AD5169" s="162">
        <f t="shared" si="100"/>
        <v>0</v>
      </c>
      <c r="AE5169" s="160">
        <v>5167</v>
      </c>
    </row>
    <row r="5170" spans="27:31" x14ac:dyDescent="0.25">
      <c r="AA5170" s="160"/>
      <c r="AB5170" s="162"/>
      <c r="AC5170" s="162"/>
      <c r="AD5170" s="162">
        <f t="shared" si="100"/>
        <v>0</v>
      </c>
      <c r="AE5170" s="160">
        <v>5168</v>
      </c>
    </row>
    <row r="5171" spans="27:31" x14ac:dyDescent="0.25">
      <c r="AA5171" s="160"/>
      <c r="AB5171" s="162"/>
      <c r="AC5171" s="162"/>
      <c r="AD5171" s="162">
        <f t="shared" si="100"/>
        <v>0</v>
      </c>
      <c r="AE5171" s="160">
        <v>5169</v>
      </c>
    </row>
    <row r="5172" spans="27:31" x14ac:dyDescent="0.25">
      <c r="AA5172" s="160"/>
      <c r="AB5172" s="162"/>
      <c r="AC5172" s="162"/>
      <c r="AD5172" s="162">
        <f t="shared" si="100"/>
        <v>0</v>
      </c>
      <c r="AE5172" s="160">
        <v>5170</v>
      </c>
    </row>
    <row r="5173" spans="27:31" x14ac:dyDescent="0.25">
      <c r="AA5173" s="160"/>
      <c r="AB5173" s="162"/>
      <c r="AC5173" s="162"/>
      <c r="AD5173" s="162">
        <f t="shared" si="100"/>
        <v>0</v>
      </c>
      <c r="AE5173" s="160">
        <v>5171</v>
      </c>
    </row>
    <row r="5174" spans="27:31" x14ac:dyDescent="0.25">
      <c r="AA5174" s="160"/>
      <c r="AB5174" s="162"/>
      <c r="AC5174" s="162"/>
      <c r="AD5174" s="162">
        <f t="shared" si="100"/>
        <v>0</v>
      </c>
      <c r="AE5174" s="160">
        <v>5172</v>
      </c>
    </row>
    <row r="5175" spans="27:31" x14ac:dyDescent="0.25">
      <c r="AA5175" s="160"/>
      <c r="AB5175" s="162"/>
      <c r="AC5175" s="162"/>
      <c r="AD5175" s="162">
        <f t="shared" si="100"/>
        <v>0</v>
      </c>
      <c r="AE5175" s="160">
        <v>5173</v>
      </c>
    </row>
    <row r="5176" spans="27:31" x14ac:dyDescent="0.25">
      <c r="AA5176" s="160"/>
      <c r="AB5176" s="162"/>
      <c r="AC5176" s="162"/>
      <c r="AD5176" s="162">
        <f t="shared" si="100"/>
        <v>0</v>
      </c>
      <c r="AE5176" s="160">
        <v>5174</v>
      </c>
    </row>
    <row r="5177" spans="27:31" x14ac:dyDescent="0.25">
      <c r="AA5177" s="160"/>
      <c r="AB5177" s="162"/>
      <c r="AC5177" s="162"/>
      <c r="AD5177" s="162">
        <f t="shared" si="100"/>
        <v>0</v>
      </c>
      <c r="AE5177" s="160">
        <v>5175</v>
      </c>
    </row>
    <row r="5178" spans="27:31" x14ac:dyDescent="0.25">
      <c r="AA5178" s="160"/>
      <c r="AB5178" s="162"/>
      <c r="AC5178" s="162"/>
      <c r="AD5178" s="162">
        <f t="shared" si="100"/>
        <v>0</v>
      </c>
      <c r="AE5178" s="160">
        <v>5176</v>
      </c>
    </row>
    <row r="5179" spans="27:31" x14ac:dyDescent="0.25">
      <c r="AA5179" s="160"/>
      <c r="AB5179" s="162"/>
      <c r="AC5179" s="162"/>
      <c r="AD5179" s="162">
        <f t="shared" si="100"/>
        <v>0</v>
      </c>
      <c r="AE5179" s="160">
        <v>5177</v>
      </c>
    </row>
    <row r="5180" spans="27:31" x14ac:dyDescent="0.25">
      <c r="AA5180" s="160"/>
      <c r="AB5180" s="162"/>
      <c r="AC5180" s="162"/>
      <c r="AD5180" s="162">
        <f t="shared" si="100"/>
        <v>0</v>
      </c>
      <c r="AE5180" s="160">
        <v>5178</v>
      </c>
    </row>
    <row r="5181" spans="27:31" x14ac:dyDescent="0.25">
      <c r="AA5181" s="160"/>
      <c r="AB5181" s="162"/>
      <c r="AC5181" s="162"/>
      <c r="AD5181" s="162">
        <f t="shared" si="100"/>
        <v>0</v>
      </c>
      <c r="AE5181" s="160">
        <v>5179</v>
      </c>
    </row>
    <row r="5182" spans="27:31" x14ac:dyDescent="0.25">
      <c r="AA5182" s="160"/>
      <c r="AB5182" s="162"/>
      <c r="AC5182" s="162"/>
      <c r="AD5182" s="162">
        <f t="shared" si="100"/>
        <v>0</v>
      </c>
      <c r="AE5182" s="160">
        <v>5180</v>
      </c>
    </row>
    <row r="5183" spans="27:31" x14ac:dyDescent="0.25">
      <c r="AA5183" s="160"/>
      <c r="AB5183" s="162"/>
      <c r="AC5183" s="162"/>
      <c r="AD5183" s="162">
        <f t="shared" si="100"/>
        <v>0</v>
      </c>
      <c r="AE5183" s="160">
        <v>5181</v>
      </c>
    </row>
    <row r="5184" spans="27:31" x14ac:dyDescent="0.25">
      <c r="AA5184" s="160"/>
      <c r="AB5184" s="162"/>
      <c r="AC5184" s="162"/>
      <c r="AD5184" s="162">
        <f t="shared" si="100"/>
        <v>0</v>
      </c>
      <c r="AE5184" s="160">
        <v>5182</v>
      </c>
    </row>
    <row r="5185" spans="27:31" x14ac:dyDescent="0.25">
      <c r="AA5185" s="160"/>
      <c r="AB5185" s="162"/>
      <c r="AC5185" s="162"/>
      <c r="AD5185" s="162">
        <f t="shared" si="100"/>
        <v>0</v>
      </c>
      <c r="AE5185" s="160">
        <v>5183</v>
      </c>
    </row>
    <row r="5186" spans="27:31" x14ac:dyDescent="0.25">
      <c r="AA5186" s="160"/>
      <c r="AB5186" s="162"/>
      <c r="AC5186" s="162"/>
      <c r="AD5186" s="162">
        <f t="shared" si="100"/>
        <v>0</v>
      </c>
      <c r="AE5186" s="160">
        <v>5184</v>
      </c>
    </row>
    <row r="5187" spans="27:31" x14ac:dyDescent="0.25">
      <c r="AA5187" s="160"/>
      <c r="AB5187" s="162"/>
      <c r="AC5187" s="162"/>
      <c r="AD5187" s="162">
        <f t="shared" si="100"/>
        <v>0</v>
      </c>
      <c r="AE5187" s="160">
        <v>5185</v>
      </c>
    </row>
    <row r="5188" spans="27:31" x14ac:dyDescent="0.25">
      <c r="AA5188" s="160"/>
      <c r="AB5188" s="162"/>
      <c r="AC5188" s="162"/>
      <c r="AD5188" s="162">
        <f t="shared" ref="AD5188:AD5251" si="101">AB5188+AC5188</f>
        <v>0</v>
      </c>
      <c r="AE5188" s="160">
        <v>5186</v>
      </c>
    </row>
    <row r="5189" spans="27:31" x14ac:dyDescent="0.25">
      <c r="AA5189" s="160"/>
      <c r="AB5189" s="162"/>
      <c r="AC5189" s="162"/>
      <c r="AD5189" s="162">
        <f t="shared" si="101"/>
        <v>0</v>
      </c>
      <c r="AE5189" s="160">
        <v>5187</v>
      </c>
    </row>
    <row r="5190" spans="27:31" x14ac:dyDescent="0.25">
      <c r="AA5190" s="160"/>
      <c r="AB5190" s="162"/>
      <c r="AC5190" s="162"/>
      <c r="AD5190" s="162">
        <f t="shared" si="101"/>
        <v>0</v>
      </c>
      <c r="AE5190" s="160">
        <v>5188</v>
      </c>
    </row>
    <row r="5191" spans="27:31" x14ac:dyDescent="0.25">
      <c r="AA5191" s="160"/>
      <c r="AB5191" s="162"/>
      <c r="AC5191" s="162"/>
      <c r="AD5191" s="162">
        <f t="shared" si="101"/>
        <v>0</v>
      </c>
      <c r="AE5191" s="160">
        <v>5189</v>
      </c>
    </row>
    <row r="5192" spans="27:31" x14ac:dyDescent="0.25">
      <c r="AA5192" s="160"/>
      <c r="AB5192" s="162"/>
      <c r="AC5192" s="162"/>
      <c r="AD5192" s="162">
        <f t="shared" si="101"/>
        <v>0</v>
      </c>
      <c r="AE5192" s="160">
        <v>5190</v>
      </c>
    </row>
    <row r="5193" spans="27:31" x14ac:dyDescent="0.25">
      <c r="AA5193" s="160"/>
      <c r="AB5193" s="162"/>
      <c r="AC5193" s="162"/>
      <c r="AD5193" s="162">
        <f t="shared" si="101"/>
        <v>0</v>
      </c>
      <c r="AE5193" s="160">
        <v>5191</v>
      </c>
    </row>
    <row r="5194" spans="27:31" x14ac:dyDescent="0.25">
      <c r="AA5194" s="160"/>
      <c r="AB5194" s="162"/>
      <c r="AC5194" s="162"/>
      <c r="AD5194" s="162">
        <f t="shared" si="101"/>
        <v>0</v>
      </c>
      <c r="AE5194" s="160">
        <v>5192</v>
      </c>
    </row>
    <row r="5195" spans="27:31" x14ac:dyDescent="0.25">
      <c r="AA5195" s="160"/>
      <c r="AB5195" s="162"/>
      <c r="AC5195" s="162"/>
      <c r="AD5195" s="162">
        <f t="shared" si="101"/>
        <v>0</v>
      </c>
      <c r="AE5195" s="160">
        <v>5193</v>
      </c>
    </row>
    <row r="5196" spans="27:31" x14ac:dyDescent="0.25">
      <c r="AA5196" s="160"/>
      <c r="AB5196" s="162"/>
      <c r="AC5196" s="162"/>
      <c r="AD5196" s="162">
        <f t="shared" si="101"/>
        <v>0</v>
      </c>
      <c r="AE5196" s="160">
        <v>5194</v>
      </c>
    </row>
    <row r="5197" spans="27:31" x14ac:dyDescent="0.25">
      <c r="AA5197" s="160"/>
      <c r="AB5197" s="162"/>
      <c r="AC5197" s="162"/>
      <c r="AD5197" s="162">
        <f t="shared" si="101"/>
        <v>0</v>
      </c>
      <c r="AE5197" s="160">
        <v>5195</v>
      </c>
    </row>
    <row r="5198" spans="27:31" x14ac:dyDescent="0.25">
      <c r="AA5198" s="160"/>
      <c r="AB5198" s="162"/>
      <c r="AC5198" s="162"/>
      <c r="AD5198" s="162">
        <f t="shared" si="101"/>
        <v>0</v>
      </c>
      <c r="AE5198" s="160">
        <v>5196</v>
      </c>
    </row>
    <row r="5199" spans="27:31" x14ac:dyDescent="0.25">
      <c r="AA5199" s="160"/>
      <c r="AB5199" s="162"/>
      <c r="AC5199" s="162"/>
      <c r="AD5199" s="162">
        <f t="shared" si="101"/>
        <v>0</v>
      </c>
      <c r="AE5199" s="160">
        <v>5197</v>
      </c>
    </row>
    <row r="5200" spans="27:31" x14ac:dyDescent="0.25">
      <c r="AA5200" s="160"/>
      <c r="AB5200" s="162"/>
      <c r="AC5200" s="162"/>
      <c r="AD5200" s="162">
        <f t="shared" si="101"/>
        <v>0</v>
      </c>
      <c r="AE5200" s="160">
        <v>5198</v>
      </c>
    </row>
    <row r="5201" spans="27:31" x14ac:dyDescent="0.25">
      <c r="AA5201" s="160"/>
      <c r="AB5201" s="162"/>
      <c r="AC5201" s="162"/>
      <c r="AD5201" s="162">
        <f t="shared" si="101"/>
        <v>0</v>
      </c>
      <c r="AE5201" s="160">
        <v>5199</v>
      </c>
    </row>
    <row r="5202" spans="27:31" x14ac:dyDescent="0.25">
      <c r="AA5202" s="160"/>
      <c r="AB5202" s="162"/>
      <c r="AC5202" s="162"/>
      <c r="AD5202" s="162">
        <f t="shared" si="101"/>
        <v>0</v>
      </c>
      <c r="AE5202" s="160">
        <v>5200</v>
      </c>
    </row>
    <row r="5203" spans="27:31" x14ac:dyDescent="0.25">
      <c r="AA5203" s="160"/>
      <c r="AB5203" s="162"/>
      <c r="AC5203" s="162"/>
      <c r="AD5203" s="162">
        <f t="shared" si="101"/>
        <v>0</v>
      </c>
      <c r="AE5203" s="160">
        <v>5201</v>
      </c>
    </row>
    <row r="5204" spans="27:31" x14ac:dyDescent="0.25">
      <c r="AA5204" s="160"/>
      <c r="AB5204" s="162"/>
      <c r="AC5204" s="162"/>
      <c r="AD5204" s="162">
        <f t="shared" si="101"/>
        <v>0</v>
      </c>
      <c r="AE5204" s="160">
        <v>5202</v>
      </c>
    </row>
    <row r="5205" spans="27:31" x14ac:dyDescent="0.25">
      <c r="AA5205" s="160"/>
      <c r="AB5205" s="162"/>
      <c r="AC5205" s="162"/>
      <c r="AD5205" s="162">
        <f t="shared" si="101"/>
        <v>0</v>
      </c>
      <c r="AE5205" s="160">
        <v>5203</v>
      </c>
    </row>
    <row r="5206" spans="27:31" x14ac:dyDescent="0.25">
      <c r="AA5206" s="160"/>
      <c r="AB5206" s="162"/>
      <c r="AC5206" s="162"/>
      <c r="AD5206" s="162">
        <f t="shared" si="101"/>
        <v>0</v>
      </c>
      <c r="AE5206" s="160">
        <v>5204</v>
      </c>
    </row>
    <row r="5207" spans="27:31" x14ac:dyDescent="0.25">
      <c r="AA5207" s="160"/>
      <c r="AB5207" s="162"/>
      <c r="AC5207" s="162"/>
      <c r="AD5207" s="162">
        <f t="shared" si="101"/>
        <v>0</v>
      </c>
      <c r="AE5207" s="160">
        <v>5205</v>
      </c>
    </row>
    <row r="5208" spans="27:31" x14ac:dyDescent="0.25">
      <c r="AA5208" s="160"/>
      <c r="AB5208" s="162"/>
      <c r="AC5208" s="162"/>
      <c r="AD5208" s="162">
        <f t="shared" si="101"/>
        <v>0</v>
      </c>
      <c r="AE5208" s="160">
        <v>5206</v>
      </c>
    </row>
    <row r="5209" spans="27:31" x14ac:dyDescent="0.25">
      <c r="AA5209" s="160"/>
      <c r="AB5209" s="162"/>
      <c r="AC5209" s="162"/>
      <c r="AD5209" s="162">
        <f t="shared" si="101"/>
        <v>0</v>
      </c>
      <c r="AE5209" s="160">
        <v>5207</v>
      </c>
    </row>
    <row r="5210" spans="27:31" x14ac:dyDescent="0.25">
      <c r="AA5210" s="160"/>
      <c r="AB5210" s="162"/>
      <c r="AC5210" s="162"/>
      <c r="AD5210" s="162">
        <f t="shared" si="101"/>
        <v>0</v>
      </c>
      <c r="AE5210" s="160">
        <v>5208</v>
      </c>
    </row>
    <row r="5211" spans="27:31" x14ac:dyDescent="0.25">
      <c r="AA5211" s="160"/>
      <c r="AB5211" s="162"/>
      <c r="AC5211" s="162"/>
      <c r="AD5211" s="162">
        <f t="shared" si="101"/>
        <v>0</v>
      </c>
      <c r="AE5211" s="160">
        <v>5209</v>
      </c>
    </row>
    <row r="5212" spans="27:31" x14ac:dyDescent="0.25">
      <c r="AA5212" s="160"/>
      <c r="AB5212" s="162"/>
      <c r="AC5212" s="162"/>
      <c r="AD5212" s="162">
        <f t="shared" si="101"/>
        <v>0</v>
      </c>
      <c r="AE5212" s="160">
        <v>5210</v>
      </c>
    </row>
    <row r="5213" spans="27:31" x14ac:dyDescent="0.25">
      <c r="AA5213" s="160"/>
      <c r="AB5213" s="162"/>
      <c r="AC5213" s="162"/>
      <c r="AD5213" s="162">
        <f t="shared" si="101"/>
        <v>0</v>
      </c>
      <c r="AE5213" s="160">
        <v>5211</v>
      </c>
    </row>
    <row r="5214" spans="27:31" x14ac:dyDescent="0.25">
      <c r="AA5214" s="160"/>
      <c r="AB5214" s="162"/>
      <c r="AC5214" s="162"/>
      <c r="AD5214" s="162">
        <f t="shared" si="101"/>
        <v>0</v>
      </c>
      <c r="AE5214" s="160">
        <v>5212</v>
      </c>
    </row>
    <row r="5215" spans="27:31" x14ac:dyDescent="0.25">
      <c r="AA5215" s="160"/>
      <c r="AB5215" s="162"/>
      <c r="AC5215" s="162"/>
      <c r="AD5215" s="162">
        <f t="shared" si="101"/>
        <v>0</v>
      </c>
      <c r="AE5215" s="160">
        <v>5213</v>
      </c>
    </row>
    <row r="5216" spans="27:31" x14ac:dyDescent="0.25">
      <c r="AA5216" s="160"/>
      <c r="AB5216" s="162"/>
      <c r="AC5216" s="162"/>
      <c r="AD5216" s="162">
        <f t="shared" si="101"/>
        <v>0</v>
      </c>
      <c r="AE5216" s="160">
        <v>5214</v>
      </c>
    </row>
    <row r="5217" spans="27:31" x14ac:dyDescent="0.25">
      <c r="AA5217" s="160"/>
      <c r="AB5217" s="162"/>
      <c r="AC5217" s="162"/>
      <c r="AD5217" s="162">
        <f t="shared" si="101"/>
        <v>0</v>
      </c>
      <c r="AE5217" s="160">
        <v>5215</v>
      </c>
    </row>
    <row r="5218" spans="27:31" x14ac:dyDescent="0.25">
      <c r="AA5218" s="160"/>
      <c r="AB5218" s="162"/>
      <c r="AC5218" s="162"/>
      <c r="AD5218" s="162">
        <f t="shared" si="101"/>
        <v>0</v>
      </c>
      <c r="AE5218" s="160">
        <v>5216</v>
      </c>
    </row>
    <row r="5219" spans="27:31" x14ac:dyDescent="0.25">
      <c r="AA5219" s="160"/>
      <c r="AB5219" s="162"/>
      <c r="AC5219" s="162"/>
      <c r="AD5219" s="162">
        <f t="shared" si="101"/>
        <v>0</v>
      </c>
      <c r="AE5219" s="160">
        <v>5217</v>
      </c>
    </row>
    <row r="5220" spans="27:31" x14ac:dyDescent="0.25">
      <c r="AA5220" s="160"/>
      <c r="AB5220" s="162"/>
      <c r="AC5220" s="162"/>
      <c r="AD5220" s="162">
        <f t="shared" si="101"/>
        <v>0</v>
      </c>
      <c r="AE5220" s="160">
        <v>5218</v>
      </c>
    </row>
    <row r="5221" spans="27:31" x14ac:dyDescent="0.25">
      <c r="AA5221" s="160"/>
      <c r="AB5221" s="162"/>
      <c r="AC5221" s="162"/>
      <c r="AD5221" s="162">
        <f t="shared" si="101"/>
        <v>0</v>
      </c>
      <c r="AE5221" s="160">
        <v>5219</v>
      </c>
    </row>
    <row r="5222" spans="27:31" x14ac:dyDescent="0.25">
      <c r="AA5222" s="160"/>
      <c r="AB5222" s="162"/>
      <c r="AC5222" s="162"/>
      <c r="AD5222" s="162">
        <f t="shared" si="101"/>
        <v>0</v>
      </c>
      <c r="AE5222" s="160">
        <v>5220</v>
      </c>
    </row>
    <row r="5223" spans="27:31" x14ac:dyDescent="0.25">
      <c r="AA5223" s="160"/>
      <c r="AB5223" s="162"/>
      <c r="AC5223" s="162"/>
      <c r="AD5223" s="162">
        <f t="shared" si="101"/>
        <v>0</v>
      </c>
      <c r="AE5223" s="160">
        <v>5221</v>
      </c>
    </row>
    <row r="5224" spans="27:31" x14ac:dyDescent="0.25">
      <c r="AA5224" s="160"/>
      <c r="AB5224" s="162"/>
      <c r="AC5224" s="162"/>
      <c r="AD5224" s="162">
        <f t="shared" si="101"/>
        <v>0</v>
      </c>
      <c r="AE5224" s="160">
        <v>5222</v>
      </c>
    </row>
    <row r="5225" spans="27:31" x14ac:dyDescent="0.25">
      <c r="AA5225" s="160"/>
      <c r="AB5225" s="162"/>
      <c r="AC5225" s="162"/>
      <c r="AD5225" s="162">
        <f t="shared" si="101"/>
        <v>0</v>
      </c>
      <c r="AE5225" s="160">
        <v>5223</v>
      </c>
    </row>
    <row r="5226" spans="27:31" x14ac:dyDescent="0.25">
      <c r="AA5226" s="160"/>
      <c r="AB5226" s="162"/>
      <c r="AC5226" s="162"/>
      <c r="AD5226" s="162">
        <f t="shared" si="101"/>
        <v>0</v>
      </c>
      <c r="AE5226" s="160">
        <v>5224</v>
      </c>
    </row>
    <row r="5227" spans="27:31" x14ac:dyDescent="0.25">
      <c r="AA5227" s="160"/>
      <c r="AB5227" s="162"/>
      <c r="AC5227" s="162"/>
      <c r="AD5227" s="162">
        <f t="shared" si="101"/>
        <v>0</v>
      </c>
      <c r="AE5227" s="160">
        <v>5225</v>
      </c>
    </row>
    <row r="5228" spans="27:31" x14ac:dyDescent="0.25">
      <c r="AA5228" s="160"/>
      <c r="AB5228" s="162"/>
      <c r="AC5228" s="162"/>
      <c r="AD5228" s="162">
        <f t="shared" si="101"/>
        <v>0</v>
      </c>
      <c r="AE5228" s="160">
        <v>5226</v>
      </c>
    </row>
    <row r="5229" spans="27:31" x14ac:dyDescent="0.25">
      <c r="AA5229" s="160"/>
      <c r="AB5229" s="162"/>
      <c r="AC5229" s="162"/>
      <c r="AD5229" s="162">
        <f t="shared" si="101"/>
        <v>0</v>
      </c>
      <c r="AE5229" s="160">
        <v>5227</v>
      </c>
    </row>
    <row r="5230" spans="27:31" x14ac:dyDescent="0.25">
      <c r="AA5230" s="160"/>
      <c r="AB5230" s="162"/>
      <c r="AC5230" s="162"/>
      <c r="AD5230" s="162">
        <f t="shared" si="101"/>
        <v>0</v>
      </c>
      <c r="AE5230" s="160">
        <v>5228</v>
      </c>
    </row>
    <row r="5231" spans="27:31" x14ac:dyDescent="0.25">
      <c r="AA5231" s="160"/>
      <c r="AB5231" s="162"/>
      <c r="AC5231" s="162"/>
      <c r="AD5231" s="162">
        <f t="shared" si="101"/>
        <v>0</v>
      </c>
      <c r="AE5231" s="160">
        <v>5229</v>
      </c>
    </row>
    <row r="5232" spans="27:31" x14ac:dyDescent="0.25">
      <c r="AA5232" s="160"/>
      <c r="AB5232" s="162"/>
      <c r="AC5232" s="162"/>
      <c r="AD5232" s="162">
        <f t="shared" si="101"/>
        <v>0</v>
      </c>
      <c r="AE5232" s="160">
        <v>5230</v>
      </c>
    </row>
    <row r="5233" spans="27:31" x14ac:dyDescent="0.25">
      <c r="AA5233" s="160"/>
      <c r="AB5233" s="162"/>
      <c r="AC5233" s="162"/>
      <c r="AD5233" s="162">
        <f t="shared" si="101"/>
        <v>0</v>
      </c>
      <c r="AE5233" s="160">
        <v>5231</v>
      </c>
    </row>
    <row r="5234" spans="27:31" x14ac:dyDescent="0.25">
      <c r="AA5234" s="160"/>
      <c r="AB5234" s="162"/>
      <c r="AC5234" s="162"/>
      <c r="AD5234" s="162">
        <f t="shared" si="101"/>
        <v>0</v>
      </c>
      <c r="AE5234" s="160">
        <v>5232</v>
      </c>
    </row>
    <row r="5235" spans="27:31" x14ac:dyDescent="0.25">
      <c r="AA5235" s="160"/>
      <c r="AB5235" s="162"/>
      <c r="AC5235" s="162"/>
      <c r="AD5235" s="162">
        <f t="shared" si="101"/>
        <v>0</v>
      </c>
      <c r="AE5235" s="160">
        <v>5233</v>
      </c>
    </row>
    <row r="5236" spans="27:31" x14ac:dyDescent="0.25">
      <c r="AA5236" s="160"/>
      <c r="AB5236" s="162"/>
      <c r="AC5236" s="162"/>
      <c r="AD5236" s="162">
        <f t="shared" si="101"/>
        <v>0</v>
      </c>
      <c r="AE5236" s="160">
        <v>5234</v>
      </c>
    </row>
    <row r="5237" spans="27:31" x14ac:dyDescent="0.25">
      <c r="AA5237" s="160"/>
      <c r="AB5237" s="162"/>
      <c r="AC5237" s="162"/>
      <c r="AD5237" s="162">
        <f t="shared" si="101"/>
        <v>0</v>
      </c>
      <c r="AE5237" s="160">
        <v>5235</v>
      </c>
    </row>
    <row r="5238" spans="27:31" x14ac:dyDescent="0.25">
      <c r="AA5238" s="160"/>
      <c r="AB5238" s="162"/>
      <c r="AC5238" s="162"/>
      <c r="AD5238" s="162">
        <f t="shared" si="101"/>
        <v>0</v>
      </c>
      <c r="AE5238" s="160">
        <v>5236</v>
      </c>
    </row>
    <row r="5239" spans="27:31" x14ac:dyDescent="0.25">
      <c r="AA5239" s="160"/>
      <c r="AB5239" s="162"/>
      <c r="AC5239" s="162"/>
      <c r="AD5239" s="162">
        <f t="shared" si="101"/>
        <v>0</v>
      </c>
      <c r="AE5239" s="160">
        <v>5237</v>
      </c>
    </row>
    <row r="5240" spans="27:31" x14ac:dyDescent="0.25">
      <c r="AA5240" s="160"/>
      <c r="AB5240" s="162"/>
      <c r="AC5240" s="162"/>
      <c r="AD5240" s="162">
        <f t="shared" si="101"/>
        <v>0</v>
      </c>
      <c r="AE5240" s="160">
        <v>5238</v>
      </c>
    </row>
    <row r="5241" spans="27:31" x14ac:dyDescent="0.25">
      <c r="AA5241" s="160"/>
      <c r="AB5241" s="162"/>
      <c r="AC5241" s="162"/>
      <c r="AD5241" s="162">
        <f t="shared" si="101"/>
        <v>0</v>
      </c>
      <c r="AE5241" s="160">
        <v>5239</v>
      </c>
    </row>
    <row r="5242" spans="27:31" x14ac:dyDescent="0.25">
      <c r="AA5242" s="160"/>
      <c r="AB5242" s="162"/>
      <c r="AC5242" s="162"/>
      <c r="AD5242" s="162">
        <f t="shared" si="101"/>
        <v>0</v>
      </c>
      <c r="AE5242" s="160">
        <v>5240</v>
      </c>
    </row>
    <row r="5243" spans="27:31" x14ac:dyDescent="0.25">
      <c r="AA5243" s="160"/>
      <c r="AB5243" s="162"/>
      <c r="AC5243" s="162"/>
      <c r="AD5243" s="162">
        <f t="shared" si="101"/>
        <v>0</v>
      </c>
      <c r="AE5243" s="160">
        <v>5241</v>
      </c>
    </row>
    <row r="5244" spans="27:31" x14ac:dyDescent="0.25">
      <c r="AA5244" s="160"/>
      <c r="AB5244" s="162"/>
      <c r="AC5244" s="162"/>
      <c r="AD5244" s="162">
        <f t="shared" si="101"/>
        <v>0</v>
      </c>
      <c r="AE5244" s="160">
        <v>5242</v>
      </c>
    </row>
    <row r="5245" spans="27:31" x14ac:dyDescent="0.25">
      <c r="AA5245" s="160"/>
      <c r="AB5245" s="162"/>
      <c r="AC5245" s="162"/>
      <c r="AD5245" s="162">
        <f t="shared" si="101"/>
        <v>0</v>
      </c>
      <c r="AE5245" s="160">
        <v>5243</v>
      </c>
    </row>
    <row r="5246" spans="27:31" x14ac:dyDescent="0.25">
      <c r="AA5246" s="160"/>
      <c r="AB5246" s="162"/>
      <c r="AC5246" s="162"/>
      <c r="AD5246" s="162">
        <f t="shared" si="101"/>
        <v>0</v>
      </c>
      <c r="AE5246" s="160">
        <v>5244</v>
      </c>
    </row>
    <row r="5247" spans="27:31" x14ac:dyDescent="0.25">
      <c r="AA5247" s="160"/>
      <c r="AB5247" s="162"/>
      <c r="AC5247" s="162"/>
      <c r="AD5247" s="162">
        <f t="shared" si="101"/>
        <v>0</v>
      </c>
      <c r="AE5247" s="160">
        <v>5245</v>
      </c>
    </row>
    <row r="5248" spans="27:31" x14ac:dyDescent="0.25">
      <c r="AA5248" s="160"/>
      <c r="AB5248" s="162"/>
      <c r="AC5248" s="162"/>
      <c r="AD5248" s="162">
        <f t="shared" si="101"/>
        <v>0</v>
      </c>
      <c r="AE5248" s="160">
        <v>5246</v>
      </c>
    </row>
    <row r="5249" spans="27:31" x14ac:dyDescent="0.25">
      <c r="AA5249" s="160"/>
      <c r="AB5249" s="162"/>
      <c r="AC5249" s="162"/>
      <c r="AD5249" s="162">
        <f t="shared" si="101"/>
        <v>0</v>
      </c>
      <c r="AE5249" s="160">
        <v>5247</v>
      </c>
    </row>
    <row r="5250" spans="27:31" x14ac:dyDescent="0.25">
      <c r="AA5250" s="160"/>
      <c r="AB5250" s="162"/>
      <c r="AC5250" s="162"/>
      <c r="AD5250" s="162">
        <f t="shared" si="101"/>
        <v>0</v>
      </c>
      <c r="AE5250" s="160">
        <v>5248</v>
      </c>
    </row>
    <row r="5251" spans="27:31" x14ac:dyDescent="0.25">
      <c r="AA5251" s="160"/>
      <c r="AB5251" s="162"/>
      <c r="AC5251" s="162"/>
      <c r="AD5251" s="162">
        <f t="shared" si="101"/>
        <v>0</v>
      </c>
      <c r="AE5251" s="160">
        <v>5249</v>
      </c>
    </row>
    <row r="5252" spans="27:31" x14ac:dyDescent="0.25">
      <c r="AA5252" s="160"/>
      <c r="AB5252" s="162"/>
      <c r="AC5252" s="162"/>
      <c r="AD5252" s="162">
        <f t="shared" ref="AD5252:AD5315" si="102">AB5252+AC5252</f>
        <v>0</v>
      </c>
      <c r="AE5252" s="160">
        <v>5250</v>
      </c>
    </row>
    <row r="5253" spans="27:31" x14ac:dyDescent="0.25">
      <c r="AA5253" s="160"/>
      <c r="AB5253" s="162"/>
      <c r="AC5253" s="162"/>
      <c r="AD5253" s="162">
        <f t="shared" si="102"/>
        <v>0</v>
      </c>
      <c r="AE5253" s="160">
        <v>5251</v>
      </c>
    </row>
    <row r="5254" spans="27:31" x14ac:dyDescent="0.25">
      <c r="AA5254" s="160"/>
      <c r="AB5254" s="162"/>
      <c r="AC5254" s="162"/>
      <c r="AD5254" s="162">
        <f t="shared" si="102"/>
        <v>0</v>
      </c>
      <c r="AE5254" s="160">
        <v>5252</v>
      </c>
    </row>
    <row r="5255" spans="27:31" x14ac:dyDescent="0.25">
      <c r="AA5255" s="160"/>
      <c r="AB5255" s="162"/>
      <c r="AC5255" s="162"/>
      <c r="AD5255" s="162">
        <f t="shared" si="102"/>
        <v>0</v>
      </c>
      <c r="AE5255" s="160">
        <v>5253</v>
      </c>
    </row>
    <row r="5256" spans="27:31" x14ac:dyDescent="0.25">
      <c r="AA5256" s="160"/>
      <c r="AB5256" s="162"/>
      <c r="AC5256" s="162"/>
      <c r="AD5256" s="162">
        <f t="shared" si="102"/>
        <v>0</v>
      </c>
      <c r="AE5256" s="160">
        <v>5254</v>
      </c>
    </row>
    <row r="5257" spans="27:31" x14ac:dyDescent="0.25">
      <c r="AA5257" s="160"/>
      <c r="AB5257" s="162"/>
      <c r="AC5257" s="162"/>
      <c r="AD5257" s="162">
        <f t="shared" si="102"/>
        <v>0</v>
      </c>
      <c r="AE5257" s="160">
        <v>5255</v>
      </c>
    </row>
    <row r="5258" spans="27:31" x14ac:dyDescent="0.25">
      <c r="AA5258" s="160"/>
      <c r="AB5258" s="162"/>
      <c r="AC5258" s="162"/>
      <c r="AD5258" s="162">
        <f t="shared" si="102"/>
        <v>0</v>
      </c>
      <c r="AE5258" s="160">
        <v>5256</v>
      </c>
    </row>
    <row r="5259" spans="27:31" x14ac:dyDescent="0.25">
      <c r="AA5259" s="160"/>
      <c r="AB5259" s="162"/>
      <c r="AC5259" s="162"/>
      <c r="AD5259" s="162">
        <f t="shared" si="102"/>
        <v>0</v>
      </c>
      <c r="AE5259" s="160">
        <v>5257</v>
      </c>
    </row>
    <row r="5260" spans="27:31" x14ac:dyDescent="0.25">
      <c r="AA5260" s="160"/>
      <c r="AB5260" s="162"/>
      <c r="AC5260" s="162"/>
      <c r="AD5260" s="162">
        <f t="shared" si="102"/>
        <v>0</v>
      </c>
      <c r="AE5260" s="160">
        <v>5258</v>
      </c>
    </row>
    <row r="5261" spans="27:31" x14ac:dyDescent="0.25">
      <c r="AA5261" s="160"/>
      <c r="AB5261" s="162"/>
      <c r="AC5261" s="162"/>
      <c r="AD5261" s="162">
        <f t="shared" si="102"/>
        <v>0</v>
      </c>
      <c r="AE5261" s="160">
        <v>5259</v>
      </c>
    </row>
    <row r="5262" spans="27:31" x14ac:dyDescent="0.25">
      <c r="AA5262" s="160"/>
      <c r="AB5262" s="162"/>
      <c r="AC5262" s="162"/>
      <c r="AD5262" s="162">
        <f t="shared" si="102"/>
        <v>0</v>
      </c>
      <c r="AE5262" s="160">
        <v>5260</v>
      </c>
    </row>
    <row r="5263" spans="27:31" x14ac:dyDescent="0.25">
      <c r="AA5263" s="160"/>
      <c r="AB5263" s="162"/>
      <c r="AC5263" s="162"/>
      <c r="AD5263" s="162">
        <f t="shared" si="102"/>
        <v>0</v>
      </c>
      <c r="AE5263" s="160">
        <v>5261</v>
      </c>
    </row>
    <row r="5264" spans="27:31" x14ac:dyDescent="0.25">
      <c r="AA5264" s="160"/>
      <c r="AB5264" s="162"/>
      <c r="AC5264" s="162"/>
      <c r="AD5264" s="162">
        <f t="shared" si="102"/>
        <v>0</v>
      </c>
      <c r="AE5264" s="160">
        <v>5262</v>
      </c>
    </row>
    <row r="5265" spans="27:31" x14ac:dyDescent="0.25">
      <c r="AA5265" s="160"/>
      <c r="AB5265" s="162"/>
      <c r="AC5265" s="162"/>
      <c r="AD5265" s="162">
        <f t="shared" si="102"/>
        <v>0</v>
      </c>
      <c r="AE5265" s="160">
        <v>5263</v>
      </c>
    </row>
    <row r="5266" spans="27:31" x14ac:dyDescent="0.25">
      <c r="AA5266" s="160"/>
      <c r="AB5266" s="162"/>
      <c r="AC5266" s="162"/>
      <c r="AD5266" s="162">
        <f t="shared" si="102"/>
        <v>0</v>
      </c>
      <c r="AE5266" s="160">
        <v>5264</v>
      </c>
    </row>
    <row r="5267" spans="27:31" x14ac:dyDescent="0.25">
      <c r="AA5267" s="160"/>
      <c r="AB5267" s="162"/>
      <c r="AC5267" s="162"/>
      <c r="AD5267" s="162">
        <f t="shared" si="102"/>
        <v>0</v>
      </c>
      <c r="AE5267" s="160">
        <v>5265</v>
      </c>
    </row>
    <row r="5268" spans="27:31" x14ac:dyDescent="0.25">
      <c r="AA5268" s="160"/>
      <c r="AB5268" s="162"/>
      <c r="AC5268" s="162"/>
      <c r="AD5268" s="162">
        <f t="shared" si="102"/>
        <v>0</v>
      </c>
      <c r="AE5268" s="160">
        <v>5266</v>
      </c>
    </row>
    <row r="5269" spans="27:31" x14ac:dyDescent="0.25">
      <c r="AA5269" s="160"/>
      <c r="AB5269" s="162"/>
      <c r="AC5269" s="162"/>
      <c r="AD5269" s="162">
        <f t="shared" si="102"/>
        <v>0</v>
      </c>
      <c r="AE5269" s="160">
        <v>5267</v>
      </c>
    </row>
    <row r="5270" spans="27:31" x14ac:dyDescent="0.25">
      <c r="AA5270" s="160"/>
      <c r="AB5270" s="162"/>
      <c r="AC5270" s="162"/>
      <c r="AD5270" s="162">
        <f t="shared" si="102"/>
        <v>0</v>
      </c>
      <c r="AE5270" s="160">
        <v>5268</v>
      </c>
    </row>
    <row r="5271" spans="27:31" x14ac:dyDescent="0.25">
      <c r="AA5271" s="160"/>
      <c r="AB5271" s="162"/>
      <c r="AC5271" s="162"/>
      <c r="AD5271" s="162">
        <f t="shared" si="102"/>
        <v>0</v>
      </c>
      <c r="AE5271" s="160">
        <v>5269</v>
      </c>
    </row>
    <row r="5272" spans="27:31" x14ac:dyDescent="0.25">
      <c r="AA5272" s="160"/>
      <c r="AB5272" s="162"/>
      <c r="AC5272" s="162"/>
      <c r="AD5272" s="162">
        <f t="shared" si="102"/>
        <v>0</v>
      </c>
      <c r="AE5272" s="160">
        <v>5270</v>
      </c>
    </row>
    <row r="5273" spans="27:31" x14ac:dyDescent="0.25">
      <c r="AA5273" s="160"/>
      <c r="AB5273" s="162"/>
      <c r="AC5273" s="162"/>
      <c r="AD5273" s="162">
        <f t="shared" si="102"/>
        <v>0</v>
      </c>
      <c r="AE5273" s="160">
        <v>5271</v>
      </c>
    </row>
    <row r="5274" spans="27:31" x14ac:dyDescent="0.25">
      <c r="AA5274" s="160"/>
      <c r="AB5274" s="162"/>
      <c r="AC5274" s="162"/>
      <c r="AD5274" s="162">
        <f t="shared" si="102"/>
        <v>0</v>
      </c>
      <c r="AE5274" s="160">
        <v>5272</v>
      </c>
    </row>
    <row r="5275" spans="27:31" x14ac:dyDescent="0.25">
      <c r="AA5275" s="160"/>
      <c r="AB5275" s="162"/>
      <c r="AC5275" s="162"/>
      <c r="AD5275" s="162">
        <f t="shared" si="102"/>
        <v>0</v>
      </c>
      <c r="AE5275" s="160">
        <v>5273</v>
      </c>
    </row>
    <row r="5276" spans="27:31" x14ac:dyDescent="0.25">
      <c r="AA5276" s="160"/>
      <c r="AB5276" s="162"/>
      <c r="AC5276" s="162"/>
      <c r="AD5276" s="162">
        <f t="shared" si="102"/>
        <v>0</v>
      </c>
      <c r="AE5276" s="160">
        <v>5274</v>
      </c>
    </row>
    <row r="5277" spans="27:31" x14ac:dyDescent="0.25">
      <c r="AA5277" s="160"/>
      <c r="AB5277" s="162"/>
      <c r="AC5277" s="162"/>
      <c r="AD5277" s="162">
        <f t="shared" si="102"/>
        <v>0</v>
      </c>
      <c r="AE5277" s="160">
        <v>5275</v>
      </c>
    </row>
    <row r="5278" spans="27:31" x14ac:dyDescent="0.25">
      <c r="AA5278" s="160"/>
      <c r="AB5278" s="162"/>
      <c r="AC5278" s="162"/>
      <c r="AD5278" s="162">
        <f t="shared" si="102"/>
        <v>0</v>
      </c>
      <c r="AE5278" s="160">
        <v>5276</v>
      </c>
    </row>
    <row r="5279" spans="27:31" x14ac:dyDescent="0.25">
      <c r="AA5279" s="160"/>
      <c r="AB5279" s="162"/>
      <c r="AC5279" s="162"/>
      <c r="AD5279" s="162">
        <f t="shared" si="102"/>
        <v>0</v>
      </c>
      <c r="AE5279" s="160">
        <v>5277</v>
      </c>
    </row>
    <row r="5280" spans="27:31" x14ac:dyDescent="0.25">
      <c r="AA5280" s="160"/>
      <c r="AB5280" s="162"/>
      <c r="AC5280" s="162"/>
      <c r="AD5280" s="162">
        <f t="shared" si="102"/>
        <v>0</v>
      </c>
      <c r="AE5280" s="160">
        <v>5278</v>
      </c>
    </row>
    <row r="5281" spans="27:31" x14ac:dyDescent="0.25">
      <c r="AA5281" s="160"/>
      <c r="AB5281" s="162"/>
      <c r="AC5281" s="162"/>
      <c r="AD5281" s="162">
        <f t="shared" si="102"/>
        <v>0</v>
      </c>
      <c r="AE5281" s="160">
        <v>5279</v>
      </c>
    </row>
    <row r="5282" spans="27:31" x14ac:dyDescent="0.25">
      <c r="AA5282" s="160"/>
      <c r="AB5282" s="162"/>
      <c r="AC5282" s="162"/>
      <c r="AD5282" s="162">
        <f t="shared" si="102"/>
        <v>0</v>
      </c>
      <c r="AE5282" s="160">
        <v>5280</v>
      </c>
    </row>
    <row r="5283" spans="27:31" x14ac:dyDescent="0.25">
      <c r="AA5283" s="160"/>
      <c r="AB5283" s="162"/>
      <c r="AC5283" s="162"/>
      <c r="AD5283" s="162">
        <f t="shared" si="102"/>
        <v>0</v>
      </c>
      <c r="AE5283" s="160">
        <v>5281</v>
      </c>
    </row>
    <row r="5284" spans="27:31" x14ac:dyDescent="0.25">
      <c r="AA5284" s="160"/>
      <c r="AB5284" s="162"/>
      <c r="AC5284" s="162"/>
      <c r="AD5284" s="162">
        <f t="shared" si="102"/>
        <v>0</v>
      </c>
      <c r="AE5284" s="160">
        <v>5282</v>
      </c>
    </row>
    <row r="5285" spans="27:31" x14ac:dyDescent="0.25">
      <c r="AA5285" s="160"/>
      <c r="AB5285" s="162"/>
      <c r="AC5285" s="162"/>
      <c r="AD5285" s="162">
        <f t="shared" si="102"/>
        <v>0</v>
      </c>
      <c r="AE5285" s="160">
        <v>5283</v>
      </c>
    </row>
    <row r="5286" spans="27:31" x14ac:dyDescent="0.25">
      <c r="AA5286" s="160"/>
      <c r="AB5286" s="162"/>
      <c r="AC5286" s="162"/>
      <c r="AD5286" s="162">
        <f t="shared" si="102"/>
        <v>0</v>
      </c>
      <c r="AE5286" s="160">
        <v>5284</v>
      </c>
    </row>
    <row r="5287" spans="27:31" x14ac:dyDescent="0.25">
      <c r="AA5287" s="160"/>
      <c r="AB5287" s="162"/>
      <c r="AC5287" s="162"/>
      <c r="AD5287" s="162">
        <f t="shared" si="102"/>
        <v>0</v>
      </c>
      <c r="AE5287" s="160">
        <v>5285</v>
      </c>
    </row>
    <row r="5288" spans="27:31" x14ac:dyDescent="0.25">
      <c r="AA5288" s="160"/>
      <c r="AB5288" s="162"/>
      <c r="AC5288" s="162"/>
      <c r="AD5288" s="162">
        <f t="shared" si="102"/>
        <v>0</v>
      </c>
      <c r="AE5288" s="160">
        <v>5286</v>
      </c>
    </row>
    <row r="5289" spans="27:31" x14ac:dyDescent="0.25">
      <c r="AA5289" s="160"/>
      <c r="AB5289" s="162"/>
      <c r="AC5289" s="162"/>
      <c r="AD5289" s="162">
        <f t="shared" si="102"/>
        <v>0</v>
      </c>
      <c r="AE5289" s="160">
        <v>5287</v>
      </c>
    </row>
    <row r="5290" spans="27:31" x14ac:dyDescent="0.25">
      <c r="AA5290" s="160"/>
      <c r="AB5290" s="162"/>
      <c r="AC5290" s="162"/>
      <c r="AD5290" s="162">
        <f t="shared" si="102"/>
        <v>0</v>
      </c>
      <c r="AE5290" s="160">
        <v>5288</v>
      </c>
    </row>
    <row r="5291" spans="27:31" x14ac:dyDescent="0.25">
      <c r="AA5291" s="160"/>
      <c r="AB5291" s="162"/>
      <c r="AC5291" s="162"/>
      <c r="AD5291" s="162">
        <f t="shared" si="102"/>
        <v>0</v>
      </c>
      <c r="AE5291" s="160">
        <v>5289</v>
      </c>
    </row>
    <row r="5292" spans="27:31" x14ac:dyDescent="0.25">
      <c r="AA5292" s="160"/>
      <c r="AB5292" s="162"/>
      <c r="AC5292" s="162"/>
      <c r="AD5292" s="162">
        <f t="shared" si="102"/>
        <v>0</v>
      </c>
      <c r="AE5292" s="160">
        <v>5290</v>
      </c>
    </row>
    <row r="5293" spans="27:31" x14ac:dyDescent="0.25">
      <c r="AA5293" s="160"/>
      <c r="AB5293" s="162"/>
      <c r="AC5293" s="162"/>
      <c r="AD5293" s="162">
        <f t="shared" si="102"/>
        <v>0</v>
      </c>
      <c r="AE5293" s="160">
        <v>5291</v>
      </c>
    </row>
    <row r="5294" spans="27:31" x14ac:dyDescent="0.25">
      <c r="AA5294" s="160"/>
      <c r="AB5294" s="162"/>
      <c r="AC5294" s="162"/>
      <c r="AD5294" s="162">
        <f t="shared" si="102"/>
        <v>0</v>
      </c>
      <c r="AE5294" s="160">
        <v>5292</v>
      </c>
    </row>
    <row r="5295" spans="27:31" x14ac:dyDescent="0.25">
      <c r="AA5295" s="160"/>
      <c r="AB5295" s="162"/>
      <c r="AC5295" s="162"/>
      <c r="AD5295" s="162">
        <f t="shared" si="102"/>
        <v>0</v>
      </c>
      <c r="AE5295" s="160">
        <v>5293</v>
      </c>
    </row>
    <row r="5296" spans="27:31" x14ac:dyDescent="0.25">
      <c r="AA5296" s="160"/>
      <c r="AB5296" s="162"/>
      <c r="AC5296" s="162"/>
      <c r="AD5296" s="162">
        <f t="shared" si="102"/>
        <v>0</v>
      </c>
      <c r="AE5296" s="160">
        <v>5294</v>
      </c>
    </row>
    <row r="5297" spans="27:31" x14ac:dyDescent="0.25">
      <c r="AA5297" s="160"/>
      <c r="AB5297" s="162"/>
      <c r="AC5297" s="162"/>
      <c r="AD5297" s="162">
        <f t="shared" si="102"/>
        <v>0</v>
      </c>
      <c r="AE5297" s="160">
        <v>5295</v>
      </c>
    </row>
    <row r="5298" spans="27:31" x14ac:dyDescent="0.25">
      <c r="AA5298" s="160"/>
      <c r="AB5298" s="162"/>
      <c r="AC5298" s="162"/>
      <c r="AD5298" s="162">
        <f t="shared" si="102"/>
        <v>0</v>
      </c>
      <c r="AE5298" s="160">
        <v>5296</v>
      </c>
    </row>
    <row r="5299" spans="27:31" x14ac:dyDescent="0.25">
      <c r="AA5299" s="160"/>
      <c r="AB5299" s="162"/>
      <c r="AC5299" s="162"/>
      <c r="AD5299" s="162">
        <f t="shared" si="102"/>
        <v>0</v>
      </c>
      <c r="AE5299" s="160">
        <v>5297</v>
      </c>
    </row>
    <row r="5300" spans="27:31" x14ac:dyDescent="0.25">
      <c r="AA5300" s="160"/>
      <c r="AB5300" s="162"/>
      <c r="AC5300" s="162"/>
      <c r="AD5300" s="162">
        <f t="shared" si="102"/>
        <v>0</v>
      </c>
      <c r="AE5300" s="160">
        <v>5298</v>
      </c>
    </row>
    <row r="5301" spans="27:31" x14ac:dyDescent="0.25">
      <c r="AA5301" s="160"/>
      <c r="AB5301" s="162"/>
      <c r="AC5301" s="162"/>
      <c r="AD5301" s="162">
        <f t="shared" si="102"/>
        <v>0</v>
      </c>
      <c r="AE5301" s="160">
        <v>5299</v>
      </c>
    </row>
    <row r="5302" spans="27:31" x14ac:dyDescent="0.25">
      <c r="AA5302" s="160"/>
      <c r="AB5302" s="162"/>
      <c r="AC5302" s="162"/>
      <c r="AD5302" s="162">
        <f t="shared" si="102"/>
        <v>0</v>
      </c>
      <c r="AE5302" s="160">
        <v>5300</v>
      </c>
    </row>
    <row r="5303" spans="27:31" x14ac:dyDescent="0.25">
      <c r="AA5303" s="160"/>
      <c r="AB5303" s="162"/>
      <c r="AC5303" s="162"/>
      <c r="AD5303" s="162">
        <f t="shared" si="102"/>
        <v>0</v>
      </c>
      <c r="AE5303" s="160">
        <v>5301</v>
      </c>
    </row>
    <row r="5304" spans="27:31" x14ac:dyDescent="0.25">
      <c r="AA5304" s="160"/>
      <c r="AB5304" s="162"/>
      <c r="AC5304" s="162"/>
      <c r="AD5304" s="162">
        <f t="shared" si="102"/>
        <v>0</v>
      </c>
      <c r="AE5304" s="160">
        <v>5302</v>
      </c>
    </row>
    <row r="5305" spans="27:31" x14ac:dyDescent="0.25">
      <c r="AA5305" s="160"/>
      <c r="AB5305" s="162"/>
      <c r="AC5305" s="162"/>
      <c r="AD5305" s="162">
        <f t="shared" si="102"/>
        <v>0</v>
      </c>
      <c r="AE5305" s="160">
        <v>5303</v>
      </c>
    </row>
    <row r="5306" spans="27:31" x14ac:dyDescent="0.25">
      <c r="AA5306" s="160"/>
      <c r="AB5306" s="162"/>
      <c r="AC5306" s="162"/>
      <c r="AD5306" s="162">
        <f t="shared" si="102"/>
        <v>0</v>
      </c>
      <c r="AE5306" s="160">
        <v>5304</v>
      </c>
    </row>
    <row r="5307" spans="27:31" x14ac:dyDescent="0.25">
      <c r="AA5307" s="160"/>
      <c r="AB5307" s="162"/>
      <c r="AC5307" s="162"/>
      <c r="AD5307" s="162">
        <f t="shared" si="102"/>
        <v>0</v>
      </c>
      <c r="AE5307" s="160">
        <v>5305</v>
      </c>
    </row>
    <row r="5308" spans="27:31" x14ac:dyDescent="0.25">
      <c r="AA5308" s="160"/>
      <c r="AB5308" s="162"/>
      <c r="AC5308" s="162"/>
      <c r="AD5308" s="162">
        <f t="shared" si="102"/>
        <v>0</v>
      </c>
      <c r="AE5308" s="160">
        <v>5306</v>
      </c>
    </row>
    <row r="5309" spans="27:31" x14ac:dyDescent="0.25">
      <c r="AA5309" s="160"/>
      <c r="AB5309" s="162"/>
      <c r="AC5309" s="162"/>
      <c r="AD5309" s="162">
        <f t="shared" si="102"/>
        <v>0</v>
      </c>
      <c r="AE5309" s="160">
        <v>5307</v>
      </c>
    </row>
    <row r="5310" spans="27:31" x14ac:dyDescent="0.25">
      <c r="AA5310" s="160"/>
      <c r="AB5310" s="162"/>
      <c r="AC5310" s="162"/>
      <c r="AD5310" s="162">
        <f t="shared" si="102"/>
        <v>0</v>
      </c>
      <c r="AE5310" s="160">
        <v>5308</v>
      </c>
    </row>
    <row r="5311" spans="27:31" x14ac:dyDescent="0.25">
      <c r="AA5311" s="160"/>
      <c r="AB5311" s="162"/>
      <c r="AC5311" s="162"/>
      <c r="AD5311" s="162">
        <f t="shared" si="102"/>
        <v>0</v>
      </c>
      <c r="AE5311" s="160">
        <v>5309</v>
      </c>
    </row>
    <row r="5312" spans="27:31" x14ac:dyDescent="0.25">
      <c r="AA5312" s="160"/>
      <c r="AB5312" s="162"/>
      <c r="AC5312" s="162"/>
      <c r="AD5312" s="162">
        <f t="shared" si="102"/>
        <v>0</v>
      </c>
      <c r="AE5312" s="160">
        <v>5310</v>
      </c>
    </row>
    <row r="5313" spans="27:31" x14ac:dyDescent="0.25">
      <c r="AA5313" s="160"/>
      <c r="AB5313" s="162"/>
      <c r="AC5313" s="162"/>
      <c r="AD5313" s="162">
        <f t="shared" si="102"/>
        <v>0</v>
      </c>
      <c r="AE5313" s="160">
        <v>5311</v>
      </c>
    </row>
    <row r="5314" spans="27:31" x14ac:dyDescent="0.25">
      <c r="AA5314" s="160"/>
      <c r="AB5314" s="162"/>
      <c r="AC5314" s="162"/>
      <c r="AD5314" s="162">
        <f t="shared" si="102"/>
        <v>0</v>
      </c>
      <c r="AE5314" s="160">
        <v>5312</v>
      </c>
    </row>
    <row r="5315" spans="27:31" x14ac:dyDescent="0.25">
      <c r="AA5315" s="160"/>
      <c r="AB5315" s="162"/>
      <c r="AC5315" s="162"/>
      <c r="AD5315" s="162">
        <f t="shared" si="102"/>
        <v>0</v>
      </c>
      <c r="AE5315" s="160">
        <v>5313</v>
      </c>
    </row>
    <row r="5316" spans="27:31" x14ac:dyDescent="0.25">
      <c r="AA5316" s="160"/>
      <c r="AB5316" s="162"/>
      <c r="AC5316" s="162"/>
      <c r="AD5316" s="162">
        <f t="shared" ref="AD5316:AD5379" si="103">AB5316+AC5316</f>
        <v>0</v>
      </c>
      <c r="AE5316" s="160">
        <v>5314</v>
      </c>
    </row>
    <row r="5317" spans="27:31" x14ac:dyDescent="0.25">
      <c r="AA5317" s="160"/>
      <c r="AB5317" s="162"/>
      <c r="AC5317" s="162"/>
      <c r="AD5317" s="162">
        <f t="shared" si="103"/>
        <v>0</v>
      </c>
      <c r="AE5317" s="160">
        <v>5315</v>
      </c>
    </row>
    <row r="5318" spans="27:31" x14ac:dyDescent="0.25">
      <c r="AA5318" s="160"/>
      <c r="AB5318" s="162"/>
      <c r="AC5318" s="162"/>
      <c r="AD5318" s="162">
        <f t="shared" si="103"/>
        <v>0</v>
      </c>
      <c r="AE5318" s="160">
        <v>5316</v>
      </c>
    </row>
    <row r="5319" spans="27:31" x14ac:dyDescent="0.25">
      <c r="AA5319" s="160"/>
      <c r="AB5319" s="162"/>
      <c r="AC5319" s="162"/>
      <c r="AD5319" s="162">
        <f t="shared" si="103"/>
        <v>0</v>
      </c>
      <c r="AE5319" s="160">
        <v>5317</v>
      </c>
    </row>
    <row r="5320" spans="27:31" x14ac:dyDescent="0.25">
      <c r="AA5320" s="160"/>
      <c r="AB5320" s="162"/>
      <c r="AC5320" s="162"/>
      <c r="AD5320" s="162">
        <f t="shared" si="103"/>
        <v>0</v>
      </c>
      <c r="AE5320" s="160">
        <v>5318</v>
      </c>
    </row>
    <row r="5321" spans="27:31" x14ac:dyDescent="0.25">
      <c r="AA5321" s="160"/>
      <c r="AB5321" s="162"/>
      <c r="AC5321" s="162"/>
      <c r="AD5321" s="162">
        <f t="shared" si="103"/>
        <v>0</v>
      </c>
      <c r="AE5321" s="160">
        <v>5319</v>
      </c>
    </row>
    <row r="5322" spans="27:31" x14ac:dyDescent="0.25">
      <c r="AA5322" s="160"/>
      <c r="AB5322" s="162"/>
      <c r="AC5322" s="162"/>
      <c r="AD5322" s="162">
        <f t="shared" si="103"/>
        <v>0</v>
      </c>
      <c r="AE5322" s="160">
        <v>5320</v>
      </c>
    </row>
    <row r="5323" spans="27:31" x14ac:dyDescent="0.25">
      <c r="AA5323" s="160"/>
      <c r="AB5323" s="162"/>
      <c r="AC5323" s="162"/>
      <c r="AD5323" s="162">
        <f t="shared" si="103"/>
        <v>0</v>
      </c>
      <c r="AE5323" s="160">
        <v>5321</v>
      </c>
    </row>
    <row r="5324" spans="27:31" x14ac:dyDescent="0.25">
      <c r="AA5324" s="160"/>
      <c r="AB5324" s="162"/>
      <c r="AC5324" s="162"/>
      <c r="AD5324" s="162">
        <f t="shared" si="103"/>
        <v>0</v>
      </c>
      <c r="AE5324" s="160">
        <v>5322</v>
      </c>
    </row>
    <row r="5325" spans="27:31" x14ac:dyDescent="0.25">
      <c r="AA5325" s="160"/>
      <c r="AB5325" s="162"/>
      <c r="AC5325" s="162"/>
      <c r="AD5325" s="162">
        <f t="shared" si="103"/>
        <v>0</v>
      </c>
      <c r="AE5325" s="160">
        <v>5323</v>
      </c>
    </row>
    <row r="5326" spans="27:31" x14ac:dyDescent="0.25">
      <c r="AA5326" s="160"/>
      <c r="AB5326" s="162"/>
      <c r="AC5326" s="162"/>
      <c r="AD5326" s="162">
        <f t="shared" si="103"/>
        <v>0</v>
      </c>
      <c r="AE5326" s="160">
        <v>5324</v>
      </c>
    </row>
    <row r="5327" spans="27:31" x14ac:dyDescent="0.25">
      <c r="AA5327" s="160"/>
      <c r="AB5327" s="162"/>
      <c r="AC5327" s="162"/>
      <c r="AD5327" s="162">
        <f t="shared" si="103"/>
        <v>0</v>
      </c>
      <c r="AE5327" s="160">
        <v>5325</v>
      </c>
    </row>
    <row r="5328" spans="27:31" x14ac:dyDescent="0.25">
      <c r="AA5328" s="160"/>
      <c r="AB5328" s="162"/>
      <c r="AC5328" s="162"/>
      <c r="AD5328" s="162">
        <f t="shared" si="103"/>
        <v>0</v>
      </c>
      <c r="AE5328" s="160">
        <v>5326</v>
      </c>
    </row>
    <row r="5329" spans="27:31" x14ac:dyDescent="0.25">
      <c r="AA5329" s="160"/>
      <c r="AB5329" s="162"/>
      <c r="AC5329" s="162"/>
      <c r="AD5329" s="162">
        <f t="shared" si="103"/>
        <v>0</v>
      </c>
      <c r="AE5329" s="160">
        <v>5327</v>
      </c>
    </row>
    <row r="5330" spans="27:31" x14ac:dyDescent="0.25">
      <c r="AA5330" s="160"/>
      <c r="AB5330" s="162"/>
      <c r="AC5330" s="162"/>
      <c r="AD5330" s="162">
        <f t="shared" si="103"/>
        <v>0</v>
      </c>
      <c r="AE5330" s="160">
        <v>5328</v>
      </c>
    </row>
    <row r="5331" spans="27:31" x14ac:dyDescent="0.25">
      <c r="AA5331" s="160"/>
      <c r="AB5331" s="162"/>
      <c r="AC5331" s="162"/>
      <c r="AD5331" s="162">
        <f t="shared" si="103"/>
        <v>0</v>
      </c>
      <c r="AE5331" s="160">
        <v>5329</v>
      </c>
    </row>
    <row r="5332" spans="27:31" x14ac:dyDescent="0.25">
      <c r="AA5332" s="160"/>
      <c r="AB5332" s="162"/>
      <c r="AC5332" s="162"/>
      <c r="AD5332" s="162">
        <f t="shared" si="103"/>
        <v>0</v>
      </c>
      <c r="AE5332" s="160">
        <v>5330</v>
      </c>
    </row>
    <row r="5333" spans="27:31" x14ac:dyDescent="0.25">
      <c r="AA5333" s="160"/>
      <c r="AB5333" s="162"/>
      <c r="AC5333" s="162"/>
      <c r="AD5333" s="162">
        <f t="shared" si="103"/>
        <v>0</v>
      </c>
      <c r="AE5333" s="160">
        <v>5331</v>
      </c>
    </row>
    <row r="5334" spans="27:31" x14ac:dyDescent="0.25">
      <c r="AA5334" s="160"/>
      <c r="AB5334" s="162"/>
      <c r="AC5334" s="162"/>
      <c r="AD5334" s="162">
        <f t="shared" si="103"/>
        <v>0</v>
      </c>
      <c r="AE5334" s="160">
        <v>5332</v>
      </c>
    </row>
    <row r="5335" spans="27:31" x14ac:dyDescent="0.25">
      <c r="AA5335" s="160"/>
      <c r="AB5335" s="162"/>
      <c r="AC5335" s="162"/>
      <c r="AD5335" s="162">
        <f t="shared" si="103"/>
        <v>0</v>
      </c>
      <c r="AE5335" s="160">
        <v>5333</v>
      </c>
    </row>
    <row r="5336" spans="27:31" x14ac:dyDescent="0.25">
      <c r="AA5336" s="160"/>
      <c r="AB5336" s="162"/>
      <c r="AC5336" s="162"/>
      <c r="AD5336" s="162">
        <f t="shared" si="103"/>
        <v>0</v>
      </c>
      <c r="AE5336" s="160">
        <v>5334</v>
      </c>
    </row>
    <row r="5337" spans="27:31" x14ac:dyDescent="0.25">
      <c r="AA5337" s="160"/>
      <c r="AB5337" s="162"/>
      <c r="AC5337" s="162"/>
      <c r="AD5337" s="162">
        <f t="shared" si="103"/>
        <v>0</v>
      </c>
      <c r="AE5337" s="160">
        <v>5335</v>
      </c>
    </row>
    <row r="5338" spans="27:31" x14ac:dyDescent="0.25">
      <c r="AA5338" s="160"/>
      <c r="AB5338" s="162"/>
      <c r="AC5338" s="162"/>
      <c r="AD5338" s="162">
        <f t="shared" si="103"/>
        <v>0</v>
      </c>
      <c r="AE5338" s="160">
        <v>5336</v>
      </c>
    </row>
    <row r="5339" spans="27:31" x14ac:dyDescent="0.25">
      <c r="AA5339" s="160"/>
      <c r="AB5339" s="162"/>
      <c r="AC5339" s="162"/>
      <c r="AD5339" s="162">
        <f t="shared" si="103"/>
        <v>0</v>
      </c>
      <c r="AE5339" s="160">
        <v>5337</v>
      </c>
    </row>
    <row r="5340" spans="27:31" x14ac:dyDescent="0.25">
      <c r="AA5340" s="160"/>
      <c r="AB5340" s="162"/>
      <c r="AC5340" s="162"/>
      <c r="AD5340" s="162">
        <f t="shared" si="103"/>
        <v>0</v>
      </c>
      <c r="AE5340" s="160">
        <v>5338</v>
      </c>
    </row>
    <row r="5341" spans="27:31" x14ac:dyDescent="0.25">
      <c r="AA5341" s="160"/>
      <c r="AB5341" s="162"/>
      <c r="AC5341" s="162"/>
      <c r="AD5341" s="162">
        <f t="shared" si="103"/>
        <v>0</v>
      </c>
      <c r="AE5341" s="160">
        <v>5339</v>
      </c>
    </row>
    <row r="5342" spans="27:31" x14ac:dyDescent="0.25">
      <c r="AA5342" s="160"/>
      <c r="AB5342" s="162"/>
      <c r="AC5342" s="162"/>
      <c r="AD5342" s="162">
        <f t="shared" si="103"/>
        <v>0</v>
      </c>
      <c r="AE5342" s="160">
        <v>5340</v>
      </c>
    </row>
    <row r="5343" spans="27:31" x14ac:dyDescent="0.25">
      <c r="AA5343" s="160"/>
      <c r="AB5343" s="162"/>
      <c r="AC5343" s="162"/>
      <c r="AD5343" s="162">
        <f t="shared" si="103"/>
        <v>0</v>
      </c>
      <c r="AE5343" s="160">
        <v>5341</v>
      </c>
    </row>
    <row r="5344" spans="27:31" x14ac:dyDescent="0.25">
      <c r="AA5344" s="160"/>
      <c r="AB5344" s="162"/>
      <c r="AC5344" s="162"/>
      <c r="AD5344" s="162">
        <f t="shared" si="103"/>
        <v>0</v>
      </c>
      <c r="AE5344" s="160">
        <v>5342</v>
      </c>
    </row>
    <row r="5345" spans="27:31" x14ac:dyDescent="0.25">
      <c r="AA5345" s="160"/>
      <c r="AB5345" s="162"/>
      <c r="AC5345" s="162"/>
      <c r="AD5345" s="162">
        <f t="shared" si="103"/>
        <v>0</v>
      </c>
      <c r="AE5345" s="160">
        <v>5343</v>
      </c>
    </row>
    <row r="5346" spans="27:31" x14ac:dyDescent="0.25">
      <c r="AA5346" s="160"/>
      <c r="AB5346" s="162"/>
      <c r="AC5346" s="162"/>
      <c r="AD5346" s="162">
        <f t="shared" si="103"/>
        <v>0</v>
      </c>
      <c r="AE5346" s="160">
        <v>5344</v>
      </c>
    </row>
    <row r="5347" spans="27:31" x14ac:dyDescent="0.25">
      <c r="AA5347" s="160"/>
      <c r="AB5347" s="162"/>
      <c r="AC5347" s="162"/>
      <c r="AD5347" s="162">
        <f t="shared" si="103"/>
        <v>0</v>
      </c>
      <c r="AE5347" s="160">
        <v>5345</v>
      </c>
    </row>
    <row r="5348" spans="27:31" x14ac:dyDescent="0.25">
      <c r="AA5348" s="160"/>
      <c r="AB5348" s="162"/>
      <c r="AC5348" s="162"/>
      <c r="AD5348" s="162">
        <f t="shared" si="103"/>
        <v>0</v>
      </c>
      <c r="AE5348" s="160">
        <v>5346</v>
      </c>
    </row>
    <row r="5349" spans="27:31" x14ac:dyDescent="0.25">
      <c r="AA5349" s="160"/>
      <c r="AB5349" s="162"/>
      <c r="AC5349" s="162"/>
      <c r="AD5349" s="162">
        <f t="shared" si="103"/>
        <v>0</v>
      </c>
      <c r="AE5349" s="160">
        <v>5347</v>
      </c>
    </row>
    <row r="5350" spans="27:31" x14ac:dyDescent="0.25">
      <c r="AA5350" s="160"/>
      <c r="AB5350" s="162"/>
      <c r="AC5350" s="162"/>
      <c r="AD5350" s="162">
        <f t="shared" si="103"/>
        <v>0</v>
      </c>
      <c r="AE5350" s="160">
        <v>5348</v>
      </c>
    </row>
    <row r="5351" spans="27:31" x14ac:dyDescent="0.25">
      <c r="AA5351" s="160"/>
      <c r="AB5351" s="162"/>
      <c r="AC5351" s="162"/>
      <c r="AD5351" s="162">
        <f t="shared" si="103"/>
        <v>0</v>
      </c>
      <c r="AE5351" s="160">
        <v>5349</v>
      </c>
    </row>
    <row r="5352" spans="27:31" x14ac:dyDescent="0.25">
      <c r="AA5352" s="160"/>
      <c r="AB5352" s="162"/>
      <c r="AC5352" s="162"/>
      <c r="AD5352" s="162">
        <f t="shared" si="103"/>
        <v>0</v>
      </c>
      <c r="AE5352" s="160">
        <v>5350</v>
      </c>
    </row>
    <row r="5353" spans="27:31" x14ac:dyDescent="0.25">
      <c r="AA5353" s="160"/>
      <c r="AB5353" s="162"/>
      <c r="AC5353" s="162"/>
      <c r="AD5353" s="162">
        <f t="shared" si="103"/>
        <v>0</v>
      </c>
      <c r="AE5353" s="160">
        <v>5351</v>
      </c>
    </row>
    <row r="5354" spans="27:31" x14ac:dyDescent="0.25">
      <c r="AA5354" s="160"/>
      <c r="AB5354" s="162"/>
      <c r="AC5354" s="162"/>
      <c r="AD5354" s="162">
        <f t="shared" si="103"/>
        <v>0</v>
      </c>
      <c r="AE5354" s="160">
        <v>5352</v>
      </c>
    </row>
    <row r="5355" spans="27:31" x14ac:dyDescent="0.25">
      <c r="AA5355" s="160"/>
      <c r="AB5355" s="162"/>
      <c r="AC5355" s="162"/>
      <c r="AD5355" s="162">
        <f t="shared" si="103"/>
        <v>0</v>
      </c>
      <c r="AE5355" s="160">
        <v>5353</v>
      </c>
    </row>
    <row r="5356" spans="27:31" x14ac:dyDescent="0.25">
      <c r="AA5356" s="160"/>
      <c r="AB5356" s="162"/>
      <c r="AC5356" s="162"/>
      <c r="AD5356" s="162">
        <f t="shared" si="103"/>
        <v>0</v>
      </c>
      <c r="AE5356" s="160">
        <v>5354</v>
      </c>
    </row>
    <row r="5357" spans="27:31" x14ac:dyDescent="0.25">
      <c r="AA5357" s="160"/>
      <c r="AB5357" s="162"/>
      <c r="AC5357" s="162"/>
      <c r="AD5357" s="162">
        <f t="shared" si="103"/>
        <v>0</v>
      </c>
      <c r="AE5357" s="160">
        <v>5355</v>
      </c>
    </row>
    <row r="5358" spans="27:31" x14ac:dyDescent="0.25">
      <c r="AA5358" s="160"/>
      <c r="AB5358" s="162"/>
      <c r="AC5358" s="162"/>
      <c r="AD5358" s="162">
        <f t="shared" si="103"/>
        <v>0</v>
      </c>
      <c r="AE5358" s="160">
        <v>5356</v>
      </c>
    </row>
    <row r="5359" spans="27:31" x14ac:dyDescent="0.25">
      <c r="AA5359" s="160"/>
      <c r="AB5359" s="162"/>
      <c r="AC5359" s="162"/>
      <c r="AD5359" s="162">
        <f t="shared" si="103"/>
        <v>0</v>
      </c>
      <c r="AE5359" s="160">
        <v>5357</v>
      </c>
    </row>
    <row r="5360" spans="27:31" x14ac:dyDescent="0.25">
      <c r="AA5360" s="160"/>
      <c r="AB5360" s="162"/>
      <c r="AC5360" s="162"/>
      <c r="AD5360" s="162">
        <f t="shared" si="103"/>
        <v>0</v>
      </c>
      <c r="AE5360" s="160">
        <v>5358</v>
      </c>
    </row>
    <row r="5361" spans="27:31" x14ac:dyDescent="0.25">
      <c r="AA5361" s="160"/>
      <c r="AB5361" s="162"/>
      <c r="AC5361" s="162"/>
      <c r="AD5361" s="162">
        <f t="shared" si="103"/>
        <v>0</v>
      </c>
      <c r="AE5361" s="160">
        <v>5359</v>
      </c>
    </row>
    <row r="5362" spans="27:31" x14ac:dyDescent="0.25">
      <c r="AA5362" s="160"/>
      <c r="AB5362" s="162"/>
      <c r="AC5362" s="162"/>
      <c r="AD5362" s="162">
        <f t="shared" si="103"/>
        <v>0</v>
      </c>
      <c r="AE5362" s="160">
        <v>5360</v>
      </c>
    </row>
    <row r="5363" spans="27:31" x14ac:dyDescent="0.25">
      <c r="AA5363" s="160"/>
      <c r="AB5363" s="162"/>
      <c r="AC5363" s="162"/>
      <c r="AD5363" s="162">
        <f t="shared" si="103"/>
        <v>0</v>
      </c>
      <c r="AE5363" s="160">
        <v>5361</v>
      </c>
    </row>
    <row r="5364" spans="27:31" x14ac:dyDescent="0.25">
      <c r="AA5364" s="160"/>
      <c r="AB5364" s="162"/>
      <c r="AC5364" s="162"/>
      <c r="AD5364" s="162">
        <f t="shared" si="103"/>
        <v>0</v>
      </c>
      <c r="AE5364" s="160">
        <v>5362</v>
      </c>
    </row>
    <row r="5365" spans="27:31" x14ac:dyDescent="0.25">
      <c r="AA5365" s="160"/>
      <c r="AB5365" s="162"/>
      <c r="AC5365" s="162"/>
      <c r="AD5365" s="162">
        <f t="shared" si="103"/>
        <v>0</v>
      </c>
      <c r="AE5365" s="160">
        <v>5363</v>
      </c>
    </row>
    <row r="5366" spans="27:31" x14ac:dyDescent="0.25">
      <c r="AA5366" s="160"/>
      <c r="AB5366" s="162"/>
      <c r="AC5366" s="162"/>
      <c r="AD5366" s="162">
        <f t="shared" si="103"/>
        <v>0</v>
      </c>
      <c r="AE5366" s="160">
        <v>5364</v>
      </c>
    </row>
    <row r="5367" spans="27:31" x14ac:dyDescent="0.25">
      <c r="AA5367" s="160"/>
      <c r="AB5367" s="162"/>
      <c r="AC5367" s="162"/>
      <c r="AD5367" s="162">
        <f t="shared" si="103"/>
        <v>0</v>
      </c>
      <c r="AE5367" s="160">
        <v>5365</v>
      </c>
    </row>
    <row r="5368" spans="27:31" x14ac:dyDescent="0.25">
      <c r="AA5368" s="160"/>
      <c r="AB5368" s="162"/>
      <c r="AC5368" s="162"/>
      <c r="AD5368" s="162">
        <f t="shared" si="103"/>
        <v>0</v>
      </c>
      <c r="AE5368" s="160">
        <v>5366</v>
      </c>
    </row>
    <row r="5369" spans="27:31" x14ac:dyDescent="0.25">
      <c r="AA5369" s="160"/>
      <c r="AB5369" s="162"/>
      <c r="AC5369" s="162"/>
      <c r="AD5369" s="162">
        <f t="shared" si="103"/>
        <v>0</v>
      </c>
      <c r="AE5369" s="160">
        <v>5367</v>
      </c>
    </row>
    <row r="5370" spans="27:31" x14ac:dyDescent="0.25">
      <c r="AA5370" s="160"/>
      <c r="AB5370" s="162"/>
      <c r="AC5370" s="162"/>
      <c r="AD5370" s="162">
        <f t="shared" si="103"/>
        <v>0</v>
      </c>
      <c r="AE5370" s="160">
        <v>5368</v>
      </c>
    </row>
    <row r="5371" spans="27:31" x14ac:dyDescent="0.25">
      <c r="AA5371" s="160"/>
      <c r="AB5371" s="162"/>
      <c r="AC5371" s="162"/>
      <c r="AD5371" s="162">
        <f t="shared" si="103"/>
        <v>0</v>
      </c>
      <c r="AE5371" s="160">
        <v>5369</v>
      </c>
    </row>
    <row r="5372" spans="27:31" x14ac:dyDescent="0.25">
      <c r="AA5372" s="160"/>
      <c r="AB5372" s="162"/>
      <c r="AC5372" s="162"/>
      <c r="AD5372" s="162">
        <f t="shared" si="103"/>
        <v>0</v>
      </c>
      <c r="AE5372" s="160">
        <v>5370</v>
      </c>
    </row>
    <row r="5373" spans="27:31" x14ac:dyDescent="0.25">
      <c r="AA5373" s="160"/>
      <c r="AB5373" s="162"/>
      <c r="AC5373" s="162"/>
      <c r="AD5373" s="162">
        <f t="shared" si="103"/>
        <v>0</v>
      </c>
      <c r="AE5373" s="160">
        <v>5371</v>
      </c>
    </row>
    <row r="5374" spans="27:31" x14ac:dyDescent="0.25">
      <c r="AA5374" s="160"/>
      <c r="AB5374" s="162"/>
      <c r="AC5374" s="162"/>
      <c r="AD5374" s="162">
        <f t="shared" si="103"/>
        <v>0</v>
      </c>
      <c r="AE5374" s="160">
        <v>5372</v>
      </c>
    </row>
    <row r="5375" spans="27:31" x14ac:dyDescent="0.25">
      <c r="AA5375" s="160"/>
      <c r="AB5375" s="162"/>
      <c r="AC5375" s="162"/>
      <c r="AD5375" s="162">
        <f t="shared" si="103"/>
        <v>0</v>
      </c>
      <c r="AE5375" s="160">
        <v>5373</v>
      </c>
    </row>
    <row r="5376" spans="27:31" x14ac:dyDescent="0.25">
      <c r="AA5376" s="160"/>
      <c r="AB5376" s="162"/>
      <c r="AC5376" s="162"/>
      <c r="AD5376" s="162">
        <f t="shared" si="103"/>
        <v>0</v>
      </c>
      <c r="AE5376" s="160">
        <v>5374</v>
      </c>
    </row>
    <row r="5377" spans="27:31" x14ac:dyDescent="0.25">
      <c r="AA5377" s="160"/>
      <c r="AB5377" s="162"/>
      <c r="AC5377" s="162"/>
      <c r="AD5377" s="162">
        <f t="shared" si="103"/>
        <v>0</v>
      </c>
      <c r="AE5377" s="160">
        <v>5375</v>
      </c>
    </row>
    <row r="5378" spans="27:31" x14ac:dyDescent="0.25">
      <c r="AA5378" s="160"/>
      <c r="AB5378" s="162"/>
      <c r="AC5378" s="162"/>
      <c r="AD5378" s="162">
        <f t="shared" si="103"/>
        <v>0</v>
      </c>
      <c r="AE5378" s="160">
        <v>5376</v>
      </c>
    </row>
    <row r="5379" spans="27:31" x14ac:dyDescent="0.25">
      <c r="AA5379" s="160"/>
      <c r="AB5379" s="162"/>
      <c r="AC5379" s="162"/>
      <c r="AD5379" s="162">
        <f t="shared" si="103"/>
        <v>0</v>
      </c>
      <c r="AE5379" s="160">
        <v>5377</v>
      </c>
    </row>
    <row r="5380" spans="27:31" x14ac:dyDescent="0.25">
      <c r="AA5380" s="160"/>
      <c r="AB5380" s="162"/>
      <c r="AC5380" s="162"/>
      <c r="AD5380" s="162">
        <f t="shared" ref="AD5380:AD5443" si="104">AB5380+AC5380</f>
        <v>0</v>
      </c>
      <c r="AE5380" s="160">
        <v>5378</v>
      </c>
    </row>
    <row r="5381" spans="27:31" x14ac:dyDescent="0.25">
      <c r="AA5381" s="160"/>
      <c r="AB5381" s="162"/>
      <c r="AC5381" s="162"/>
      <c r="AD5381" s="162">
        <f t="shared" si="104"/>
        <v>0</v>
      </c>
      <c r="AE5381" s="160">
        <v>5379</v>
      </c>
    </row>
    <row r="5382" spans="27:31" x14ac:dyDescent="0.25">
      <c r="AA5382" s="160"/>
      <c r="AB5382" s="162"/>
      <c r="AC5382" s="162"/>
      <c r="AD5382" s="162">
        <f t="shared" si="104"/>
        <v>0</v>
      </c>
      <c r="AE5382" s="160">
        <v>5380</v>
      </c>
    </row>
    <row r="5383" spans="27:31" x14ac:dyDescent="0.25">
      <c r="AA5383" s="160"/>
      <c r="AB5383" s="162"/>
      <c r="AC5383" s="162"/>
      <c r="AD5383" s="162">
        <f t="shared" si="104"/>
        <v>0</v>
      </c>
      <c r="AE5383" s="160">
        <v>5381</v>
      </c>
    </row>
    <row r="5384" spans="27:31" x14ac:dyDescent="0.25">
      <c r="AA5384" s="160"/>
      <c r="AB5384" s="162"/>
      <c r="AC5384" s="162"/>
      <c r="AD5384" s="162">
        <f t="shared" si="104"/>
        <v>0</v>
      </c>
      <c r="AE5384" s="160">
        <v>5382</v>
      </c>
    </row>
    <row r="5385" spans="27:31" x14ac:dyDescent="0.25">
      <c r="AA5385" s="160"/>
      <c r="AB5385" s="162"/>
      <c r="AC5385" s="162"/>
      <c r="AD5385" s="162">
        <f t="shared" si="104"/>
        <v>0</v>
      </c>
      <c r="AE5385" s="160">
        <v>5383</v>
      </c>
    </row>
    <row r="5386" spans="27:31" x14ac:dyDescent="0.25">
      <c r="AA5386" s="160"/>
      <c r="AB5386" s="162"/>
      <c r="AC5386" s="162"/>
      <c r="AD5386" s="162">
        <f t="shared" si="104"/>
        <v>0</v>
      </c>
      <c r="AE5386" s="160">
        <v>5384</v>
      </c>
    </row>
    <row r="5387" spans="27:31" x14ac:dyDescent="0.25">
      <c r="AA5387" s="160"/>
      <c r="AB5387" s="162"/>
      <c r="AC5387" s="162"/>
      <c r="AD5387" s="162">
        <f t="shared" si="104"/>
        <v>0</v>
      </c>
      <c r="AE5387" s="160">
        <v>5385</v>
      </c>
    </row>
    <row r="5388" spans="27:31" x14ac:dyDescent="0.25">
      <c r="AA5388" s="160"/>
      <c r="AB5388" s="162"/>
      <c r="AC5388" s="162"/>
      <c r="AD5388" s="162">
        <f t="shared" si="104"/>
        <v>0</v>
      </c>
      <c r="AE5388" s="160">
        <v>5386</v>
      </c>
    </row>
    <row r="5389" spans="27:31" x14ac:dyDescent="0.25">
      <c r="AA5389" s="160"/>
      <c r="AB5389" s="162"/>
      <c r="AC5389" s="162"/>
      <c r="AD5389" s="162">
        <f t="shared" si="104"/>
        <v>0</v>
      </c>
      <c r="AE5389" s="160">
        <v>5387</v>
      </c>
    </row>
    <row r="5390" spans="27:31" x14ac:dyDescent="0.25">
      <c r="AA5390" s="160"/>
      <c r="AB5390" s="162"/>
      <c r="AC5390" s="162"/>
      <c r="AD5390" s="162">
        <f t="shared" si="104"/>
        <v>0</v>
      </c>
      <c r="AE5390" s="160">
        <v>5388</v>
      </c>
    </row>
    <row r="5391" spans="27:31" x14ac:dyDescent="0.25">
      <c r="AA5391" s="160"/>
      <c r="AB5391" s="162"/>
      <c r="AC5391" s="162"/>
      <c r="AD5391" s="162">
        <f t="shared" si="104"/>
        <v>0</v>
      </c>
      <c r="AE5391" s="160">
        <v>5389</v>
      </c>
    </row>
    <row r="5392" spans="27:31" x14ac:dyDescent="0.25">
      <c r="AA5392" s="160"/>
      <c r="AB5392" s="162"/>
      <c r="AC5392" s="162"/>
      <c r="AD5392" s="162">
        <f t="shared" si="104"/>
        <v>0</v>
      </c>
      <c r="AE5392" s="160">
        <v>5390</v>
      </c>
    </row>
    <row r="5393" spans="27:31" x14ac:dyDescent="0.25">
      <c r="AA5393" s="160"/>
      <c r="AB5393" s="162"/>
      <c r="AC5393" s="162"/>
      <c r="AD5393" s="162">
        <f t="shared" si="104"/>
        <v>0</v>
      </c>
      <c r="AE5393" s="160">
        <v>5391</v>
      </c>
    </row>
    <row r="5394" spans="27:31" x14ac:dyDescent="0.25">
      <c r="AA5394" s="160"/>
      <c r="AB5394" s="162"/>
      <c r="AC5394" s="162"/>
      <c r="AD5394" s="162">
        <f t="shared" si="104"/>
        <v>0</v>
      </c>
      <c r="AE5394" s="160">
        <v>5392</v>
      </c>
    </row>
    <row r="5395" spans="27:31" x14ac:dyDescent="0.25">
      <c r="AA5395" s="160"/>
      <c r="AB5395" s="162"/>
      <c r="AC5395" s="162"/>
      <c r="AD5395" s="162">
        <f t="shared" si="104"/>
        <v>0</v>
      </c>
      <c r="AE5395" s="160">
        <v>5393</v>
      </c>
    </row>
    <row r="5396" spans="27:31" x14ac:dyDescent="0.25">
      <c r="AA5396" s="160"/>
      <c r="AB5396" s="162"/>
      <c r="AC5396" s="162"/>
      <c r="AD5396" s="162">
        <f t="shared" si="104"/>
        <v>0</v>
      </c>
      <c r="AE5396" s="160">
        <v>5394</v>
      </c>
    </row>
    <row r="5397" spans="27:31" x14ac:dyDescent="0.25">
      <c r="AA5397" s="160"/>
      <c r="AB5397" s="162"/>
      <c r="AC5397" s="162"/>
      <c r="AD5397" s="162">
        <f t="shared" si="104"/>
        <v>0</v>
      </c>
      <c r="AE5397" s="160">
        <v>5395</v>
      </c>
    </row>
    <row r="5398" spans="27:31" x14ac:dyDescent="0.25">
      <c r="AA5398" s="160"/>
      <c r="AB5398" s="162"/>
      <c r="AC5398" s="162"/>
      <c r="AD5398" s="162">
        <f t="shared" si="104"/>
        <v>0</v>
      </c>
      <c r="AE5398" s="160">
        <v>5396</v>
      </c>
    </row>
    <row r="5399" spans="27:31" x14ac:dyDescent="0.25">
      <c r="AA5399" s="160"/>
      <c r="AB5399" s="162"/>
      <c r="AC5399" s="162"/>
      <c r="AD5399" s="162">
        <f t="shared" si="104"/>
        <v>0</v>
      </c>
      <c r="AE5399" s="160">
        <v>5397</v>
      </c>
    </row>
    <row r="5400" spans="27:31" x14ac:dyDescent="0.25">
      <c r="AA5400" s="160"/>
      <c r="AB5400" s="162"/>
      <c r="AC5400" s="162"/>
      <c r="AD5400" s="162">
        <f t="shared" si="104"/>
        <v>0</v>
      </c>
      <c r="AE5400" s="160">
        <v>5398</v>
      </c>
    </row>
    <row r="5401" spans="27:31" x14ac:dyDescent="0.25">
      <c r="AA5401" s="160"/>
      <c r="AB5401" s="162"/>
      <c r="AC5401" s="162"/>
      <c r="AD5401" s="162">
        <f t="shared" si="104"/>
        <v>0</v>
      </c>
      <c r="AE5401" s="160">
        <v>5399</v>
      </c>
    </row>
    <row r="5402" spans="27:31" x14ac:dyDescent="0.25">
      <c r="AA5402" s="160"/>
      <c r="AB5402" s="162"/>
      <c r="AC5402" s="162"/>
      <c r="AD5402" s="162">
        <f t="shared" si="104"/>
        <v>0</v>
      </c>
      <c r="AE5402" s="160">
        <v>5400</v>
      </c>
    </row>
    <row r="5403" spans="27:31" x14ac:dyDescent="0.25">
      <c r="AA5403" s="160"/>
      <c r="AB5403" s="162"/>
      <c r="AC5403" s="162"/>
      <c r="AD5403" s="162">
        <f t="shared" si="104"/>
        <v>0</v>
      </c>
      <c r="AE5403" s="160">
        <v>5401</v>
      </c>
    </row>
    <row r="5404" spans="27:31" x14ac:dyDescent="0.25">
      <c r="AA5404" s="160"/>
      <c r="AB5404" s="162"/>
      <c r="AC5404" s="162"/>
      <c r="AD5404" s="162">
        <f t="shared" si="104"/>
        <v>0</v>
      </c>
      <c r="AE5404" s="160">
        <v>5402</v>
      </c>
    </row>
    <row r="5405" spans="27:31" x14ac:dyDescent="0.25">
      <c r="AA5405" s="160"/>
      <c r="AB5405" s="162"/>
      <c r="AC5405" s="162"/>
      <c r="AD5405" s="162">
        <f t="shared" si="104"/>
        <v>0</v>
      </c>
      <c r="AE5405" s="160">
        <v>5403</v>
      </c>
    </row>
    <row r="5406" spans="27:31" x14ac:dyDescent="0.25">
      <c r="AA5406" s="160"/>
      <c r="AB5406" s="162"/>
      <c r="AC5406" s="162"/>
      <c r="AD5406" s="162">
        <f t="shared" si="104"/>
        <v>0</v>
      </c>
      <c r="AE5406" s="160">
        <v>5404</v>
      </c>
    </row>
    <row r="5407" spans="27:31" x14ac:dyDescent="0.25">
      <c r="AA5407" s="160"/>
      <c r="AB5407" s="162"/>
      <c r="AC5407" s="162"/>
      <c r="AD5407" s="162">
        <f t="shared" si="104"/>
        <v>0</v>
      </c>
      <c r="AE5407" s="160">
        <v>5405</v>
      </c>
    </row>
    <row r="5408" spans="27:31" x14ac:dyDescent="0.25">
      <c r="AA5408" s="160"/>
      <c r="AB5408" s="162"/>
      <c r="AC5408" s="162"/>
      <c r="AD5408" s="162">
        <f t="shared" si="104"/>
        <v>0</v>
      </c>
      <c r="AE5408" s="160">
        <v>5406</v>
      </c>
    </row>
    <row r="5409" spans="27:31" x14ac:dyDescent="0.25">
      <c r="AA5409" s="160"/>
      <c r="AB5409" s="162"/>
      <c r="AC5409" s="162"/>
      <c r="AD5409" s="162">
        <f t="shared" si="104"/>
        <v>0</v>
      </c>
      <c r="AE5409" s="160">
        <v>5407</v>
      </c>
    </row>
    <row r="5410" spans="27:31" x14ac:dyDescent="0.25">
      <c r="AA5410" s="160"/>
      <c r="AB5410" s="162"/>
      <c r="AC5410" s="162"/>
      <c r="AD5410" s="162">
        <f t="shared" si="104"/>
        <v>0</v>
      </c>
      <c r="AE5410" s="160">
        <v>5408</v>
      </c>
    </row>
    <row r="5411" spans="27:31" x14ac:dyDescent="0.25">
      <c r="AA5411" s="160"/>
      <c r="AB5411" s="162"/>
      <c r="AC5411" s="162"/>
      <c r="AD5411" s="162">
        <f t="shared" si="104"/>
        <v>0</v>
      </c>
      <c r="AE5411" s="160">
        <v>5409</v>
      </c>
    </row>
    <row r="5412" spans="27:31" x14ac:dyDescent="0.25">
      <c r="AA5412" s="160"/>
      <c r="AB5412" s="162"/>
      <c r="AC5412" s="162"/>
      <c r="AD5412" s="162">
        <f t="shared" si="104"/>
        <v>0</v>
      </c>
      <c r="AE5412" s="160">
        <v>5410</v>
      </c>
    </row>
    <row r="5413" spans="27:31" x14ac:dyDescent="0.25">
      <c r="AA5413" s="160"/>
      <c r="AB5413" s="162"/>
      <c r="AC5413" s="162"/>
      <c r="AD5413" s="162">
        <f t="shared" si="104"/>
        <v>0</v>
      </c>
      <c r="AE5413" s="160">
        <v>5411</v>
      </c>
    </row>
    <row r="5414" spans="27:31" x14ac:dyDescent="0.25">
      <c r="AA5414" s="160"/>
      <c r="AB5414" s="162"/>
      <c r="AC5414" s="162"/>
      <c r="AD5414" s="162">
        <f t="shared" si="104"/>
        <v>0</v>
      </c>
      <c r="AE5414" s="160">
        <v>5412</v>
      </c>
    </row>
    <row r="5415" spans="27:31" x14ac:dyDescent="0.25">
      <c r="AA5415" s="160"/>
      <c r="AB5415" s="162"/>
      <c r="AC5415" s="162"/>
      <c r="AD5415" s="162">
        <f t="shared" si="104"/>
        <v>0</v>
      </c>
      <c r="AE5415" s="160">
        <v>5413</v>
      </c>
    </row>
    <row r="5416" spans="27:31" x14ac:dyDescent="0.25">
      <c r="AA5416" s="160"/>
      <c r="AB5416" s="162"/>
      <c r="AC5416" s="162"/>
      <c r="AD5416" s="162">
        <f t="shared" si="104"/>
        <v>0</v>
      </c>
      <c r="AE5416" s="160">
        <v>5414</v>
      </c>
    </row>
    <row r="5417" spans="27:31" x14ac:dyDescent="0.25">
      <c r="AA5417" s="160"/>
      <c r="AB5417" s="162"/>
      <c r="AC5417" s="162"/>
      <c r="AD5417" s="162">
        <f t="shared" si="104"/>
        <v>0</v>
      </c>
      <c r="AE5417" s="160">
        <v>5415</v>
      </c>
    </row>
    <row r="5418" spans="27:31" x14ac:dyDescent="0.25">
      <c r="AA5418" s="160"/>
      <c r="AB5418" s="162"/>
      <c r="AC5418" s="162"/>
      <c r="AD5418" s="162">
        <f t="shared" si="104"/>
        <v>0</v>
      </c>
      <c r="AE5418" s="160">
        <v>5416</v>
      </c>
    </row>
    <row r="5419" spans="27:31" x14ac:dyDescent="0.25">
      <c r="AA5419" s="160"/>
      <c r="AB5419" s="162"/>
      <c r="AC5419" s="162"/>
      <c r="AD5419" s="162">
        <f t="shared" si="104"/>
        <v>0</v>
      </c>
      <c r="AE5419" s="160">
        <v>5417</v>
      </c>
    </row>
    <row r="5420" spans="27:31" x14ac:dyDescent="0.25">
      <c r="AA5420" s="160"/>
      <c r="AB5420" s="162"/>
      <c r="AC5420" s="162"/>
      <c r="AD5420" s="162">
        <f t="shared" si="104"/>
        <v>0</v>
      </c>
      <c r="AE5420" s="160">
        <v>5418</v>
      </c>
    </row>
    <row r="5421" spans="27:31" x14ac:dyDescent="0.25">
      <c r="AA5421" s="160"/>
      <c r="AB5421" s="162"/>
      <c r="AC5421" s="162"/>
      <c r="AD5421" s="162">
        <f t="shared" si="104"/>
        <v>0</v>
      </c>
      <c r="AE5421" s="160">
        <v>5419</v>
      </c>
    </row>
    <row r="5422" spans="27:31" x14ac:dyDescent="0.25">
      <c r="AA5422" s="160"/>
      <c r="AB5422" s="162"/>
      <c r="AC5422" s="162"/>
      <c r="AD5422" s="162">
        <f t="shared" si="104"/>
        <v>0</v>
      </c>
      <c r="AE5422" s="160">
        <v>5420</v>
      </c>
    </row>
    <row r="5423" spans="27:31" x14ac:dyDescent="0.25">
      <c r="AA5423" s="160"/>
      <c r="AB5423" s="162"/>
      <c r="AC5423" s="162"/>
      <c r="AD5423" s="162">
        <f t="shared" si="104"/>
        <v>0</v>
      </c>
      <c r="AE5423" s="160">
        <v>5421</v>
      </c>
    </row>
    <row r="5424" spans="27:31" x14ac:dyDescent="0.25">
      <c r="AA5424" s="160"/>
      <c r="AB5424" s="162"/>
      <c r="AC5424" s="162"/>
      <c r="AD5424" s="162">
        <f t="shared" si="104"/>
        <v>0</v>
      </c>
      <c r="AE5424" s="160">
        <v>5422</v>
      </c>
    </row>
    <row r="5425" spans="27:31" x14ac:dyDescent="0.25">
      <c r="AA5425" s="160"/>
      <c r="AB5425" s="162"/>
      <c r="AC5425" s="162"/>
      <c r="AD5425" s="162">
        <f t="shared" si="104"/>
        <v>0</v>
      </c>
      <c r="AE5425" s="160">
        <v>5423</v>
      </c>
    </row>
    <row r="5426" spans="27:31" x14ac:dyDescent="0.25">
      <c r="AA5426" s="160"/>
      <c r="AB5426" s="162"/>
      <c r="AC5426" s="162"/>
      <c r="AD5426" s="162">
        <f t="shared" si="104"/>
        <v>0</v>
      </c>
      <c r="AE5426" s="160">
        <v>5424</v>
      </c>
    </row>
    <row r="5427" spans="27:31" x14ac:dyDescent="0.25">
      <c r="AA5427" s="160"/>
      <c r="AB5427" s="162"/>
      <c r="AC5427" s="162"/>
      <c r="AD5427" s="162">
        <f t="shared" si="104"/>
        <v>0</v>
      </c>
      <c r="AE5427" s="160">
        <v>5425</v>
      </c>
    </row>
    <row r="5428" spans="27:31" x14ac:dyDescent="0.25">
      <c r="AA5428" s="160"/>
      <c r="AB5428" s="162"/>
      <c r="AC5428" s="162"/>
      <c r="AD5428" s="162">
        <f t="shared" si="104"/>
        <v>0</v>
      </c>
      <c r="AE5428" s="160">
        <v>5426</v>
      </c>
    </row>
    <row r="5429" spans="27:31" x14ac:dyDescent="0.25">
      <c r="AA5429" s="160"/>
      <c r="AB5429" s="162"/>
      <c r="AC5429" s="162"/>
      <c r="AD5429" s="162">
        <f t="shared" si="104"/>
        <v>0</v>
      </c>
      <c r="AE5429" s="160">
        <v>5427</v>
      </c>
    </row>
    <row r="5430" spans="27:31" x14ac:dyDescent="0.25">
      <c r="AA5430" s="160"/>
      <c r="AB5430" s="162"/>
      <c r="AC5430" s="162"/>
      <c r="AD5430" s="162">
        <f t="shared" si="104"/>
        <v>0</v>
      </c>
      <c r="AE5430" s="160">
        <v>5428</v>
      </c>
    </row>
    <row r="5431" spans="27:31" x14ac:dyDescent="0.25">
      <c r="AA5431" s="160"/>
      <c r="AB5431" s="162"/>
      <c r="AC5431" s="162"/>
      <c r="AD5431" s="162">
        <f t="shared" si="104"/>
        <v>0</v>
      </c>
      <c r="AE5431" s="160">
        <v>5429</v>
      </c>
    </row>
    <row r="5432" spans="27:31" x14ac:dyDescent="0.25">
      <c r="AA5432" s="160"/>
      <c r="AB5432" s="162"/>
      <c r="AC5432" s="162"/>
      <c r="AD5432" s="162">
        <f t="shared" si="104"/>
        <v>0</v>
      </c>
      <c r="AE5432" s="160">
        <v>5430</v>
      </c>
    </row>
    <row r="5433" spans="27:31" x14ac:dyDescent="0.25">
      <c r="AA5433" s="160"/>
      <c r="AB5433" s="162"/>
      <c r="AC5433" s="162"/>
      <c r="AD5433" s="162">
        <f t="shared" si="104"/>
        <v>0</v>
      </c>
      <c r="AE5433" s="160">
        <v>5431</v>
      </c>
    </row>
    <row r="5434" spans="27:31" x14ac:dyDescent="0.25">
      <c r="AA5434" s="160"/>
      <c r="AB5434" s="162"/>
      <c r="AC5434" s="162"/>
      <c r="AD5434" s="162">
        <f t="shared" si="104"/>
        <v>0</v>
      </c>
      <c r="AE5434" s="160">
        <v>5432</v>
      </c>
    </row>
    <row r="5435" spans="27:31" x14ac:dyDescent="0.25">
      <c r="AA5435" s="160"/>
      <c r="AB5435" s="162"/>
      <c r="AC5435" s="162"/>
      <c r="AD5435" s="162">
        <f t="shared" si="104"/>
        <v>0</v>
      </c>
      <c r="AE5435" s="160">
        <v>5433</v>
      </c>
    </row>
    <row r="5436" spans="27:31" x14ac:dyDescent="0.25">
      <c r="AA5436" s="160"/>
      <c r="AB5436" s="162"/>
      <c r="AC5436" s="162"/>
      <c r="AD5436" s="162">
        <f t="shared" si="104"/>
        <v>0</v>
      </c>
      <c r="AE5436" s="160">
        <v>5434</v>
      </c>
    </row>
    <row r="5437" spans="27:31" x14ac:dyDescent="0.25">
      <c r="AA5437" s="160"/>
      <c r="AB5437" s="162"/>
      <c r="AC5437" s="162"/>
      <c r="AD5437" s="162">
        <f t="shared" si="104"/>
        <v>0</v>
      </c>
      <c r="AE5437" s="160">
        <v>5435</v>
      </c>
    </row>
    <row r="5438" spans="27:31" x14ac:dyDescent="0.25">
      <c r="AA5438" s="160"/>
      <c r="AB5438" s="162"/>
      <c r="AC5438" s="162"/>
      <c r="AD5438" s="162">
        <f t="shared" si="104"/>
        <v>0</v>
      </c>
      <c r="AE5438" s="160">
        <v>5436</v>
      </c>
    </row>
    <row r="5439" spans="27:31" x14ac:dyDescent="0.25">
      <c r="AA5439" s="160"/>
      <c r="AB5439" s="162"/>
      <c r="AC5439" s="162"/>
      <c r="AD5439" s="162">
        <f t="shared" si="104"/>
        <v>0</v>
      </c>
      <c r="AE5439" s="160">
        <v>5437</v>
      </c>
    </row>
    <row r="5440" spans="27:31" x14ac:dyDescent="0.25">
      <c r="AA5440" s="160"/>
      <c r="AB5440" s="162"/>
      <c r="AC5440" s="162"/>
      <c r="AD5440" s="162">
        <f t="shared" si="104"/>
        <v>0</v>
      </c>
      <c r="AE5440" s="160">
        <v>5438</v>
      </c>
    </row>
    <row r="5441" spans="27:31" x14ac:dyDescent="0.25">
      <c r="AA5441" s="160"/>
      <c r="AB5441" s="162"/>
      <c r="AC5441" s="162"/>
      <c r="AD5441" s="162">
        <f t="shared" si="104"/>
        <v>0</v>
      </c>
      <c r="AE5441" s="160">
        <v>5439</v>
      </c>
    </row>
    <row r="5442" spans="27:31" x14ac:dyDescent="0.25">
      <c r="AA5442" s="160"/>
      <c r="AB5442" s="162"/>
      <c r="AC5442" s="162"/>
      <c r="AD5442" s="162">
        <f t="shared" si="104"/>
        <v>0</v>
      </c>
      <c r="AE5442" s="160">
        <v>5440</v>
      </c>
    </row>
    <row r="5443" spans="27:31" x14ac:dyDescent="0.25">
      <c r="AA5443" s="160"/>
      <c r="AB5443" s="162"/>
      <c r="AC5443" s="162"/>
      <c r="AD5443" s="162">
        <f t="shared" si="104"/>
        <v>0</v>
      </c>
      <c r="AE5443" s="160">
        <v>5441</v>
      </c>
    </row>
    <row r="5444" spans="27:31" x14ac:dyDescent="0.25">
      <c r="AA5444" s="160"/>
      <c r="AB5444" s="162"/>
      <c r="AC5444" s="162"/>
      <c r="AD5444" s="162">
        <f t="shared" ref="AD5444:AD5507" si="105">AB5444+AC5444</f>
        <v>0</v>
      </c>
      <c r="AE5444" s="160">
        <v>5442</v>
      </c>
    </row>
    <row r="5445" spans="27:31" x14ac:dyDescent="0.25">
      <c r="AA5445" s="160"/>
      <c r="AB5445" s="162"/>
      <c r="AC5445" s="162"/>
      <c r="AD5445" s="162">
        <f t="shared" si="105"/>
        <v>0</v>
      </c>
      <c r="AE5445" s="160">
        <v>5443</v>
      </c>
    </row>
    <row r="5446" spans="27:31" x14ac:dyDescent="0.25">
      <c r="AA5446" s="160"/>
      <c r="AB5446" s="162"/>
      <c r="AC5446" s="162"/>
      <c r="AD5446" s="162">
        <f t="shared" si="105"/>
        <v>0</v>
      </c>
      <c r="AE5446" s="160">
        <v>5444</v>
      </c>
    </row>
    <row r="5447" spans="27:31" x14ac:dyDescent="0.25">
      <c r="AA5447" s="160"/>
      <c r="AB5447" s="162"/>
      <c r="AC5447" s="162"/>
      <c r="AD5447" s="162">
        <f t="shared" si="105"/>
        <v>0</v>
      </c>
      <c r="AE5447" s="160">
        <v>5445</v>
      </c>
    </row>
    <row r="5448" spans="27:31" x14ac:dyDescent="0.25">
      <c r="AA5448" s="160"/>
      <c r="AB5448" s="162"/>
      <c r="AC5448" s="162"/>
      <c r="AD5448" s="162">
        <f t="shared" si="105"/>
        <v>0</v>
      </c>
      <c r="AE5448" s="160">
        <v>5446</v>
      </c>
    </row>
    <row r="5449" spans="27:31" x14ac:dyDescent="0.25">
      <c r="AA5449" s="160"/>
      <c r="AB5449" s="162"/>
      <c r="AC5449" s="162"/>
      <c r="AD5449" s="162">
        <f t="shared" si="105"/>
        <v>0</v>
      </c>
      <c r="AE5449" s="160">
        <v>5447</v>
      </c>
    </row>
    <row r="5450" spans="27:31" x14ac:dyDescent="0.25">
      <c r="AA5450" s="160"/>
      <c r="AB5450" s="162"/>
      <c r="AC5450" s="162"/>
      <c r="AD5450" s="162">
        <f t="shared" si="105"/>
        <v>0</v>
      </c>
      <c r="AE5450" s="160">
        <v>5448</v>
      </c>
    </row>
    <row r="5451" spans="27:31" x14ac:dyDescent="0.25">
      <c r="AA5451" s="160"/>
      <c r="AB5451" s="162"/>
      <c r="AC5451" s="162"/>
      <c r="AD5451" s="162">
        <f t="shared" si="105"/>
        <v>0</v>
      </c>
      <c r="AE5451" s="160">
        <v>5449</v>
      </c>
    </row>
    <row r="5452" spans="27:31" x14ac:dyDescent="0.25">
      <c r="AA5452" s="160"/>
      <c r="AB5452" s="162"/>
      <c r="AC5452" s="162"/>
      <c r="AD5452" s="162">
        <f t="shared" si="105"/>
        <v>0</v>
      </c>
      <c r="AE5452" s="160">
        <v>5450</v>
      </c>
    </row>
    <row r="5453" spans="27:31" x14ac:dyDescent="0.25">
      <c r="AA5453" s="160"/>
      <c r="AB5453" s="162"/>
      <c r="AC5453" s="162"/>
      <c r="AD5453" s="162">
        <f t="shared" si="105"/>
        <v>0</v>
      </c>
      <c r="AE5453" s="160">
        <v>5451</v>
      </c>
    </row>
    <row r="5454" spans="27:31" x14ac:dyDescent="0.25">
      <c r="AA5454" s="160"/>
      <c r="AB5454" s="162"/>
      <c r="AC5454" s="162"/>
      <c r="AD5454" s="162">
        <f t="shared" si="105"/>
        <v>0</v>
      </c>
      <c r="AE5454" s="160">
        <v>5452</v>
      </c>
    </row>
    <row r="5455" spans="27:31" x14ac:dyDescent="0.25">
      <c r="AA5455" s="160"/>
      <c r="AB5455" s="162"/>
      <c r="AC5455" s="162"/>
      <c r="AD5455" s="162">
        <f t="shared" si="105"/>
        <v>0</v>
      </c>
      <c r="AE5455" s="160">
        <v>5453</v>
      </c>
    </row>
    <row r="5456" spans="27:31" x14ac:dyDescent="0.25">
      <c r="AA5456" s="160"/>
      <c r="AB5456" s="162"/>
      <c r="AC5456" s="162"/>
      <c r="AD5456" s="162">
        <f t="shared" si="105"/>
        <v>0</v>
      </c>
      <c r="AE5456" s="160">
        <v>5454</v>
      </c>
    </row>
    <row r="5457" spans="27:31" x14ac:dyDescent="0.25">
      <c r="AA5457" s="160"/>
      <c r="AB5457" s="162"/>
      <c r="AC5457" s="162"/>
      <c r="AD5457" s="162">
        <f t="shared" si="105"/>
        <v>0</v>
      </c>
      <c r="AE5457" s="160">
        <v>5455</v>
      </c>
    </row>
    <row r="5458" spans="27:31" x14ac:dyDescent="0.25">
      <c r="AA5458" s="160"/>
      <c r="AB5458" s="162"/>
      <c r="AC5458" s="162"/>
      <c r="AD5458" s="162">
        <f t="shared" si="105"/>
        <v>0</v>
      </c>
      <c r="AE5458" s="160">
        <v>5456</v>
      </c>
    </row>
    <row r="5459" spans="27:31" x14ac:dyDescent="0.25">
      <c r="AA5459" s="160"/>
      <c r="AB5459" s="162"/>
      <c r="AC5459" s="162"/>
      <c r="AD5459" s="162">
        <f t="shared" si="105"/>
        <v>0</v>
      </c>
      <c r="AE5459" s="160">
        <v>5457</v>
      </c>
    </row>
    <row r="5460" spans="27:31" x14ac:dyDescent="0.25">
      <c r="AA5460" s="160"/>
      <c r="AB5460" s="162"/>
      <c r="AC5460" s="162"/>
      <c r="AD5460" s="162">
        <f t="shared" si="105"/>
        <v>0</v>
      </c>
      <c r="AE5460" s="160">
        <v>5458</v>
      </c>
    </row>
    <row r="5461" spans="27:31" x14ac:dyDescent="0.25">
      <c r="AA5461" s="160"/>
      <c r="AB5461" s="162"/>
      <c r="AC5461" s="162"/>
      <c r="AD5461" s="162">
        <f t="shared" si="105"/>
        <v>0</v>
      </c>
      <c r="AE5461" s="160">
        <v>5459</v>
      </c>
    </row>
    <row r="5462" spans="27:31" x14ac:dyDescent="0.25">
      <c r="AA5462" s="160"/>
      <c r="AB5462" s="162"/>
      <c r="AC5462" s="162"/>
      <c r="AD5462" s="162">
        <f t="shared" si="105"/>
        <v>0</v>
      </c>
      <c r="AE5462" s="160">
        <v>5460</v>
      </c>
    </row>
    <row r="5463" spans="27:31" x14ac:dyDescent="0.25">
      <c r="AA5463" s="160"/>
      <c r="AB5463" s="162"/>
      <c r="AC5463" s="162"/>
      <c r="AD5463" s="162">
        <f t="shared" si="105"/>
        <v>0</v>
      </c>
      <c r="AE5463" s="160">
        <v>5461</v>
      </c>
    </row>
    <row r="5464" spans="27:31" x14ac:dyDescent="0.25">
      <c r="AA5464" s="160"/>
      <c r="AB5464" s="162"/>
      <c r="AC5464" s="162"/>
      <c r="AD5464" s="162">
        <f t="shared" si="105"/>
        <v>0</v>
      </c>
      <c r="AE5464" s="160">
        <v>5462</v>
      </c>
    </row>
    <row r="5465" spans="27:31" x14ac:dyDescent="0.25">
      <c r="AA5465" s="160"/>
      <c r="AB5465" s="162"/>
      <c r="AC5465" s="162"/>
      <c r="AD5465" s="162">
        <f t="shared" si="105"/>
        <v>0</v>
      </c>
      <c r="AE5465" s="160">
        <v>5463</v>
      </c>
    </row>
    <row r="5466" spans="27:31" x14ac:dyDescent="0.25">
      <c r="AA5466" s="160"/>
      <c r="AB5466" s="162"/>
      <c r="AC5466" s="162"/>
      <c r="AD5466" s="162">
        <f t="shared" si="105"/>
        <v>0</v>
      </c>
      <c r="AE5466" s="160">
        <v>5464</v>
      </c>
    </row>
    <row r="5467" spans="27:31" x14ac:dyDescent="0.25">
      <c r="AA5467" s="160"/>
      <c r="AB5467" s="162"/>
      <c r="AC5467" s="162"/>
      <c r="AD5467" s="162">
        <f t="shared" si="105"/>
        <v>0</v>
      </c>
      <c r="AE5467" s="160">
        <v>5465</v>
      </c>
    </row>
    <row r="5468" spans="27:31" x14ac:dyDescent="0.25">
      <c r="AA5468" s="160"/>
      <c r="AB5468" s="162"/>
      <c r="AC5468" s="162"/>
      <c r="AD5468" s="162">
        <f t="shared" si="105"/>
        <v>0</v>
      </c>
      <c r="AE5468" s="160">
        <v>5466</v>
      </c>
    </row>
    <row r="5469" spans="27:31" x14ac:dyDescent="0.25">
      <c r="AA5469" s="160"/>
      <c r="AB5469" s="162"/>
      <c r="AC5469" s="162"/>
      <c r="AD5469" s="162">
        <f t="shared" si="105"/>
        <v>0</v>
      </c>
      <c r="AE5469" s="160">
        <v>5467</v>
      </c>
    </row>
    <row r="5470" spans="27:31" x14ac:dyDescent="0.25">
      <c r="AA5470" s="160"/>
      <c r="AB5470" s="162"/>
      <c r="AC5470" s="162"/>
      <c r="AD5470" s="162">
        <f t="shared" si="105"/>
        <v>0</v>
      </c>
      <c r="AE5470" s="160">
        <v>5468</v>
      </c>
    </row>
    <row r="5471" spans="27:31" x14ac:dyDescent="0.25">
      <c r="AA5471" s="160"/>
      <c r="AB5471" s="162"/>
      <c r="AC5471" s="162"/>
      <c r="AD5471" s="162">
        <f t="shared" si="105"/>
        <v>0</v>
      </c>
      <c r="AE5471" s="160">
        <v>5469</v>
      </c>
    </row>
    <row r="5472" spans="27:31" x14ac:dyDescent="0.25">
      <c r="AA5472" s="160"/>
      <c r="AB5472" s="162"/>
      <c r="AC5472" s="162"/>
      <c r="AD5472" s="162">
        <f t="shared" si="105"/>
        <v>0</v>
      </c>
      <c r="AE5472" s="160">
        <v>5470</v>
      </c>
    </row>
    <row r="5473" spans="27:31" x14ac:dyDescent="0.25">
      <c r="AA5473" s="160"/>
      <c r="AB5473" s="162"/>
      <c r="AC5473" s="162"/>
      <c r="AD5473" s="162">
        <f t="shared" si="105"/>
        <v>0</v>
      </c>
      <c r="AE5473" s="160">
        <v>5471</v>
      </c>
    </row>
    <row r="5474" spans="27:31" x14ac:dyDescent="0.25">
      <c r="AA5474" s="160"/>
      <c r="AB5474" s="162"/>
      <c r="AC5474" s="162"/>
      <c r="AD5474" s="162">
        <f t="shared" si="105"/>
        <v>0</v>
      </c>
      <c r="AE5474" s="160">
        <v>5472</v>
      </c>
    </row>
    <row r="5475" spans="27:31" x14ac:dyDescent="0.25">
      <c r="AA5475" s="160"/>
      <c r="AB5475" s="162"/>
      <c r="AC5475" s="162"/>
      <c r="AD5475" s="162">
        <f t="shared" si="105"/>
        <v>0</v>
      </c>
      <c r="AE5475" s="160">
        <v>5473</v>
      </c>
    </row>
    <row r="5476" spans="27:31" x14ac:dyDescent="0.25">
      <c r="AA5476" s="160"/>
      <c r="AB5476" s="162"/>
      <c r="AC5476" s="162"/>
      <c r="AD5476" s="162">
        <f t="shared" si="105"/>
        <v>0</v>
      </c>
      <c r="AE5476" s="160">
        <v>5474</v>
      </c>
    </row>
    <row r="5477" spans="27:31" x14ac:dyDescent="0.25">
      <c r="AA5477" s="160"/>
      <c r="AB5477" s="162"/>
      <c r="AC5477" s="162"/>
      <c r="AD5477" s="162">
        <f t="shared" si="105"/>
        <v>0</v>
      </c>
      <c r="AE5477" s="160">
        <v>5475</v>
      </c>
    </row>
    <row r="5478" spans="27:31" x14ac:dyDescent="0.25">
      <c r="AA5478" s="160"/>
      <c r="AB5478" s="162"/>
      <c r="AC5478" s="162"/>
      <c r="AD5478" s="162">
        <f t="shared" si="105"/>
        <v>0</v>
      </c>
      <c r="AE5478" s="160">
        <v>5476</v>
      </c>
    </row>
    <row r="5479" spans="27:31" x14ac:dyDescent="0.25">
      <c r="AA5479" s="160"/>
      <c r="AB5479" s="162"/>
      <c r="AC5479" s="162"/>
      <c r="AD5479" s="162">
        <f t="shared" si="105"/>
        <v>0</v>
      </c>
      <c r="AE5479" s="160">
        <v>5477</v>
      </c>
    </row>
    <row r="5480" spans="27:31" x14ac:dyDescent="0.25">
      <c r="AA5480" s="160"/>
      <c r="AB5480" s="162"/>
      <c r="AC5480" s="162"/>
      <c r="AD5480" s="162">
        <f t="shared" si="105"/>
        <v>0</v>
      </c>
      <c r="AE5480" s="160">
        <v>5478</v>
      </c>
    </row>
    <row r="5481" spans="27:31" x14ac:dyDescent="0.25">
      <c r="AA5481" s="160"/>
      <c r="AB5481" s="162"/>
      <c r="AC5481" s="162"/>
      <c r="AD5481" s="162">
        <f t="shared" si="105"/>
        <v>0</v>
      </c>
      <c r="AE5481" s="160">
        <v>5479</v>
      </c>
    </row>
    <row r="5482" spans="27:31" x14ac:dyDescent="0.25">
      <c r="AA5482" s="160"/>
      <c r="AB5482" s="162"/>
      <c r="AC5482" s="162"/>
      <c r="AD5482" s="162">
        <f t="shared" si="105"/>
        <v>0</v>
      </c>
      <c r="AE5482" s="160">
        <v>5480</v>
      </c>
    </row>
    <row r="5483" spans="27:31" x14ac:dyDescent="0.25">
      <c r="AA5483" s="160"/>
      <c r="AB5483" s="162"/>
      <c r="AC5483" s="162"/>
      <c r="AD5483" s="162">
        <f t="shared" si="105"/>
        <v>0</v>
      </c>
      <c r="AE5483" s="160">
        <v>5481</v>
      </c>
    </row>
    <row r="5484" spans="27:31" x14ac:dyDescent="0.25">
      <c r="AA5484" s="160"/>
      <c r="AB5484" s="162"/>
      <c r="AC5484" s="162"/>
      <c r="AD5484" s="162">
        <f t="shared" si="105"/>
        <v>0</v>
      </c>
      <c r="AE5484" s="160">
        <v>5482</v>
      </c>
    </row>
    <row r="5485" spans="27:31" x14ac:dyDescent="0.25">
      <c r="AA5485" s="160"/>
      <c r="AB5485" s="162"/>
      <c r="AC5485" s="162"/>
      <c r="AD5485" s="162">
        <f t="shared" si="105"/>
        <v>0</v>
      </c>
      <c r="AE5485" s="160">
        <v>5483</v>
      </c>
    </row>
    <row r="5486" spans="27:31" x14ac:dyDescent="0.25">
      <c r="AA5486" s="160"/>
      <c r="AB5486" s="162"/>
      <c r="AC5486" s="162"/>
      <c r="AD5486" s="162">
        <f t="shared" si="105"/>
        <v>0</v>
      </c>
      <c r="AE5486" s="160">
        <v>5484</v>
      </c>
    </row>
    <row r="5487" spans="27:31" x14ac:dyDescent="0.25">
      <c r="AA5487" s="160"/>
      <c r="AB5487" s="162"/>
      <c r="AC5487" s="162"/>
      <c r="AD5487" s="162">
        <f t="shared" si="105"/>
        <v>0</v>
      </c>
      <c r="AE5487" s="160">
        <v>5485</v>
      </c>
    </row>
    <row r="5488" spans="27:31" x14ac:dyDescent="0.25">
      <c r="AA5488" s="160"/>
      <c r="AB5488" s="162"/>
      <c r="AC5488" s="162"/>
      <c r="AD5488" s="162">
        <f t="shared" si="105"/>
        <v>0</v>
      </c>
      <c r="AE5488" s="160">
        <v>5486</v>
      </c>
    </row>
    <row r="5489" spans="27:31" x14ac:dyDescent="0.25">
      <c r="AA5489" s="160"/>
      <c r="AB5489" s="162"/>
      <c r="AC5489" s="162"/>
      <c r="AD5489" s="162">
        <f t="shared" si="105"/>
        <v>0</v>
      </c>
      <c r="AE5489" s="160">
        <v>5487</v>
      </c>
    </row>
    <row r="5490" spans="27:31" x14ac:dyDescent="0.25">
      <c r="AA5490" s="160"/>
      <c r="AB5490" s="162"/>
      <c r="AC5490" s="162"/>
      <c r="AD5490" s="162">
        <f t="shared" si="105"/>
        <v>0</v>
      </c>
      <c r="AE5490" s="160">
        <v>5488</v>
      </c>
    </row>
    <row r="5491" spans="27:31" x14ac:dyDescent="0.25">
      <c r="AA5491" s="160"/>
      <c r="AB5491" s="162"/>
      <c r="AC5491" s="162"/>
      <c r="AD5491" s="162">
        <f t="shared" si="105"/>
        <v>0</v>
      </c>
      <c r="AE5491" s="160">
        <v>5489</v>
      </c>
    </row>
    <row r="5492" spans="27:31" x14ac:dyDescent="0.25">
      <c r="AA5492" s="160"/>
      <c r="AB5492" s="162"/>
      <c r="AC5492" s="162"/>
      <c r="AD5492" s="162">
        <f t="shared" si="105"/>
        <v>0</v>
      </c>
      <c r="AE5492" s="160">
        <v>5490</v>
      </c>
    </row>
    <row r="5493" spans="27:31" x14ac:dyDescent="0.25">
      <c r="AA5493" s="160"/>
      <c r="AB5493" s="162"/>
      <c r="AC5493" s="162"/>
      <c r="AD5493" s="162">
        <f t="shared" si="105"/>
        <v>0</v>
      </c>
      <c r="AE5493" s="160">
        <v>5491</v>
      </c>
    </row>
    <row r="5494" spans="27:31" x14ac:dyDescent="0.25">
      <c r="AA5494" s="160"/>
      <c r="AB5494" s="162"/>
      <c r="AC5494" s="162"/>
      <c r="AD5494" s="162">
        <f t="shared" si="105"/>
        <v>0</v>
      </c>
      <c r="AE5494" s="160">
        <v>5492</v>
      </c>
    </row>
    <row r="5495" spans="27:31" x14ac:dyDescent="0.25">
      <c r="AA5495" s="160"/>
      <c r="AB5495" s="162"/>
      <c r="AC5495" s="162"/>
      <c r="AD5495" s="162">
        <f t="shared" si="105"/>
        <v>0</v>
      </c>
      <c r="AE5495" s="160">
        <v>5493</v>
      </c>
    </row>
    <row r="5496" spans="27:31" x14ac:dyDescent="0.25">
      <c r="AA5496" s="160"/>
      <c r="AB5496" s="162"/>
      <c r="AC5496" s="162"/>
      <c r="AD5496" s="162">
        <f t="shared" si="105"/>
        <v>0</v>
      </c>
      <c r="AE5496" s="160">
        <v>5494</v>
      </c>
    </row>
    <row r="5497" spans="27:31" x14ac:dyDescent="0.25">
      <c r="AA5497" s="160"/>
      <c r="AB5497" s="162"/>
      <c r="AC5497" s="162"/>
      <c r="AD5497" s="162">
        <f t="shared" si="105"/>
        <v>0</v>
      </c>
      <c r="AE5497" s="160">
        <v>5495</v>
      </c>
    </row>
    <row r="5498" spans="27:31" x14ac:dyDescent="0.25">
      <c r="AA5498" s="160"/>
      <c r="AB5498" s="162"/>
      <c r="AC5498" s="162"/>
      <c r="AD5498" s="162">
        <f t="shared" si="105"/>
        <v>0</v>
      </c>
      <c r="AE5498" s="160">
        <v>5496</v>
      </c>
    </row>
    <row r="5499" spans="27:31" x14ac:dyDescent="0.25">
      <c r="AA5499" s="160"/>
      <c r="AB5499" s="162"/>
      <c r="AC5499" s="162"/>
      <c r="AD5499" s="162">
        <f t="shared" si="105"/>
        <v>0</v>
      </c>
      <c r="AE5499" s="160">
        <v>5497</v>
      </c>
    </row>
    <row r="5500" spans="27:31" x14ac:dyDescent="0.25">
      <c r="AA5500" s="160"/>
      <c r="AB5500" s="162"/>
      <c r="AC5500" s="162"/>
      <c r="AD5500" s="162">
        <f t="shared" si="105"/>
        <v>0</v>
      </c>
      <c r="AE5500" s="160">
        <v>5498</v>
      </c>
    </row>
    <row r="5501" spans="27:31" x14ac:dyDescent="0.25">
      <c r="AA5501" s="160"/>
      <c r="AB5501" s="162"/>
      <c r="AC5501" s="162"/>
      <c r="AD5501" s="162">
        <f t="shared" si="105"/>
        <v>0</v>
      </c>
      <c r="AE5501" s="160">
        <v>5499</v>
      </c>
    </row>
    <row r="5502" spans="27:31" x14ac:dyDescent="0.25">
      <c r="AA5502" s="160"/>
      <c r="AB5502" s="162"/>
      <c r="AC5502" s="162"/>
      <c r="AD5502" s="162">
        <f t="shared" si="105"/>
        <v>0</v>
      </c>
      <c r="AE5502" s="160">
        <v>5500</v>
      </c>
    </row>
    <row r="5503" spans="27:31" x14ac:dyDescent="0.25">
      <c r="AA5503" s="160"/>
      <c r="AB5503" s="162"/>
      <c r="AC5503" s="162"/>
      <c r="AD5503" s="162">
        <f t="shared" si="105"/>
        <v>0</v>
      </c>
      <c r="AE5503" s="160">
        <v>5501</v>
      </c>
    </row>
    <row r="5504" spans="27:31" x14ac:dyDescent="0.25">
      <c r="AA5504" s="160"/>
      <c r="AB5504" s="162"/>
      <c r="AC5504" s="162"/>
      <c r="AD5504" s="162">
        <f t="shared" si="105"/>
        <v>0</v>
      </c>
      <c r="AE5504" s="160">
        <v>5502</v>
      </c>
    </row>
    <row r="5505" spans="27:31" x14ac:dyDescent="0.25">
      <c r="AA5505" s="160"/>
      <c r="AB5505" s="162"/>
      <c r="AC5505" s="162"/>
      <c r="AD5505" s="162">
        <f t="shared" si="105"/>
        <v>0</v>
      </c>
      <c r="AE5505" s="160">
        <v>5503</v>
      </c>
    </row>
    <row r="5506" spans="27:31" x14ac:dyDescent="0.25">
      <c r="AA5506" s="160"/>
      <c r="AB5506" s="162"/>
      <c r="AC5506" s="162"/>
      <c r="AD5506" s="162">
        <f t="shared" si="105"/>
        <v>0</v>
      </c>
      <c r="AE5506" s="160">
        <v>5504</v>
      </c>
    </row>
    <row r="5507" spans="27:31" x14ac:dyDescent="0.25">
      <c r="AA5507" s="160"/>
      <c r="AB5507" s="162"/>
      <c r="AC5507" s="162"/>
      <c r="AD5507" s="162">
        <f t="shared" si="105"/>
        <v>0</v>
      </c>
      <c r="AE5507" s="160">
        <v>5505</v>
      </c>
    </row>
    <row r="5508" spans="27:31" x14ac:dyDescent="0.25">
      <c r="AA5508" s="160"/>
      <c r="AB5508" s="162"/>
      <c r="AC5508" s="162"/>
      <c r="AD5508" s="162">
        <f t="shared" ref="AD5508:AD5571" si="106">AB5508+AC5508</f>
        <v>0</v>
      </c>
      <c r="AE5508" s="160">
        <v>5506</v>
      </c>
    </row>
    <row r="5509" spans="27:31" x14ac:dyDescent="0.25">
      <c r="AA5509" s="160"/>
      <c r="AB5509" s="162"/>
      <c r="AC5509" s="162"/>
      <c r="AD5509" s="162">
        <f t="shared" si="106"/>
        <v>0</v>
      </c>
      <c r="AE5509" s="160">
        <v>5507</v>
      </c>
    </row>
    <row r="5510" spans="27:31" x14ac:dyDescent="0.25">
      <c r="AA5510" s="160"/>
      <c r="AB5510" s="162"/>
      <c r="AC5510" s="162"/>
      <c r="AD5510" s="162">
        <f t="shared" si="106"/>
        <v>0</v>
      </c>
      <c r="AE5510" s="160">
        <v>5508</v>
      </c>
    </row>
    <row r="5511" spans="27:31" x14ac:dyDescent="0.25">
      <c r="AA5511" s="160"/>
      <c r="AB5511" s="162"/>
      <c r="AC5511" s="162"/>
      <c r="AD5511" s="162">
        <f t="shared" si="106"/>
        <v>0</v>
      </c>
      <c r="AE5511" s="160">
        <v>5509</v>
      </c>
    </row>
    <row r="5512" spans="27:31" x14ac:dyDescent="0.25">
      <c r="AA5512" s="160"/>
      <c r="AB5512" s="162"/>
      <c r="AC5512" s="162"/>
      <c r="AD5512" s="162">
        <f t="shared" si="106"/>
        <v>0</v>
      </c>
      <c r="AE5512" s="160">
        <v>5510</v>
      </c>
    </row>
    <row r="5513" spans="27:31" x14ac:dyDescent="0.25">
      <c r="AA5513" s="160"/>
      <c r="AB5513" s="162"/>
      <c r="AC5513" s="162"/>
      <c r="AD5513" s="162">
        <f t="shared" si="106"/>
        <v>0</v>
      </c>
      <c r="AE5513" s="160">
        <v>5511</v>
      </c>
    </row>
    <row r="5514" spans="27:31" x14ac:dyDescent="0.25">
      <c r="AA5514" s="160"/>
      <c r="AB5514" s="162"/>
      <c r="AC5514" s="162"/>
      <c r="AD5514" s="162">
        <f t="shared" si="106"/>
        <v>0</v>
      </c>
      <c r="AE5514" s="160">
        <v>5512</v>
      </c>
    </row>
    <row r="5515" spans="27:31" x14ac:dyDescent="0.25">
      <c r="AA5515" s="160"/>
      <c r="AB5515" s="162"/>
      <c r="AC5515" s="162"/>
      <c r="AD5515" s="162">
        <f t="shared" si="106"/>
        <v>0</v>
      </c>
      <c r="AE5515" s="160">
        <v>5513</v>
      </c>
    </row>
    <row r="5516" spans="27:31" x14ac:dyDescent="0.25">
      <c r="AA5516" s="160"/>
      <c r="AB5516" s="162"/>
      <c r="AC5516" s="162"/>
      <c r="AD5516" s="162">
        <f t="shared" si="106"/>
        <v>0</v>
      </c>
      <c r="AE5516" s="160">
        <v>5514</v>
      </c>
    </row>
    <row r="5517" spans="27:31" x14ac:dyDescent="0.25">
      <c r="AA5517" s="160"/>
      <c r="AB5517" s="162"/>
      <c r="AC5517" s="162"/>
      <c r="AD5517" s="162">
        <f t="shared" si="106"/>
        <v>0</v>
      </c>
      <c r="AE5517" s="160">
        <v>5515</v>
      </c>
    </row>
    <row r="5518" spans="27:31" x14ac:dyDescent="0.25">
      <c r="AA5518" s="160"/>
      <c r="AB5518" s="162"/>
      <c r="AC5518" s="162"/>
      <c r="AD5518" s="162">
        <f t="shared" si="106"/>
        <v>0</v>
      </c>
      <c r="AE5518" s="160">
        <v>5516</v>
      </c>
    </row>
    <row r="5519" spans="27:31" x14ac:dyDescent="0.25">
      <c r="AA5519" s="160"/>
      <c r="AB5519" s="162"/>
      <c r="AC5519" s="162"/>
      <c r="AD5519" s="162">
        <f t="shared" si="106"/>
        <v>0</v>
      </c>
      <c r="AE5519" s="160">
        <v>5517</v>
      </c>
    </row>
    <row r="5520" spans="27:31" x14ac:dyDescent="0.25">
      <c r="AA5520" s="160"/>
      <c r="AB5520" s="162"/>
      <c r="AC5520" s="162"/>
      <c r="AD5520" s="162">
        <f t="shared" si="106"/>
        <v>0</v>
      </c>
      <c r="AE5520" s="160">
        <v>5518</v>
      </c>
    </row>
    <row r="5521" spans="27:31" x14ac:dyDescent="0.25">
      <c r="AA5521" s="160"/>
      <c r="AB5521" s="162"/>
      <c r="AC5521" s="162"/>
      <c r="AD5521" s="162">
        <f t="shared" si="106"/>
        <v>0</v>
      </c>
      <c r="AE5521" s="160">
        <v>5519</v>
      </c>
    </row>
    <row r="5522" spans="27:31" x14ac:dyDescent="0.25">
      <c r="AA5522" s="160"/>
      <c r="AB5522" s="162"/>
      <c r="AC5522" s="162"/>
      <c r="AD5522" s="162">
        <f t="shared" si="106"/>
        <v>0</v>
      </c>
      <c r="AE5522" s="160">
        <v>5520</v>
      </c>
    </row>
    <row r="5523" spans="27:31" x14ac:dyDescent="0.25">
      <c r="AA5523" s="160"/>
      <c r="AB5523" s="162"/>
      <c r="AC5523" s="162"/>
      <c r="AD5523" s="162">
        <f t="shared" si="106"/>
        <v>0</v>
      </c>
      <c r="AE5523" s="160">
        <v>5521</v>
      </c>
    </row>
    <row r="5524" spans="27:31" x14ac:dyDescent="0.25">
      <c r="AA5524" s="160"/>
      <c r="AB5524" s="162"/>
      <c r="AC5524" s="162"/>
      <c r="AD5524" s="162">
        <f t="shared" si="106"/>
        <v>0</v>
      </c>
      <c r="AE5524" s="160">
        <v>5522</v>
      </c>
    </row>
    <row r="5525" spans="27:31" x14ac:dyDescent="0.25">
      <c r="AA5525" s="160"/>
      <c r="AB5525" s="162"/>
      <c r="AC5525" s="162"/>
      <c r="AD5525" s="162">
        <f t="shared" si="106"/>
        <v>0</v>
      </c>
      <c r="AE5525" s="160">
        <v>5523</v>
      </c>
    </row>
    <row r="5526" spans="27:31" x14ac:dyDescent="0.25">
      <c r="AA5526" s="160"/>
      <c r="AB5526" s="162"/>
      <c r="AC5526" s="162"/>
      <c r="AD5526" s="162">
        <f t="shared" si="106"/>
        <v>0</v>
      </c>
      <c r="AE5526" s="160">
        <v>5524</v>
      </c>
    </row>
    <row r="5527" spans="27:31" x14ac:dyDescent="0.25">
      <c r="AA5527" s="160"/>
      <c r="AB5527" s="162"/>
      <c r="AC5527" s="162"/>
      <c r="AD5527" s="162">
        <f t="shared" si="106"/>
        <v>0</v>
      </c>
      <c r="AE5527" s="160">
        <v>5525</v>
      </c>
    </row>
    <row r="5528" spans="27:31" x14ac:dyDescent="0.25">
      <c r="AA5528" s="160"/>
      <c r="AB5528" s="162"/>
      <c r="AC5528" s="162"/>
      <c r="AD5528" s="162">
        <f t="shared" si="106"/>
        <v>0</v>
      </c>
      <c r="AE5528" s="160">
        <v>5526</v>
      </c>
    </row>
    <row r="5529" spans="27:31" x14ac:dyDescent="0.25">
      <c r="AA5529" s="160"/>
      <c r="AB5529" s="162"/>
      <c r="AC5529" s="162"/>
      <c r="AD5529" s="162">
        <f t="shared" si="106"/>
        <v>0</v>
      </c>
      <c r="AE5529" s="160">
        <v>5527</v>
      </c>
    </row>
    <row r="5530" spans="27:31" x14ac:dyDescent="0.25">
      <c r="AA5530" s="160"/>
      <c r="AB5530" s="162"/>
      <c r="AC5530" s="162"/>
      <c r="AD5530" s="162">
        <f t="shared" si="106"/>
        <v>0</v>
      </c>
      <c r="AE5530" s="160">
        <v>5528</v>
      </c>
    </row>
    <row r="5531" spans="27:31" x14ac:dyDescent="0.25">
      <c r="AA5531" s="160"/>
      <c r="AB5531" s="162"/>
      <c r="AC5531" s="162"/>
      <c r="AD5531" s="162">
        <f t="shared" si="106"/>
        <v>0</v>
      </c>
      <c r="AE5531" s="160">
        <v>5529</v>
      </c>
    </row>
    <row r="5532" spans="27:31" x14ac:dyDescent="0.25">
      <c r="AA5532" s="160"/>
      <c r="AB5532" s="162"/>
      <c r="AC5532" s="162"/>
      <c r="AD5532" s="162">
        <f t="shared" si="106"/>
        <v>0</v>
      </c>
      <c r="AE5532" s="160">
        <v>5530</v>
      </c>
    </row>
    <row r="5533" spans="27:31" x14ac:dyDescent="0.25">
      <c r="AA5533" s="160"/>
      <c r="AB5533" s="162"/>
      <c r="AC5533" s="162"/>
      <c r="AD5533" s="162">
        <f t="shared" si="106"/>
        <v>0</v>
      </c>
      <c r="AE5533" s="160">
        <v>5531</v>
      </c>
    </row>
    <row r="5534" spans="27:31" x14ac:dyDescent="0.25">
      <c r="AA5534" s="160"/>
      <c r="AB5534" s="162"/>
      <c r="AC5534" s="162"/>
      <c r="AD5534" s="162">
        <f t="shared" si="106"/>
        <v>0</v>
      </c>
      <c r="AE5534" s="160">
        <v>5532</v>
      </c>
    </row>
    <row r="5535" spans="27:31" x14ac:dyDescent="0.25">
      <c r="AA5535" s="160"/>
      <c r="AB5535" s="162"/>
      <c r="AC5535" s="162"/>
      <c r="AD5535" s="162">
        <f t="shared" si="106"/>
        <v>0</v>
      </c>
      <c r="AE5535" s="160">
        <v>5533</v>
      </c>
    </row>
    <row r="5536" spans="27:31" x14ac:dyDescent="0.25">
      <c r="AA5536" s="160"/>
      <c r="AB5536" s="162"/>
      <c r="AC5536" s="162"/>
      <c r="AD5536" s="162">
        <f t="shared" si="106"/>
        <v>0</v>
      </c>
      <c r="AE5536" s="160">
        <v>5534</v>
      </c>
    </row>
    <row r="5537" spans="27:31" x14ac:dyDescent="0.25">
      <c r="AA5537" s="160"/>
      <c r="AB5537" s="162"/>
      <c r="AC5537" s="162"/>
      <c r="AD5537" s="162">
        <f t="shared" si="106"/>
        <v>0</v>
      </c>
      <c r="AE5537" s="160">
        <v>5535</v>
      </c>
    </row>
    <row r="5538" spans="27:31" x14ac:dyDescent="0.25">
      <c r="AA5538" s="160"/>
      <c r="AB5538" s="162"/>
      <c r="AC5538" s="162"/>
      <c r="AD5538" s="162">
        <f t="shared" si="106"/>
        <v>0</v>
      </c>
      <c r="AE5538" s="160">
        <v>5536</v>
      </c>
    </row>
    <row r="5539" spans="27:31" x14ac:dyDescent="0.25">
      <c r="AA5539" s="160"/>
      <c r="AB5539" s="162"/>
      <c r="AC5539" s="162"/>
      <c r="AD5539" s="162">
        <f t="shared" si="106"/>
        <v>0</v>
      </c>
      <c r="AE5539" s="160">
        <v>5537</v>
      </c>
    </row>
    <row r="5540" spans="27:31" x14ac:dyDescent="0.25">
      <c r="AA5540" s="160"/>
      <c r="AB5540" s="162"/>
      <c r="AC5540" s="162"/>
      <c r="AD5540" s="162">
        <f t="shared" si="106"/>
        <v>0</v>
      </c>
      <c r="AE5540" s="160">
        <v>5538</v>
      </c>
    </row>
    <row r="5541" spans="27:31" x14ac:dyDescent="0.25">
      <c r="AA5541" s="160"/>
      <c r="AB5541" s="162"/>
      <c r="AC5541" s="162"/>
      <c r="AD5541" s="162">
        <f t="shared" si="106"/>
        <v>0</v>
      </c>
      <c r="AE5541" s="160">
        <v>5539</v>
      </c>
    </row>
    <row r="5542" spans="27:31" x14ac:dyDescent="0.25">
      <c r="AA5542" s="160"/>
      <c r="AB5542" s="162"/>
      <c r="AC5542" s="162"/>
      <c r="AD5542" s="162">
        <f t="shared" si="106"/>
        <v>0</v>
      </c>
      <c r="AE5542" s="160">
        <v>5540</v>
      </c>
    </row>
    <row r="5543" spans="27:31" x14ac:dyDescent="0.25">
      <c r="AA5543" s="160"/>
      <c r="AB5543" s="162"/>
      <c r="AC5543" s="162"/>
      <c r="AD5543" s="162">
        <f t="shared" si="106"/>
        <v>0</v>
      </c>
      <c r="AE5543" s="160">
        <v>5541</v>
      </c>
    </row>
    <row r="5544" spans="27:31" x14ac:dyDescent="0.25">
      <c r="AA5544" s="160"/>
      <c r="AB5544" s="162"/>
      <c r="AC5544" s="162"/>
      <c r="AD5544" s="162">
        <f t="shared" si="106"/>
        <v>0</v>
      </c>
      <c r="AE5544" s="160">
        <v>5542</v>
      </c>
    </row>
    <row r="5545" spans="27:31" x14ac:dyDescent="0.25">
      <c r="AA5545" s="160"/>
      <c r="AB5545" s="162"/>
      <c r="AC5545" s="162"/>
      <c r="AD5545" s="162">
        <f t="shared" si="106"/>
        <v>0</v>
      </c>
      <c r="AE5545" s="160">
        <v>5543</v>
      </c>
    </row>
    <row r="5546" spans="27:31" x14ac:dyDescent="0.25">
      <c r="AA5546" s="160"/>
      <c r="AB5546" s="162"/>
      <c r="AC5546" s="162"/>
      <c r="AD5546" s="162">
        <f t="shared" si="106"/>
        <v>0</v>
      </c>
      <c r="AE5546" s="160">
        <v>5544</v>
      </c>
    </row>
    <row r="5547" spans="27:31" x14ac:dyDescent="0.25">
      <c r="AA5547" s="160"/>
      <c r="AB5547" s="162"/>
      <c r="AC5547" s="162"/>
      <c r="AD5547" s="162">
        <f t="shared" si="106"/>
        <v>0</v>
      </c>
      <c r="AE5547" s="160">
        <v>5545</v>
      </c>
    </row>
    <row r="5548" spans="27:31" x14ac:dyDescent="0.25">
      <c r="AA5548" s="160"/>
      <c r="AB5548" s="162"/>
      <c r="AC5548" s="162"/>
      <c r="AD5548" s="162">
        <f t="shared" si="106"/>
        <v>0</v>
      </c>
      <c r="AE5548" s="160">
        <v>5546</v>
      </c>
    </row>
    <row r="5549" spans="27:31" x14ac:dyDescent="0.25">
      <c r="AA5549" s="160"/>
      <c r="AB5549" s="162"/>
      <c r="AC5549" s="162"/>
      <c r="AD5549" s="162">
        <f t="shared" si="106"/>
        <v>0</v>
      </c>
      <c r="AE5549" s="160">
        <v>5547</v>
      </c>
    </row>
    <row r="5550" spans="27:31" x14ac:dyDescent="0.25">
      <c r="AA5550" s="160"/>
      <c r="AB5550" s="162"/>
      <c r="AC5550" s="162"/>
      <c r="AD5550" s="162">
        <f t="shared" si="106"/>
        <v>0</v>
      </c>
      <c r="AE5550" s="160">
        <v>5548</v>
      </c>
    </row>
    <row r="5551" spans="27:31" x14ac:dyDescent="0.25">
      <c r="AA5551" s="160"/>
      <c r="AB5551" s="162"/>
      <c r="AC5551" s="162"/>
      <c r="AD5551" s="162">
        <f t="shared" si="106"/>
        <v>0</v>
      </c>
      <c r="AE5551" s="160">
        <v>5549</v>
      </c>
    </row>
    <row r="5552" spans="27:31" x14ac:dyDescent="0.25">
      <c r="AA5552" s="160"/>
      <c r="AB5552" s="162"/>
      <c r="AC5552" s="162"/>
      <c r="AD5552" s="162">
        <f t="shared" si="106"/>
        <v>0</v>
      </c>
      <c r="AE5552" s="160">
        <v>5550</v>
      </c>
    </row>
    <row r="5553" spans="27:31" x14ac:dyDescent="0.25">
      <c r="AA5553" s="160"/>
      <c r="AB5553" s="162"/>
      <c r="AC5553" s="162"/>
      <c r="AD5553" s="162">
        <f t="shared" si="106"/>
        <v>0</v>
      </c>
      <c r="AE5553" s="160">
        <v>5551</v>
      </c>
    </row>
    <row r="5554" spans="27:31" x14ac:dyDescent="0.25">
      <c r="AA5554" s="160"/>
      <c r="AB5554" s="162"/>
      <c r="AC5554" s="162"/>
      <c r="AD5554" s="162">
        <f t="shared" si="106"/>
        <v>0</v>
      </c>
      <c r="AE5554" s="160">
        <v>5552</v>
      </c>
    </row>
    <row r="5555" spans="27:31" x14ac:dyDescent="0.25">
      <c r="AA5555" s="160"/>
      <c r="AB5555" s="162"/>
      <c r="AC5555" s="162"/>
      <c r="AD5555" s="162">
        <f t="shared" si="106"/>
        <v>0</v>
      </c>
      <c r="AE5555" s="160">
        <v>5553</v>
      </c>
    </row>
    <row r="5556" spans="27:31" x14ac:dyDescent="0.25">
      <c r="AA5556" s="160"/>
      <c r="AB5556" s="162"/>
      <c r="AC5556" s="162"/>
      <c r="AD5556" s="162">
        <f t="shared" si="106"/>
        <v>0</v>
      </c>
      <c r="AE5556" s="160">
        <v>5554</v>
      </c>
    </row>
    <row r="5557" spans="27:31" x14ac:dyDescent="0.25">
      <c r="AA5557" s="160"/>
      <c r="AB5557" s="162"/>
      <c r="AC5557" s="162"/>
      <c r="AD5557" s="162">
        <f t="shared" si="106"/>
        <v>0</v>
      </c>
      <c r="AE5557" s="160">
        <v>5555</v>
      </c>
    </row>
    <row r="5558" spans="27:31" x14ac:dyDescent="0.25">
      <c r="AA5558" s="160"/>
      <c r="AB5558" s="162"/>
      <c r="AC5558" s="162"/>
      <c r="AD5558" s="162">
        <f t="shared" si="106"/>
        <v>0</v>
      </c>
      <c r="AE5558" s="160">
        <v>5556</v>
      </c>
    </row>
    <row r="5559" spans="27:31" x14ac:dyDescent="0.25">
      <c r="AA5559" s="160"/>
      <c r="AB5559" s="162"/>
      <c r="AC5559" s="162"/>
      <c r="AD5559" s="162">
        <f t="shared" si="106"/>
        <v>0</v>
      </c>
      <c r="AE5559" s="160">
        <v>5557</v>
      </c>
    </row>
    <row r="5560" spans="27:31" x14ac:dyDescent="0.25">
      <c r="AA5560" s="160"/>
      <c r="AB5560" s="162"/>
      <c r="AC5560" s="162"/>
      <c r="AD5560" s="162">
        <f t="shared" si="106"/>
        <v>0</v>
      </c>
      <c r="AE5560" s="160">
        <v>5558</v>
      </c>
    </row>
    <row r="5561" spans="27:31" x14ac:dyDescent="0.25">
      <c r="AA5561" s="160"/>
      <c r="AB5561" s="162"/>
      <c r="AC5561" s="162"/>
      <c r="AD5561" s="162">
        <f t="shared" si="106"/>
        <v>0</v>
      </c>
      <c r="AE5561" s="160">
        <v>5559</v>
      </c>
    </row>
    <row r="5562" spans="27:31" x14ac:dyDescent="0.25">
      <c r="AA5562" s="160"/>
      <c r="AB5562" s="162"/>
      <c r="AC5562" s="162"/>
      <c r="AD5562" s="162">
        <f t="shared" si="106"/>
        <v>0</v>
      </c>
      <c r="AE5562" s="160">
        <v>5560</v>
      </c>
    </row>
    <row r="5563" spans="27:31" x14ac:dyDescent="0.25">
      <c r="AA5563" s="160"/>
      <c r="AB5563" s="162"/>
      <c r="AC5563" s="162"/>
      <c r="AD5563" s="162">
        <f t="shared" si="106"/>
        <v>0</v>
      </c>
      <c r="AE5563" s="160">
        <v>5561</v>
      </c>
    </row>
    <row r="5564" spans="27:31" x14ac:dyDescent="0.25">
      <c r="AA5564" s="160"/>
      <c r="AB5564" s="162"/>
      <c r="AC5564" s="162"/>
      <c r="AD5564" s="162">
        <f t="shared" si="106"/>
        <v>0</v>
      </c>
      <c r="AE5564" s="160">
        <v>5562</v>
      </c>
    </row>
    <row r="5565" spans="27:31" x14ac:dyDescent="0.25">
      <c r="AA5565" s="160"/>
      <c r="AB5565" s="162"/>
      <c r="AC5565" s="162"/>
      <c r="AD5565" s="162">
        <f t="shared" si="106"/>
        <v>0</v>
      </c>
      <c r="AE5565" s="160">
        <v>5563</v>
      </c>
    </row>
    <row r="5566" spans="27:31" x14ac:dyDescent="0.25">
      <c r="AA5566" s="160"/>
      <c r="AB5566" s="162"/>
      <c r="AC5566" s="162"/>
      <c r="AD5566" s="162">
        <f t="shared" si="106"/>
        <v>0</v>
      </c>
      <c r="AE5566" s="160">
        <v>5564</v>
      </c>
    </row>
    <row r="5567" spans="27:31" x14ac:dyDescent="0.25">
      <c r="AA5567" s="160"/>
      <c r="AB5567" s="162"/>
      <c r="AC5567" s="162"/>
      <c r="AD5567" s="162">
        <f t="shared" si="106"/>
        <v>0</v>
      </c>
      <c r="AE5567" s="160">
        <v>5565</v>
      </c>
    </row>
    <row r="5568" spans="27:31" x14ac:dyDescent="0.25">
      <c r="AA5568" s="160"/>
      <c r="AB5568" s="162"/>
      <c r="AC5568" s="162"/>
      <c r="AD5568" s="162">
        <f t="shared" si="106"/>
        <v>0</v>
      </c>
      <c r="AE5568" s="160">
        <v>5566</v>
      </c>
    </row>
    <row r="5569" spans="27:31" x14ac:dyDescent="0.25">
      <c r="AA5569" s="160"/>
      <c r="AB5569" s="162"/>
      <c r="AC5569" s="162"/>
      <c r="AD5569" s="162">
        <f t="shared" si="106"/>
        <v>0</v>
      </c>
      <c r="AE5569" s="160">
        <v>5567</v>
      </c>
    </row>
    <row r="5570" spans="27:31" x14ac:dyDescent="0.25">
      <c r="AA5570" s="160"/>
      <c r="AB5570" s="162"/>
      <c r="AC5570" s="162"/>
      <c r="AD5570" s="162">
        <f t="shared" si="106"/>
        <v>0</v>
      </c>
      <c r="AE5570" s="160">
        <v>5568</v>
      </c>
    </row>
    <row r="5571" spans="27:31" x14ac:dyDescent="0.25">
      <c r="AA5571" s="160"/>
      <c r="AB5571" s="162"/>
      <c r="AC5571" s="162"/>
      <c r="AD5571" s="162">
        <f t="shared" si="106"/>
        <v>0</v>
      </c>
      <c r="AE5571" s="160">
        <v>5569</v>
      </c>
    </row>
    <row r="5572" spans="27:31" x14ac:dyDescent="0.25">
      <c r="AA5572" s="160"/>
      <c r="AB5572" s="162"/>
      <c r="AC5572" s="162"/>
      <c r="AD5572" s="162">
        <f t="shared" ref="AD5572:AD5635" si="107">AB5572+AC5572</f>
        <v>0</v>
      </c>
      <c r="AE5572" s="160">
        <v>5570</v>
      </c>
    </row>
    <row r="5573" spans="27:31" x14ac:dyDescent="0.25">
      <c r="AA5573" s="160"/>
      <c r="AB5573" s="162"/>
      <c r="AC5573" s="162"/>
      <c r="AD5573" s="162">
        <f t="shared" si="107"/>
        <v>0</v>
      </c>
      <c r="AE5573" s="160">
        <v>5571</v>
      </c>
    </row>
    <row r="5574" spans="27:31" x14ac:dyDescent="0.25">
      <c r="AA5574" s="160"/>
      <c r="AB5574" s="162"/>
      <c r="AC5574" s="162"/>
      <c r="AD5574" s="162">
        <f t="shared" si="107"/>
        <v>0</v>
      </c>
      <c r="AE5574" s="160">
        <v>5572</v>
      </c>
    </row>
    <row r="5575" spans="27:31" x14ac:dyDescent="0.25">
      <c r="AA5575" s="160"/>
      <c r="AB5575" s="162"/>
      <c r="AC5575" s="162"/>
      <c r="AD5575" s="162">
        <f t="shared" si="107"/>
        <v>0</v>
      </c>
      <c r="AE5575" s="160">
        <v>5573</v>
      </c>
    </row>
    <row r="5576" spans="27:31" x14ac:dyDescent="0.25">
      <c r="AA5576" s="160"/>
      <c r="AB5576" s="162"/>
      <c r="AC5576" s="162"/>
      <c r="AD5576" s="162">
        <f t="shared" si="107"/>
        <v>0</v>
      </c>
      <c r="AE5576" s="160">
        <v>5574</v>
      </c>
    </row>
    <row r="5577" spans="27:31" x14ac:dyDescent="0.25">
      <c r="AA5577" s="160"/>
      <c r="AB5577" s="162"/>
      <c r="AC5577" s="162"/>
      <c r="AD5577" s="162">
        <f t="shared" si="107"/>
        <v>0</v>
      </c>
      <c r="AE5577" s="160">
        <v>5575</v>
      </c>
    </row>
    <row r="5578" spans="27:31" x14ac:dyDescent="0.25">
      <c r="AA5578" s="160"/>
      <c r="AB5578" s="162"/>
      <c r="AC5578" s="162"/>
      <c r="AD5578" s="162">
        <f t="shared" si="107"/>
        <v>0</v>
      </c>
      <c r="AE5578" s="160">
        <v>5576</v>
      </c>
    </row>
    <row r="5579" spans="27:31" x14ac:dyDescent="0.25">
      <c r="AA5579" s="160"/>
      <c r="AB5579" s="162"/>
      <c r="AC5579" s="162"/>
      <c r="AD5579" s="162">
        <f t="shared" si="107"/>
        <v>0</v>
      </c>
      <c r="AE5579" s="160">
        <v>5577</v>
      </c>
    </row>
    <row r="5580" spans="27:31" x14ac:dyDescent="0.25">
      <c r="AA5580" s="160"/>
      <c r="AB5580" s="162"/>
      <c r="AC5580" s="162"/>
      <c r="AD5580" s="162">
        <f t="shared" si="107"/>
        <v>0</v>
      </c>
      <c r="AE5580" s="160">
        <v>5578</v>
      </c>
    </row>
    <row r="5581" spans="27:31" x14ac:dyDescent="0.25">
      <c r="AA5581" s="160"/>
      <c r="AB5581" s="162"/>
      <c r="AC5581" s="162"/>
      <c r="AD5581" s="162">
        <f t="shared" si="107"/>
        <v>0</v>
      </c>
      <c r="AE5581" s="160">
        <v>5579</v>
      </c>
    </row>
    <row r="5582" spans="27:31" x14ac:dyDescent="0.25">
      <c r="AA5582" s="160"/>
      <c r="AB5582" s="162"/>
      <c r="AC5582" s="162"/>
      <c r="AD5582" s="162">
        <f t="shared" si="107"/>
        <v>0</v>
      </c>
      <c r="AE5582" s="160">
        <v>5580</v>
      </c>
    </row>
    <row r="5583" spans="27:31" x14ac:dyDescent="0.25">
      <c r="AA5583" s="160"/>
      <c r="AB5583" s="162"/>
      <c r="AC5583" s="162"/>
      <c r="AD5583" s="162">
        <f t="shared" si="107"/>
        <v>0</v>
      </c>
      <c r="AE5583" s="160">
        <v>5581</v>
      </c>
    </row>
    <row r="5584" spans="27:31" x14ac:dyDescent="0.25">
      <c r="AA5584" s="160"/>
      <c r="AB5584" s="162"/>
      <c r="AC5584" s="162"/>
      <c r="AD5584" s="162">
        <f t="shared" si="107"/>
        <v>0</v>
      </c>
      <c r="AE5584" s="160">
        <v>5582</v>
      </c>
    </row>
    <row r="5585" spans="27:31" x14ac:dyDescent="0.25">
      <c r="AA5585" s="160"/>
      <c r="AB5585" s="162"/>
      <c r="AC5585" s="162"/>
      <c r="AD5585" s="162">
        <f t="shared" si="107"/>
        <v>0</v>
      </c>
      <c r="AE5585" s="160">
        <v>5583</v>
      </c>
    </row>
    <row r="5586" spans="27:31" x14ac:dyDescent="0.25">
      <c r="AA5586" s="160"/>
      <c r="AB5586" s="162"/>
      <c r="AC5586" s="162"/>
      <c r="AD5586" s="162">
        <f t="shared" si="107"/>
        <v>0</v>
      </c>
      <c r="AE5586" s="160">
        <v>5584</v>
      </c>
    </row>
    <row r="5587" spans="27:31" x14ac:dyDescent="0.25">
      <c r="AA5587" s="160"/>
      <c r="AB5587" s="162"/>
      <c r="AC5587" s="162"/>
      <c r="AD5587" s="162">
        <f t="shared" si="107"/>
        <v>0</v>
      </c>
      <c r="AE5587" s="160">
        <v>5585</v>
      </c>
    </row>
    <row r="5588" spans="27:31" x14ac:dyDescent="0.25">
      <c r="AA5588" s="160"/>
      <c r="AB5588" s="162"/>
      <c r="AC5588" s="162"/>
      <c r="AD5588" s="162">
        <f t="shared" si="107"/>
        <v>0</v>
      </c>
      <c r="AE5588" s="160">
        <v>5586</v>
      </c>
    </row>
    <row r="5589" spans="27:31" x14ac:dyDescent="0.25">
      <c r="AA5589" s="160"/>
      <c r="AB5589" s="162"/>
      <c r="AC5589" s="162"/>
      <c r="AD5589" s="162">
        <f t="shared" si="107"/>
        <v>0</v>
      </c>
      <c r="AE5589" s="160">
        <v>5587</v>
      </c>
    </row>
    <row r="5590" spans="27:31" x14ac:dyDescent="0.25">
      <c r="AA5590" s="160"/>
      <c r="AB5590" s="162"/>
      <c r="AC5590" s="162"/>
      <c r="AD5590" s="162">
        <f t="shared" si="107"/>
        <v>0</v>
      </c>
      <c r="AE5590" s="160">
        <v>5588</v>
      </c>
    </row>
    <row r="5591" spans="27:31" x14ac:dyDescent="0.25">
      <c r="AA5591" s="160"/>
      <c r="AB5591" s="162"/>
      <c r="AC5591" s="162"/>
      <c r="AD5591" s="162">
        <f t="shared" si="107"/>
        <v>0</v>
      </c>
      <c r="AE5591" s="160">
        <v>5589</v>
      </c>
    </row>
    <row r="5592" spans="27:31" x14ac:dyDescent="0.25">
      <c r="AA5592" s="160"/>
      <c r="AB5592" s="162"/>
      <c r="AC5592" s="162"/>
      <c r="AD5592" s="162">
        <f t="shared" si="107"/>
        <v>0</v>
      </c>
      <c r="AE5592" s="160">
        <v>5590</v>
      </c>
    </row>
    <row r="5593" spans="27:31" x14ac:dyDescent="0.25">
      <c r="AA5593" s="160"/>
      <c r="AB5593" s="162"/>
      <c r="AC5593" s="162"/>
      <c r="AD5593" s="162">
        <f t="shared" si="107"/>
        <v>0</v>
      </c>
      <c r="AE5593" s="160">
        <v>5591</v>
      </c>
    </row>
    <row r="5594" spans="27:31" x14ac:dyDescent="0.25">
      <c r="AA5594" s="160"/>
      <c r="AB5594" s="162"/>
      <c r="AC5594" s="162"/>
      <c r="AD5594" s="162">
        <f t="shared" si="107"/>
        <v>0</v>
      </c>
      <c r="AE5594" s="160">
        <v>5592</v>
      </c>
    </row>
    <row r="5595" spans="27:31" x14ac:dyDescent="0.25">
      <c r="AA5595" s="160"/>
      <c r="AB5595" s="162"/>
      <c r="AC5595" s="162"/>
      <c r="AD5595" s="162">
        <f t="shared" si="107"/>
        <v>0</v>
      </c>
      <c r="AE5595" s="160">
        <v>5593</v>
      </c>
    </row>
    <row r="5596" spans="27:31" x14ac:dyDescent="0.25">
      <c r="AA5596" s="160"/>
      <c r="AB5596" s="162"/>
      <c r="AC5596" s="162"/>
      <c r="AD5596" s="162">
        <f t="shared" si="107"/>
        <v>0</v>
      </c>
      <c r="AE5596" s="160">
        <v>5594</v>
      </c>
    </row>
    <row r="5597" spans="27:31" x14ac:dyDescent="0.25">
      <c r="AA5597" s="160"/>
      <c r="AB5597" s="162"/>
      <c r="AC5597" s="162"/>
      <c r="AD5597" s="162">
        <f t="shared" si="107"/>
        <v>0</v>
      </c>
      <c r="AE5597" s="160">
        <v>5595</v>
      </c>
    </row>
    <row r="5598" spans="27:31" x14ac:dyDescent="0.25">
      <c r="AA5598" s="160"/>
      <c r="AB5598" s="162"/>
      <c r="AC5598" s="162"/>
      <c r="AD5598" s="162">
        <f t="shared" si="107"/>
        <v>0</v>
      </c>
      <c r="AE5598" s="160">
        <v>5596</v>
      </c>
    </row>
    <row r="5599" spans="27:31" x14ac:dyDescent="0.25">
      <c r="AA5599" s="160"/>
      <c r="AB5599" s="162"/>
      <c r="AC5599" s="162"/>
      <c r="AD5599" s="162">
        <f t="shared" si="107"/>
        <v>0</v>
      </c>
      <c r="AE5599" s="160">
        <v>5597</v>
      </c>
    </row>
    <row r="5600" spans="27:31" x14ac:dyDescent="0.25">
      <c r="AA5600" s="160"/>
      <c r="AB5600" s="162"/>
      <c r="AC5600" s="162"/>
      <c r="AD5600" s="162">
        <f t="shared" si="107"/>
        <v>0</v>
      </c>
      <c r="AE5600" s="160">
        <v>5598</v>
      </c>
    </row>
    <row r="5601" spans="27:31" x14ac:dyDescent="0.25">
      <c r="AA5601" s="160"/>
      <c r="AB5601" s="162"/>
      <c r="AC5601" s="162"/>
      <c r="AD5601" s="162">
        <f t="shared" si="107"/>
        <v>0</v>
      </c>
      <c r="AE5601" s="160">
        <v>5599</v>
      </c>
    </row>
    <row r="5602" spans="27:31" x14ac:dyDescent="0.25">
      <c r="AA5602" s="160"/>
      <c r="AB5602" s="162"/>
      <c r="AC5602" s="162"/>
      <c r="AD5602" s="162">
        <f t="shared" si="107"/>
        <v>0</v>
      </c>
      <c r="AE5602" s="160">
        <v>5600</v>
      </c>
    </row>
    <row r="5603" spans="27:31" x14ac:dyDescent="0.25">
      <c r="AA5603" s="160"/>
      <c r="AB5603" s="162"/>
      <c r="AC5603" s="162"/>
      <c r="AD5603" s="162">
        <f t="shared" si="107"/>
        <v>0</v>
      </c>
      <c r="AE5603" s="160">
        <v>5601</v>
      </c>
    </row>
    <row r="5604" spans="27:31" x14ac:dyDescent="0.25">
      <c r="AA5604" s="160"/>
      <c r="AB5604" s="162"/>
      <c r="AC5604" s="162"/>
      <c r="AD5604" s="162">
        <f t="shared" si="107"/>
        <v>0</v>
      </c>
      <c r="AE5604" s="160">
        <v>5602</v>
      </c>
    </row>
    <row r="5605" spans="27:31" x14ac:dyDescent="0.25">
      <c r="AA5605" s="160"/>
      <c r="AB5605" s="162"/>
      <c r="AC5605" s="162"/>
      <c r="AD5605" s="162">
        <f t="shared" si="107"/>
        <v>0</v>
      </c>
      <c r="AE5605" s="160">
        <v>5603</v>
      </c>
    </row>
    <row r="5606" spans="27:31" x14ac:dyDescent="0.25">
      <c r="AA5606" s="160"/>
      <c r="AB5606" s="162"/>
      <c r="AC5606" s="162"/>
      <c r="AD5606" s="162">
        <f t="shared" si="107"/>
        <v>0</v>
      </c>
      <c r="AE5606" s="160">
        <v>5604</v>
      </c>
    </row>
    <row r="5607" spans="27:31" x14ac:dyDescent="0.25">
      <c r="AA5607" s="160"/>
      <c r="AB5607" s="162"/>
      <c r="AC5607" s="162"/>
      <c r="AD5607" s="162">
        <f t="shared" si="107"/>
        <v>0</v>
      </c>
      <c r="AE5607" s="160">
        <v>5605</v>
      </c>
    </row>
    <row r="5608" spans="27:31" x14ac:dyDescent="0.25">
      <c r="AA5608" s="160"/>
      <c r="AB5608" s="162"/>
      <c r="AC5608" s="162"/>
      <c r="AD5608" s="162">
        <f t="shared" si="107"/>
        <v>0</v>
      </c>
      <c r="AE5608" s="160">
        <v>5606</v>
      </c>
    </row>
    <row r="5609" spans="27:31" x14ac:dyDescent="0.25">
      <c r="AA5609" s="160"/>
      <c r="AB5609" s="162"/>
      <c r="AC5609" s="162"/>
      <c r="AD5609" s="162">
        <f t="shared" si="107"/>
        <v>0</v>
      </c>
      <c r="AE5609" s="160">
        <v>5607</v>
      </c>
    </row>
    <row r="5610" spans="27:31" x14ac:dyDescent="0.25">
      <c r="AA5610" s="160"/>
      <c r="AB5610" s="162"/>
      <c r="AC5610" s="162"/>
      <c r="AD5610" s="162">
        <f t="shared" si="107"/>
        <v>0</v>
      </c>
      <c r="AE5610" s="160">
        <v>5608</v>
      </c>
    </row>
    <row r="5611" spans="27:31" x14ac:dyDescent="0.25">
      <c r="AA5611" s="160"/>
      <c r="AB5611" s="162"/>
      <c r="AC5611" s="162"/>
      <c r="AD5611" s="162">
        <f t="shared" si="107"/>
        <v>0</v>
      </c>
      <c r="AE5611" s="160">
        <v>5609</v>
      </c>
    </row>
    <row r="5612" spans="27:31" x14ac:dyDescent="0.25">
      <c r="AA5612" s="160"/>
      <c r="AB5612" s="162"/>
      <c r="AC5612" s="162"/>
      <c r="AD5612" s="162">
        <f t="shared" si="107"/>
        <v>0</v>
      </c>
      <c r="AE5612" s="160">
        <v>5610</v>
      </c>
    </row>
    <row r="5613" spans="27:31" x14ac:dyDescent="0.25">
      <c r="AA5613" s="160"/>
      <c r="AB5613" s="162"/>
      <c r="AC5613" s="162"/>
      <c r="AD5613" s="162">
        <f t="shared" si="107"/>
        <v>0</v>
      </c>
      <c r="AE5613" s="160">
        <v>5611</v>
      </c>
    </row>
    <row r="5614" spans="27:31" x14ac:dyDescent="0.25">
      <c r="AA5614" s="160"/>
      <c r="AB5614" s="162"/>
      <c r="AC5614" s="162"/>
      <c r="AD5614" s="162">
        <f t="shared" si="107"/>
        <v>0</v>
      </c>
      <c r="AE5614" s="160">
        <v>5612</v>
      </c>
    </row>
    <row r="5615" spans="27:31" x14ac:dyDescent="0.25">
      <c r="AA5615" s="160"/>
      <c r="AB5615" s="162"/>
      <c r="AC5615" s="162"/>
      <c r="AD5615" s="162">
        <f t="shared" si="107"/>
        <v>0</v>
      </c>
      <c r="AE5615" s="160">
        <v>5613</v>
      </c>
    </row>
    <row r="5616" spans="27:31" x14ac:dyDescent="0.25">
      <c r="AA5616" s="160"/>
      <c r="AB5616" s="162"/>
      <c r="AC5616" s="162"/>
      <c r="AD5616" s="162">
        <f t="shared" si="107"/>
        <v>0</v>
      </c>
      <c r="AE5616" s="160">
        <v>5614</v>
      </c>
    </row>
    <row r="5617" spans="27:31" x14ac:dyDescent="0.25">
      <c r="AA5617" s="160"/>
      <c r="AB5617" s="162"/>
      <c r="AC5617" s="162"/>
      <c r="AD5617" s="162">
        <f t="shared" si="107"/>
        <v>0</v>
      </c>
      <c r="AE5617" s="160">
        <v>5615</v>
      </c>
    </row>
    <row r="5618" spans="27:31" x14ac:dyDescent="0.25">
      <c r="AA5618" s="160"/>
      <c r="AB5618" s="162"/>
      <c r="AC5618" s="162"/>
      <c r="AD5618" s="162">
        <f t="shared" si="107"/>
        <v>0</v>
      </c>
      <c r="AE5618" s="160">
        <v>5616</v>
      </c>
    </row>
    <row r="5619" spans="27:31" x14ac:dyDescent="0.25">
      <c r="AA5619" s="160"/>
      <c r="AB5619" s="162"/>
      <c r="AC5619" s="162"/>
      <c r="AD5619" s="162">
        <f t="shared" si="107"/>
        <v>0</v>
      </c>
      <c r="AE5619" s="160">
        <v>5617</v>
      </c>
    </row>
    <row r="5620" spans="27:31" x14ac:dyDescent="0.25">
      <c r="AA5620" s="160"/>
      <c r="AB5620" s="162"/>
      <c r="AC5620" s="162"/>
      <c r="AD5620" s="162">
        <f t="shared" si="107"/>
        <v>0</v>
      </c>
      <c r="AE5620" s="160">
        <v>5618</v>
      </c>
    </row>
    <row r="5621" spans="27:31" x14ac:dyDescent="0.25">
      <c r="AA5621" s="160"/>
      <c r="AB5621" s="162"/>
      <c r="AC5621" s="162"/>
      <c r="AD5621" s="162">
        <f t="shared" si="107"/>
        <v>0</v>
      </c>
      <c r="AE5621" s="160">
        <v>5619</v>
      </c>
    </row>
    <row r="5622" spans="27:31" x14ac:dyDescent="0.25">
      <c r="AA5622" s="160"/>
      <c r="AB5622" s="162"/>
      <c r="AC5622" s="162"/>
      <c r="AD5622" s="162">
        <f t="shared" si="107"/>
        <v>0</v>
      </c>
      <c r="AE5622" s="160">
        <v>5620</v>
      </c>
    </row>
    <row r="5623" spans="27:31" x14ac:dyDescent="0.25">
      <c r="AA5623" s="160"/>
      <c r="AB5623" s="162"/>
      <c r="AC5623" s="162"/>
      <c r="AD5623" s="162">
        <f t="shared" si="107"/>
        <v>0</v>
      </c>
      <c r="AE5623" s="160">
        <v>5621</v>
      </c>
    </row>
    <row r="5624" spans="27:31" x14ac:dyDescent="0.25">
      <c r="AA5624" s="160"/>
      <c r="AB5624" s="162"/>
      <c r="AC5624" s="162"/>
      <c r="AD5624" s="162">
        <f t="shared" si="107"/>
        <v>0</v>
      </c>
      <c r="AE5624" s="160">
        <v>5622</v>
      </c>
    </row>
    <row r="5625" spans="27:31" x14ac:dyDescent="0.25">
      <c r="AA5625" s="160"/>
      <c r="AB5625" s="162"/>
      <c r="AC5625" s="162"/>
      <c r="AD5625" s="162">
        <f t="shared" si="107"/>
        <v>0</v>
      </c>
      <c r="AE5625" s="160">
        <v>5623</v>
      </c>
    </row>
    <row r="5626" spans="27:31" x14ac:dyDescent="0.25">
      <c r="AA5626" s="160"/>
      <c r="AB5626" s="162"/>
      <c r="AC5626" s="162"/>
      <c r="AD5626" s="162">
        <f t="shared" si="107"/>
        <v>0</v>
      </c>
      <c r="AE5626" s="160">
        <v>5624</v>
      </c>
    </row>
    <row r="5627" spans="27:31" x14ac:dyDescent="0.25">
      <c r="AA5627" s="160"/>
      <c r="AB5627" s="162"/>
      <c r="AC5627" s="162"/>
      <c r="AD5627" s="162">
        <f t="shared" si="107"/>
        <v>0</v>
      </c>
      <c r="AE5627" s="160">
        <v>5625</v>
      </c>
    </row>
    <row r="5628" spans="27:31" x14ac:dyDescent="0.25">
      <c r="AA5628" s="160"/>
      <c r="AB5628" s="162"/>
      <c r="AC5628" s="162"/>
      <c r="AD5628" s="162">
        <f t="shared" si="107"/>
        <v>0</v>
      </c>
      <c r="AE5628" s="160">
        <v>5626</v>
      </c>
    </row>
    <row r="5629" spans="27:31" x14ac:dyDescent="0.25">
      <c r="AA5629" s="160"/>
      <c r="AB5629" s="162"/>
      <c r="AC5629" s="162"/>
      <c r="AD5629" s="162">
        <f t="shared" si="107"/>
        <v>0</v>
      </c>
      <c r="AE5629" s="160">
        <v>5627</v>
      </c>
    </row>
    <row r="5630" spans="27:31" x14ac:dyDescent="0.25">
      <c r="AA5630" s="160"/>
      <c r="AB5630" s="162"/>
      <c r="AC5630" s="162"/>
      <c r="AD5630" s="162">
        <f t="shared" si="107"/>
        <v>0</v>
      </c>
      <c r="AE5630" s="160">
        <v>5628</v>
      </c>
    </row>
    <row r="5631" spans="27:31" x14ac:dyDescent="0.25">
      <c r="AA5631" s="160"/>
      <c r="AB5631" s="162"/>
      <c r="AC5631" s="162"/>
      <c r="AD5631" s="162">
        <f t="shared" si="107"/>
        <v>0</v>
      </c>
      <c r="AE5631" s="160">
        <v>5629</v>
      </c>
    </row>
    <row r="5632" spans="27:31" x14ac:dyDescent="0.25">
      <c r="AA5632" s="160"/>
      <c r="AB5632" s="162"/>
      <c r="AC5632" s="162"/>
      <c r="AD5632" s="162">
        <f t="shared" si="107"/>
        <v>0</v>
      </c>
      <c r="AE5632" s="160">
        <v>5630</v>
      </c>
    </row>
    <row r="5633" spans="27:31" x14ac:dyDescent="0.25">
      <c r="AA5633" s="160"/>
      <c r="AB5633" s="162"/>
      <c r="AC5633" s="162"/>
      <c r="AD5633" s="162">
        <f t="shared" si="107"/>
        <v>0</v>
      </c>
      <c r="AE5633" s="160">
        <v>5631</v>
      </c>
    </row>
    <row r="5634" spans="27:31" x14ac:dyDescent="0.25">
      <c r="AA5634" s="160"/>
      <c r="AB5634" s="162"/>
      <c r="AC5634" s="162"/>
      <c r="AD5634" s="162">
        <f t="shared" si="107"/>
        <v>0</v>
      </c>
      <c r="AE5634" s="160">
        <v>5632</v>
      </c>
    </row>
    <row r="5635" spans="27:31" x14ac:dyDescent="0.25">
      <c r="AA5635" s="160"/>
      <c r="AB5635" s="162"/>
      <c r="AC5635" s="162"/>
      <c r="AD5635" s="162">
        <f t="shared" si="107"/>
        <v>0</v>
      </c>
      <c r="AE5635" s="160">
        <v>5633</v>
      </c>
    </row>
    <row r="5636" spans="27:31" x14ac:dyDescent="0.25">
      <c r="AA5636" s="160"/>
      <c r="AB5636" s="162"/>
      <c r="AC5636" s="162"/>
      <c r="AD5636" s="162">
        <f t="shared" ref="AD5636:AD5699" si="108">AB5636+AC5636</f>
        <v>0</v>
      </c>
      <c r="AE5636" s="160">
        <v>5634</v>
      </c>
    </row>
    <row r="5637" spans="27:31" x14ac:dyDescent="0.25">
      <c r="AA5637" s="160"/>
      <c r="AB5637" s="162"/>
      <c r="AC5637" s="162"/>
      <c r="AD5637" s="162">
        <f t="shared" si="108"/>
        <v>0</v>
      </c>
      <c r="AE5637" s="160">
        <v>5635</v>
      </c>
    </row>
    <row r="5638" spans="27:31" x14ac:dyDescent="0.25">
      <c r="AA5638" s="160"/>
      <c r="AB5638" s="162"/>
      <c r="AC5638" s="162"/>
      <c r="AD5638" s="162">
        <f t="shared" si="108"/>
        <v>0</v>
      </c>
      <c r="AE5638" s="160">
        <v>5636</v>
      </c>
    </row>
    <row r="5639" spans="27:31" x14ac:dyDescent="0.25">
      <c r="AA5639" s="160"/>
      <c r="AB5639" s="162"/>
      <c r="AC5639" s="162"/>
      <c r="AD5639" s="162">
        <f t="shared" si="108"/>
        <v>0</v>
      </c>
      <c r="AE5639" s="160">
        <v>5637</v>
      </c>
    </row>
    <row r="5640" spans="27:31" x14ac:dyDescent="0.25">
      <c r="AA5640" s="160"/>
      <c r="AB5640" s="162"/>
      <c r="AC5640" s="162"/>
      <c r="AD5640" s="162">
        <f t="shared" si="108"/>
        <v>0</v>
      </c>
      <c r="AE5640" s="160">
        <v>5638</v>
      </c>
    </row>
    <row r="5641" spans="27:31" x14ac:dyDescent="0.25">
      <c r="AA5641" s="160"/>
      <c r="AB5641" s="162"/>
      <c r="AC5641" s="162"/>
      <c r="AD5641" s="162">
        <f t="shared" si="108"/>
        <v>0</v>
      </c>
      <c r="AE5641" s="160">
        <v>5639</v>
      </c>
    </row>
    <row r="5642" spans="27:31" x14ac:dyDescent="0.25">
      <c r="AA5642" s="160"/>
      <c r="AB5642" s="162"/>
      <c r="AC5642" s="162"/>
      <c r="AD5642" s="162">
        <f t="shared" si="108"/>
        <v>0</v>
      </c>
      <c r="AE5642" s="160">
        <v>5640</v>
      </c>
    </row>
    <row r="5643" spans="27:31" x14ac:dyDescent="0.25">
      <c r="AA5643" s="160"/>
      <c r="AB5643" s="162"/>
      <c r="AC5643" s="162"/>
      <c r="AD5643" s="162">
        <f t="shared" si="108"/>
        <v>0</v>
      </c>
      <c r="AE5643" s="160">
        <v>5641</v>
      </c>
    </row>
    <row r="5644" spans="27:31" x14ac:dyDescent="0.25">
      <c r="AA5644" s="160"/>
      <c r="AB5644" s="162"/>
      <c r="AC5644" s="162"/>
      <c r="AD5644" s="162">
        <f t="shared" si="108"/>
        <v>0</v>
      </c>
      <c r="AE5644" s="160">
        <v>5642</v>
      </c>
    </row>
    <row r="5645" spans="27:31" x14ac:dyDescent="0.25">
      <c r="AA5645" s="160"/>
      <c r="AB5645" s="162"/>
      <c r="AC5645" s="162"/>
      <c r="AD5645" s="162">
        <f t="shared" si="108"/>
        <v>0</v>
      </c>
      <c r="AE5645" s="160">
        <v>5643</v>
      </c>
    </row>
    <row r="5646" spans="27:31" x14ac:dyDescent="0.25">
      <c r="AA5646" s="160"/>
      <c r="AB5646" s="162"/>
      <c r="AC5646" s="162"/>
      <c r="AD5646" s="162">
        <f t="shared" si="108"/>
        <v>0</v>
      </c>
      <c r="AE5646" s="160">
        <v>5644</v>
      </c>
    </row>
    <row r="5647" spans="27:31" x14ac:dyDescent="0.25">
      <c r="AA5647" s="160"/>
      <c r="AB5647" s="162"/>
      <c r="AC5647" s="162"/>
      <c r="AD5647" s="162">
        <f t="shared" si="108"/>
        <v>0</v>
      </c>
      <c r="AE5647" s="160">
        <v>5645</v>
      </c>
    </row>
    <row r="5648" spans="27:31" x14ac:dyDescent="0.25">
      <c r="AA5648" s="160"/>
      <c r="AB5648" s="162"/>
      <c r="AC5648" s="162"/>
      <c r="AD5648" s="162">
        <f t="shared" si="108"/>
        <v>0</v>
      </c>
      <c r="AE5648" s="160">
        <v>5646</v>
      </c>
    </row>
    <row r="5649" spans="27:31" x14ac:dyDescent="0.25">
      <c r="AA5649" s="160"/>
      <c r="AB5649" s="162"/>
      <c r="AC5649" s="162"/>
      <c r="AD5649" s="162">
        <f t="shared" si="108"/>
        <v>0</v>
      </c>
      <c r="AE5649" s="160">
        <v>5647</v>
      </c>
    </row>
    <row r="5650" spans="27:31" x14ac:dyDescent="0.25">
      <c r="AA5650" s="160"/>
      <c r="AB5650" s="162"/>
      <c r="AC5650" s="162"/>
      <c r="AD5650" s="162">
        <f t="shared" si="108"/>
        <v>0</v>
      </c>
      <c r="AE5650" s="160">
        <v>5648</v>
      </c>
    </row>
    <row r="5651" spans="27:31" x14ac:dyDescent="0.25">
      <c r="AA5651" s="160"/>
      <c r="AB5651" s="162"/>
      <c r="AC5651" s="162"/>
      <c r="AD5651" s="162">
        <f t="shared" si="108"/>
        <v>0</v>
      </c>
      <c r="AE5651" s="160">
        <v>5649</v>
      </c>
    </row>
    <row r="5652" spans="27:31" x14ac:dyDescent="0.25">
      <c r="AA5652" s="160"/>
      <c r="AB5652" s="162"/>
      <c r="AC5652" s="162"/>
      <c r="AD5652" s="162">
        <f t="shared" si="108"/>
        <v>0</v>
      </c>
      <c r="AE5652" s="160">
        <v>5650</v>
      </c>
    </row>
    <row r="5653" spans="27:31" x14ac:dyDescent="0.25">
      <c r="AA5653" s="160"/>
      <c r="AB5653" s="162"/>
      <c r="AC5653" s="162"/>
      <c r="AD5653" s="162">
        <f t="shared" si="108"/>
        <v>0</v>
      </c>
      <c r="AE5653" s="160">
        <v>5651</v>
      </c>
    </row>
    <row r="5654" spans="27:31" x14ac:dyDescent="0.25">
      <c r="AA5654" s="160"/>
      <c r="AB5654" s="162"/>
      <c r="AC5654" s="162"/>
      <c r="AD5654" s="162">
        <f t="shared" si="108"/>
        <v>0</v>
      </c>
      <c r="AE5654" s="160">
        <v>5652</v>
      </c>
    </row>
    <row r="5655" spans="27:31" x14ac:dyDescent="0.25">
      <c r="AA5655" s="160"/>
      <c r="AB5655" s="162"/>
      <c r="AC5655" s="162"/>
      <c r="AD5655" s="162">
        <f t="shared" si="108"/>
        <v>0</v>
      </c>
      <c r="AE5655" s="160">
        <v>5653</v>
      </c>
    </row>
    <row r="5656" spans="27:31" x14ac:dyDescent="0.25">
      <c r="AA5656" s="160"/>
      <c r="AB5656" s="162"/>
      <c r="AC5656" s="162"/>
      <c r="AD5656" s="162">
        <f t="shared" si="108"/>
        <v>0</v>
      </c>
      <c r="AE5656" s="160">
        <v>5654</v>
      </c>
    </row>
    <row r="5657" spans="27:31" x14ac:dyDescent="0.25">
      <c r="AA5657" s="160"/>
      <c r="AB5657" s="162"/>
      <c r="AC5657" s="162"/>
      <c r="AD5657" s="162">
        <f t="shared" si="108"/>
        <v>0</v>
      </c>
      <c r="AE5657" s="160">
        <v>5655</v>
      </c>
    </row>
    <row r="5658" spans="27:31" x14ac:dyDescent="0.25">
      <c r="AA5658" s="160"/>
      <c r="AB5658" s="162"/>
      <c r="AC5658" s="162"/>
      <c r="AD5658" s="162">
        <f t="shared" si="108"/>
        <v>0</v>
      </c>
      <c r="AE5658" s="160">
        <v>5656</v>
      </c>
    </row>
    <row r="5659" spans="27:31" x14ac:dyDescent="0.25">
      <c r="AA5659" s="160"/>
      <c r="AB5659" s="162"/>
      <c r="AC5659" s="162"/>
      <c r="AD5659" s="162">
        <f t="shared" si="108"/>
        <v>0</v>
      </c>
      <c r="AE5659" s="160">
        <v>5657</v>
      </c>
    </row>
    <row r="5660" spans="27:31" x14ac:dyDescent="0.25">
      <c r="AA5660" s="160"/>
      <c r="AB5660" s="162"/>
      <c r="AC5660" s="162"/>
      <c r="AD5660" s="162">
        <f t="shared" si="108"/>
        <v>0</v>
      </c>
      <c r="AE5660" s="160">
        <v>5658</v>
      </c>
    </row>
    <row r="5661" spans="27:31" x14ac:dyDescent="0.25">
      <c r="AA5661" s="160"/>
      <c r="AB5661" s="162"/>
      <c r="AC5661" s="162"/>
      <c r="AD5661" s="162">
        <f t="shared" si="108"/>
        <v>0</v>
      </c>
      <c r="AE5661" s="160">
        <v>5659</v>
      </c>
    </row>
    <row r="5662" spans="27:31" x14ac:dyDescent="0.25">
      <c r="AA5662" s="160"/>
      <c r="AB5662" s="162"/>
      <c r="AC5662" s="162"/>
      <c r="AD5662" s="162">
        <f t="shared" si="108"/>
        <v>0</v>
      </c>
      <c r="AE5662" s="160">
        <v>5660</v>
      </c>
    </row>
    <row r="5663" spans="27:31" x14ac:dyDescent="0.25">
      <c r="AA5663" s="160"/>
      <c r="AB5663" s="162"/>
      <c r="AC5663" s="162"/>
      <c r="AD5663" s="162">
        <f t="shared" si="108"/>
        <v>0</v>
      </c>
      <c r="AE5663" s="160">
        <v>5661</v>
      </c>
    </row>
    <row r="5664" spans="27:31" x14ac:dyDescent="0.25">
      <c r="AA5664" s="160"/>
      <c r="AB5664" s="162"/>
      <c r="AC5664" s="162"/>
      <c r="AD5664" s="162">
        <f t="shared" si="108"/>
        <v>0</v>
      </c>
      <c r="AE5664" s="160">
        <v>5662</v>
      </c>
    </row>
    <row r="5665" spans="27:31" x14ac:dyDescent="0.25">
      <c r="AA5665" s="160"/>
      <c r="AB5665" s="162"/>
      <c r="AC5665" s="162"/>
      <c r="AD5665" s="162">
        <f t="shared" si="108"/>
        <v>0</v>
      </c>
      <c r="AE5665" s="160">
        <v>5663</v>
      </c>
    </row>
    <row r="5666" spans="27:31" x14ac:dyDescent="0.25">
      <c r="AA5666" s="160"/>
      <c r="AB5666" s="162"/>
      <c r="AC5666" s="162"/>
      <c r="AD5666" s="162">
        <f t="shared" si="108"/>
        <v>0</v>
      </c>
      <c r="AE5666" s="160">
        <v>5664</v>
      </c>
    </row>
    <row r="5667" spans="27:31" x14ac:dyDescent="0.25">
      <c r="AA5667" s="160"/>
      <c r="AB5667" s="162"/>
      <c r="AC5667" s="162"/>
      <c r="AD5667" s="162">
        <f t="shared" si="108"/>
        <v>0</v>
      </c>
      <c r="AE5667" s="160">
        <v>5665</v>
      </c>
    </row>
    <row r="5668" spans="27:31" x14ac:dyDescent="0.25">
      <c r="AA5668" s="160"/>
      <c r="AB5668" s="162"/>
      <c r="AC5668" s="162"/>
      <c r="AD5668" s="162">
        <f t="shared" si="108"/>
        <v>0</v>
      </c>
      <c r="AE5668" s="160">
        <v>5666</v>
      </c>
    </row>
    <row r="5669" spans="27:31" x14ac:dyDescent="0.25">
      <c r="AA5669" s="160"/>
      <c r="AB5669" s="162"/>
      <c r="AC5669" s="162"/>
      <c r="AD5669" s="162">
        <f t="shared" si="108"/>
        <v>0</v>
      </c>
      <c r="AE5669" s="160">
        <v>5667</v>
      </c>
    </row>
    <row r="5670" spans="27:31" x14ac:dyDescent="0.25">
      <c r="AA5670" s="160"/>
      <c r="AB5670" s="162"/>
      <c r="AC5670" s="162"/>
      <c r="AD5670" s="162">
        <f t="shared" si="108"/>
        <v>0</v>
      </c>
      <c r="AE5670" s="160">
        <v>5668</v>
      </c>
    </row>
    <row r="5671" spans="27:31" x14ac:dyDescent="0.25">
      <c r="AA5671" s="160"/>
      <c r="AB5671" s="162"/>
      <c r="AC5671" s="162"/>
      <c r="AD5671" s="162">
        <f t="shared" si="108"/>
        <v>0</v>
      </c>
      <c r="AE5671" s="160">
        <v>5669</v>
      </c>
    </row>
    <row r="5672" spans="27:31" x14ac:dyDescent="0.25">
      <c r="AA5672" s="160"/>
      <c r="AB5672" s="162"/>
      <c r="AC5672" s="162"/>
      <c r="AD5672" s="162">
        <f t="shared" si="108"/>
        <v>0</v>
      </c>
      <c r="AE5672" s="160">
        <v>5670</v>
      </c>
    </row>
    <row r="5673" spans="27:31" x14ac:dyDescent="0.25">
      <c r="AA5673" s="160"/>
      <c r="AB5673" s="162"/>
      <c r="AC5673" s="162"/>
      <c r="AD5673" s="162">
        <f t="shared" si="108"/>
        <v>0</v>
      </c>
      <c r="AE5673" s="160">
        <v>5671</v>
      </c>
    </row>
    <row r="5674" spans="27:31" x14ac:dyDescent="0.25">
      <c r="AA5674" s="160"/>
      <c r="AB5674" s="162"/>
      <c r="AC5674" s="162"/>
      <c r="AD5674" s="162">
        <f t="shared" si="108"/>
        <v>0</v>
      </c>
      <c r="AE5674" s="160">
        <v>5672</v>
      </c>
    </row>
    <row r="5675" spans="27:31" x14ac:dyDescent="0.25">
      <c r="AA5675" s="160"/>
      <c r="AB5675" s="162"/>
      <c r="AC5675" s="162"/>
      <c r="AD5675" s="162">
        <f t="shared" si="108"/>
        <v>0</v>
      </c>
      <c r="AE5675" s="160">
        <v>5673</v>
      </c>
    </row>
    <row r="5676" spans="27:31" x14ac:dyDescent="0.25">
      <c r="AA5676" s="160"/>
      <c r="AB5676" s="162"/>
      <c r="AC5676" s="162"/>
      <c r="AD5676" s="162">
        <f t="shared" si="108"/>
        <v>0</v>
      </c>
      <c r="AE5676" s="160">
        <v>5674</v>
      </c>
    </row>
    <row r="5677" spans="27:31" x14ac:dyDescent="0.25">
      <c r="AA5677" s="160"/>
      <c r="AB5677" s="162"/>
      <c r="AC5677" s="162"/>
      <c r="AD5677" s="162">
        <f t="shared" si="108"/>
        <v>0</v>
      </c>
      <c r="AE5677" s="160">
        <v>5675</v>
      </c>
    </row>
    <row r="5678" spans="27:31" x14ac:dyDescent="0.25">
      <c r="AA5678" s="160"/>
      <c r="AB5678" s="162"/>
      <c r="AC5678" s="162"/>
      <c r="AD5678" s="162">
        <f t="shared" si="108"/>
        <v>0</v>
      </c>
      <c r="AE5678" s="160">
        <v>5676</v>
      </c>
    </row>
    <row r="5679" spans="27:31" x14ac:dyDescent="0.25">
      <c r="AA5679" s="160"/>
      <c r="AB5679" s="162"/>
      <c r="AC5679" s="162"/>
      <c r="AD5679" s="162">
        <f t="shared" si="108"/>
        <v>0</v>
      </c>
      <c r="AE5679" s="160">
        <v>5677</v>
      </c>
    </row>
    <row r="5680" spans="27:31" x14ac:dyDescent="0.25">
      <c r="AA5680" s="160"/>
      <c r="AB5680" s="162"/>
      <c r="AC5680" s="162"/>
      <c r="AD5680" s="162">
        <f t="shared" si="108"/>
        <v>0</v>
      </c>
      <c r="AE5680" s="160">
        <v>5678</v>
      </c>
    </row>
    <row r="5681" spans="27:31" x14ac:dyDescent="0.25">
      <c r="AA5681" s="160"/>
      <c r="AB5681" s="162"/>
      <c r="AC5681" s="162"/>
      <c r="AD5681" s="162">
        <f t="shared" si="108"/>
        <v>0</v>
      </c>
      <c r="AE5681" s="160">
        <v>5679</v>
      </c>
    </row>
    <row r="5682" spans="27:31" x14ac:dyDescent="0.25">
      <c r="AA5682" s="160"/>
      <c r="AB5682" s="162"/>
      <c r="AC5682" s="162"/>
      <c r="AD5682" s="162">
        <f t="shared" si="108"/>
        <v>0</v>
      </c>
      <c r="AE5682" s="160">
        <v>5680</v>
      </c>
    </row>
    <row r="5683" spans="27:31" x14ac:dyDescent="0.25">
      <c r="AA5683" s="160"/>
      <c r="AB5683" s="162"/>
      <c r="AC5683" s="162"/>
      <c r="AD5683" s="162">
        <f t="shared" si="108"/>
        <v>0</v>
      </c>
      <c r="AE5683" s="160">
        <v>5681</v>
      </c>
    </row>
    <row r="5684" spans="27:31" x14ac:dyDescent="0.25">
      <c r="AA5684" s="160"/>
      <c r="AB5684" s="162"/>
      <c r="AC5684" s="162"/>
      <c r="AD5684" s="162">
        <f t="shared" si="108"/>
        <v>0</v>
      </c>
      <c r="AE5684" s="160">
        <v>5682</v>
      </c>
    </row>
    <row r="5685" spans="27:31" x14ac:dyDescent="0.25">
      <c r="AA5685" s="160"/>
      <c r="AB5685" s="162"/>
      <c r="AC5685" s="162"/>
      <c r="AD5685" s="162">
        <f t="shared" si="108"/>
        <v>0</v>
      </c>
      <c r="AE5685" s="160">
        <v>5683</v>
      </c>
    </row>
    <row r="5686" spans="27:31" x14ac:dyDescent="0.25">
      <c r="AA5686" s="160"/>
      <c r="AB5686" s="162"/>
      <c r="AC5686" s="162"/>
      <c r="AD5686" s="162">
        <f t="shared" si="108"/>
        <v>0</v>
      </c>
      <c r="AE5686" s="160">
        <v>5684</v>
      </c>
    </row>
    <row r="5687" spans="27:31" x14ac:dyDescent="0.25">
      <c r="AA5687" s="160"/>
      <c r="AB5687" s="162"/>
      <c r="AC5687" s="162"/>
      <c r="AD5687" s="162">
        <f t="shared" si="108"/>
        <v>0</v>
      </c>
      <c r="AE5687" s="160">
        <v>5685</v>
      </c>
    </row>
    <row r="5688" spans="27:31" x14ac:dyDescent="0.25">
      <c r="AA5688" s="160"/>
      <c r="AB5688" s="162"/>
      <c r="AC5688" s="162"/>
      <c r="AD5688" s="162">
        <f t="shared" si="108"/>
        <v>0</v>
      </c>
      <c r="AE5688" s="160">
        <v>5686</v>
      </c>
    </row>
    <row r="5689" spans="27:31" x14ac:dyDescent="0.25">
      <c r="AA5689" s="160"/>
      <c r="AB5689" s="162"/>
      <c r="AC5689" s="162"/>
      <c r="AD5689" s="162">
        <f t="shared" si="108"/>
        <v>0</v>
      </c>
      <c r="AE5689" s="160">
        <v>5687</v>
      </c>
    </row>
    <row r="5690" spans="27:31" x14ac:dyDescent="0.25">
      <c r="AA5690" s="160"/>
      <c r="AB5690" s="162"/>
      <c r="AC5690" s="162"/>
      <c r="AD5690" s="162">
        <f t="shared" si="108"/>
        <v>0</v>
      </c>
      <c r="AE5690" s="160">
        <v>5688</v>
      </c>
    </row>
    <row r="5691" spans="27:31" x14ac:dyDescent="0.25">
      <c r="AA5691" s="160"/>
      <c r="AB5691" s="162"/>
      <c r="AC5691" s="162"/>
      <c r="AD5691" s="162">
        <f t="shared" si="108"/>
        <v>0</v>
      </c>
      <c r="AE5691" s="160">
        <v>5689</v>
      </c>
    </row>
    <row r="5692" spans="27:31" x14ac:dyDescent="0.25">
      <c r="AA5692" s="160"/>
      <c r="AB5692" s="162"/>
      <c r="AC5692" s="162"/>
      <c r="AD5692" s="162">
        <f t="shared" si="108"/>
        <v>0</v>
      </c>
      <c r="AE5692" s="160">
        <v>5690</v>
      </c>
    </row>
    <row r="5693" spans="27:31" x14ac:dyDescent="0.25">
      <c r="AA5693" s="160"/>
      <c r="AB5693" s="162"/>
      <c r="AC5693" s="162"/>
      <c r="AD5693" s="162">
        <f t="shared" si="108"/>
        <v>0</v>
      </c>
      <c r="AE5693" s="160">
        <v>5691</v>
      </c>
    </row>
    <row r="5694" spans="27:31" x14ac:dyDescent="0.25">
      <c r="AA5694" s="160"/>
      <c r="AB5694" s="162"/>
      <c r="AC5694" s="162"/>
      <c r="AD5694" s="162">
        <f t="shared" si="108"/>
        <v>0</v>
      </c>
      <c r="AE5694" s="160">
        <v>5692</v>
      </c>
    </row>
    <row r="5695" spans="27:31" x14ac:dyDescent="0.25">
      <c r="AA5695" s="160"/>
      <c r="AB5695" s="162"/>
      <c r="AC5695" s="162"/>
      <c r="AD5695" s="162">
        <f t="shared" si="108"/>
        <v>0</v>
      </c>
      <c r="AE5695" s="160">
        <v>5693</v>
      </c>
    </row>
    <row r="5696" spans="27:31" x14ac:dyDescent="0.25">
      <c r="AA5696" s="160"/>
      <c r="AB5696" s="162"/>
      <c r="AC5696" s="162"/>
      <c r="AD5696" s="162">
        <f t="shared" si="108"/>
        <v>0</v>
      </c>
      <c r="AE5696" s="160">
        <v>5694</v>
      </c>
    </row>
    <row r="5697" spans="27:31" x14ac:dyDescent="0.25">
      <c r="AA5697" s="160"/>
      <c r="AB5697" s="162"/>
      <c r="AC5697" s="162"/>
      <c r="AD5697" s="162">
        <f t="shared" si="108"/>
        <v>0</v>
      </c>
      <c r="AE5697" s="160">
        <v>5695</v>
      </c>
    </row>
    <row r="5698" spans="27:31" x14ac:dyDescent="0.25">
      <c r="AA5698" s="160"/>
      <c r="AB5698" s="162"/>
      <c r="AC5698" s="162"/>
      <c r="AD5698" s="162">
        <f t="shared" si="108"/>
        <v>0</v>
      </c>
      <c r="AE5698" s="160">
        <v>5696</v>
      </c>
    </row>
    <row r="5699" spans="27:31" x14ac:dyDescent="0.25">
      <c r="AA5699" s="160"/>
      <c r="AB5699" s="162"/>
      <c r="AC5699" s="162"/>
      <c r="AD5699" s="162">
        <f t="shared" si="108"/>
        <v>0</v>
      </c>
      <c r="AE5699" s="160">
        <v>5697</v>
      </c>
    </row>
    <row r="5700" spans="27:31" x14ac:dyDescent="0.25">
      <c r="AA5700" s="160"/>
      <c r="AB5700" s="162"/>
      <c r="AC5700" s="162"/>
      <c r="AD5700" s="162">
        <f t="shared" ref="AD5700:AD5763" si="109">AB5700+AC5700</f>
        <v>0</v>
      </c>
      <c r="AE5700" s="160">
        <v>5698</v>
      </c>
    </row>
    <row r="5701" spans="27:31" x14ac:dyDescent="0.25">
      <c r="AA5701" s="160"/>
      <c r="AB5701" s="162"/>
      <c r="AC5701" s="162"/>
      <c r="AD5701" s="162">
        <f t="shared" si="109"/>
        <v>0</v>
      </c>
      <c r="AE5701" s="160">
        <v>5699</v>
      </c>
    </row>
    <row r="5702" spans="27:31" x14ac:dyDescent="0.25">
      <c r="AA5702" s="160"/>
      <c r="AB5702" s="162"/>
      <c r="AC5702" s="162"/>
      <c r="AD5702" s="162">
        <f t="shared" si="109"/>
        <v>0</v>
      </c>
      <c r="AE5702" s="160">
        <v>5700</v>
      </c>
    </row>
    <row r="5703" spans="27:31" x14ac:dyDescent="0.25">
      <c r="AA5703" s="160"/>
      <c r="AB5703" s="162"/>
      <c r="AC5703" s="162"/>
      <c r="AD5703" s="162">
        <f t="shared" si="109"/>
        <v>0</v>
      </c>
      <c r="AE5703" s="160">
        <v>5701</v>
      </c>
    </row>
    <row r="5704" spans="27:31" x14ac:dyDescent="0.25">
      <c r="AA5704" s="160"/>
      <c r="AB5704" s="162"/>
      <c r="AC5704" s="162"/>
      <c r="AD5704" s="162">
        <f t="shared" si="109"/>
        <v>0</v>
      </c>
      <c r="AE5704" s="160">
        <v>5702</v>
      </c>
    </row>
    <row r="5705" spans="27:31" x14ac:dyDescent="0.25">
      <c r="AA5705" s="160"/>
      <c r="AB5705" s="162"/>
      <c r="AC5705" s="162"/>
      <c r="AD5705" s="162">
        <f t="shared" si="109"/>
        <v>0</v>
      </c>
      <c r="AE5705" s="160">
        <v>5703</v>
      </c>
    </row>
    <row r="5706" spans="27:31" x14ac:dyDescent="0.25">
      <c r="AA5706" s="160"/>
      <c r="AB5706" s="162"/>
      <c r="AC5706" s="162"/>
      <c r="AD5706" s="162">
        <f t="shared" si="109"/>
        <v>0</v>
      </c>
      <c r="AE5706" s="160">
        <v>5704</v>
      </c>
    </row>
    <row r="5707" spans="27:31" x14ac:dyDescent="0.25">
      <c r="AA5707" s="160"/>
      <c r="AB5707" s="162"/>
      <c r="AC5707" s="162"/>
      <c r="AD5707" s="162">
        <f t="shared" si="109"/>
        <v>0</v>
      </c>
      <c r="AE5707" s="160">
        <v>5705</v>
      </c>
    </row>
    <row r="5708" spans="27:31" x14ac:dyDescent="0.25">
      <c r="AA5708" s="160"/>
      <c r="AB5708" s="162"/>
      <c r="AC5708" s="162"/>
      <c r="AD5708" s="162">
        <f t="shared" si="109"/>
        <v>0</v>
      </c>
      <c r="AE5708" s="160">
        <v>5706</v>
      </c>
    </row>
    <row r="5709" spans="27:31" x14ac:dyDescent="0.25">
      <c r="AA5709" s="160"/>
      <c r="AB5709" s="162"/>
      <c r="AC5709" s="162"/>
      <c r="AD5709" s="162">
        <f t="shared" si="109"/>
        <v>0</v>
      </c>
      <c r="AE5709" s="160">
        <v>5707</v>
      </c>
    </row>
    <row r="5710" spans="27:31" x14ac:dyDescent="0.25">
      <c r="AA5710" s="160"/>
      <c r="AB5710" s="162"/>
      <c r="AC5710" s="162"/>
      <c r="AD5710" s="162">
        <f t="shared" si="109"/>
        <v>0</v>
      </c>
      <c r="AE5710" s="160">
        <v>5708</v>
      </c>
    </row>
    <row r="5711" spans="27:31" x14ac:dyDescent="0.25">
      <c r="AA5711" s="160"/>
      <c r="AB5711" s="162"/>
      <c r="AC5711" s="162"/>
      <c r="AD5711" s="162">
        <f t="shared" si="109"/>
        <v>0</v>
      </c>
      <c r="AE5711" s="160">
        <v>5709</v>
      </c>
    </row>
    <row r="5712" spans="27:31" x14ac:dyDescent="0.25">
      <c r="AA5712" s="160"/>
      <c r="AB5712" s="162"/>
      <c r="AC5712" s="162"/>
      <c r="AD5712" s="162">
        <f t="shared" si="109"/>
        <v>0</v>
      </c>
      <c r="AE5712" s="160">
        <v>5710</v>
      </c>
    </row>
    <row r="5713" spans="27:31" x14ac:dyDescent="0.25">
      <c r="AA5713" s="160"/>
      <c r="AB5713" s="162"/>
      <c r="AC5713" s="162"/>
      <c r="AD5713" s="162">
        <f t="shared" si="109"/>
        <v>0</v>
      </c>
      <c r="AE5713" s="160">
        <v>5711</v>
      </c>
    </row>
    <row r="5714" spans="27:31" x14ac:dyDescent="0.25">
      <c r="AA5714" s="160"/>
      <c r="AB5714" s="162"/>
      <c r="AC5714" s="162"/>
      <c r="AD5714" s="162">
        <f t="shared" si="109"/>
        <v>0</v>
      </c>
      <c r="AE5714" s="160">
        <v>5712</v>
      </c>
    </row>
    <row r="5715" spans="27:31" x14ac:dyDescent="0.25">
      <c r="AA5715" s="160"/>
      <c r="AB5715" s="162"/>
      <c r="AC5715" s="162"/>
      <c r="AD5715" s="162">
        <f t="shared" si="109"/>
        <v>0</v>
      </c>
      <c r="AE5715" s="160">
        <v>5713</v>
      </c>
    </row>
    <row r="5716" spans="27:31" x14ac:dyDescent="0.25">
      <c r="AA5716" s="160"/>
      <c r="AB5716" s="162"/>
      <c r="AC5716" s="162"/>
      <c r="AD5716" s="162">
        <f t="shared" si="109"/>
        <v>0</v>
      </c>
      <c r="AE5716" s="160">
        <v>5714</v>
      </c>
    </row>
    <row r="5717" spans="27:31" x14ac:dyDescent="0.25">
      <c r="AA5717" s="160"/>
      <c r="AB5717" s="162"/>
      <c r="AC5717" s="162"/>
      <c r="AD5717" s="162">
        <f t="shared" si="109"/>
        <v>0</v>
      </c>
      <c r="AE5717" s="160">
        <v>5715</v>
      </c>
    </row>
    <row r="5718" spans="27:31" x14ac:dyDescent="0.25">
      <c r="AA5718" s="160"/>
      <c r="AB5718" s="162"/>
      <c r="AC5718" s="162"/>
      <c r="AD5718" s="162">
        <f t="shared" si="109"/>
        <v>0</v>
      </c>
      <c r="AE5718" s="160">
        <v>5716</v>
      </c>
    </row>
    <row r="5719" spans="27:31" x14ac:dyDescent="0.25">
      <c r="AA5719" s="160"/>
      <c r="AB5719" s="162"/>
      <c r="AC5719" s="162"/>
      <c r="AD5719" s="162">
        <f t="shared" si="109"/>
        <v>0</v>
      </c>
      <c r="AE5719" s="160">
        <v>5717</v>
      </c>
    </row>
    <row r="5720" spans="27:31" x14ac:dyDescent="0.25">
      <c r="AA5720" s="160"/>
      <c r="AB5720" s="162"/>
      <c r="AC5720" s="162"/>
      <c r="AD5720" s="162">
        <f t="shared" si="109"/>
        <v>0</v>
      </c>
      <c r="AE5720" s="160">
        <v>5718</v>
      </c>
    </row>
    <row r="5721" spans="27:31" x14ac:dyDescent="0.25">
      <c r="AA5721" s="160"/>
      <c r="AB5721" s="162"/>
      <c r="AC5721" s="162"/>
      <c r="AD5721" s="162">
        <f t="shared" si="109"/>
        <v>0</v>
      </c>
      <c r="AE5721" s="160">
        <v>5719</v>
      </c>
    </row>
    <row r="5722" spans="27:31" x14ac:dyDescent="0.25">
      <c r="AA5722" s="160"/>
      <c r="AB5722" s="162"/>
      <c r="AC5722" s="162"/>
      <c r="AD5722" s="162">
        <f t="shared" si="109"/>
        <v>0</v>
      </c>
      <c r="AE5722" s="160">
        <v>5720</v>
      </c>
    </row>
    <row r="5723" spans="27:31" x14ac:dyDescent="0.25">
      <c r="AA5723" s="160"/>
      <c r="AB5723" s="162"/>
      <c r="AC5723" s="162"/>
      <c r="AD5723" s="162">
        <f t="shared" si="109"/>
        <v>0</v>
      </c>
      <c r="AE5723" s="160">
        <v>5721</v>
      </c>
    </row>
    <row r="5724" spans="27:31" x14ac:dyDescent="0.25">
      <c r="AA5724" s="160"/>
      <c r="AB5724" s="162"/>
      <c r="AC5724" s="162"/>
      <c r="AD5724" s="162">
        <f t="shared" si="109"/>
        <v>0</v>
      </c>
      <c r="AE5724" s="160">
        <v>5722</v>
      </c>
    </row>
    <row r="5725" spans="27:31" x14ac:dyDescent="0.25">
      <c r="AA5725" s="160"/>
      <c r="AB5725" s="162"/>
      <c r="AC5725" s="162"/>
      <c r="AD5725" s="162">
        <f t="shared" si="109"/>
        <v>0</v>
      </c>
      <c r="AE5725" s="160">
        <v>5723</v>
      </c>
    </row>
    <row r="5726" spans="27:31" x14ac:dyDescent="0.25">
      <c r="AA5726" s="160"/>
      <c r="AB5726" s="162"/>
      <c r="AC5726" s="162"/>
      <c r="AD5726" s="162">
        <f t="shared" si="109"/>
        <v>0</v>
      </c>
      <c r="AE5726" s="160">
        <v>5724</v>
      </c>
    </row>
    <row r="5727" spans="27:31" x14ac:dyDescent="0.25">
      <c r="AA5727" s="160"/>
      <c r="AB5727" s="162"/>
      <c r="AC5727" s="162"/>
      <c r="AD5727" s="162">
        <f t="shared" si="109"/>
        <v>0</v>
      </c>
      <c r="AE5727" s="160">
        <v>5725</v>
      </c>
    </row>
    <row r="5728" spans="27:31" x14ac:dyDescent="0.25">
      <c r="AA5728" s="160"/>
      <c r="AB5728" s="162"/>
      <c r="AC5728" s="162"/>
      <c r="AD5728" s="162">
        <f t="shared" si="109"/>
        <v>0</v>
      </c>
      <c r="AE5728" s="160">
        <v>5726</v>
      </c>
    </row>
    <row r="5729" spans="27:31" x14ac:dyDescent="0.25">
      <c r="AA5729" s="160"/>
      <c r="AB5729" s="162"/>
      <c r="AC5729" s="162"/>
      <c r="AD5729" s="162">
        <f t="shared" si="109"/>
        <v>0</v>
      </c>
      <c r="AE5729" s="160">
        <v>5727</v>
      </c>
    </row>
    <row r="5730" spans="27:31" x14ac:dyDescent="0.25">
      <c r="AA5730" s="160"/>
      <c r="AB5730" s="162"/>
      <c r="AC5730" s="162"/>
      <c r="AD5730" s="162">
        <f t="shared" si="109"/>
        <v>0</v>
      </c>
      <c r="AE5730" s="160">
        <v>5728</v>
      </c>
    </row>
    <row r="5731" spans="27:31" x14ac:dyDescent="0.25">
      <c r="AA5731" s="160"/>
      <c r="AB5731" s="162"/>
      <c r="AC5731" s="162"/>
      <c r="AD5731" s="162">
        <f t="shared" si="109"/>
        <v>0</v>
      </c>
      <c r="AE5731" s="160">
        <v>5729</v>
      </c>
    </row>
    <row r="5732" spans="27:31" x14ac:dyDescent="0.25">
      <c r="AA5732" s="160"/>
      <c r="AB5732" s="162"/>
      <c r="AC5732" s="162"/>
      <c r="AD5732" s="162">
        <f t="shared" si="109"/>
        <v>0</v>
      </c>
      <c r="AE5732" s="160">
        <v>5730</v>
      </c>
    </row>
    <row r="5733" spans="27:31" x14ac:dyDescent="0.25">
      <c r="AA5733" s="160"/>
      <c r="AB5733" s="162"/>
      <c r="AC5733" s="162"/>
      <c r="AD5733" s="162">
        <f t="shared" si="109"/>
        <v>0</v>
      </c>
      <c r="AE5733" s="160">
        <v>5731</v>
      </c>
    </row>
    <row r="5734" spans="27:31" x14ac:dyDescent="0.25">
      <c r="AA5734" s="160"/>
      <c r="AB5734" s="162"/>
      <c r="AC5734" s="162"/>
      <c r="AD5734" s="162">
        <f t="shared" si="109"/>
        <v>0</v>
      </c>
      <c r="AE5734" s="160">
        <v>5732</v>
      </c>
    </row>
    <row r="5735" spans="27:31" x14ac:dyDescent="0.25">
      <c r="AA5735" s="160"/>
      <c r="AB5735" s="162"/>
      <c r="AC5735" s="162"/>
      <c r="AD5735" s="162">
        <f t="shared" si="109"/>
        <v>0</v>
      </c>
      <c r="AE5735" s="160">
        <v>5733</v>
      </c>
    </row>
    <row r="5736" spans="27:31" x14ac:dyDescent="0.25">
      <c r="AA5736" s="160"/>
      <c r="AB5736" s="162"/>
      <c r="AC5736" s="162"/>
      <c r="AD5736" s="162">
        <f t="shared" si="109"/>
        <v>0</v>
      </c>
      <c r="AE5736" s="160">
        <v>5734</v>
      </c>
    </row>
    <row r="5737" spans="27:31" x14ac:dyDescent="0.25">
      <c r="AA5737" s="160"/>
      <c r="AB5737" s="162"/>
      <c r="AC5737" s="162"/>
      <c r="AD5737" s="162">
        <f t="shared" si="109"/>
        <v>0</v>
      </c>
      <c r="AE5737" s="160">
        <v>5735</v>
      </c>
    </row>
    <row r="5738" spans="27:31" x14ac:dyDescent="0.25">
      <c r="AA5738" s="160"/>
      <c r="AB5738" s="162"/>
      <c r="AC5738" s="162"/>
      <c r="AD5738" s="162">
        <f t="shared" si="109"/>
        <v>0</v>
      </c>
      <c r="AE5738" s="160">
        <v>5736</v>
      </c>
    </row>
    <row r="5739" spans="27:31" x14ac:dyDescent="0.25">
      <c r="AA5739" s="160"/>
      <c r="AB5739" s="162"/>
      <c r="AC5739" s="162"/>
      <c r="AD5739" s="162">
        <f t="shared" si="109"/>
        <v>0</v>
      </c>
      <c r="AE5739" s="160">
        <v>5737</v>
      </c>
    </row>
    <row r="5740" spans="27:31" x14ac:dyDescent="0.25">
      <c r="AA5740" s="160"/>
      <c r="AB5740" s="162"/>
      <c r="AC5740" s="162"/>
      <c r="AD5740" s="162">
        <f t="shared" si="109"/>
        <v>0</v>
      </c>
      <c r="AE5740" s="160">
        <v>5738</v>
      </c>
    </row>
    <row r="5741" spans="27:31" x14ac:dyDescent="0.25">
      <c r="AA5741" s="160"/>
      <c r="AB5741" s="162"/>
      <c r="AC5741" s="162"/>
      <c r="AD5741" s="162">
        <f t="shared" si="109"/>
        <v>0</v>
      </c>
      <c r="AE5741" s="160">
        <v>5739</v>
      </c>
    </row>
    <row r="5742" spans="27:31" x14ac:dyDescent="0.25">
      <c r="AA5742" s="160"/>
      <c r="AB5742" s="162"/>
      <c r="AC5742" s="162"/>
      <c r="AD5742" s="162">
        <f t="shared" si="109"/>
        <v>0</v>
      </c>
      <c r="AE5742" s="160">
        <v>5740</v>
      </c>
    </row>
    <row r="5743" spans="27:31" x14ac:dyDescent="0.25">
      <c r="AA5743" s="160"/>
      <c r="AB5743" s="162"/>
      <c r="AC5743" s="162"/>
      <c r="AD5743" s="162">
        <f t="shared" si="109"/>
        <v>0</v>
      </c>
      <c r="AE5743" s="160">
        <v>5741</v>
      </c>
    </row>
    <row r="5744" spans="27:31" x14ac:dyDescent="0.25">
      <c r="AA5744" s="160"/>
      <c r="AB5744" s="162"/>
      <c r="AC5744" s="162"/>
      <c r="AD5744" s="162">
        <f t="shared" si="109"/>
        <v>0</v>
      </c>
      <c r="AE5744" s="160">
        <v>5742</v>
      </c>
    </row>
    <row r="5745" spans="27:31" x14ac:dyDescent="0.25">
      <c r="AA5745" s="160"/>
      <c r="AB5745" s="162"/>
      <c r="AC5745" s="162"/>
      <c r="AD5745" s="162">
        <f t="shared" si="109"/>
        <v>0</v>
      </c>
      <c r="AE5745" s="160">
        <v>5743</v>
      </c>
    </row>
    <row r="5746" spans="27:31" x14ac:dyDescent="0.25">
      <c r="AA5746" s="160"/>
      <c r="AB5746" s="162"/>
      <c r="AC5746" s="162"/>
      <c r="AD5746" s="162">
        <f t="shared" si="109"/>
        <v>0</v>
      </c>
      <c r="AE5746" s="160">
        <v>5744</v>
      </c>
    </row>
    <row r="5747" spans="27:31" x14ac:dyDescent="0.25">
      <c r="AA5747" s="160"/>
      <c r="AB5747" s="162"/>
      <c r="AC5747" s="162"/>
      <c r="AD5747" s="162">
        <f t="shared" si="109"/>
        <v>0</v>
      </c>
      <c r="AE5747" s="160">
        <v>5745</v>
      </c>
    </row>
    <row r="5748" spans="27:31" x14ac:dyDescent="0.25">
      <c r="AA5748" s="160"/>
      <c r="AB5748" s="162"/>
      <c r="AC5748" s="162"/>
      <c r="AD5748" s="162">
        <f t="shared" si="109"/>
        <v>0</v>
      </c>
      <c r="AE5748" s="160">
        <v>5746</v>
      </c>
    </row>
    <row r="5749" spans="27:31" x14ac:dyDescent="0.25">
      <c r="AA5749" s="160"/>
      <c r="AB5749" s="162"/>
      <c r="AC5749" s="162"/>
      <c r="AD5749" s="162">
        <f t="shared" si="109"/>
        <v>0</v>
      </c>
      <c r="AE5749" s="160">
        <v>5747</v>
      </c>
    </row>
    <row r="5750" spans="27:31" x14ac:dyDescent="0.25">
      <c r="AA5750" s="160"/>
      <c r="AB5750" s="162"/>
      <c r="AC5750" s="162"/>
      <c r="AD5750" s="162">
        <f t="shared" si="109"/>
        <v>0</v>
      </c>
      <c r="AE5750" s="160">
        <v>5748</v>
      </c>
    </row>
    <row r="5751" spans="27:31" x14ac:dyDescent="0.25">
      <c r="AA5751" s="160"/>
      <c r="AB5751" s="162"/>
      <c r="AC5751" s="162"/>
      <c r="AD5751" s="162">
        <f t="shared" si="109"/>
        <v>0</v>
      </c>
      <c r="AE5751" s="160">
        <v>5749</v>
      </c>
    </row>
    <row r="5752" spans="27:31" x14ac:dyDescent="0.25">
      <c r="AA5752" s="160"/>
      <c r="AB5752" s="162"/>
      <c r="AC5752" s="162"/>
      <c r="AD5752" s="162">
        <f t="shared" si="109"/>
        <v>0</v>
      </c>
      <c r="AE5752" s="160">
        <v>5750</v>
      </c>
    </row>
    <row r="5753" spans="27:31" x14ac:dyDescent="0.25">
      <c r="AA5753" s="160"/>
      <c r="AB5753" s="162"/>
      <c r="AC5753" s="162"/>
      <c r="AD5753" s="162">
        <f t="shared" si="109"/>
        <v>0</v>
      </c>
      <c r="AE5753" s="160">
        <v>5751</v>
      </c>
    </row>
    <row r="5754" spans="27:31" x14ac:dyDescent="0.25">
      <c r="AA5754" s="160"/>
      <c r="AB5754" s="162"/>
      <c r="AC5754" s="162"/>
      <c r="AD5754" s="162">
        <f t="shared" si="109"/>
        <v>0</v>
      </c>
      <c r="AE5754" s="160">
        <v>5752</v>
      </c>
    </row>
    <row r="5755" spans="27:31" x14ac:dyDescent="0.25">
      <c r="AA5755" s="160"/>
      <c r="AB5755" s="162"/>
      <c r="AC5755" s="162"/>
      <c r="AD5755" s="162">
        <f t="shared" si="109"/>
        <v>0</v>
      </c>
      <c r="AE5755" s="160">
        <v>5753</v>
      </c>
    </row>
    <row r="5756" spans="27:31" x14ac:dyDescent="0.25">
      <c r="AA5756" s="160"/>
      <c r="AB5756" s="162"/>
      <c r="AC5756" s="162"/>
      <c r="AD5756" s="162">
        <f t="shared" si="109"/>
        <v>0</v>
      </c>
      <c r="AE5756" s="160">
        <v>5754</v>
      </c>
    </row>
    <row r="5757" spans="27:31" x14ac:dyDescent="0.25">
      <c r="AA5757" s="160"/>
      <c r="AB5757" s="162"/>
      <c r="AC5757" s="162"/>
      <c r="AD5757" s="162">
        <f t="shared" si="109"/>
        <v>0</v>
      </c>
      <c r="AE5757" s="160">
        <v>5755</v>
      </c>
    </row>
    <row r="5758" spans="27:31" x14ac:dyDescent="0.25">
      <c r="AA5758" s="160"/>
      <c r="AB5758" s="162"/>
      <c r="AC5758" s="162"/>
      <c r="AD5758" s="162">
        <f t="shared" si="109"/>
        <v>0</v>
      </c>
      <c r="AE5758" s="160">
        <v>5756</v>
      </c>
    </row>
    <row r="5759" spans="27:31" x14ac:dyDescent="0.25">
      <c r="AA5759" s="160"/>
      <c r="AB5759" s="162"/>
      <c r="AC5759" s="162"/>
      <c r="AD5759" s="162">
        <f t="shared" si="109"/>
        <v>0</v>
      </c>
      <c r="AE5759" s="160">
        <v>5757</v>
      </c>
    </row>
    <row r="5760" spans="27:31" x14ac:dyDescent="0.25">
      <c r="AA5760" s="160"/>
      <c r="AB5760" s="162"/>
      <c r="AC5760" s="162"/>
      <c r="AD5760" s="162">
        <f t="shared" si="109"/>
        <v>0</v>
      </c>
      <c r="AE5760" s="160">
        <v>5758</v>
      </c>
    </row>
    <row r="5761" spans="27:31" x14ac:dyDescent="0.25">
      <c r="AA5761" s="160"/>
      <c r="AB5761" s="162"/>
      <c r="AC5761" s="162"/>
      <c r="AD5761" s="162">
        <f t="shared" si="109"/>
        <v>0</v>
      </c>
      <c r="AE5761" s="160">
        <v>5759</v>
      </c>
    </row>
    <row r="5762" spans="27:31" x14ac:dyDescent="0.25">
      <c r="AA5762" s="160"/>
      <c r="AB5762" s="162"/>
      <c r="AC5762" s="162"/>
      <c r="AD5762" s="162">
        <f t="shared" si="109"/>
        <v>0</v>
      </c>
      <c r="AE5762" s="160">
        <v>5760</v>
      </c>
    </row>
    <row r="5763" spans="27:31" x14ac:dyDescent="0.25">
      <c r="AA5763" s="160"/>
      <c r="AB5763" s="162"/>
      <c r="AC5763" s="162"/>
      <c r="AD5763" s="162">
        <f t="shared" si="109"/>
        <v>0</v>
      </c>
      <c r="AE5763" s="160">
        <v>5761</v>
      </c>
    </row>
    <row r="5764" spans="27:31" x14ac:dyDescent="0.25">
      <c r="AA5764" s="160"/>
      <c r="AB5764" s="162"/>
      <c r="AC5764" s="162"/>
      <c r="AD5764" s="162">
        <f t="shared" ref="AD5764:AD5827" si="110">AB5764+AC5764</f>
        <v>0</v>
      </c>
      <c r="AE5764" s="160">
        <v>5762</v>
      </c>
    </row>
    <row r="5765" spans="27:31" x14ac:dyDescent="0.25">
      <c r="AA5765" s="160"/>
      <c r="AB5765" s="162"/>
      <c r="AC5765" s="162"/>
      <c r="AD5765" s="162">
        <f t="shared" si="110"/>
        <v>0</v>
      </c>
      <c r="AE5765" s="160">
        <v>5763</v>
      </c>
    </row>
    <row r="5766" spans="27:31" x14ac:dyDescent="0.25">
      <c r="AA5766" s="160"/>
      <c r="AB5766" s="162"/>
      <c r="AC5766" s="162"/>
      <c r="AD5766" s="162">
        <f t="shared" si="110"/>
        <v>0</v>
      </c>
      <c r="AE5766" s="160">
        <v>5764</v>
      </c>
    </row>
    <row r="5767" spans="27:31" x14ac:dyDescent="0.25">
      <c r="AA5767" s="160"/>
      <c r="AB5767" s="162"/>
      <c r="AC5767" s="162"/>
      <c r="AD5767" s="162">
        <f t="shared" si="110"/>
        <v>0</v>
      </c>
      <c r="AE5767" s="160">
        <v>5765</v>
      </c>
    </row>
    <row r="5768" spans="27:31" x14ac:dyDescent="0.25">
      <c r="AA5768" s="160"/>
      <c r="AB5768" s="162"/>
      <c r="AC5768" s="162"/>
      <c r="AD5768" s="162">
        <f t="shared" si="110"/>
        <v>0</v>
      </c>
      <c r="AE5768" s="160">
        <v>5766</v>
      </c>
    </row>
    <row r="5769" spans="27:31" x14ac:dyDescent="0.25">
      <c r="AA5769" s="160"/>
      <c r="AB5769" s="162"/>
      <c r="AC5769" s="162"/>
      <c r="AD5769" s="162">
        <f t="shared" si="110"/>
        <v>0</v>
      </c>
      <c r="AE5769" s="160">
        <v>5767</v>
      </c>
    </row>
    <row r="5770" spans="27:31" x14ac:dyDescent="0.25">
      <c r="AA5770" s="160"/>
      <c r="AB5770" s="162"/>
      <c r="AC5770" s="162"/>
      <c r="AD5770" s="162">
        <f t="shared" si="110"/>
        <v>0</v>
      </c>
      <c r="AE5770" s="160">
        <v>5768</v>
      </c>
    </row>
    <row r="5771" spans="27:31" x14ac:dyDescent="0.25">
      <c r="AA5771" s="160"/>
      <c r="AB5771" s="162"/>
      <c r="AC5771" s="162"/>
      <c r="AD5771" s="162">
        <f t="shared" si="110"/>
        <v>0</v>
      </c>
      <c r="AE5771" s="160">
        <v>5769</v>
      </c>
    </row>
    <row r="5772" spans="27:31" x14ac:dyDescent="0.25">
      <c r="AA5772" s="160"/>
      <c r="AB5772" s="162"/>
      <c r="AC5772" s="162"/>
      <c r="AD5772" s="162">
        <f t="shared" si="110"/>
        <v>0</v>
      </c>
      <c r="AE5772" s="160">
        <v>5770</v>
      </c>
    </row>
    <row r="5773" spans="27:31" x14ac:dyDescent="0.25">
      <c r="AA5773" s="160"/>
      <c r="AB5773" s="162"/>
      <c r="AC5773" s="162"/>
      <c r="AD5773" s="162">
        <f t="shared" si="110"/>
        <v>0</v>
      </c>
      <c r="AE5773" s="160">
        <v>5771</v>
      </c>
    </row>
    <row r="5774" spans="27:31" x14ac:dyDescent="0.25">
      <c r="AA5774" s="160"/>
      <c r="AB5774" s="162"/>
      <c r="AC5774" s="162"/>
      <c r="AD5774" s="162">
        <f t="shared" si="110"/>
        <v>0</v>
      </c>
      <c r="AE5774" s="160">
        <v>5772</v>
      </c>
    </row>
    <row r="5775" spans="27:31" x14ac:dyDescent="0.25">
      <c r="AA5775" s="160"/>
      <c r="AB5775" s="162"/>
      <c r="AC5775" s="162"/>
      <c r="AD5775" s="162">
        <f t="shared" si="110"/>
        <v>0</v>
      </c>
      <c r="AE5775" s="160">
        <v>5773</v>
      </c>
    </row>
    <row r="5776" spans="27:31" x14ac:dyDescent="0.25">
      <c r="AA5776" s="160"/>
      <c r="AB5776" s="162"/>
      <c r="AC5776" s="162"/>
      <c r="AD5776" s="162">
        <f t="shared" si="110"/>
        <v>0</v>
      </c>
      <c r="AE5776" s="160">
        <v>5774</v>
      </c>
    </row>
    <row r="5777" spans="27:31" x14ac:dyDescent="0.25">
      <c r="AA5777" s="160"/>
      <c r="AB5777" s="162"/>
      <c r="AC5777" s="162"/>
      <c r="AD5777" s="162">
        <f t="shared" si="110"/>
        <v>0</v>
      </c>
      <c r="AE5777" s="160">
        <v>5775</v>
      </c>
    </row>
    <row r="5778" spans="27:31" x14ac:dyDescent="0.25">
      <c r="AA5778" s="160"/>
      <c r="AB5778" s="162"/>
      <c r="AC5778" s="162"/>
      <c r="AD5778" s="162">
        <f t="shared" si="110"/>
        <v>0</v>
      </c>
      <c r="AE5778" s="160">
        <v>5776</v>
      </c>
    </row>
    <row r="5779" spans="27:31" x14ac:dyDescent="0.25">
      <c r="AA5779" s="160"/>
      <c r="AB5779" s="162"/>
      <c r="AC5779" s="162"/>
      <c r="AD5779" s="162">
        <f t="shared" si="110"/>
        <v>0</v>
      </c>
      <c r="AE5779" s="160">
        <v>5777</v>
      </c>
    </row>
    <row r="5780" spans="27:31" x14ac:dyDescent="0.25">
      <c r="AA5780" s="160"/>
      <c r="AB5780" s="162"/>
      <c r="AC5780" s="162"/>
      <c r="AD5780" s="162">
        <f t="shared" si="110"/>
        <v>0</v>
      </c>
      <c r="AE5780" s="160">
        <v>5778</v>
      </c>
    </row>
    <row r="5781" spans="27:31" x14ac:dyDescent="0.25">
      <c r="AA5781" s="160"/>
      <c r="AB5781" s="162"/>
      <c r="AC5781" s="162"/>
      <c r="AD5781" s="162">
        <f t="shared" si="110"/>
        <v>0</v>
      </c>
      <c r="AE5781" s="160">
        <v>5779</v>
      </c>
    </row>
    <row r="5782" spans="27:31" x14ac:dyDescent="0.25">
      <c r="AA5782" s="160"/>
      <c r="AB5782" s="162"/>
      <c r="AC5782" s="162"/>
      <c r="AD5782" s="162">
        <f t="shared" si="110"/>
        <v>0</v>
      </c>
      <c r="AE5782" s="160">
        <v>5780</v>
      </c>
    </row>
    <row r="5783" spans="27:31" x14ac:dyDescent="0.25">
      <c r="AA5783" s="160"/>
      <c r="AB5783" s="162"/>
      <c r="AC5783" s="162"/>
      <c r="AD5783" s="162">
        <f t="shared" si="110"/>
        <v>0</v>
      </c>
      <c r="AE5783" s="160">
        <v>5781</v>
      </c>
    </row>
    <row r="5784" spans="27:31" x14ac:dyDescent="0.25">
      <c r="AA5784" s="160"/>
      <c r="AB5784" s="162"/>
      <c r="AC5784" s="162"/>
      <c r="AD5784" s="162">
        <f t="shared" si="110"/>
        <v>0</v>
      </c>
      <c r="AE5784" s="160">
        <v>5782</v>
      </c>
    </row>
    <row r="5785" spans="27:31" x14ac:dyDescent="0.25">
      <c r="AA5785" s="160"/>
      <c r="AB5785" s="162"/>
      <c r="AC5785" s="162"/>
      <c r="AD5785" s="162">
        <f t="shared" si="110"/>
        <v>0</v>
      </c>
      <c r="AE5785" s="160">
        <v>5783</v>
      </c>
    </row>
    <row r="5786" spans="27:31" x14ac:dyDescent="0.25">
      <c r="AA5786" s="160"/>
      <c r="AB5786" s="162"/>
      <c r="AC5786" s="162"/>
      <c r="AD5786" s="162">
        <f t="shared" si="110"/>
        <v>0</v>
      </c>
      <c r="AE5786" s="160">
        <v>5784</v>
      </c>
    </row>
    <row r="5787" spans="27:31" x14ac:dyDescent="0.25">
      <c r="AA5787" s="160"/>
      <c r="AB5787" s="162"/>
      <c r="AC5787" s="162"/>
      <c r="AD5787" s="162">
        <f t="shared" si="110"/>
        <v>0</v>
      </c>
      <c r="AE5787" s="160">
        <v>5785</v>
      </c>
    </row>
    <row r="5788" spans="27:31" x14ac:dyDescent="0.25">
      <c r="AA5788" s="160"/>
      <c r="AB5788" s="162"/>
      <c r="AC5788" s="162"/>
      <c r="AD5788" s="162">
        <f t="shared" si="110"/>
        <v>0</v>
      </c>
      <c r="AE5788" s="160">
        <v>5786</v>
      </c>
    </row>
    <row r="5789" spans="27:31" x14ac:dyDescent="0.25">
      <c r="AA5789" s="160"/>
      <c r="AB5789" s="162"/>
      <c r="AC5789" s="162"/>
      <c r="AD5789" s="162">
        <f t="shared" si="110"/>
        <v>0</v>
      </c>
      <c r="AE5789" s="160">
        <v>5787</v>
      </c>
    </row>
    <row r="5790" spans="27:31" x14ac:dyDescent="0.25">
      <c r="AA5790" s="160"/>
      <c r="AB5790" s="162"/>
      <c r="AC5790" s="162"/>
      <c r="AD5790" s="162">
        <f t="shared" si="110"/>
        <v>0</v>
      </c>
      <c r="AE5790" s="160">
        <v>5788</v>
      </c>
    </row>
    <row r="5791" spans="27:31" x14ac:dyDescent="0.25">
      <c r="AA5791" s="160"/>
      <c r="AB5791" s="162"/>
      <c r="AC5791" s="162"/>
      <c r="AD5791" s="162">
        <f t="shared" si="110"/>
        <v>0</v>
      </c>
      <c r="AE5791" s="160">
        <v>5789</v>
      </c>
    </row>
    <row r="5792" spans="27:31" x14ac:dyDescent="0.25">
      <c r="AA5792" s="160"/>
      <c r="AB5792" s="162"/>
      <c r="AC5792" s="162"/>
      <c r="AD5792" s="162">
        <f t="shared" si="110"/>
        <v>0</v>
      </c>
      <c r="AE5792" s="160">
        <v>5790</v>
      </c>
    </row>
    <row r="5793" spans="27:31" x14ac:dyDescent="0.25">
      <c r="AA5793" s="160"/>
      <c r="AB5793" s="162"/>
      <c r="AC5793" s="162"/>
      <c r="AD5793" s="162">
        <f t="shared" si="110"/>
        <v>0</v>
      </c>
      <c r="AE5793" s="160">
        <v>5791</v>
      </c>
    </row>
    <row r="5794" spans="27:31" x14ac:dyDescent="0.25">
      <c r="AA5794" s="160"/>
      <c r="AB5794" s="162"/>
      <c r="AC5794" s="162"/>
      <c r="AD5794" s="162">
        <f t="shared" si="110"/>
        <v>0</v>
      </c>
      <c r="AE5794" s="160">
        <v>5792</v>
      </c>
    </row>
    <row r="5795" spans="27:31" x14ac:dyDescent="0.25">
      <c r="AA5795" s="160"/>
      <c r="AB5795" s="162"/>
      <c r="AC5795" s="162"/>
      <c r="AD5795" s="162">
        <f t="shared" si="110"/>
        <v>0</v>
      </c>
      <c r="AE5795" s="160">
        <v>5793</v>
      </c>
    </row>
    <row r="5796" spans="27:31" x14ac:dyDescent="0.25">
      <c r="AA5796" s="160"/>
      <c r="AB5796" s="162"/>
      <c r="AC5796" s="162"/>
      <c r="AD5796" s="162">
        <f t="shared" si="110"/>
        <v>0</v>
      </c>
      <c r="AE5796" s="160">
        <v>5794</v>
      </c>
    </row>
    <row r="5797" spans="27:31" x14ac:dyDescent="0.25">
      <c r="AA5797" s="160"/>
      <c r="AB5797" s="162"/>
      <c r="AC5797" s="162"/>
      <c r="AD5797" s="162">
        <f t="shared" si="110"/>
        <v>0</v>
      </c>
      <c r="AE5797" s="160">
        <v>5795</v>
      </c>
    </row>
    <row r="5798" spans="27:31" x14ac:dyDescent="0.25">
      <c r="AA5798" s="160"/>
      <c r="AB5798" s="162"/>
      <c r="AC5798" s="162"/>
      <c r="AD5798" s="162">
        <f t="shared" si="110"/>
        <v>0</v>
      </c>
      <c r="AE5798" s="160">
        <v>5796</v>
      </c>
    </row>
    <row r="5799" spans="27:31" x14ac:dyDescent="0.25">
      <c r="AA5799" s="160"/>
      <c r="AB5799" s="162"/>
      <c r="AC5799" s="162"/>
      <c r="AD5799" s="162">
        <f t="shared" si="110"/>
        <v>0</v>
      </c>
      <c r="AE5799" s="160">
        <v>5797</v>
      </c>
    </row>
    <row r="5800" spans="27:31" x14ac:dyDescent="0.25">
      <c r="AA5800" s="160"/>
      <c r="AB5800" s="162"/>
      <c r="AC5800" s="162"/>
      <c r="AD5800" s="162">
        <f t="shared" si="110"/>
        <v>0</v>
      </c>
      <c r="AE5800" s="160">
        <v>5798</v>
      </c>
    </row>
    <row r="5801" spans="27:31" x14ac:dyDescent="0.25">
      <c r="AA5801" s="160"/>
      <c r="AB5801" s="162"/>
      <c r="AC5801" s="162"/>
      <c r="AD5801" s="162">
        <f t="shared" si="110"/>
        <v>0</v>
      </c>
      <c r="AE5801" s="160">
        <v>5799</v>
      </c>
    </row>
    <row r="5802" spans="27:31" x14ac:dyDescent="0.25">
      <c r="AA5802" s="160"/>
      <c r="AB5802" s="162"/>
      <c r="AC5802" s="162"/>
      <c r="AD5802" s="162">
        <f t="shared" si="110"/>
        <v>0</v>
      </c>
      <c r="AE5802" s="160">
        <v>5800</v>
      </c>
    </row>
    <row r="5803" spans="27:31" x14ac:dyDescent="0.25">
      <c r="AA5803" s="160"/>
      <c r="AB5803" s="162"/>
      <c r="AC5803" s="162"/>
      <c r="AD5803" s="162">
        <f t="shared" si="110"/>
        <v>0</v>
      </c>
      <c r="AE5803" s="160">
        <v>5801</v>
      </c>
    </row>
    <row r="5804" spans="27:31" x14ac:dyDescent="0.25">
      <c r="AA5804" s="160"/>
      <c r="AB5804" s="162"/>
      <c r="AC5804" s="162"/>
      <c r="AD5804" s="162">
        <f t="shared" si="110"/>
        <v>0</v>
      </c>
      <c r="AE5804" s="160">
        <v>5802</v>
      </c>
    </row>
    <row r="5805" spans="27:31" x14ac:dyDescent="0.25">
      <c r="AA5805" s="160"/>
      <c r="AB5805" s="162"/>
      <c r="AC5805" s="162"/>
      <c r="AD5805" s="162">
        <f t="shared" si="110"/>
        <v>0</v>
      </c>
      <c r="AE5805" s="160">
        <v>5803</v>
      </c>
    </row>
    <row r="5806" spans="27:31" x14ac:dyDescent="0.25">
      <c r="AA5806" s="160"/>
      <c r="AB5806" s="162"/>
      <c r="AC5806" s="162"/>
      <c r="AD5806" s="162">
        <f t="shared" si="110"/>
        <v>0</v>
      </c>
      <c r="AE5806" s="160">
        <v>5804</v>
      </c>
    </row>
    <row r="5807" spans="27:31" x14ac:dyDescent="0.25">
      <c r="AA5807" s="160"/>
      <c r="AB5807" s="162"/>
      <c r="AC5807" s="162"/>
      <c r="AD5807" s="162">
        <f t="shared" si="110"/>
        <v>0</v>
      </c>
      <c r="AE5807" s="160">
        <v>5805</v>
      </c>
    </row>
    <row r="5808" spans="27:31" x14ac:dyDescent="0.25">
      <c r="AA5808" s="160"/>
      <c r="AB5808" s="162"/>
      <c r="AC5808" s="162"/>
      <c r="AD5808" s="162">
        <f t="shared" si="110"/>
        <v>0</v>
      </c>
      <c r="AE5808" s="160">
        <v>5806</v>
      </c>
    </row>
    <row r="5809" spans="27:31" x14ac:dyDescent="0.25">
      <c r="AA5809" s="160"/>
      <c r="AB5809" s="162"/>
      <c r="AC5809" s="162"/>
      <c r="AD5809" s="162">
        <f t="shared" si="110"/>
        <v>0</v>
      </c>
      <c r="AE5809" s="160">
        <v>5807</v>
      </c>
    </row>
    <row r="5810" spans="27:31" x14ac:dyDescent="0.25">
      <c r="AA5810" s="160"/>
      <c r="AB5810" s="162"/>
      <c r="AC5810" s="162"/>
      <c r="AD5810" s="162">
        <f t="shared" si="110"/>
        <v>0</v>
      </c>
      <c r="AE5810" s="160">
        <v>5808</v>
      </c>
    </row>
    <row r="5811" spans="27:31" x14ac:dyDescent="0.25">
      <c r="AA5811" s="160"/>
      <c r="AB5811" s="162"/>
      <c r="AC5811" s="162"/>
      <c r="AD5811" s="162">
        <f t="shared" si="110"/>
        <v>0</v>
      </c>
      <c r="AE5811" s="160">
        <v>5809</v>
      </c>
    </row>
    <row r="5812" spans="27:31" x14ac:dyDescent="0.25">
      <c r="AA5812" s="160"/>
      <c r="AB5812" s="162"/>
      <c r="AC5812" s="162"/>
      <c r="AD5812" s="162">
        <f t="shared" si="110"/>
        <v>0</v>
      </c>
      <c r="AE5812" s="160">
        <v>5810</v>
      </c>
    </row>
    <row r="5813" spans="27:31" x14ac:dyDescent="0.25">
      <c r="AA5813" s="160"/>
      <c r="AB5813" s="162"/>
      <c r="AC5813" s="162"/>
      <c r="AD5813" s="162">
        <f t="shared" si="110"/>
        <v>0</v>
      </c>
      <c r="AE5813" s="160">
        <v>5811</v>
      </c>
    </row>
    <row r="5814" spans="27:31" x14ac:dyDescent="0.25">
      <c r="AA5814" s="160"/>
      <c r="AB5814" s="162"/>
      <c r="AC5814" s="162"/>
      <c r="AD5814" s="162">
        <f t="shared" si="110"/>
        <v>0</v>
      </c>
      <c r="AE5814" s="160">
        <v>5812</v>
      </c>
    </row>
    <row r="5815" spans="27:31" x14ac:dyDescent="0.25">
      <c r="AA5815" s="160"/>
      <c r="AB5815" s="162"/>
      <c r="AC5815" s="162"/>
      <c r="AD5815" s="162">
        <f t="shared" si="110"/>
        <v>0</v>
      </c>
      <c r="AE5815" s="160">
        <v>5813</v>
      </c>
    </row>
    <row r="5816" spans="27:31" x14ac:dyDescent="0.25">
      <c r="AA5816" s="160"/>
      <c r="AB5816" s="162"/>
      <c r="AC5816" s="162"/>
      <c r="AD5816" s="162">
        <f t="shared" si="110"/>
        <v>0</v>
      </c>
      <c r="AE5816" s="160">
        <v>5814</v>
      </c>
    </row>
    <row r="5817" spans="27:31" x14ac:dyDescent="0.25">
      <c r="AA5817" s="160"/>
      <c r="AB5817" s="162"/>
      <c r="AC5817" s="162"/>
      <c r="AD5817" s="162">
        <f t="shared" si="110"/>
        <v>0</v>
      </c>
      <c r="AE5817" s="160">
        <v>5815</v>
      </c>
    </row>
    <row r="5818" spans="27:31" x14ac:dyDescent="0.25">
      <c r="AA5818" s="160"/>
      <c r="AB5818" s="162"/>
      <c r="AC5818" s="162"/>
      <c r="AD5818" s="162">
        <f t="shared" si="110"/>
        <v>0</v>
      </c>
      <c r="AE5818" s="160">
        <v>5816</v>
      </c>
    </row>
    <row r="5819" spans="27:31" x14ac:dyDescent="0.25">
      <c r="AA5819" s="160"/>
      <c r="AB5819" s="162"/>
      <c r="AC5819" s="162"/>
      <c r="AD5819" s="162">
        <f t="shared" si="110"/>
        <v>0</v>
      </c>
      <c r="AE5819" s="160">
        <v>5817</v>
      </c>
    </row>
    <row r="5820" spans="27:31" x14ac:dyDescent="0.25">
      <c r="AA5820" s="160"/>
      <c r="AB5820" s="162"/>
      <c r="AC5820" s="162"/>
      <c r="AD5820" s="162">
        <f t="shared" si="110"/>
        <v>0</v>
      </c>
      <c r="AE5820" s="160">
        <v>5818</v>
      </c>
    </row>
    <row r="5821" spans="27:31" x14ac:dyDescent="0.25">
      <c r="AA5821" s="160"/>
      <c r="AB5821" s="162"/>
      <c r="AC5821" s="162"/>
      <c r="AD5821" s="162">
        <f t="shared" si="110"/>
        <v>0</v>
      </c>
      <c r="AE5821" s="160">
        <v>5819</v>
      </c>
    </row>
    <row r="5822" spans="27:31" x14ac:dyDescent="0.25">
      <c r="AA5822" s="160"/>
      <c r="AB5822" s="162"/>
      <c r="AC5822" s="162"/>
      <c r="AD5822" s="162">
        <f t="shared" si="110"/>
        <v>0</v>
      </c>
      <c r="AE5822" s="160">
        <v>5820</v>
      </c>
    </row>
    <row r="5823" spans="27:31" x14ac:dyDescent="0.25">
      <c r="AA5823" s="160"/>
      <c r="AB5823" s="162"/>
      <c r="AC5823" s="162"/>
      <c r="AD5823" s="162">
        <f t="shared" si="110"/>
        <v>0</v>
      </c>
      <c r="AE5823" s="160">
        <v>5821</v>
      </c>
    </row>
    <row r="5824" spans="27:31" x14ac:dyDescent="0.25">
      <c r="AA5824" s="160"/>
      <c r="AB5824" s="162"/>
      <c r="AC5824" s="162"/>
      <c r="AD5824" s="162">
        <f t="shared" si="110"/>
        <v>0</v>
      </c>
      <c r="AE5824" s="160">
        <v>5822</v>
      </c>
    </row>
    <row r="5825" spans="27:31" x14ac:dyDescent="0.25">
      <c r="AA5825" s="160"/>
      <c r="AB5825" s="162"/>
      <c r="AC5825" s="162"/>
      <c r="AD5825" s="162">
        <f t="shared" si="110"/>
        <v>0</v>
      </c>
      <c r="AE5825" s="160">
        <v>5823</v>
      </c>
    </row>
    <row r="5826" spans="27:31" x14ac:dyDescent="0.25">
      <c r="AA5826" s="160"/>
      <c r="AB5826" s="162"/>
      <c r="AC5826" s="162"/>
      <c r="AD5826" s="162">
        <f t="shared" si="110"/>
        <v>0</v>
      </c>
      <c r="AE5826" s="160">
        <v>5824</v>
      </c>
    </row>
    <row r="5827" spans="27:31" x14ac:dyDescent="0.25">
      <c r="AA5827" s="160"/>
      <c r="AB5827" s="162"/>
      <c r="AC5827" s="162"/>
      <c r="AD5827" s="162">
        <f t="shared" si="110"/>
        <v>0</v>
      </c>
      <c r="AE5827" s="160">
        <v>5825</v>
      </c>
    </row>
    <row r="5828" spans="27:31" x14ac:dyDescent="0.25">
      <c r="AA5828" s="160"/>
      <c r="AB5828" s="162"/>
      <c r="AC5828" s="162"/>
      <c r="AD5828" s="162">
        <f t="shared" ref="AD5828:AD5891" si="111">AB5828+AC5828</f>
        <v>0</v>
      </c>
      <c r="AE5828" s="160">
        <v>5826</v>
      </c>
    </row>
    <row r="5829" spans="27:31" x14ac:dyDescent="0.25">
      <c r="AA5829" s="160"/>
      <c r="AB5829" s="162"/>
      <c r="AC5829" s="162"/>
      <c r="AD5829" s="162">
        <f t="shared" si="111"/>
        <v>0</v>
      </c>
      <c r="AE5829" s="160">
        <v>5827</v>
      </c>
    </row>
    <row r="5830" spans="27:31" x14ac:dyDescent="0.25">
      <c r="AA5830" s="160"/>
      <c r="AB5830" s="162"/>
      <c r="AC5830" s="162"/>
      <c r="AD5830" s="162">
        <f t="shared" si="111"/>
        <v>0</v>
      </c>
      <c r="AE5830" s="160">
        <v>5828</v>
      </c>
    </row>
    <row r="5831" spans="27:31" x14ac:dyDescent="0.25">
      <c r="AA5831" s="160"/>
      <c r="AB5831" s="162"/>
      <c r="AC5831" s="162"/>
      <c r="AD5831" s="162">
        <f t="shared" si="111"/>
        <v>0</v>
      </c>
      <c r="AE5831" s="160">
        <v>5829</v>
      </c>
    </row>
    <row r="5832" spans="27:31" x14ac:dyDescent="0.25">
      <c r="AA5832" s="160"/>
      <c r="AB5832" s="162"/>
      <c r="AC5832" s="162"/>
      <c r="AD5832" s="162">
        <f t="shared" si="111"/>
        <v>0</v>
      </c>
      <c r="AE5832" s="160">
        <v>5830</v>
      </c>
    </row>
    <row r="5833" spans="27:31" x14ac:dyDescent="0.25">
      <c r="AA5833" s="160"/>
      <c r="AB5833" s="162"/>
      <c r="AC5833" s="162"/>
      <c r="AD5833" s="162">
        <f t="shared" si="111"/>
        <v>0</v>
      </c>
      <c r="AE5833" s="160">
        <v>5831</v>
      </c>
    </row>
    <row r="5834" spans="27:31" x14ac:dyDescent="0.25">
      <c r="AA5834" s="160"/>
      <c r="AB5834" s="162"/>
      <c r="AC5834" s="162"/>
      <c r="AD5834" s="162">
        <f t="shared" si="111"/>
        <v>0</v>
      </c>
      <c r="AE5834" s="160">
        <v>5832</v>
      </c>
    </row>
    <row r="5835" spans="27:31" x14ac:dyDescent="0.25">
      <c r="AA5835" s="160"/>
      <c r="AB5835" s="162"/>
      <c r="AC5835" s="162"/>
      <c r="AD5835" s="162">
        <f t="shared" si="111"/>
        <v>0</v>
      </c>
      <c r="AE5835" s="160">
        <v>5833</v>
      </c>
    </row>
    <row r="5836" spans="27:31" x14ac:dyDescent="0.25">
      <c r="AA5836" s="160"/>
      <c r="AB5836" s="162"/>
      <c r="AC5836" s="162"/>
      <c r="AD5836" s="162">
        <f t="shared" si="111"/>
        <v>0</v>
      </c>
      <c r="AE5836" s="160">
        <v>5834</v>
      </c>
    </row>
    <row r="5837" spans="27:31" x14ac:dyDescent="0.25">
      <c r="AA5837" s="160"/>
      <c r="AB5837" s="162"/>
      <c r="AC5837" s="162"/>
      <c r="AD5837" s="162">
        <f t="shared" si="111"/>
        <v>0</v>
      </c>
      <c r="AE5837" s="160">
        <v>5835</v>
      </c>
    </row>
    <row r="5838" spans="27:31" x14ac:dyDescent="0.25">
      <c r="AA5838" s="160"/>
      <c r="AB5838" s="162"/>
      <c r="AC5838" s="162"/>
      <c r="AD5838" s="162">
        <f t="shared" si="111"/>
        <v>0</v>
      </c>
      <c r="AE5838" s="160">
        <v>5836</v>
      </c>
    </row>
    <row r="5839" spans="27:31" x14ac:dyDescent="0.25">
      <c r="AA5839" s="160"/>
      <c r="AB5839" s="162"/>
      <c r="AC5839" s="162"/>
      <c r="AD5839" s="162">
        <f t="shared" si="111"/>
        <v>0</v>
      </c>
      <c r="AE5839" s="160">
        <v>5837</v>
      </c>
    </row>
    <row r="5840" spans="27:31" x14ac:dyDescent="0.25">
      <c r="AA5840" s="160"/>
      <c r="AB5840" s="162"/>
      <c r="AC5840" s="162"/>
      <c r="AD5840" s="162">
        <f t="shared" si="111"/>
        <v>0</v>
      </c>
      <c r="AE5840" s="160">
        <v>5838</v>
      </c>
    </row>
    <row r="5841" spans="27:31" x14ac:dyDescent="0.25">
      <c r="AA5841" s="160"/>
      <c r="AB5841" s="162"/>
      <c r="AC5841" s="162"/>
      <c r="AD5841" s="162">
        <f t="shared" si="111"/>
        <v>0</v>
      </c>
      <c r="AE5841" s="160">
        <v>5839</v>
      </c>
    </row>
    <row r="5842" spans="27:31" x14ac:dyDescent="0.25">
      <c r="AA5842" s="160"/>
      <c r="AB5842" s="162"/>
      <c r="AC5842" s="162"/>
      <c r="AD5842" s="162">
        <f t="shared" si="111"/>
        <v>0</v>
      </c>
      <c r="AE5842" s="160">
        <v>5840</v>
      </c>
    </row>
    <row r="5843" spans="27:31" x14ac:dyDescent="0.25">
      <c r="AA5843" s="160"/>
      <c r="AB5843" s="162"/>
      <c r="AC5843" s="162"/>
      <c r="AD5843" s="162">
        <f t="shared" si="111"/>
        <v>0</v>
      </c>
      <c r="AE5843" s="160">
        <v>5841</v>
      </c>
    </row>
    <row r="5844" spans="27:31" x14ac:dyDescent="0.25">
      <c r="AA5844" s="160"/>
      <c r="AB5844" s="162"/>
      <c r="AC5844" s="162"/>
      <c r="AD5844" s="162">
        <f t="shared" si="111"/>
        <v>0</v>
      </c>
      <c r="AE5844" s="160">
        <v>5842</v>
      </c>
    </row>
    <row r="5845" spans="27:31" x14ac:dyDescent="0.25">
      <c r="AA5845" s="160"/>
      <c r="AB5845" s="162"/>
      <c r="AC5845" s="162"/>
      <c r="AD5845" s="162">
        <f t="shared" si="111"/>
        <v>0</v>
      </c>
      <c r="AE5845" s="160">
        <v>5843</v>
      </c>
    </row>
    <row r="5846" spans="27:31" x14ac:dyDescent="0.25">
      <c r="AA5846" s="160"/>
      <c r="AB5846" s="162"/>
      <c r="AC5846" s="162"/>
      <c r="AD5846" s="162">
        <f t="shared" si="111"/>
        <v>0</v>
      </c>
      <c r="AE5846" s="160">
        <v>5844</v>
      </c>
    </row>
    <row r="5847" spans="27:31" x14ac:dyDescent="0.25">
      <c r="AA5847" s="160"/>
      <c r="AB5847" s="162"/>
      <c r="AC5847" s="162"/>
      <c r="AD5847" s="162">
        <f t="shared" si="111"/>
        <v>0</v>
      </c>
      <c r="AE5847" s="160">
        <v>5845</v>
      </c>
    </row>
    <row r="5848" spans="27:31" x14ac:dyDescent="0.25">
      <c r="AA5848" s="160"/>
      <c r="AB5848" s="162"/>
      <c r="AC5848" s="162"/>
      <c r="AD5848" s="162">
        <f t="shared" si="111"/>
        <v>0</v>
      </c>
      <c r="AE5848" s="160">
        <v>5846</v>
      </c>
    </row>
    <row r="5849" spans="27:31" x14ac:dyDescent="0.25">
      <c r="AA5849" s="160"/>
      <c r="AB5849" s="162"/>
      <c r="AC5849" s="162"/>
      <c r="AD5849" s="162">
        <f t="shared" si="111"/>
        <v>0</v>
      </c>
      <c r="AE5849" s="160">
        <v>5847</v>
      </c>
    </row>
    <row r="5850" spans="27:31" x14ac:dyDescent="0.25">
      <c r="AA5850" s="160"/>
      <c r="AB5850" s="162"/>
      <c r="AC5850" s="162"/>
      <c r="AD5850" s="162">
        <f t="shared" si="111"/>
        <v>0</v>
      </c>
      <c r="AE5850" s="160">
        <v>5848</v>
      </c>
    </row>
    <row r="5851" spans="27:31" x14ac:dyDescent="0.25">
      <c r="AA5851" s="160"/>
      <c r="AB5851" s="162"/>
      <c r="AC5851" s="162"/>
      <c r="AD5851" s="162">
        <f t="shared" si="111"/>
        <v>0</v>
      </c>
      <c r="AE5851" s="160">
        <v>5849</v>
      </c>
    </row>
    <row r="5852" spans="27:31" x14ac:dyDescent="0.25">
      <c r="AA5852" s="160"/>
      <c r="AB5852" s="162"/>
      <c r="AC5852" s="162"/>
      <c r="AD5852" s="162">
        <f t="shared" si="111"/>
        <v>0</v>
      </c>
      <c r="AE5852" s="160">
        <v>5850</v>
      </c>
    </row>
    <row r="5853" spans="27:31" x14ac:dyDescent="0.25">
      <c r="AA5853" s="160"/>
      <c r="AB5853" s="162"/>
      <c r="AC5853" s="162"/>
      <c r="AD5853" s="162">
        <f t="shared" si="111"/>
        <v>0</v>
      </c>
      <c r="AE5853" s="160">
        <v>5851</v>
      </c>
    </row>
    <row r="5854" spans="27:31" x14ac:dyDescent="0.25">
      <c r="AA5854" s="160"/>
      <c r="AB5854" s="162"/>
      <c r="AC5854" s="162"/>
      <c r="AD5854" s="162">
        <f t="shared" si="111"/>
        <v>0</v>
      </c>
      <c r="AE5854" s="160">
        <v>5852</v>
      </c>
    </row>
    <row r="5855" spans="27:31" x14ac:dyDescent="0.25">
      <c r="AA5855" s="160"/>
      <c r="AB5855" s="162"/>
      <c r="AC5855" s="162"/>
      <c r="AD5855" s="162">
        <f t="shared" si="111"/>
        <v>0</v>
      </c>
      <c r="AE5855" s="160">
        <v>5853</v>
      </c>
    </row>
    <row r="5856" spans="27:31" x14ac:dyDescent="0.25">
      <c r="AA5856" s="160"/>
      <c r="AB5856" s="162"/>
      <c r="AC5856" s="162"/>
      <c r="AD5856" s="162">
        <f t="shared" si="111"/>
        <v>0</v>
      </c>
      <c r="AE5856" s="160">
        <v>5854</v>
      </c>
    </row>
    <row r="5857" spans="27:31" x14ac:dyDescent="0.25">
      <c r="AA5857" s="160"/>
      <c r="AB5857" s="162"/>
      <c r="AC5857" s="162"/>
      <c r="AD5857" s="162">
        <f t="shared" si="111"/>
        <v>0</v>
      </c>
      <c r="AE5857" s="160">
        <v>5855</v>
      </c>
    </row>
    <row r="5858" spans="27:31" x14ac:dyDescent="0.25">
      <c r="AA5858" s="160"/>
      <c r="AB5858" s="162"/>
      <c r="AC5858" s="162"/>
      <c r="AD5858" s="162">
        <f t="shared" si="111"/>
        <v>0</v>
      </c>
      <c r="AE5858" s="160">
        <v>5856</v>
      </c>
    </row>
    <row r="5859" spans="27:31" x14ac:dyDescent="0.25">
      <c r="AA5859" s="160"/>
      <c r="AB5859" s="162"/>
      <c r="AC5859" s="162"/>
      <c r="AD5859" s="162">
        <f t="shared" si="111"/>
        <v>0</v>
      </c>
      <c r="AE5859" s="160">
        <v>5857</v>
      </c>
    </row>
    <row r="5860" spans="27:31" x14ac:dyDescent="0.25">
      <c r="AA5860" s="160"/>
      <c r="AB5860" s="162"/>
      <c r="AC5860" s="162"/>
      <c r="AD5860" s="162">
        <f t="shared" si="111"/>
        <v>0</v>
      </c>
      <c r="AE5860" s="160">
        <v>5858</v>
      </c>
    </row>
    <row r="5861" spans="27:31" x14ac:dyDescent="0.25">
      <c r="AA5861" s="160"/>
      <c r="AB5861" s="162"/>
      <c r="AC5861" s="162"/>
      <c r="AD5861" s="162">
        <f t="shared" si="111"/>
        <v>0</v>
      </c>
      <c r="AE5861" s="160">
        <v>5859</v>
      </c>
    </row>
    <row r="5862" spans="27:31" x14ac:dyDescent="0.25">
      <c r="AA5862" s="160"/>
      <c r="AB5862" s="162"/>
      <c r="AC5862" s="162"/>
      <c r="AD5862" s="162">
        <f t="shared" si="111"/>
        <v>0</v>
      </c>
      <c r="AE5862" s="160">
        <v>5860</v>
      </c>
    </row>
    <row r="5863" spans="27:31" x14ac:dyDescent="0.25">
      <c r="AA5863" s="160"/>
      <c r="AB5863" s="162"/>
      <c r="AC5863" s="162"/>
      <c r="AD5863" s="162">
        <f t="shared" si="111"/>
        <v>0</v>
      </c>
      <c r="AE5863" s="160">
        <v>5861</v>
      </c>
    </row>
    <row r="5864" spans="27:31" x14ac:dyDescent="0.25">
      <c r="AA5864" s="160"/>
      <c r="AB5864" s="162"/>
      <c r="AC5864" s="162"/>
      <c r="AD5864" s="162">
        <f t="shared" si="111"/>
        <v>0</v>
      </c>
      <c r="AE5864" s="160">
        <v>5862</v>
      </c>
    </row>
    <row r="5865" spans="27:31" x14ac:dyDescent="0.25">
      <c r="AA5865" s="160"/>
      <c r="AB5865" s="162"/>
      <c r="AC5865" s="162"/>
      <c r="AD5865" s="162">
        <f t="shared" si="111"/>
        <v>0</v>
      </c>
      <c r="AE5865" s="160">
        <v>5863</v>
      </c>
    </row>
    <row r="5866" spans="27:31" x14ac:dyDescent="0.25">
      <c r="AA5866" s="160"/>
      <c r="AB5866" s="162"/>
      <c r="AC5866" s="162"/>
      <c r="AD5866" s="162">
        <f t="shared" si="111"/>
        <v>0</v>
      </c>
      <c r="AE5866" s="160">
        <v>5864</v>
      </c>
    </row>
    <row r="5867" spans="27:31" x14ac:dyDescent="0.25">
      <c r="AA5867" s="160"/>
      <c r="AB5867" s="162"/>
      <c r="AC5867" s="162"/>
      <c r="AD5867" s="162">
        <f t="shared" si="111"/>
        <v>0</v>
      </c>
      <c r="AE5867" s="160">
        <v>5865</v>
      </c>
    </row>
    <row r="5868" spans="27:31" x14ac:dyDescent="0.25">
      <c r="AA5868" s="160"/>
      <c r="AB5868" s="162"/>
      <c r="AC5868" s="162"/>
      <c r="AD5868" s="162">
        <f t="shared" si="111"/>
        <v>0</v>
      </c>
      <c r="AE5868" s="160">
        <v>5866</v>
      </c>
    </row>
    <row r="5869" spans="27:31" x14ac:dyDescent="0.25">
      <c r="AA5869" s="160"/>
      <c r="AB5869" s="162"/>
      <c r="AC5869" s="162"/>
      <c r="AD5869" s="162">
        <f t="shared" si="111"/>
        <v>0</v>
      </c>
      <c r="AE5869" s="160">
        <v>5867</v>
      </c>
    </row>
    <row r="5870" spans="27:31" x14ac:dyDescent="0.25">
      <c r="AA5870" s="160"/>
      <c r="AB5870" s="162"/>
      <c r="AC5870" s="162"/>
      <c r="AD5870" s="162">
        <f t="shared" si="111"/>
        <v>0</v>
      </c>
      <c r="AE5870" s="160">
        <v>5868</v>
      </c>
    </row>
    <row r="5871" spans="27:31" x14ac:dyDescent="0.25">
      <c r="AA5871" s="160"/>
      <c r="AB5871" s="162"/>
      <c r="AC5871" s="162"/>
      <c r="AD5871" s="162">
        <f t="shared" si="111"/>
        <v>0</v>
      </c>
      <c r="AE5871" s="160">
        <v>5869</v>
      </c>
    </row>
    <row r="5872" spans="27:31" x14ac:dyDescent="0.25">
      <c r="AA5872" s="160"/>
      <c r="AB5872" s="162"/>
      <c r="AC5872" s="162"/>
      <c r="AD5872" s="162">
        <f t="shared" si="111"/>
        <v>0</v>
      </c>
      <c r="AE5872" s="160">
        <v>5870</v>
      </c>
    </row>
    <row r="5873" spans="27:31" x14ac:dyDescent="0.25">
      <c r="AA5873" s="160"/>
      <c r="AB5873" s="162"/>
      <c r="AC5873" s="162"/>
      <c r="AD5873" s="162">
        <f t="shared" si="111"/>
        <v>0</v>
      </c>
      <c r="AE5873" s="160">
        <v>5871</v>
      </c>
    </row>
    <row r="5874" spans="27:31" x14ac:dyDescent="0.25">
      <c r="AA5874" s="160"/>
      <c r="AB5874" s="162"/>
      <c r="AC5874" s="162"/>
      <c r="AD5874" s="162">
        <f t="shared" si="111"/>
        <v>0</v>
      </c>
      <c r="AE5874" s="160">
        <v>5872</v>
      </c>
    </row>
    <row r="5875" spans="27:31" x14ac:dyDescent="0.25">
      <c r="AA5875" s="160"/>
      <c r="AB5875" s="162"/>
      <c r="AC5875" s="162"/>
      <c r="AD5875" s="162">
        <f t="shared" si="111"/>
        <v>0</v>
      </c>
      <c r="AE5875" s="160">
        <v>5873</v>
      </c>
    </row>
    <row r="5876" spans="27:31" x14ac:dyDescent="0.25">
      <c r="AA5876" s="160"/>
      <c r="AB5876" s="162"/>
      <c r="AC5876" s="162"/>
      <c r="AD5876" s="162">
        <f t="shared" si="111"/>
        <v>0</v>
      </c>
      <c r="AE5876" s="160">
        <v>5874</v>
      </c>
    </row>
    <row r="5877" spans="27:31" x14ac:dyDescent="0.25">
      <c r="AA5877" s="160"/>
      <c r="AB5877" s="162"/>
      <c r="AC5877" s="162"/>
      <c r="AD5877" s="162">
        <f t="shared" si="111"/>
        <v>0</v>
      </c>
      <c r="AE5877" s="160">
        <v>5875</v>
      </c>
    </row>
    <row r="5878" spans="27:31" x14ac:dyDescent="0.25">
      <c r="AA5878" s="160"/>
      <c r="AB5878" s="162"/>
      <c r="AC5878" s="162"/>
      <c r="AD5878" s="162">
        <f t="shared" si="111"/>
        <v>0</v>
      </c>
      <c r="AE5878" s="160">
        <v>5876</v>
      </c>
    </row>
    <row r="5879" spans="27:31" x14ac:dyDescent="0.25">
      <c r="AA5879" s="160"/>
      <c r="AB5879" s="162"/>
      <c r="AC5879" s="162"/>
      <c r="AD5879" s="162">
        <f t="shared" si="111"/>
        <v>0</v>
      </c>
      <c r="AE5879" s="160">
        <v>5877</v>
      </c>
    </row>
    <row r="5880" spans="27:31" x14ac:dyDescent="0.25">
      <c r="AA5880" s="160"/>
      <c r="AB5880" s="162"/>
      <c r="AC5880" s="162"/>
      <c r="AD5880" s="162">
        <f t="shared" si="111"/>
        <v>0</v>
      </c>
      <c r="AE5880" s="160">
        <v>5878</v>
      </c>
    </row>
    <row r="5881" spans="27:31" x14ac:dyDescent="0.25">
      <c r="AA5881" s="160"/>
      <c r="AB5881" s="162"/>
      <c r="AC5881" s="162"/>
      <c r="AD5881" s="162">
        <f t="shared" si="111"/>
        <v>0</v>
      </c>
      <c r="AE5881" s="160">
        <v>5879</v>
      </c>
    </row>
    <row r="5882" spans="27:31" x14ac:dyDescent="0.25">
      <c r="AA5882" s="160"/>
      <c r="AB5882" s="162"/>
      <c r="AC5882" s="162"/>
      <c r="AD5882" s="162">
        <f t="shared" si="111"/>
        <v>0</v>
      </c>
      <c r="AE5882" s="160">
        <v>5880</v>
      </c>
    </row>
    <row r="5883" spans="27:31" x14ac:dyDescent="0.25">
      <c r="AA5883" s="160"/>
      <c r="AB5883" s="162"/>
      <c r="AC5883" s="162"/>
      <c r="AD5883" s="162">
        <f t="shared" si="111"/>
        <v>0</v>
      </c>
      <c r="AE5883" s="160">
        <v>5881</v>
      </c>
    </row>
    <row r="5884" spans="27:31" x14ac:dyDescent="0.25">
      <c r="AA5884" s="160"/>
      <c r="AB5884" s="162"/>
      <c r="AC5884" s="162"/>
      <c r="AD5884" s="162">
        <f t="shared" si="111"/>
        <v>0</v>
      </c>
      <c r="AE5884" s="160">
        <v>5882</v>
      </c>
    </row>
    <row r="5885" spans="27:31" x14ac:dyDescent="0.25">
      <c r="AA5885" s="160"/>
      <c r="AB5885" s="162"/>
      <c r="AC5885" s="162"/>
      <c r="AD5885" s="162">
        <f t="shared" si="111"/>
        <v>0</v>
      </c>
      <c r="AE5885" s="160">
        <v>5883</v>
      </c>
    </row>
    <row r="5886" spans="27:31" x14ac:dyDescent="0.25">
      <c r="AA5886" s="160"/>
      <c r="AB5886" s="162"/>
      <c r="AC5886" s="162"/>
      <c r="AD5886" s="162">
        <f t="shared" si="111"/>
        <v>0</v>
      </c>
      <c r="AE5886" s="160">
        <v>5884</v>
      </c>
    </row>
    <row r="5887" spans="27:31" x14ac:dyDescent="0.25">
      <c r="AA5887" s="160"/>
      <c r="AB5887" s="162"/>
      <c r="AC5887" s="162"/>
      <c r="AD5887" s="162">
        <f t="shared" si="111"/>
        <v>0</v>
      </c>
      <c r="AE5887" s="160">
        <v>5885</v>
      </c>
    </row>
    <row r="5888" spans="27:31" x14ac:dyDescent="0.25">
      <c r="AA5888" s="160"/>
      <c r="AB5888" s="162"/>
      <c r="AC5888" s="162"/>
      <c r="AD5888" s="162">
        <f t="shared" si="111"/>
        <v>0</v>
      </c>
      <c r="AE5888" s="160">
        <v>5886</v>
      </c>
    </row>
    <row r="5889" spans="27:31" x14ac:dyDescent="0.25">
      <c r="AA5889" s="160"/>
      <c r="AB5889" s="162"/>
      <c r="AC5889" s="162"/>
      <c r="AD5889" s="162">
        <f t="shared" si="111"/>
        <v>0</v>
      </c>
      <c r="AE5889" s="160">
        <v>5887</v>
      </c>
    </row>
    <row r="5890" spans="27:31" x14ac:dyDescent="0.25">
      <c r="AA5890" s="160"/>
      <c r="AB5890" s="162"/>
      <c r="AC5890" s="162"/>
      <c r="AD5890" s="162">
        <f t="shared" si="111"/>
        <v>0</v>
      </c>
      <c r="AE5890" s="160">
        <v>5888</v>
      </c>
    </row>
    <row r="5891" spans="27:31" x14ac:dyDescent="0.25">
      <c r="AA5891" s="160"/>
      <c r="AB5891" s="162"/>
      <c r="AC5891" s="162"/>
      <c r="AD5891" s="162">
        <f t="shared" si="111"/>
        <v>0</v>
      </c>
      <c r="AE5891" s="160">
        <v>5889</v>
      </c>
    </row>
    <row r="5892" spans="27:31" x14ac:dyDescent="0.25">
      <c r="AA5892" s="160"/>
      <c r="AB5892" s="162"/>
      <c r="AC5892" s="162"/>
      <c r="AD5892" s="162">
        <f t="shared" ref="AD5892:AD5955" si="112">AB5892+AC5892</f>
        <v>0</v>
      </c>
      <c r="AE5892" s="160">
        <v>5890</v>
      </c>
    </row>
    <row r="5893" spans="27:31" x14ac:dyDescent="0.25">
      <c r="AA5893" s="160"/>
      <c r="AB5893" s="162"/>
      <c r="AC5893" s="162"/>
      <c r="AD5893" s="162">
        <f t="shared" si="112"/>
        <v>0</v>
      </c>
      <c r="AE5893" s="160">
        <v>5891</v>
      </c>
    </row>
    <row r="5894" spans="27:31" x14ac:dyDescent="0.25">
      <c r="AA5894" s="160"/>
      <c r="AB5894" s="162"/>
      <c r="AC5894" s="162"/>
      <c r="AD5894" s="162">
        <f t="shared" si="112"/>
        <v>0</v>
      </c>
      <c r="AE5894" s="160">
        <v>5892</v>
      </c>
    </row>
    <row r="5895" spans="27:31" x14ac:dyDescent="0.25">
      <c r="AA5895" s="160"/>
      <c r="AB5895" s="162"/>
      <c r="AC5895" s="162"/>
      <c r="AD5895" s="162">
        <f t="shared" si="112"/>
        <v>0</v>
      </c>
      <c r="AE5895" s="160">
        <v>5893</v>
      </c>
    </row>
    <row r="5896" spans="27:31" x14ac:dyDescent="0.25">
      <c r="AA5896" s="160"/>
      <c r="AB5896" s="162"/>
      <c r="AC5896" s="162"/>
      <c r="AD5896" s="162">
        <f t="shared" si="112"/>
        <v>0</v>
      </c>
      <c r="AE5896" s="160">
        <v>5894</v>
      </c>
    </row>
    <row r="5897" spans="27:31" x14ac:dyDescent="0.25">
      <c r="AA5897" s="160"/>
      <c r="AB5897" s="162"/>
      <c r="AC5897" s="162"/>
      <c r="AD5897" s="162">
        <f t="shared" si="112"/>
        <v>0</v>
      </c>
      <c r="AE5897" s="160">
        <v>5895</v>
      </c>
    </row>
    <row r="5898" spans="27:31" x14ac:dyDescent="0.25">
      <c r="AA5898" s="160"/>
      <c r="AB5898" s="162"/>
      <c r="AC5898" s="162"/>
      <c r="AD5898" s="162">
        <f t="shared" si="112"/>
        <v>0</v>
      </c>
      <c r="AE5898" s="160">
        <v>5896</v>
      </c>
    </row>
    <row r="5899" spans="27:31" x14ac:dyDescent="0.25">
      <c r="AA5899" s="160"/>
      <c r="AB5899" s="162"/>
      <c r="AC5899" s="162"/>
      <c r="AD5899" s="162">
        <f t="shared" si="112"/>
        <v>0</v>
      </c>
      <c r="AE5899" s="160">
        <v>5897</v>
      </c>
    </row>
    <row r="5900" spans="27:31" x14ac:dyDescent="0.25">
      <c r="AA5900" s="160"/>
      <c r="AB5900" s="162"/>
      <c r="AC5900" s="162"/>
      <c r="AD5900" s="162">
        <f t="shared" si="112"/>
        <v>0</v>
      </c>
      <c r="AE5900" s="160">
        <v>5898</v>
      </c>
    </row>
    <row r="5901" spans="27:31" x14ac:dyDescent="0.25">
      <c r="AA5901" s="160"/>
      <c r="AB5901" s="162"/>
      <c r="AC5901" s="162"/>
      <c r="AD5901" s="162">
        <f t="shared" si="112"/>
        <v>0</v>
      </c>
      <c r="AE5901" s="160">
        <v>5899</v>
      </c>
    </row>
    <row r="5902" spans="27:31" x14ac:dyDescent="0.25">
      <c r="AA5902" s="160"/>
      <c r="AB5902" s="162"/>
      <c r="AC5902" s="162"/>
      <c r="AD5902" s="162">
        <f t="shared" si="112"/>
        <v>0</v>
      </c>
      <c r="AE5902" s="160">
        <v>5900</v>
      </c>
    </row>
    <row r="5903" spans="27:31" x14ac:dyDescent="0.25">
      <c r="AA5903" s="160"/>
      <c r="AB5903" s="162"/>
      <c r="AC5903" s="162"/>
      <c r="AD5903" s="162">
        <f t="shared" si="112"/>
        <v>0</v>
      </c>
      <c r="AE5903" s="160">
        <v>5901</v>
      </c>
    </row>
    <row r="5904" spans="27:31" x14ac:dyDescent="0.25">
      <c r="AA5904" s="160"/>
      <c r="AB5904" s="162"/>
      <c r="AC5904" s="162"/>
      <c r="AD5904" s="162">
        <f t="shared" si="112"/>
        <v>0</v>
      </c>
      <c r="AE5904" s="160">
        <v>5902</v>
      </c>
    </row>
    <row r="5905" spans="27:31" x14ac:dyDescent="0.25">
      <c r="AA5905" s="160"/>
      <c r="AB5905" s="162"/>
      <c r="AC5905" s="162"/>
      <c r="AD5905" s="162">
        <f t="shared" si="112"/>
        <v>0</v>
      </c>
      <c r="AE5905" s="160">
        <v>5903</v>
      </c>
    </row>
    <row r="5906" spans="27:31" x14ac:dyDescent="0.25">
      <c r="AA5906" s="160"/>
      <c r="AB5906" s="162"/>
      <c r="AC5906" s="162"/>
      <c r="AD5906" s="162">
        <f t="shared" si="112"/>
        <v>0</v>
      </c>
      <c r="AE5906" s="160">
        <v>5904</v>
      </c>
    </row>
    <row r="5907" spans="27:31" x14ac:dyDescent="0.25">
      <c r="AA5907" s="160"/>
      <c r="AB5907" s="162"/>
      <c r="AC5907" s="162"/>
      <c r="AD5907" s="162">
        <f t="shared" si="112"/>
        <v>0</v>
      </c>
      <c r="AE5907" s="160">
        <v>5905</v>
      </c>
    </row>
    <row r="5908" spans="27:31" x14ac:dyDescent="0.25">
      <c r="AA5908" s="160"/>
      <c r="AB5908" s="162"/>
      <c r="AC5908" s="162"/>
      <c r="AD5908" s="162">
        <f t="shared" si="112"/>
        <v>0</v>
      </c>
      <c r="AE5908" s="160">
        <v>5906</v>
      </c>
    </row>
    <row r="5909" spans="27:31" x14ac:dyDescent="0.25">
      <c r="AA5909" s="160"/>
      <c r="AB5909" s="162"/>
      <c r="AC5909" s="162"/>
      <c r="AD5909" s="162">
        <f t="shared" si="112"/>
        <v>0</v>
      </c>
      <c r="AE5909" s="160">
        <v>5907</v>
      </c>
    </row>
    <row r="5910" spans="27:31" x14ac:dyDescent="0.25">
      <c r="AA5910" s="160"/>
      <c r="AB5910" s="162"/>
      <c r="AC5910" s="162"/>
      <c r="AD5910" s="162">
        <f t="shared" si="112"/>
        <v>0</v>
      </c>
      <c r="AE5910" s="160">
        <v>5908</v>
      </c>
    </row>
    <row r="5911" spans="27:31" x14ac:dyDescent="0.25">
      <c r="AA5911" s="160"/>
      <c r="AB5911" s="162"/>
      <c r="AC5911" s="162"/>
      <c r="AD5911" s="162">
        <f t="shared" si="112"/>
        <v>0</v>
      </c>
      <c r="AE5911" s="160">
        <v>5909</v>
      </c>
    </row>
    <row r="5912" spans="27:31" x14ac:dyDescent="0.25">
      <c r="AA5912" s="160"/>
      <c r="AB5912" s="162"/>
      <c r="AC5912" s="162"/>
      <c r="AD5912" s="162">
        <f t="shared" si="112"/>
        <v>0</v>
      </c>
      <c r="AE5912" s="160">
        <v>5910</v>
      </c>
    </row>
    <row r="5913" spans="27:31" x14ac:dyDescent="0.25">
      <c r="AA5913" s="160"/>
      <c r="AB5913" s="162"/>
      <c r="AC5913" s="162"/>
      <c r="AD5913" s="162">
        <f t="shared" si="112"/>
        <v>0</v>
      </c>
      <c r="AE5913" s="160">
        <v>5911</v>
      </c>
    </row>
    <row r="5914" spans="27:31" x14ac:dyDescent="0.25">
      <c r="AA5914" s="160"/>
      <c r="AB5914" s="162"/>
      <c r="AC5914" s="162"/>
      <c r="AD5914" s="162">
        <f t="shared" si="112"/>
        <v>0</v>
      </c>
      <c r="AE5914" s="160">
        <v>5912</v>
      </c>
    </row>
    <row r="5915" spans="27:31" x14ac:dyDescent="0.25">
      <c r="AA5915" s="160"/>
      <c r="AB5915" s="162"/>
      <c r="AC5915" s="162"/>
      <c r="AD5915" s="162">
        <f t="shared" si="112"/>
        <v>0</v>
      </c>
      <c r="AE5915" s="160">
        <v>5913</v>
      </c>
    </row>
    <row r="5916" spans="27:31" x14ac:dyDescent="0.25">
      <c r="AA5916" s="160"/>
      <c r="AB5916" s="162"/>
      <c r="AC5916" s="162"/>
      <c r="AD5916" s="162">
        <f t="shared" si="112"/>
        <v>0</v>
      </c>
      <c r="AE5916" s="160">
        <v>5914</v>
      </c>
    </row>
    <row r="5917" spans="27:31" x14ac:dyDescent="0.25">
      <c r="AA5917" s="160"/>
      <c r="AB5917" s="162"/>
      <c r="AC5917" s="162"/>
      <c r="AD5917" s="162">
        <f t="shared" si="112"/>
        <v>0</v>
      </c>
      <c r="AE5917" s="160">
        <v>5915</v>
      </c>
    </row>
    <row r="5918" spans="27:31" x14ac:dyDescent="0.25">
      <c r="AA5918" s="160"/>
      <c r="AB5918" s="162"/>
      <c r="AC5918" s="162"/>
      <c r="AD5918" s="162">
        <f t="shared" si="112"/>
        <v>0</v>
      </c>
      <c r="AE5918" s="160">
        <v>5916</v>
      </c>
    </row>
    <row r="5919" spans="27:31" x14ac:dyDescent="0.25">
      <c r="AA5919" s="160"/>
      <c r="AB5919" s="162"/>
      <c r="AC5919" s="162"/>
      <c r="AD5919" s="162">
        <f t="shared" si="112"/>
        <v>0</v>
      </c>
      <c r="AE5919" s="160">
        <v>5917</v>
      </c>
    </row>
    <row r="5920" spans="27:31" x14ac:dyDescent="0.25">
      <c r="AA5920" s="160"/>
      <c r="AB5920" s="162"/>
      <c r="AC5920" s="162"/>
      <c r="AD5920" s="162">
        <f t="shared" si="112"/>
        <v>0</v>
      </c>
      <c r="AE5920" s="160">
        <v>5918</v>
      </c>
    </row>
    <row r="5921" spans="27:31" x14ac:dyDescent="0.25">
      <c r="AA5921" s="160"/>
      <c r="AB5921" s="162"/>
      <c r="AC5921" s="162"/>
      <c r="AD5921" s="162">
        <f t="shared" si="112"/>
        <v>0</v>
      </c>
      <c r="AE5921" s="160">
        <v>5919</v>
      </c>
    </row>
    <row r="5922" spans="27:31" x14ac:dyDescent="0.25">
      <c r="AA5922" s="160"/>
      <c r="AB5922" s="162"/>
      <c r="AC5922" s="162"/>
      <c r="AD5922" s="162">
        <f t="shared" si="112"/>
        <v>0</v>
      </c>
      <c r="AE5922" s="160">
        <v>5920</v>
      </c>
    </row>
    <row r="5923" spans="27:31" x14ac:dyDescent="0.25">
      <c r="AA5923" s="160"/>
      <c r="AB5923" s="162"/>
      <c r="AC5923" s="162"/>
      <c r="AD5923" s="162">
        <f t="shared" si="112"/>
        <v>0</v>
      </c>
      <c r="AE5923" s="160">
        <v>5921</v>
      </c>
    </row>
    <row r="5924" spans="27:31" x14ac:dyDescent="0.25">
      <c r="AA5924" s="160"/>
      <c r="AB5924" s="162"/>
      <c r="AC5924" s="162"/>
      <c r="AD5924" s="162">
        <f t="shared" si="112"/>
        <v>0</v>
      </c>
      <c r="AE5924" s="160">
        <v>5922</v>
      </c>
    </row>
    <row r="5925" spans="27:31" x14ac:dyDescent="0.25">
      <c r="AA5925" s="160"/>
      <c r="AB5925" s="162"/>
      <c r="AC5925" s="162"/>
      <c r="AD5925" s="162">
        <f t="shared" si="112"/>
        <v>0</v>
      </c>
      <c r="AE5925" s="160">
        <v>5923</v>
      </c>
    </row>
    <row r="5926" spans="27:31" x14ac:dyDescent="0.25">
      <c r="AA5926" s="160"/>
      <c r="AB5926" s="162"/>
      <c r="AC5926" s="162"/>
      <c r="AD5926" s="162">
        <f t="shared" si="112"/>
        <v>0</v>
      </c>
      <c r="AE5926" s="160">
        <v>5924</v>
      </c>
    </row>
    <row r="5927" spans="27:31" x14ac:dyDescent="0.25">
      <c r="AA5927" s="160"/>
      <c r="AB5927" s="162"/>
      <c r="AC5927" s="162"/>
      <c r="AD5927" s="162">
        <f t="shared" si="112"/>
        <v>0</v>
      </c>
      <c r="AE5927" s="160">
        <v>5925</v>
      </c>
    </row>
    <row r="5928" spans="27:31" x14ac:dyDescent="0.25">
      <c r="AA5928" s="160"/>
      <c r="AB5928" s="162"/>
      <c r="AC5928" s="162"/>
      <c r="AD5928" s="162">
        <f t="shared" si="112"/>
        <v>0</v>
      </c>
      <c r="AE5928" s="160">
        <v>5926</v>
      </c>
    </row>
    <row r="5929" spans="27:31" x14ac:dyDescent="0.25">
      <c r="AA5929" s="160"/>
      <c r="AB5929" s="162"/>
      <c r="AC5929" s="162"/>
      <c r="AD5929" s="162">
        <f t="shared" si="112"/>
        <v>0</v>
      </c>
      <c r="AE5929" s="160">
        <v>5927</v>
      </c>
    </row>
    <row r="5930" spans="27:31" x14ac:dyDescent="0.25">
      <c r="AA5930" s="160"/>
      <c r="AB5930" s="162"/>
      <c r="AC5930" s="162"/>
      <c r="AD5930" s="162">
        <f t="shared" si="112"/>
        <v>0</v>
      </c>
      <c r="AE5930" s="160">
        <v>5928</v>
      </c>
    </row>
    <row r="5931" spans="27:31" x14ac:dyDescent="0.25">
      <c r="AA5931" s="160"/>
      <c r="AB5931" s="162"/>
      <c r="AC5931" s="162"/>
      <c r="AD5931" s="162">
        <f t="shared" si="112"/>
        <v>0</v>
      </c>
      <c r="AE5931" s="160">
        <v>5929</v>
      </c>
    </row>
    <row r="5932" spans="27:31" x14ac:dyDescent="0.25">
      <c r="AA5932" s="160"/>
      <c r="AB5932" s="162"/>
      <c r="AC5932" s="162"/>
      <c r="AD5932" s="162">
        <f t="shared" si="112"/>
        <v>0</v>
      </c>
      <c r="AE5932" s="160">
        <v>5930</v>
      </c>
    </row>
    <row r="5933" spans="27:31" x14ac:dyDescent="0.25">
      <c r="AA5933" s="160"/>
      <c r="AB5933" s="162"/>
      <c r="AC5933" s="162"/>
      <c r="AD5933" s="162">
        <f t="shared" si="112"/>
        <v>0</v>
      </c>
      <c r="AE5933" s="160">
        <v>5931</v>
      </c>
    </row>
    <row r="5934" spans="27:31" x14ac:dyDescent="0.25">
      <c r="AA5934" s="160"/>
      <c r="AB5934" s="162"/>
      <c r="AC5934" s="162"/>
      <c r="AD5934" s="162">
        <f t="shared" si="112"/>
        <v>0</v>
      </c>
      <c r="AE5934" s="160">
        <v>5932</v>
      </c>
    </row>
    <row r="5935" spans="27:31" x14ac:dyDescent="0.25">
      <c r="AA5935" s="160"/>
      <c r="AB5935" s="162"/>
      <c r="AC5935" s="162"/>
      <c r="AD5935" s="162">
        <f t="shared" si="112"/>
        <v>0</v>
      </c>
      <c r="AE5935" s="160">
        <v>5933</v>
      </c>
    </row>
    <row r="5936" spans="27:31" x14ac:dyDescent="0.25">
      <c r="AA5936" s="160"/>
      <c r="AB5936" s="162"/>
      <c r="AC5936" s="162"/>
      <c r="AD5936" s="162">
        <f t="shared" si="112"/>
        <v>0</v>
      </c>
      <c r="AE5936" s="160">
        <v>5934</v>
      </c>
    </row>
    <row r="5937" spans="27:31" x14ac:dyDescent="0.25">
      <c r="AA5937" s="160"/>
      <c r="AB5937" s="162"/>
      <c r="AC5937" s="162"/>
      <c r="AD5937" s="162">
        <f t="shared" si="112"/>
        <v>0</v>
      </c>
      <c r="AE5937" s="160">
        <v>5935</v>
      </c>
    </row>
    <row r="5938" spans="27:31" x14ac:dyDescent="0.25">
      <c r="AA5938" s="160"/>
      <c r="AB5938" s="162"/>
      <c r="AC5938" s="162"/>
      <c r="AD5938" s="162">
        <f t="shared" si="112"/>
        <v>0</v>
      </c>
      <c r="AE5938" s="160">
        <v>5936</v>
      </c>
    </row>
    <row r="5939" spans="27:31" x14ac:dyDescent="0.25">
      <c r="AA5939" s="160"/>
      <c r="AB5939" s="162"/>
      <c r="AC5939" s="162"/>
      <c r="AD5939" s="162">
        <f t="shared" si="112"/>
        <v>0</v>
      </c>
      <c r="AE5939" s="160">
        <v>5937</v>
      </c>
    </row>
    <row r="5940" spans="27:31" x14ac:dyDescent="0.25">
      <c r="AA5940" s="160"/>
      <c r="AB5940" s="162"/>
      <c r="AC5940" s="162"/>
      <c r="AD5940" s="162">
        <f t="shared" si="112"/>
        <v>0</v>
      </c>
      <c r="AE5940" s="160">
        <v>5938</v>
      </c>
    </row>
    <row r="5941" spans="27:31" x14ac:dyDescent="0.25">
      <c r="AA5941" s="160"/>
      <c r="AB5941" s="162"/>
      <c r="AC5941" s="162"/>
      <c r="AD5941" s="162">
        <f t="shared" si="112"/>
        <v>0</v>
      </c>
      <c r="AE5941" s="160">
        <v>5939</v>
      </c>
    </row>
    <row r="5942" spans="27:31" x14ac:dyDescent="0.25">
      <c r="AA5942" s="160"/>
      <c r="AB5942" s="162"/>
      <c r="AC5942" s="162"/>
      <c r="AD5942" s="162">
        <f t="shared" si="112"/>
        <v>0</v>
      </c>
      <c r="AE5942" s="160">
        <v>5940</v>
      </c>
    </row>
    <row r="5943" spans="27:31" x14ac:dyDescent="0.25">
      <c r="AA5943" s="160"/>
      <c r="AB5943" s="162"/>
      <c r="AC5943" s="162"/>
      <c r="AD5943" s="162">
        <f t="shared" si="112"/>
        <v>0</v>
      </c>
      <c r="AE5943" s="160">
        <v>5941</v>
      </c>
    </row>
    <row r="5944" spans="27:31" x14ac:dyDescent="0.25">
      <c r="AA5944" s="160"/>
      <c r="AB5944" s="162"/>
      <c r="AC5944" s="162"/>
      <c r="AD5944" s="162">
        <f t="shared" si="112"/>
        <v>0</v>
      </c>
      <c r="AE5944" s="160">
        <v>5942</v>
      </c>
    </row>
    <row r="5945" spans="27:31" x14ac:dyDescent="0.25">
      <c r="AA5945" s="160"/>
      <c r="AB5945" s="162"/>
      <c r="AC5945" s="162"/>
      <c r="AD5945" s="162">
        <f t="shared" si="112"/>
        <v>0</v>
      </c>
      <c r="AE5945" s="160">
        <v>5943</v>
      </c>
    </row>
    <row r="5946" spans="27:31" x14ac:dyDescent="0.25">
      <c r="AA5946" s="160"/>
      <c r="AB5946" s="162"/>
      <c r="AC5946" s="162"/>
      <c r="AD5946" s="162">
        <f t="shared" si="112"/>
        <v>0</v>
      </c>
      <c r="AE5946" s="160">
        <v>5944</v>
      </c>
    </row>
    <row r="5947" spans="27:31" x14ac:dyDescent="0.25">
      <c r="AA5947" s="160"/>
      <c r="AB5947" s="162"/>
      <c r="AC5947" s="162"/>
      <c r="AD5947" s="162">
        <f t="shared" si="112"/>
        <v>0</v>
      </c>
      <c r="AE5947" s="160">
        <v>5945</v>
      </c>
    </row>
    <row r="5948" spans="27:31" x14ac:dyDescent="0.25">
      <c r="AA5948" s="160"/>
      <c r="AB5948" s="162"/>
      <c r="AC5948" s="162"/>
      <c r="AD5948" s="162">
        <f t="shared" si="112"/>
        <v>0</v>
      </c>
      <c r="AE5948" s="160">
        <v>5946</v>
      </c>
    </row>
    <row r="5949" spans="27:31" x14ac:dyDescent="0.25">
      <c r="AA5949" s="160"/>
      <c r="AB5949" s="162"/>
      <c r="AC5949" s="162"/>
      <c r="AD5949" s="162">
        <f t="shared" si="112"/>
        <v>0</v>
      </c>
      <c r="AE5949" s="160">
        <v>5947</v>
      </c>
    </row>
    <row r="5950" spans="27:31" x14ac:dyDescent="0.25">
      <c r="AA5950" s="160"/>
      <c r="AB5950" s="162"/>
      <c r="AC5950" s="162"/>
      <c r="AD5950" s="162">
        <f t="shared" si="112"/>
        <v>0</v>
      </c>
      <c r="AE5950" s="160">
        <v>5948</v>
      </c>
    </row>
    <row r="5951" spans="27:31" x14ac:dyDescent="0.25">
      <c r="AA5951" s="160"/>
      <c r="AB5951" s="162"/>
      <c r="AC5951" s="162"/>
      <c r="AD5951" s="162">
        <f t="shared" si="112"/>
        <v>0</v>
      </c>
      <c r="AE5951" s="160">
        <v>5949</v>
      </c>
    </row>
    <row r="5952" spans="27:31" x14ac:dyDescent="0.25">
      <c r="AA5952" s="160"/>
      <c r="AB5952" s="162"/>
      <c r="AC5952" s="162"/>
      <c r="AD5952" s="162">
        <f t="shared" si="112"/>
        <v>0</v>
      </c>
      <c r="AE5952" s="160">
        <v>5950</v>
      </c>
    </row>
    <row r="5953" spans="27:31" x14ac:dyDescent="0.25">
      <c r="AA5953" s="160"/>
      <c r="AB5953" s="162"/>
      <c r="AC5953" s="162"/>
      <c r="AD5953" s="162">
        <f t="shared" si="112"/>
        <v>0</v>
      </c>
      <c r="AE5953" s="160">
        <v>5951</v>
      </c>
    </row>
    <row r="5954" spans="27:31" x14ac:dyDescent="0.25">
      <c r="AA5954" s="160"/>
      <c r="AB5954" s="162"/>
      <c r="AC5954" s="162"/>
      <c r="AD5954" s="162">
        <f t="shared" si="112"/>
        <v>0</v>
      </c>
      <c r="AE5954" s="160">
        <v>5952</v>
      </c>
    </row>
    <row r="5955" spans="27:31" x14ac:dyDescent="0.25">
      <c r="AA5955" s="160"/>
      <c r="AB5955" s="162"/>
      <c r="AC5955" s="162"/>
      <c r="AD5955" s="162">
        <f t="shared" si="112"/>
        <v>0</v>
      </c>
      <c r="AE5955" s="160">
        <v>5953</v>
      </c>
    </row>
    <row r="5956" spans="27:31" x14ac:dyDescent="0.25">
      <c r="AA5956" s="160"/>
      <c r="AB5956" s="162"/>
      <c r="AC5956" s="162"/>
      <c r="AD5956" s="162">
        <f t="shared" ref="AD5956:AD6019" si="113">AB5956+AC5956</f>
        <v>0</v>
      </c>
      <c r="AE5956" s="160">
        <v>5954</v>
      </c>
    </row>
    <row r="5957" spans="27:31" x14ac:dyDescent="0.25">
      <c r="AA5957" s="160"/>
      <c r="AB5957" s="162"/>
      <c r="AC5957" s="162"/>
      <c r="AD5957" s="162">
        <f t="shared" si="113"/>
        <v>0</v>
      </c>
      <c r="AE5957" s="160">
        <v>5955</v>
      </c>
    </row>
    <row r="5958" spans="27:31" x14ac:dyDescent="0.25">
      <c r="AA5958" s="160"/>
      <c r="AB5958" s="162"/>
      <c r="AC5958" s="162"/>
      <c r="AD5958" s="162">
        <f t="shared" si="113"/>
        <v>0</v>
      </c>
      <c r="AE5958" s="160">
        <v>5956</v>
      </c>
    </row>
    <row r="5959" spans="27:31" x14ac:dyDescent="0.25">
      <c r="AA5959" s="160"/>
      <c r="AB5959" s="162"/>
      <c r="AC5959" s="162"/>
      <c r="AD5959" s="162">
        <f t="shared" si="113"/>
        <v>0</v>
      </c>
      <c r="AE5959" s="160">
        <v>5957</v>
      </c>
    </row>
    <row r="5960" spans="27:31" x14ac:dyDescent="0.25">
      <c r="AA5960" s="160"/>
      <c r="AB5960" s="162"/>
      <c r="AC5960" s="162"/>
      <c r="AD5960" s="162">
        <f t="shared" si="113"/>
        <v>0</v>
      </c>
      <c r="AE5960" s="160">
        <v>5958</v>
      </c>
    </row>
    <row r="5961" spans="27:31" x14ac:dyDescent="0.25">
      <c r="AA5961" s="160"/>
      <c r="AB5961" s="162"/>
      <c r="AC5961" s="162"/>
      <c r="AD5961" s="162">
        <f t="shared" si="113"/>
        <v>0</v>
      </c>
      <c r="AE5961" s="160">
        <v>5959</v>
      </c>
    </row>
    <row r="5962" spans="27:31" x14ac:dyDescent="0.25">
      <c r="AA5962" s="160"/>
      <c r="AB5962" s="162"/>
      <c r="AC5962" s="162"/>
      <c r="AD5962" s="162">
        <f t="shared" si="113"/>
        <v>0</v>
      </c>
      <c r="AE5962" s="160">
        <v>5960</v>
      </c>
    </row>
    <row r="5963" spans="27:31" x14ac:dyDescent="0.25">
      <c r="AA5963" s="160"/>
      <c r="AB5963" s="162"/>
      <c r="AC5963" s="162"/>
      <c r="AD5963" s="162">
        <f t="shared" si="113"/>
        <v>0</v>
      </c>
      <c r="AE5963" s="160">
        <v>5961</v>
      </c>
    </row>
    <row r="5964" spans="27:31" x14ac:dyDescent="0.25">
      <c r="AA5964" s="160"/>
      <c r="AB5964" s="162"/>
      <c r="AC5964" s="162"/>
      <c r="AD5964" s="162">
        <f t="shared" si="113"/>
        <v>0</v>
      </c>
      <c r="AE5964" s="160">
        <v>5962</v>
      </c>
    </row>
    <row r="5965" spans="27:31" x14ac:dyDescent="0.25">
      <c r="AA5965" s="160"/>
      <c r="AB5965" s="162"/>
      <c r="AC5965" s="162"/>
      <c r="AD5965" s="162">
        <f t="shared" si="113"/>
        <v>0</v>
      </c>
      <c r="AE5965" s="160">
        <v>5963</v>
      </c>
    </row>
    <row r="5966" spans="27:31" x14ac:dyDescent="0.25">
      <c r="AA5966" s="160"/>
      <c r="AB5966" s="162"/>
      <c r="AC5966" s="162"/>
      <c r="AD5966" s="162">
        <f t="shared" si="113"/>
        <v>0</v>
      </c>
      <c r="AE5966" s="160">
        <v>5964</v>
      </c>
    </row>
    <row r="5967" spans="27:31" x14ac:dyDescent="0.25">
      <c r="AA5967" s="160"/>
      <c r="AB5967" s="162"/>
      <c r="AC5967" s="162"/>
      <c r="AD5967" s="162">
        <f t="shared" si="113"/>
        <v>0</v>
      </c>
      <c r="AE5967" s="160">
        <v>5965</v>
      </c>
    </row>
    <row r="5968" spans="27:31" x14ac:dyDescent="0.25">
      <c r="AA5968" s="160"/>
      <c r="AB5968" s="162"/>
      <c r="AC5968" s="162"/>
      <c r="AD5968" s="162">
        <f t="shared" si="113"/>
        <v>0</v>
      </c>
      <c r="AE5968" s="160">
        <v>5966</v>
      </c>
    </row>
    <row r="5969" spans="27:31" x14ac:dyDescent="0.25">
      <c r="AA5969" s="160"/>
      <c r="AB5969" s="162"/>
      <c r="AC5969" s="162"/>
      <c r="AD5969" s="162">
        <f t="shared" si="113"/>
        <v>0</v>
      </c>
      <c r="AE5969" s="160">
        <v>5967</v>
      </c>
    </row>
    <row r="5970" spans="27:31" x14ac:dyDescent="0.25">
      <c r="AA5970" s="160"/>
      <c r="AB5970" s="162"/>
      <c r="AC5970" s="162"/>
      <c r="AD5970" s="162">
        <f t="shared" si="113"/>
        <v>0</v>
      </c>
      <c r="AE5970" s="160">
        <v>5968</v>
      </c>
    </row>
    <row r="5971" spans="27:31" x14ac:dyDescent="0.25">
      <c r="AA5971" s="160"/>
      <c r="AB5971" s="162"/>
      <c r="AC5971" s="162"/>
      <c r="AD5971" s="162">
        <f t="shared" si="113"/>
        <v>0</v>
      </c>
      <c r="AE5971" s="160">
        <v>5969</v>
      </c>
    </row>
    <row r="5972" spans="27:31" x14ac:dyDescent="0.25">
      <c r="AA5972" s="160"/>
      <c r="AB5972" s="162"/>
      <c r="AC5972" s="162"/>
      <c r="AD5972" s="162">
        <f t="shared" si="113"/>
        <v>0</v>
      </c>
      <c r="AE5972" s="160">
        <v>5970</v>
      </c>
    </row>
    <row r="5973" spans="27:31" x14ac:dyDescent="0.25">
      <c r="AA5973" s="160"/>
      <c r="AB5973" s="162"/>
      <c r="AC5973" s="162"/>
      <c r="AD5973" s="162">
        <f t="shared" si="113"/>
        <v>0</v>
      </c>
      <c r="AE5973" s="160">
        <v>5971</v>
      </c>
    </row>
    <row r="5974" spans="27:31" x14ac:dyDescent="0.25">
      <c r="AA5974" s="160"/>
      <c r="AB5974" s="162"/>
      <c r="AC5974" s="162"/>
      <c r="AD5974" s="162">
        <f t="shared" si="113"/>
        <v>0</v>
      </c>
      <c r="AE5974" s="160">
        <v>5972</v>
      </c>
    </row>
    <row r="5975" spans="27:31" x14ac:dyDescent="0.25">
      <c r="AA5975" s="160"/>
      <c r="AB5975" s="162"/>
      <c r="AC5975" s="162"/>
      <c r="AD5975" s="162">
        <f t="shared" si="113"/>
        <v>0</v>
      </c>
      <c r="AE5975" s="160">
        <v>5973</v>
      </c>
    </row>
    <row r="5976" spans="27:31" x14ac:dyDescent="0.25">
      <c r="AA5976" s="160"/>
      <c r="AB5976" s="162"/>
      <c r="AC5976" s="162"/>
      <c r="AD5976" s="162">
        <f t="shared" si="113"/>
        <v>0</v>
      </c>
      <c r="AE5976" s="160">
        <v>5974</v>
      </c>
    </row>
    <row r="5977" spans="27:31" x14ac:dyDescent="0.25">
      <c r="AA5977" s="160"/>
      <c r="AB5977" s="162"/>
      <c r="AC5977" s="162"/>
      <c r="AD5977" s="162">
        <f t="shared" si="113"/>
        <v>0</v>
      </c>
      <c r="AE5977" s="160">
        <v>5975</v>
      </c>
    </row>
    <row r="5978" spans="27:31" x14ac:dyDescent="0.25">
      <c r="AA5978" s="160"/>
      <c r="AB5978" s="162"/>
      <c r="AC5978" s="162"/>
      <c r="AD5978" s="162">
        <f t="shared" si="113"/>
        <v>0</v>
      </c>
      <c r="AE5978" s="160">
        <v>5976</v>
      </c>
    </row>
    <row r="5979" spans="27:31" x14ac:dyDescent="0.25">
      <c r="AA5979" s="160"/>
      <c r="AB5979" s="162"/>
      <c r="AC5979" s="162"/>
      <c r="AD5979" s="162">
        <f t="shared" si="113"/>
        <v>0</v>
      </c>
      <c r="AE5979" s="160">
        <v>5977</v>
      </c>
    </row>
    <row r="5980" spans="27:31" x14ac:dyDescent="0.25">
      <c r="AA5980" s="160"/>
      <c r="AB5980" s="162"/>
      <c r="AC5980" s="162"/>
      <c r="AD5980" s="162">
        <f t="shared" si="113"/>
        <v>0</v>
      </c>
      <c r="AE5980" s="160">
        <v>5978</v>
      </c>
    </row>
    <row r="5981" spans="27:31" x14ac:dyDescent="0.25">
      <c r="AA5981" s="160"/>
      <c r="AB5981" s="162"/>
      <c r="AC5981" s="162"/>
      <c r="AD5981" s="162">
        <f t="shared" si="113"/>
        <v>0</v>
      </c>
      <c r="AE5981" s="160">
        <v>5979</v>
      </c>
    </row>
    <row r="5982" spans="27:31" x14ac:dyDescent="0.25">
      <c r="AA5982" s="160"/>
      <c r="AB5982" s="162"/>
      <c r="AC5982" s="162"/>
      <c r="AD5982" s="162">
        <f t="shared" si="113"/>
        <v>0</v>
      </c>
      <c r="AE5982" s="160">
        <v>5980</v>
      </c>
    </row>
    <row r="5983" spans="27:31" x14ac:dyDescent="0.25">
      <c r="AA5983" s="160"/>
      <c r="AB5983" s="162"/>
      <c r="AC5983" s="162"/>
      <c r="AD5983" s="162">
        <f t="shared" si="113"/>
        <v>0</v>
      </c>
      <c r="AE5983" s="160">
        <v>5981</v>
      </c>
    </row>
    <row r="5984" spans="27:31" x14ac:dyDescent="0.25">
      <c r="AA5984" s="160"/>
      <c r="AB5984" s="162"/>
      <c r="AC5984" s="162"/>
      <c r="AD5984" s="162">
        <f t="shared" si="113"/>
        <v>0</v>
      </c>
      <c r="AE5984" s="160">
        <v>5982</v>
      </c>
    </row>
    <row r="5985" spans="27:31" x14ac:dyDescent="0.25">
      <c r="AA5985" s="160"/>
      <c r="AB5985" s="162"/>
      <c r="AC5985" s="162"/>
      <c r="AD5985" s="162">
        <f t="shared" si="113"/>
        <v>0</v>
      </c>
      <c r="AE5985" s="160">
        <v>5983</v>
      </c>
    </row>
    <row r="5986" spans="27:31" x14ac:dyDescent="0.25">
      <c r="AA5986" s="160"/>
      <c r="AB5986" s="162"/>
      <c r="AC5986" s="162"/>
      <c r="AD5986" s="162">
        <f t="shared" si="113"/>
        <v>0</v>
      </c>
      <c r="AE5986" s="160">
        <v>5984</v>
      </c>
    </row>
    <row r="5987" spans="27:31" x14ac:dyDescent="0.25">
      <c r="AA5987" s="160"/>
      <c r="AB5987" s="162"/>
      <c r="AC5987" s="162"/>
      <c r="AD5987" s="162">
        <f t="shared" si="113"/>
        <v>0</v>
      </c>
      <c r="AE5987" s="160">
        <v>5985</v>
      </c>
    </row>
    <row r="5988" spans="27:31" x14ac:dyDescent="0.25">
      <c r="AA5988" s="160"/>
      <c r="AB5988" s="162"/>
      <c r="AC5988" s="162"/>
      <c r="AD5988" s="162">
        <f t="shared" si="113"/>
        <v>0</v>
      </c>
      <c r="AE5988" s="160">
        <v>5986</v>
      </c>
    </row>
    <row r="5989" spans="27:31" x14ac:dyDescent="0.25">
      <c r="AA5989" s="160"/>
      <c r="AB5989" s="162"/>
      <c r="AC5989" s="162"/>
      <c r="AD5989" s="162">
        <f t="shared" si="113"/>
        <v>0</v>
      </c>
      <c r="AE5989" s="160">
        <v>5987</v>
      </c>
    </row>
    <row r="5990" spans="27:31" x14ac:dyDescent="0.25">
      <c r="AA5990" s="160"/>
      <c r="AB5990" s="162"/>
      <c r="AC5990" s="162"/>
      <c r="AD5990" s="162">
        <f t="shared" si="113"/>
        <v>0</v>
      </c>
      <c r="AE5990" s="160">
        <v>5988</v>
      </c>
    </row>
    <row r="5991" spans="27:31" x14ac:dyDescent="0.25">
      <c r="AA5991" s="160"/>
      <c r="AB5991" s="162"/>
      <c r="AC5991" s="162"/>
      <c r="AD5991" s="162">
        <f t="shared" si="113"/>
        <v>0</v>
      </c>
      <c r="AE5991" s="160">
        <v>5989</v>
      </c>
    </row>
    <row r="5992" spans="27:31" x14ac:dyDescent="0.25">
      <c r="AA5992" s="160"/>
      <c r="AB5992" s="162"/>
      <c r="AC5992" s="162"/>
      <c r="AD5992" s="162">
        <f t="shared" si="113"/>
        <v>0</v>
      </c>
      <c r="AE5992" s="160">
        <v>5990</v>
      </c>
    </row>
    <row r="5993" spans="27:31" x14ac:dyDescent="0.25">
      <c r="AA5993" s="160"/>
      <c r="AB5993" s="162"/>
      <c r="AC5993" s="162"/>
      <c r="AD5993" s="162">
        <f t="shared" si="113"/>
        <v>0</v>
      </c>
      <c r="AE5993" s="160">
        <v>5991</v>
      </c>
    </row>
    <row r="5994" spans="27:31" x14ac:dyDescent="0.25">
      <c r="AA5994" s="160"/>
      <c r="AB5994" s="162"/>
      <c r="AC5994" s="162"/>
      <c r="AD5994" s="162">
        <f t="shared" si="113"/>
        <v>0</v>
      </c>
      <c r="AE5994" s="160">
        <v>5992</v>
      </c>
    </row>
    <row r="5995" spans="27:31" x14ac:dyDescent="0.25">
      <c r="AA5995" s="160"/>
      <c r="AB5995" s="162"/>
      <c r="AC5995" s="162"/>
      <c r="AD5995" s="162">
        <f t="shared" si="113"/>
        <v>0</v>
      </c>
      <c r="AE5995" s="160">
        <v>5993</v>
      </c>
    </row>
    <row r="5996" spans="27:31" x14ac:dyDescent="0.25">
      <c r="AA5996" s="160"/>
      <c r="AB5996" s="162"/>
      <c r="AC5996" s="162"/>
      <c r="AD5996" s="162">
        <f t="shared" si="113"/>
        <v>0</v>
      </c>
      <c r="AE5996" s="160">
        <v>5994</v>
      </c>
    </row>
    <row r="5997" spans="27:31" x14ac:dyDescent="0.25">
      <c r="AA5997" s="160"/>
      <c r="AB5997" s="162"/>
      <c r="AC5997" s="162"/>
      <c r="AD5997" s="162">
        <f t="shared" si="113"/>
        <v>0</v>
      </c>
      <c r="AE5997" s="160">
        <v>5995</v>
      </c>
    </row>
    <row r="5998" spans="27:31" x14ac:dyDescent="0.25">
      <c r="AA5998" s="160"/>
      <c r="AB5998" s="162"/>
      <c r="AC5998" s="162"/>
      <c r="AD5998" s="162">
        <f t="shared" si="113"/>
        <v>0</v>
      </c>
      <c r="AE5998" s="160">
        <v>5996</v>
      </c>
    </row>
    <row r="5999" spans="27:31" x14ac:dyDescent="0.25">
      <c r="AA5999" s="160"/>
      <c r="AB5999" s="162"/>
      <c r="AC5999" s="162"/>
      <c r="AD5999" s="162">
        <f t="shared" si="113"/>
        <v>0</v>
      </c>
      <c r="AE5999" s="160">
        <v>5997</v>
      </c>
    </row>
    <row r="6000" spans="27:31" x14ac:dyDescent="0.25">
      <c r="AA6000" s="160"/>
      <c r="AB6000" s="162"/>
      <c r="AC6000" s="162"/>
      <c r="AD6000" s="162">
        <f t="shared" si="113"/>
        <v>0</v>
      </c>
      <c r="AE6000" s="160">
        <v>5998</v>
      </c>
    </row>
    <row r="6001" spans="27:31" x14ac:dyDescent="0.25">
      <c r="AA6001" s="160"/>
      <c r="AB6001" s="162"/>
      <c r="AC6001" s="162"/>
      <c r="AD6001" s="162">
        <f t="shared" si="113"/>
        <v>0</v>
      </c>
      <c r="AE6001" s="160">
        <v>5999</v>
      </c>
    </row>
    <row r="6002" spans="27:31" x14ac:dyDescent="0.25">
      <c r="AA6002" s="160"/>
      <c r="AB6002" s="162"/>
      <c r="AC6002" s="162"/>
      <c r="AD6002" s="162">
        <f t="shared" si="113"/>
        <v>0</v>
      </c>
      <c r="AE6002" s="160">
        <v>6000</v>
      </c>
    </row>
    <row r="6003" spans="27:31" x14ac:dyDescent="0.25">
      <c r="AA6003" s="160"/>
      <c r="AB6003" s="162"/>
      <c r="AC6003" s="162"/>
      <c r="AD6003" s="162">
        <f t="shared" si="113"/>
        <v>0</v>
      </c>
      <c r="AE6003" s="160">
        <v>6001</v>
      </c>
    </row>
    <row r="6004" spans="27:31" x14ac:dyDescent="0.25">
      <c r="AA6004" s="160"/>
      <c r="AB6004" s="162"/>
      <c r="AC6004" s="162"/>
      <c r="AD6004" s="162">
        <f t="shared" si="113"/>
        <v>0</v>
      </c>
      <c r="AE6004" s="160">
        <v>6002</v>
      </c>
    </row>
    <row r="6005" spans="27:31" x14ac:dyDescent="0.25">
      <c r="AA6005" s="160"/>
      <c r="AB6005" s="162"/>
      <c r="AC6005" s="162"/>
      <c r="AD6005" s="162">
        <f t="shared" si="113"/>
        <v>0</v>
      </c>
      <c r="AE6005" s="160">
        <v>6003</v>
      </c>
    </row>
    <row r="6006" spans="27:31" x14ac:dyDescent="0.25">
      <c r="AA6006" s="160"/>
      <c r="AB6006" s="162"/>
      <c r="AC6006" s="162"/>
      <c r="AD6006" s="162">
        <f t="shared" si="113"/>
        <v>0</v>
      </c>
      <c r="AE6006" s="160">
        <v>6004</v>
      </c>
    </row>
    <row r="6007" spans="27:31" x14ac:dyDescent="0.25">
      <c r="AA6007" s="160"/>
      <c r="AB6007" s="162"/>
      <c r="AC6007" s="162"/>
      <c r="AD6007" s="162">
        <f t="shared" si="113"/>
        <v>0</v>
      </c>
      <c r="AE6007" s="160">
        <v>6005</v>
      </c>
    </row>
    <row r="6008" spans="27:31" x14ac:dyDescent="0.25">
      <c r="AA6008" s="160"/>
      <c r="AB6008" s="162"/>
      <c r="AC6008" s="162"/>
      <c r="AD6008" s="162">
        <f t="shared" si="113"/>
        <v>0</v>
      </c>
      <c r="AE6008" s="160">
        <v>6006</v>
      </c>
    </row>
    <row r="6009" spans="27:31" x14ac:dyDescent="0.25">
      <c r="AA6009" s="160"/>
      <c r="AB6009" s="162"/>
      <c r="AC6009" s="162"/>
      <c r="AD6009" s="162">
        <f t="shared" si="113"/>
        <v>0</v>
      </c>
      <c r="AE6009" s="160">
        <v>6007</v>
      </c>
    </row>
    <row r="6010" spans="27:31" x14ac:dyDescent="0.25">
      <c r="AA6010" s="160"/>
      <c r="AB6010" s="162"/>
      <c r="AC6010" s="162"/>
      <c r="AD6010" s="162">
        <f t="shared" si="113"/>
        <v>0</v>
      </c>
      <c r="AE6010" s="160">
        <v>6008</v>
      </c>
    </row>
    <row r="6011" spans="27:31" x14ac:dyDescent="0.25">
      <c r="AA6011" s="160"/>
      <c r="AB6011" s="162"/>
      <c r="AC6011" s="162"/>
      <c r="AD6011" s="162">
        <f t="shared" si="113"/>
        <v>0</v>
      </c>
      <c r="AE6011" s="160">
        <v>6009</v>
      </c>
    </row>
    <row r="6012" spans="27:31" x14ac:dyDescent="0.25">
      <c r="AA6012" s="160"/>
      <c r="AB6012" s="162"/>
      <c r="AC6012" s="162"/>
      <c r="AD6012" s="162">
        <f t="shared" si="113"/>
        <v>0</v>
      </c>
      <c r="AE6012" s="160">
        <v>6010</v>
      </c>
    </row>
    <row r="6013" spans="27:31" x14ac:dyDescent="0.25">
      <c r="AA6013" s="160"/>
      <c r="AB6013" s="162"/>
      <c r="AC6013" s="162"/>
      <c r="AD6013" s="162">
        <f t="shared" si="113"/>
        <v>0</v>
      </c>
      <c r="AE6013" s="160">
        <v>6011</v>
      </c>
    </row>
    <row r="6014" spans="27:31" x14ac:dyDescent="0.25">
      <c r="AA6014" s="160"/>
      <c r="AB6014" s="162"/>
      <c r="AC6014" s="162"/>
      <c r="AD6014" s="162">
        <f t="shared" si="113"/>
        <v>0</v>
      </c>
      <c r="AE6014" s="160">
        <v>6012</v>
      </c>
    </row>
    <row r="6015" spans="27:31" x14ac:dyDescent="0.25">
      <c r="AA6015" s="160"/>
      <c r="AB6015" s="162"/>
      <c r="AC6015" s="162"/>
      <c r="AD6015" s="162">
        <f t="shared" si="113"/>
        <v>0</v>
      </c>
      <c r="AE6015" s="160">
        <v>6013</v>
      </c>
    </row>
    <row r="6016" spans="27:31" x14ac:dyDescent="0.25">
      <c r="AA6016" s="160"/>
      <c r="AB6016" s="162"/>
      <c r="AC6016" s="162"/>
      <c r="AD6016" s="162">
        <f t="shared" si="113"/>
        <v>0</v>
      </c>
      <c r="AE6016" s="160">
        <v>6014</v>
      </c>
    </row>
    <row r="6017" spans="27:31" x14ac:dyDescent="0.25">
      <c r="AA6017" s="160"/>
      <c r="AB6017" s="162"/>
      <c r="AC6017" s="162"/>
      <c r="AD6017" s="162">
        <f t="shared" si="113"/>
        <v>0</v>
      </c>
      <c r="AE6017" s="160">
        <v>6015</v>
      </c>
    </row>
    <row r="6018" spans="27:31" x14ac:dyDescent="0.25">
      <c r="AA6018" s="160"/>
      <c r="AB6018" s="162"/>
      <c r="AC6018" s="162"/>
      <c r="AD6018" s="162">
        <f t="shared" si="113"/>
        <v>0</v>
      </c>
      <c r="AE6018" s="160">
        <v>6016</v>
      </c>
    </row>
    <row r="6019" spans="27:31" x14ac:dyDescent="0.25">
      <c r="AA6019" s="160"/>
      <c r="AB6019" s="162"/>
      <c r="AC6019" s="162"/>
      <c r="AD6019" s="162">
        <f t="shared" si="113"/>
        <v>0</v>
      </c>
      <c r="AE6019" s="160">
        <v>6017</v>
      </c>
    </row>
    <row r="6020" spans="27:31" x14ac:dyDescent="0.25">
      <c r="AA6020" s="160"/>
      <c r="AB6020" s="162"/>
      <c r="AC6020" s="162"/>
      <c r="AD6020" s="162">
        <f t="shared" ref="AD6020:AD6083" si="114">AB6020+AC6020</f>
        <v>0</v>
      </c>
      <c r="AE6020" s="160">
        <v>6018</v>
      </c>
    </row>
    <row r="6021" spans="27:31" x14ac:dyDescent="0.25">
      <c r="AA6021" s="160"/>
      <c r="AB6021" s="162"/>
      <c r="AC6021" s="162"/>
      <c r="AD6021" s="162">
        <f t="shared" si="114"/>
        <v>0</v>
      </c>
      <c r="AE6021" s="160">
        <v>6019</v>
      </c>
    </row>
    <row r="6022" spans="27:31" x14ac:dyDescent="0.25">
      <c r="AA6022" s="160"/>
      <c r="AB6022" s="162"/>
      <c r="AC6022" s="162"/>
      <c r="AD6022" s="162">
        <f t="shared" si="114"/>
        <v>0</v>
      </c>
      <c r="AE6022" s="160">
        <v>6020</v>
      </c>
    </row>
    <row r="6023" spans="27:31" x14ac:dyDescent="0.25">
      <c r="AA6023" s="160"/>
      <c r="AB6023" s="162"/>
      <c r="AC6023" s="162"/>
      <c r="AD6023" s="162">
        <f t="shared" si="114"/>
        <v>0</v>
      </c>
      <c r="AE6023" s="160">
        <v>6021</v>
      </c>
    </row>
    <row r="6024" spans="27:31" x14ac:dyDescent="0.25">
      <c r="AA6024" s="160"/>
      <c r="AB6024" s="162"/>
      <c r="AC6024" s="162"/>
      <c r="AD6024" s="162">
        <f t="shared" si="114"/>
        <v>0</v>
      </c>
      <c r="AE6024" s="160">
        <v>6022</v>
      </c>
    </row>
    <row r="6025" spans="27:31" x14ac:dyDescent="0.25">
      <c r="AA6025" s="160"/>
      <c r="AB6025" s="162"/>
      <c r="AC6025" s="162"/>
      <c r="AD6025" s="162">
        <f t="shared" si="114"/>
        <v>0</v>
      </c>
      <c r="AE6025" s="160">
        <v>6023</v>
      </c>
    </row>
    <row r="6026" spans="27:31" x14ac:dyDescent="0.25">
      <c r="AA6026" s="160"/>
      <c r="AB6026" s="162"/>
      <c r="AC6026" s="162"/>
      <c r="AD6026" s="162">
        <f t="shared" si="114"/>
        <v>0</v>
      </c>
      <c r="AE6026" s="160">
        <v>6024</v>
      </c>
    </row>
    <row r="6027" spans="27:31" x14ac:dyDescent="0.25">
      <c r="AA6027" s="160"/>
      <c r="AB6027" s="162"/>
      <c r="AC6027" s="162"/>
      <c r="AD6027" s="162">
        <f t="shared" si="114"/>
        <v>0</v>
      </c>
      <c r="AE6027" s="160">
        <v>6025</v>
      </c>
    </row>
    <row r="6028" spans="27:31" x14ac:dyDescent="0.25">
      <c r="AA6028" s="160"/>
      <c r="AB6028" s="162"/>
      <c r="AC6028" s="162"/>
      <c r="AD6028" s="162">
        <f t="shared" si="114"/>
        <v>0</v>
      </c>
      <c r="AE6028" s="160">
        <v>6026</v>
      </c>
    </row>
    <row r="6029" spans="27:31" x14ac:dyDescent="0.25">
      <c r="AA6029" s="160"/>
      <c r="AB6029" s="162"/>
      <c r="AC6029" s="162"/>
      <c r="AD6029" s="162">
        <f t="shared" si="114"/>
        <v>0</v>
      </c>
      <c r="AE6029" s="160">
        <v>6027</v>
      </c>
    </row>
    <row r="6030" spans="27:31" x14ac:dyDescent="0.25">
      <c r="AA6030" s="160"/>
      <c r="AB6030" s="162"/>
      <c r="AC6030" s="162"/>
      <c r="AD6030" s="162">
        <f t="shared" si="114"/>
        <v>0</v>
      </c>
      <c r="AE6030" s="160">
        <v>6028</v>
      </c>
    </row>
    <row r="6031" spans="27:31" x14ac:dyDescent="0.25">
      <c r="AA6031" s="160"/>
      <c r="AB6031" s="162"/>
      <c r="AC6031" s="162"/>
      <c r="AD6031" s="162">
        <f t="shared" si="114"/>
        <v>0</v>
      </c>
      <c r="AE6031" s="160">
        <v>6029</v>
      </c>
    </row>
    <row r="6032" spans="27:31" x14ac:dyDescent="0.25">
      <c r="AA6032" s="160"/>
      <c r="AB6032" s="162"/>
      <c r="AC6032" s="162"/>
      <c r="AD6032" s="162">
        <f t="shared" si="114"/>
        <v>0</v>
      </c>
      <c r="AE6032" s="160">
        <v>6030</v>
      </c>
    </row>
    <row r="6033" spans="27:31" x14ac:dyDescent="0.25">
      <c r="AA6033" s="160"/>
      <c r="AB6033" s="162"/>
      <c r="AC6033" s="162"/>
      <c r="AD6033" s="162">
        <f t="shared" si="114"/>
        <v>0</v>
      </c>
      <c r="AE6033" s="160">
        <v>6031</v>
      </c>
    </row>
    <row r="6034" spans="27:31" x14ac:dyDescent="0.25">
      <c r="AA6034" s="160"/>
      <c r="AB6034" s="162"/>
      <c r="AC6034" s="162"/>
      <c r="AD6034" s="162">
        <f t="shared" si="114"/>
        <v>0</v>
      </c>
      <c r="AE6034" s="160">
        <v>6032</v>
      </c>
    </row>
    <row r="6035" spans="27:31" x14ac:dyDescent="0.25">
      <c r="AA6035" s="160"/>
      <c r="AB6035" s="162"/>
      <c r="AC6035" s="162"/>
      <c r="AD6035" s="162">
        <f t="shared" si="114"/>
        <v>0</v>
      </c>
      <c r="AE6035" s="160">
        <v>6033</v>
      </c>
    </row>
    <row r="6036" spans="27:31" x14ac:dyDescent="0.25">
      <c r="AA6036" s="160"/>
      <c r="AB6036" s="162"/>
      <c r="AC6036" s="162"/>
      <c r="AD6036" s="162">
        <f t="shared" si="114"/>
        <v>0</v>
      </c>
      <c r="AE6036" s="160">
        <v>6034</v>
      </c>
    </row>
    <row r="6037" spans="27:31" x14ac:dyDescent="0.25">
      <c r="AA6037" s="160"/>
      <c r="AB6037" s="162"/>
      <c r="AC6037" s="162"/>
      <c r="AD6037" s="162">
        <f t="shared" si="114"/>
        <v>0</v>
      </c>
      <c r="AE6037" s="160">
        <v>6035</v>
      </c>
    </row>
    <row r="6038" spans="27:31" x14ac:dyDescent="0.25">
      <c r="AA6038" s="160"/>
      <c r="AB6038" s="162"/>
      <c r="AC6038" s="162"/>
      <c r="AD6038" s="162">
        <f t="shared" si="114"/>
        <v>0</v>
      </c>
      <c r="AE6038" s="160">
        <v>6036</v>
      </c>
    </row>
    <row r="6039" spans="27:31" x14ac:dyDescent="0.25">
      <c r="AA6039" s="160"/>
      <c r="AB6039" s="162"/>
      <c r="AC6039" s="162"/>
      <c r="AD6039" s="162">
        <f t="shared" si="114"/>
        <v>0</v>
      </c>
      <c r="AE6039" s="160">
        <v>6037</v>
      </c>
    </row>
    <row r="6040" spans="27:31" x14ac:dyDescent="0.25">
      <c r="AA6040" s="160"/>
      <c r="AB6040" s="162"/>
      <c r="AC6040" s="162"/>
      <c r="AD6040" s="162">
        <f t="shared" si="114"/>
        <v>0</v>
      </c>
      <c r="AE6040" s="160">
        <v>6038</v>
      </c>
    </row>
    <row r="6041" spans="27:31" x14ac:dyDescent="0.25">
      <c r="AA6041" s="160"/>
      <c r="AB6041" s="162"/>
      <c r="AC6041" s="162"/>
      <c r="AD6041" s="162">
        <f t="shared" si="114"/>
        <v>0</v>
      </c>
      <c r="AE6041" s="160">
        <v>6039</v>
      </c>
    </row>
    <row r="6042" spans="27:31" x14ac:dyDescent="0.25">
      <c r="AA6042" s="160"/>
      <c r="AB6042" s="162"/>
      <c r="AC6042" s="162"/>
      <c r="AD6042" s="162">
        <f t="shared" si="114"/>
        <v>0</v>
      </c>
      <c r="AE6042" s="160">
        <v>6040</v>
      </c>
    </row>
    <row r="6043" spans="27:31" x14ac:dyDescent="0.25">
      <c r="AA6043" s="160"/>
      <c r="AB6043" s="162"/>
      <c r="AC6043" s="162"/>
      <c r="AD6043" s="162">
        <f t="shared" si="114"/>
        <v>0</v>
      </c>
      <c r="AE6043" s="160">
        <v>6041</v>
      </c>
    </row>
    <row r="6044" spans="27:31" x14ac:dyDescent="0.25">
      <c r="AA6044" s="160"/>
      <c r="AB6044" s="162"/>
      <c r="AC6044" s="162"/>
      <c r="AD6044" s="162">
        <f t="shared" si="114"/>
        <v>0</v>
      </c>
      <c r="AE6044" s="160">
        <v>6042</v>
      </c>
    </row>
    <row r="6045" spans="27:31" x14ac:dyDescent="0.25">
      <c r="AA6045" s="160"/>
      <c r="AB6045" s="162"/>
      <c r="AC6045" s="162"/>
      <c r="AD6045" s="162">
        <f t="shared" si="114"/>
        <v>0</v>
      </c>
      <c r="AE6045" s="160">
        <v>6043</v>
      </c>
    </row>
    <row r="6046" spans="27:31" x14ac:dyDescent="0.25">
      <c r="AA6046" s="160"/>
      <c r="AB6046" s="162"/>
      <c r="AC6046" s="162"/>
      <c r="AD6046" s="162">
        <f t="shared" si="114"/>
        <v>0</v>
      </c>
      <c r="AE6046" s="160">
        <v>6044</v>
      </c>
    </row>
    <row r="6047" spans="27:31" x14ac:dyDescent="0.25">
      <c r="AA6047" s="160"/>
      <c r="AB6047" s="162"/>
      <c r="AC6047" s="162"/>
      <c r="AD6047" s="162">
        <f t="shared" si="114"/>
        <v>0</v>
      </c>
      <c r="AE6047" s="160">
        <v>6045</v>
      </c>
    </row>
    <row r="6048" spans="27:31" x14ac:dyDescent="0.25">
      <c r="AA6048" s="160"/>
      <c r="AB6048" s="162"/>
      <c r="AC6048" s="162"/>
      <c r="AD6048" s="162">
        <f t="shared" si="114"/>
        <v>0</v>
      </c>
      <c r="AE6048" s="160">
        <v>6046</v>
      </c>
    </row>
    <row r="6049" spans="27:31" x14ac:dyDescent="0.25">
      <c r="AA6049" s="160"/>
      <c r="AB6049" s="162"/>
      <c r="AC6049" s="162"/>
      <c r="AD6049" s="162">
        <f t="shared" si="114"/>
        <v>0</v>
      </c>
      <c r="AE6049" s="160">
        <v>6047</v>
      </c>
    </row>
    <row r="6050" spans="27:31" x14ac:dyDescent="0.25">
      <c r="AA6050" s="160"/>
      <c r="AB6050" s="162"/>
      <c r="AC6050" s="162"/>
      <c r="AD6050" s="162">
        <f t="shared" si="114"/>
        <v>0</v>
      </c>
      <c r="AE6050" s="160">
        <v>6048</v>
      </c>
    </row>
    <row r="6051" spans="27:31" x14ac:dyDescent="0.25">
      <c r="AA6051" s="160"/>
      <c r="AB6051" s="162"/>
      <c r="AC6051" s="162"/>
      <c r="AD6051" s="162">
        <f t="shared" si="114"/>
        <v>0</v>
      </c>
      <c r="AE6051" s="160">
        <v>6049</v>
      </c>
    </row>
    <row r="6052" spans="27:31" x14ac:dyDescent="0.25">
      <c r="AA6052" s="160"/>
      <c r="AB6052" s="162"/>
      <c r="AC6052" s="162"/>
      <c r="AD6052" s="162">
        <f t="shared" si="114"/>
        <v>0</v>
      </c>
      <c r="AE6052" s="160">
        <v>6050</v>
      </c>
    </row>
    <row r="6053" spans="27:31" x14ac:dyDescent="0.25">
      <c r="AA6053" s="160"/>
      <c r="AB6053" s="162"/>
      <c r="AC6053" s="162"/>
      <c r="AD6053" s="162">
        <f t="shared" si="114"/>
        <v>0</v>
      </c>
      <c r="AE6053" s="160">
        <v>6051</v>
      </c>
    </row>
    <row r="6054" spans="27:31" x14ac:dyDescent="0.25">
      <c r="AA6054" s="160"/>
      <c r="AB6054" s="162"/>
      <c r="AC6054" s="162"/>
      <c r="AD6054" s="162">
        <f t="shared" si="114"/>
        <v>0</v>
      </c>
      <c r="AE6054" s="160">
        <v>6052</v>
      </c>
    </row>
    <row r="6055" spans="27:31" x14ac:dyDescent="0.25">
      <c r="AA6055" s="160"/>
      <c r="AB6055" s="162"/>
      <c r="AC6055" s="162"/>
      <c r="AD6055" s="162">
        <f t="shared" si="114"/>
        <v>0</v>
      </c>
      <c r="AE6055" s="160">
        <v>6053</v>
      </c>
    </row>
    <row r="6056" spans="27:31" x14ac:dyDescent="0.25">
      <c r="AA6056" s="160"/>
      <c r="AB6056" s="162"/>
      <c r="AC6056" s="162"/>
      <c r="AD6056" s="162">
        <f t="shared" si="114"/>
        <v>0</v>
      </c>
      <c r="AE6056" s="160">
        <v>6054</v>
      </c>
    </row>
    <row r="6057" spans="27:31" x14ac:dyDescent="0.25">
      <c r="AA6057" s="160"/>
      <c r="AB6057" s="162"/>
      <c r="AC6057" s="162"/>
      <c r="AD6057" s="162">
        <f t="shared" si="114"/>
        <v>0</v>
      </c>
      <c r="AE6057" s="160">
        <v>6055</v>
      </c>
    </row>
    <row r="6058" spans="27:31" x14ac:dyDescent="0.25">
      <c r="AA6058" s="160"/>
      <c r="AB6058" s="162"/>
      <c r="AC6058" s="162"/>
      <c r="AD6058" s="162">
        <f t="shared" si="114"/>
        <v>0</v>
      </c>
      <c r="AE6058" s="160">
        <v>6056</v>
      </c>
    </row>
    <row r="6059" spans="27:31" x14ac:dyDescent="0.25">
      <c r="AA6059" s="160"/>
      <c r="AB6059" s="162"/>
      <c r="AC6059" s="162"/>
      <c r="AD6059" s="162">
        <f t="shared" si="114"/>
        <v>0</v>
      </c>
      <c r="AE6059" s="160">
        <v>6057</v>
      </c>
    </row>
    <row r="6060" spans="27:31" x14ac:dyDescent="0.25">
      <c r="AA6060" s="160"/>
      <c r="AB6060" s="162"/>
      <c r="AC6060" s="162"/>
      <c r="AD6060" s="162">
        <f t="shared" si="114"/>
        <v>0</v>
      </c>
      <c r="AE6060" s="160">
        <v>6058</v>
      </c>
    </row>
    <row r="6061" spans="27:31" x14ac:dyDescent="0.25">
      <c r="AA6061" s="160"/>
      <c r="AB6061" s="162"/>
      <c r="AC6061" s="162"/>
      <c r="AD6061" s="162">
        <f t="shared" si="114"/>
        <v>0</v>
      </c>
      <c r="AE6061" s="160">
        <v>6059</v>
      </c>
    </row>
    <row r="6062" spans="27:31" x14ac:dyDescent="0.25">
      <c r="AA6062" s="160"/>
      <c r="AB6062" s="162"/>
      <c r="AC6062" s="162"/>
      <c r="AD6062" s="162">
        <f t="shared" si="114"/>
        <v>0</v>
      </c>
      <c r="AE6062" s="160">
        <v>6060</v>
      </c>
    </row>
    <row r="6063" spans="27:31" x14ac:dyDescent="0.25">
      <c r="AA6063" s="160"/>
      <c r="AB6063" s="162"/>
      <c r="AC6063" s="162"/>
      <c r="AD6063" s="162">
        <f t="shared" si="114"/>
        <v>0</v>
      </c>
      <c r="AE6063" s="160">
        <v>6061</v>
      </c>
    </row>
    <row r="6064" spans="27:31" x14ac:dyDescent="0.25">
      <c r="AA6064" s="160"/>
      <c r="AB6064" s="162"/>
      <c r="AC6064" s="162"/>
      <c r="AD6064" s="162">
        <f t="shared" si="114"/>
        <v>0</v>
      </c>
      <c r="AE6064" s="160">
        <v>6062</v>
      </c>
    </row>
    <row r="6065" spans="27:31" x14ac:dyDescent="0.25">
      <c r="AA6065" s="160"/>
      <c r="AB6065" s="162"/>
      <c r="AC6065" s="162"/>
      <c r="AD6065" s="162">
        <f t="shared" si="114"/>
        <v>0</v>
      </c>
      <c r="AE6065" s="160">
        <v>6063</v>
      </c>
    </row>
    <row r="6066" spans="27:31" x14ac:dyDescent="0.25">
      <c r="AA6066" s="160"/>
      <c r="AB6066" s="162"/>
      <c r="AC6066" s="162"/>
      <c r="AD6066" s="162">
        <f t="shared" si="114"/>
        <v>0</v>
      </c>
      <c r="AE6066" s="160">
        <v>6064</v>
      </c>
    </row>
    <row r="6067" spans="27:31" x14ac:dyDescent="0.25">
      <c r="AA6067" s="160"/>
      <c r="AB6067" s="162"/>
      <c r="AC6067" s="162"/>
      <c r="AD6067" s="162">
        <f t="shared" si="114"/>
        <v>0</v>
      </c>
      <c r="AE6067" s="160">
        <v>6065</v>
      </c>
    </row>
    <row r="6068" spans="27:31" x14ac:dyDescent="0.25">
      <c r="AA6068" s="160"/>
      <c r="AB6068" s="162"/>
      <c r="AC6068" s="162"/>
      <c r="AD6068" s="162">
        <f t="shared" si="114"/>
        <v>0</v>
      </c>
      <c r="AE6068" s="160">
        <v>6066</v>
      </c>
    </row>
    <row r="6069" spans="27:31" x14ac:dyDescent="0.25">
      <c r="AA6069" s="160"/>
      <c r="AB6069" s="162"/>
      <c r="AC6069" s="162"/>
      <c r="AD6069" s="162">
        <f t="shared" si="114"/>
        <v>0</v>
      </c>
      <c r="AE6069" s="160">
        <v>6067</v>
      </c>
    </row>
    <row r="6070" spans="27:31" x14ac:dyDescent="0.25">
      <c r="AA6070" s="160"/>
      <c r="AB6070" s="162"/>
      <c r="AC6070" s="162"/>
      <c r="AD6070" s="162">
        <f t="shared" si="114"/>
        <v>0</v>
      </c>
      <c r="AE6070" s="160">
        <v>6068</v>
      </c>
    </row>
    <row r="6071" spans="27:31" x14ac:dyDescent="0.25">
      <c r="AA6071" s="160"/>
      <c r="AB6071" s="162"/>
      <c r="AC6071" s="162"/>
      <c r="AD6071" s="162">
        <f t="shared" si="114"/>
        <v>0</v>
      </c>
      <c r="AE6071" s="160">
        <v>6069</v>
      </c>
    </row>
    <row r="6072" spans="27:31" x14ac:dyDescent="0.25">
      <c r="AA6072" s="160"/>
      <c r="AB6072" s="162"/>
      <c r="AC6072" s="162"/>
      <c r="AD6072" s="162">
        <f t="shared" si="114"/>
        <v>0</v>
      </c>
      <c r="AE6072" s="160">
        <v>6070</v>
      </c>
    </row>
    <row r="6073" spans="27:31" x14ac:dyDescent="0.25">
      <c r="AA6073" s="160"/>
      <c r="AB6073" s="162"/>
      <c r="AC6073" s="162"/>
      <c r="AD6073" s="162">
        <f t="shared" si="114"/>
        <v>0</v>
      </c>
      <c r="AE6073" s="160">
        <v>6071</v>
      </c>
    </row>
    <row r="6074" spans="27:31" x14ac:dyDescent="0.25">
      <c r="AA6074" s="160"/>
      <c r="AB6074" s="162"/>
      <c r="AC6074" s="162"/>
      <c r="AD6074" s="162">
        <f t="shared" si="114"/>
        <v>0</v>
      </c>
      <c r="AE6074" s="160">
        <v>6072</v>
      </c>
    </row>
    <row r="6075" spans="27:31" x14ac:dyDescent="0.25">
      <c r="AA6075" s="160"/>
      <c r="AB6075" s="162"/>
      <c r="AC6075" s="162"/>
      <c r="AD6075" s="162">
        <f t="shared" si="114"/>
        <v>0</v>
      </c>
      <c r="AE6075" s="160">
        <v>6073</v>
      </c>
    </row>
    <row r="6076" spans="27:31" x14ac:dyDescent="0.25">
      <c r="AA6076" s="160"/>
      <c r="AB6076" s="162"/>
      <c r="AC6076" s="162"/>
      <c r="AD6076" s="162">
        <f t="shared" si="114"/>
        <v>0</v>
      </c>
      <c r="AE6076" s="160">
        <v>6074</v>
      </c>
    </row>
    <row r="6077" spans="27:31" x14ac:dyDescent="0.25">
      <c r="AA6077" s="160"/>
      <c r="AB6077" s="162"/>
      <c r="AC6077" s="162"/>
      <c r="AD6077" s="162">
        <f t="shared" si="114"/>
        <v>0</v>
      </c>
      <c r="AE6077" s="160">
        <v>6075</v>
      </c>
    </row>
    <row r="6078" spans="27:31" x14ac:dyDescent="0.25">
      <c r="AA6078" s="160"/>
      <c r="AB6078" s="162"/>
      <c r="AC6078" s="162"/>
      <c r="AD6078" s="162">
        <f t="shared" si="114"/>
        <v>0</v>
      </c>
      <c r="AE6078" s="160">
        <v>6076</v>
      </c>
    </row>
    <row r="6079" spans="27:31" x14ac:dyDescent="0.25">
      <c r="AA6079" s="160"/>
      <c r="AB6079" s="162"/>
      <c r="AC6079" s="162"/>
      <c r="AD6079" s="162">
        <f t="shared" si="114"/>
        <v>0</v>
      </c>
      <c r="AE6079" s="160">
        <v>6077</v>
      </c>
    </row>
    <row r="6080" spans="27:31" x14ac:dyDescent="0.25">
      <c r="AA6080" s="160"/>
      <c r="AB6080" s="162"/>
      <c r="AC6080" s="162"/>
      <c r="AD6080" s="162">
        <f t="shared" si="114"/>
        <v>0</v>
      </c>
      <c r="AE6080" s="160">
        <v>6078</v>
      </c>
    </row>
    <row r="6081" spans="27:31" x14ac:dyDescent="0.25">
      <c r="AA6081" s="160"/>
      <c r="AB6081" s="162"/>
      <c r="AC6081" s="162"/>
      <c r="AD6081" s="162">
        <f t="shared" si="114"/>
        <v>0</v>
      </c>
      <c r="AE6081" s="160">
        <v>6079</v>
      </c>
    </row>
    <row r="6082" spans="27:31" x14ac:dyDescent="0.25">
      <c r="AA6082" s="160"/>
      <c r="AB6082" s="162"/>
      <c r="AC6082" s="162"/>
      <c r="AD6082" s="162">
        <f t="shared" si="114"/>
        <v>0</v>
      </c>
      <c r="AE6082" s="160">
        <v>6080</v>
      </c>
    </row>
    <row r="6083" spans="27:31" x14ac:dyDescent="0.25">
      <c r="AA6083" s="160"/>
      <c r="AB6083" s="162"/>
      <c r="AC6083" s="162"/>
      <c r="AD6083" s="162">
        <f t="shared" si="114"/>
        <v>0</v>
      </c>
      <c r="AE6083" s="160">
        <v>6081</v>
      </c>
    </row>
    <row r="6084" spans="27:31" x14ac:dyDescent="0.25">
      <c r="AA6084" s="160"/>
      <c r="AB6084" s="162"/>
      <c r="AC6084" s="162"/>
      <c r="AD6084" s="162">
        <f t="shared" ref="AD6084:AD6147" si="115">AB6084+AC6084</f>
        <v>0</v>
      </c>
      <c r="AE6084" s="160">
        <v>6082</v>
      </c>
    </row>
    <row r="6085" spans="27:31" x14ac:dyDescent="0.25">
      <c r="AA6085" s="160"/>
      <c r="AB6085" s="162"/>
      <c r="AC6085" s="162"/>
      <c r="AD6085" s="162">
        <f t="shared" si="115"/>
        <v>0</v>
      </c>
      <c r="AE6085" s="160">
        <v>6083</v>
      </c>
    </row>
    <row r="6086" spans="27:31" x14ac:dyDescent="0.25">
      <c r="AA6086" s="160"/>
      <c r="AB6086" s="162"/>
      <c r="AC6086" s="162"/>
      <c r="AD6086" s="162">
        <f t="shared" si="115"/>
        <v>0</v>
      </c>
      <c r="AE6086" s="160">
        <v>6084</v>
      </c>
    </row>
    <row r="6087" spans="27:31" x14ac:dyDescent="0.25">
      <c r="AA6087" s="160"/>
      <c r="AB6087" s="162"/>
      <c r="AC6087" s="162"/>
      <c r="AD6087" s="162">
        <f t="shared" si="115"/>
        <v>0</v>
      </c>
      <c r="AE6087" s="160">
        <v>6085</v>
      </c>
    </row>
    <row r="6088" spans="27:31" x14ac:dyDescent="0.25">
      <c r="AA6088" s="160"/>
      <c r="AB6088" s="162"/>
      <c r="AC6088" s="162"/>
      <c r="AD6088" s="162">
        <f t="shared" si="115"/>
        <v>0</v>
      </c>
      <c r="AE6088" s="160">
        <v>6086</v>
      </c>
    </row>
    <row r="6089" spans="27:31" x14ac:dyDescent="0.25">
      <c r="AA6089" s="160"/>
      <c r="AB6089" s="162"/>
      <c r="AC6089" s="162"/>
      <c r="AD6089" s="162">
        <f t="shared" si="115"/>
        <v>0</v>
      </c>
      <c r="AE6089" s="160">
        <v>6087</v>
      </c>
    </row>
    <row r="6090" spans="27:31" x14ac:dyDescent="0.25">
      <c r="AA6090" s="160"/>
      <c r="AB6090" s="162"/>
      <c r="AC6090" s="162"/>
      <c r="AD6090" s="162">
        <f t="shared" si="115"/>
        <v>0</v>
      </c>
      <c r="AE6090" s="160">
        <v>6088</v>
      </c>
    </row>
    <row r="6091" spans="27:31" x14ac:dyDescent="0.25">
      <c r="AA6091" s="160"/>
      <c r="AB6091" s="162"/>
      <c r="AC6091" s="162"/>
      <c r="AD6091" s="162">
        <f t="shared" si="115"/>
        <v>0</v>
      </c>
      <c r="AE6091" s="160">
        <v>6089</v>
      </c>
    </row>
    <row r="6092" spans="27:31" x14ac:dyDescent="0.25">
      <c r="AA6092" s="160"/>
      <c r="AB6092" s="162"/>
      <c r="AC6092" s="162"/>
      <c r="AD6092" s="162">
        <f t="shared" si="115"/>
        <v>0</v>
      </c>
      <c r="AE6092" s="160">
        <v>6090</v>
      </c>
    </row>
    <row r="6093" spans="27:31" x14ac:dyDescent="0.25">
      <c r="AA6093" s="160"/>
      <c r="AB6093" s="162"/>
      <c r="AC6093" s="162"/>
      <c r="AD6093" s="162">
        <f t="shared" si="115"/>
        <v>0</v>
      </c>
      <c r="AE6093" s="160">
        <v>6091</v>
      </c>
    </row>
    <row r="6094" spans="27:31" x14ac:dyDescent="0.25">
      <c r="AA6094" s="160"/>
      <c r="AB6094" s="162"/>
      <c r="AC6094" s="162"/>
      <c r="AD6094" s="162">
        <f t="shared" si="115"/>
        <v>0</v>
      </c>
      <c r="AE6094" s="160">
        <v>6092</v>
      </c>
    </row>
    <row r="6095" spans="27:31" x14ac:dyDescent="0.25">
      <c r="AA6095" s="160"/>
      <c r="AB6095" s="162"/>
      <c r="AC6095" s="162"/>
      <c r="AD6095" s="162">
        <f t="shared" si="115"/>
        <v>0</v>
      </c>
      <c r="AE6095" s="160">
        <v>6093</v>
      </c>
    </row>
    <row r="6096" spans="27:31" x14ac:dyDescent="0.25">
      <c r="AA6096" s="160"/>
      <c r="AB6096" s="162"/>
      <c r="AC6096" s="162"/>
      <c r="AD6096" s="162">
        <f t="shared" si="115"/>
        <v>0</v>
      </c>
      <c r="AE6096" s="160">
        <v>6094</v>
      </c>
    </row>
    <row r="6097" spans="27:31" x14ac:dyDescent="0.25">
      <c r="AA6097" s="160"/>
      <c r="AB6097" s="162"/>
      <c r="AC6097" s="162"/>
      <c r="AD6097" s="162">
        <f t="shared" si="115"/>
        <v>0</v>
      </c>
      <c r="AE6097" s="160">
        <v>6095</v>
      </c>
    </row>
    <row r="6098" spans="27:31" x14ac:dyDescent="0.25">
      <c r="AA6098" s="160"/>
      <c r="AB6098" s="162"/>
      <c r="AC6098" s="162"/>
      <c r="AD6098" s="162">
        <f t="shared" si="115"/>
        <v>0</v>
      </c>
      <c r="AE6098" s="160">
        <v>6096</v>
      </c>
    </row>
    <row r="6099" spans="27:31" x14ac:dyDescent="0.25">
      <c r="AA6099" s="160"/>
      <c r="AB6099" s="162"/>
      <c r="AC6099" s="162"/>
      <c r="AD6099" s="162">
        <f t="shared" si="115"/>
        <v>0</v>
      </c>
      <c r="AE6099" s="160">
        <v>6097</v>
      </c>
    </row>
    <row r="6100" spans="27:31" x14ac:dyDescent="0.25">
      <c r="AA6100" s="160"/>
      <c r="AB6100" s="162"/>
      <c r="AC6100" s="162"/>
      <c r="AD6100" s="162">
        <f t="shared" si="115"/>
        <v>0</v>
      </c>
      <c r="AE6100" s="160">
        <v>6098</v>
      </c>
    </row>
    <row r="6101" spans="27:31" x14ac:dyDescent="0.25">
      <c r="AA6101" s="160"/>
      <c r="AB6101" s="162"/>
      <c r="AC6101" s="162"/>
      <c r="AD6101" s="162">
        <f t="shared" si="115"/>
        <v>0</v>
      </c>
      <c r="AE6101" s="160">
        <v>6099</v>
      </c>
    </row>
    <row r="6102" spans="27:31" x14ac:dyDescent="0.25">
      <c r="AA6102" s="160"/>
      <c r="AB6102" s="162"/>
      <c r="AC6102" s="162"/>
      <c r="AD6102" s="162">
        <f t="shared" si="115"/>
        <v>0</v>
      </c>
      <c r="AE6102" s="160">
        <v>6100</v>
      </c>
    </row>
    <row r="6103" spans="27:31" x14ac:dyDescent="0.25">
      <c r="AA6103" s="160"/>
      <c r="AB6103" s="162"/>
      <c r="AC6103" s="162"/>
      <c r="AD6103" s="162">
        <f t="shared" si="115"/>
        <v>0</v>
      </c>
      <c r="AE6103" s="160">
        <v>6101</v>
      </c>
    </row>
    <row r="6104" spans="27:31" x14ac:dyDescent="0.25">
      <c r="AA6104" s="160"/>
      <c r="AB6104" s="162"/>
      <c r="AC6104" s="162"/>
      <c r="AD6104" s="162">
        <f t="shared" si="115"/>
        <v>0</v>
      </c>
      <c r="AE6104" s="160">
        <v>6102</v>
      </c>
    </row>
    <row r="6105" spans="27:31" x14ac:dyDescent="0.25">
      <c r="AA6105" s="160"/>
      <c r="AB6105" s="162"/>
      <c r="AC6105" s="162"/>
      <c r="AD6105" s="162">
        <f t="shared" si="115"/>
        <v>0</v>
      </c>
      <c r="AE6105" s="160">
        <v>6103</v>
      </c>
    </row>
    <row r="6106" spans="27:31" x14ac:dyDescent="0.25">
      <c r="AA6106" s="160"/>
      <c r="AB6106" s="162"/>
      <c r="AC6106" s="162"/>
      <c r="AD6106" s="162">
        <f t="shared" si="115"/>
        <v>0</v>
      </c>
      <c r="AE6106" s="160">
        <v>6104</v>
      </c>
    </row>
    <row r="6107" spans="27:31" x14ac:dyDescent="0.25">
      <c r="AA6107" s="160"/>
      <c r="AB6107" s="162"/>
      <c r="AC6107" s="162"/>
      <c r="AD6107" s="162">
        <f t="shared" si="115"/>
        <v>0</v>
      </c>
      <c r="AE6107" s="160">
        <v>6105</v>
      </c>
    </row>
    <row r="6108" spans="27:31" x14ac:dyDescent="0.25">
      <c r="AA6108" s="160"/>
      <c r="AB6108" s="162"/>
      <c r="AC6108" s="162"/>
      <c r="AD6108" s="162">
        <f t="shared" si="115"/>
        <v>0</v>
      </c>
      <c r="AE6108" s="160">
        <v>6106</v>
      </c>
    </row>
    <row r="6109" spans="27:31" x14ac:dyDescent="0.25">
      <c r="AA6109" s="160"/>
      <c r="AB6109" s="162"/>
      <c r="AC6109" s="162"/>
      <c r="AD6109" s="162">
        <f t="shared" si="115"/>
        <v>0</v>
      </c>
      <c r="AE6109" s="160">
        <v>6107</v>
      </c>
    </row>
    <row r="6110" spans="27:31" x14ac:dyDescent="0.25">
      <c r="AA6110" s="160"/>
      <c r="AB6110" s="162"/>
      <c r="AC6110" s="162"/>
      <c r="AD6110" s="162">
        <f t="shared" si="115"/>
        <v>0</v>
      </c>
      <c r="AE6110" s="160">
        <v>6108</v>
      </c>
    </row>
    <row r="6111" spans="27:31" x14ac:dyDescent="0.25">
      <c r="AA6111" s="160"/>
      <c r="AB6111" s="162"/>
      <c r="AC6111" s="162"/>
      <c r="AD6111" s="162">
        <f t="shared" si="115"/>
        <v>0</v>
      </c>
      <c r="AE6111" s="160">
        <v>6109</v>
      </c>
    </row>
    <row r="6112" spans="27:31" x14ac:dyDescent="0.25">
      <c r="AA6112" s="160"/>
      <c r="AB6112" s="162"/>
      <c r="AC6112" s="162"/>
      <c r="AD6112" s="162">
        <f t="shared" si="115"/>
        <v>0</v>
      </c>
      <c r="AE6112" s="160">
        <v>6110</v>
      </c>
    </row>
    <row r="6113" spans="27:31" x14ac:dyDescent="0.25">
      <c r="AA6113" s="160"/>
      <c r="AB6113" s="162"/>
      <c r="AC6113" s="162"/>
      <c r="AD6113" s="162">
        <f t="shared" si="115"/>
        <v>0</v>
      </c>
      <c r="AE6113" s="160">
        <v>6111</v>
      </c>
    </row>
    <row r="6114" spans="27:31" x14ac:dyDescent="0.25">
      <c r="AA6114" s="160"/>
      <c r="AB6114" s="162"/>
      <c r="AC6114" s="162"/>
      <c r="AD6114" s="162">
        <f t="shared" si="115"/>
        <v>0</v>
      </c>
      <c r="AE6114" s="160">
        <v>6112</v>
      </c>
    </row>
    <row r="6115" spans="27:31" x14ac:dyDescent="0.25">
      <c r="AA6115" s="160"/>
      <c r="AB6115" s="162"/>
      <c r="AC6115" s="162"/>
      <c r="AD6115" s="162">
        <f t="shared" si="115"/>
        <v>0</v>
      </c>
      <c r="AE6115" s="160">
        <v>6113</v>
      </c>
    </row>
    <row r="6116" spans="27:31" x14ac:dyDescent="0.25">
      <c r="AA6116" s="160"/>
      <c r="AB6116" s="162"/>
      <c r="AC6116" s="162"/>
      <c r="AD6116" s="162">
        <f t="shared" si="115"/>
        <v>0</v>
      </c>
      <c r="AE6116" s="160">
        <v>6114</v>
      </c>
    </row>
    <row r="6117" spans="27:31" x14ac:dyDescent="0.25">
      <c r="AA6117" s="160"/>
      <c r="AB6117" s="162"/>
      <c r="AC6117" s="162"/>
      <c r="AD6117" s="162">
        <f t="shared" si="115"/>
        <v>0</v>
      </c>
      <c r="AE6117" s="160">
        <v>6115</v>
      </c>
    </row>
    <row r="6118" spans="27:31" x14ac:dyDescent="0.25">
      <c r="AA6118" s="160"/>
      <c r="AB6118" s="162"/>
      <c r="AC6118" s="162"/>
      <c r="AD6118" s="162">
        <f t="shared" si="115"/>
        <v>0</v>
      </c>
      <c r="AE6118" s="160">
        <v>6116</v>
      </c>
    </row>
    <row r="6119" spans="27:31" x14ac:dyDescent="0.25">
      <c r="AA6119" s="160"/>
      <c r="AB6119" s="162"/>
      <c r="AC6119" s="162"/>
      <c r="AD6119" s="162">
        <f t="shared" si="115"/>
        <v>0</v>
      </c>
      <c r="AE6119" s="160">
        <v>6117</v>
      </c>
    </row>
    <row r="6120" spans="27:31" x14ac:dyDescent="0.25">
      <c r="AA6120" s="160"/>
      <c r="AB6120" s="162"/>
      <c r="AC6120" s="162"/>
      <c r="AD6120" s="162">
        <f t="shared" si="115"/>
        <v>0</v>
      </c>
      <c r="AE6120" s="160">
        <v>6118</v>
      </c>
    </row>
    <row r="6121" spans="27:31" x14ac:dyDescent="0.25">
      <c r="AA6121" s="160"/>
      <c r="AB6121" s="162"/>
      <c r="AC6121" s="162"/>
      <c r="AD6121" s="162">
        <f t="shared" si="115"/>
        <v>0</v>
      </c>
      <c r="AE6121" s="160">
        <v>6119</v>
      </c>
    </row>
    <row r="6122" spans="27:31" x14ac:dyDescent="0.25">
      <c r="AA6122" s="160"/>
      <c r="AB6122" s="162"/>
      <c r="AC6122" s="162"/>
      <c r="AD6122" s="162">
        <f t="shared" si="115"/>
        <v>0</v>
      </c>
      <c r="AE6122" s="160">
        <v>6120</v>
      </c>
    </row>
    <row r="6123" spans="27:31" x14ac:dyDescent="0.25">
      <c r="AA6123" s="160"/>
      <c r="AB6123" s="162"/>
      <c r="AC6123" s="162"/>
      <c r="AD6123" s="162">
        <f t="shared" si="115"/>
        <v>0</v>
      </c>
      <c r="AE6123" s="160">
        <v>6121</v>
      </c>
    </row>
    <row r="6124" spans="27:31" x14ac:dyDescent="0.25">
      <c r="AA6124" s="160"/>
      <c r="AB6124" s="162"/>
      <c r="AC6124" s="162"/>
      <c r="AD6124" s="162">
        <f t="shared" si="115"/>
        <v>0</v>
      </c>
      <c r="AE6124" s="160">
        <v>6122</v>
      </c>
    </row>
    <row r="6125" spans="27:31" x14ac:dyDescent="0.25">
      <c r="AA6125" s="160"/>
      <c r="AB6125" s="162"/>
      <c r="AC6125" s="162"/>
      <c r="AD6125" s="162">
        <f t="shared" si="115"/>
        <v>0</v>
      </c>
      <c r="AE6125" s="160">
        <v>6123</v>
      </c>
    </row>
    <row r="6126" spans="27:31" x14ac:dyDescent="0.25">
      <c r="AA6126" s="160"/>
      <c r="AB6126" s="162"/>
      <c r="AC6126" s="162"/>
      <c r="AD6126" s="162">
        <f t="shared" si="115"/>
        <v>0</v>
      </c>
      <c r="AE6126" s="160">
        <v>6124</v>
      </c>
    </row>
    <row r="6127" spans="27:31" x14ac:dyDescent="0.25">
      <c r="AA6127" s="160"/>
      <c r="AB6127" s="162"/>
      <c r="AC6127" s="162"/>
      <c r="AD6127" s="162">
        <f t="shared" si="115"/>
        <v>0</v>
      </c>
      <c r="AE6127" s="160">
        <v>6125</v>
      </c>
    </row>
    <row r="6128" spans="27:31" x14ac:dyDescent="0.25">
      <c r="AA6128" s="160"/>
      <c r="AB6128" s="162"/>
      <c r="AC6128" s="162"/>
      <c r="AD6128" s="162">
        <f t="shared" si="115"/>
        <v>0</v>
      </c>
      <c r="AE6128" s="160">
        <v>6126</v>
      </c>
    </row>
    <row r="6129" spans="27:31" x14ac:dyDescent="0.25">
      <c r="AA6129" s="160"/>
      <c r="AB6129" s="162"/>
      <c r="AC6129" s="162"/>
      <c r="AD6129" s="162">
        <f t="shared" si="115"/>
        <v>0</v>
      </c>
      <c r="AE6129" s="160">
        <v>6127</v>
      </c>
    </row>
    <row r="6130" spans="27:31" x14ac:dyDescent="0.25">
      <c r="AA6130" s="160"/>
      <c r="AB6130" s="162"/>
      <c r="AC6130" s="162"/>
      <c r="AD6130" s="162">
        <f t="shared" si="115"/>
        <v>0</v>
      </c>
      <c r="AE6130" s="160">
        <v>6128</v>
      </c>
    </row>
    <row r="6131" spans="27:31" x14ac:dyDescent="0.25">
      <c r="AA6131" s="160"/>
      <c r="AB6131" s="162"/>
      <c r="AC6131" s="162"/>
      <c r="AD6131" s="162">
        <f t="shared" si="115"/>
        <v>0</v>
      </c>
      <c r="AE6131" s="160">
        <v>6129</v>
      </c>
    </row>
    <row r="6132" spans="27:31" x14ac:dyDescent="0.25">
      <c r="AA6132" s="160"/>
      <c r="AB6132" s="162"/>
      <c r="AC6132" s="162"/>
      <c r="AD6132" s="162">
        <f t="shared" si="115"/>
        <v>0</v>
      </c>
      <c r="AE6132" s="160">
        <v>6130</v>
      </c>
    </row>
    <row r="6133" spans="27:31" x14ac:dyDescent="0.25">
      <c r="AA6133" s="160"/>
      <c r="AB6133" s="162"/>
      <c r="AC6133" s="162"/>
      <c r="AD6133" s="162">
        <f t="shared" si="115"/>
        <v>0</v>
      </c>
      <c r="AE6133" s="160">
        <v>6131</v>
      </c>
    </row>
    <row r="6134" spans="27:31" x14ac:dyDescent="0.25">
      <c r="AA6134" s="160"/>
      <c r="AB6134" s="162"/>
      <c r="AC6134" s="162"/>
      <c r="AD6134" s="162">
        <f t="shared" si="115"/>
        <v>0</v>
      </c>
      <c r="AE6134" s="160">
        <v>6132</v>
      </c>
    </row>
    <row r="6135" spans="27:31" x14ac:dyDescent="0.25">
      <c r="AA6135" s="160"/>
      <c r="AB6135" s="162"/>
      <c r="AC6135" s="162"/>
      <c r="AD6135" s="162">
        <f t="shared" si="115"/>
        <v>0</v>
      </c>
      <c r="AE6135" s="160">
        <v>6133</v>
      </c>
    </row>
    <row r="6136" spans="27:31" x14ac:dyDescent="0.25">
      <c r="AA6136" s="160"/>
      <c r="AB6136" s="162"/>
      <c r="AC6136" s="162"/>
      <c r="AD6136" s="162">
        <f t="shared" si="115"/>
        <v>0</v>
      </c>
      <c r="AE6136" s="160">
        <v>6134</v>
      </c>
    </row>
    <row r="6137" spans="27:31" x14ac:dyDescent="0.25">
      <c r="AA6137" s="160"/>
      <c r="AB6137" s="162"/>
      <c r="AC6137" s="162"/>
      <c r="AD6137" s="162">
        <f t="shared" si="115"/>
        <v>0</v>
      </c>
      <c r="AE6137" s="160">
        <v>6135</v>
      </c>
    </row>
    <row r="6138" spans="27:31" x14ac:dyDescent="0.25">
      <c r="AA6138" s="160"/>
      <c r="AB6138" s="162"/>
      <c r="AC6138" s="162"/>
      <c r="AD6138" s="162">
        <f t="shared" si="115"/>
        <v>0</v>
      </c>
      <c r="AE6138" s="160">
        <v>6136</v>
      </c>
    </row>
    <row r="6139" spans="27:31" x14ac:dyDescent="0.25">
      <c r="AA6139" s="160"/>
      <c r="AB6139" s="162"/>
      <c r="AC6139" s="162"/>
      <c r="AD6139" s="162">
        <f t="shared" si="115"/>
        <v>0</v>
      </c>
      <c r="AE6139" s="160">
        <v>6137</v>
      </c>
    </row>
    <row r="6140" spans="27:31" x14ac:dyDescent="0.25">
      <c r="AA6140" s="160"/>
      <c r="AB6140" s="162"/>
      <c r="AC6140" s="162"/>
      <c r="AD6140" s="162">
        <f t="shared" si="115"/>
        <v>0</v>
      </c>
      <c r="AE6140" s="160">
        <v>6138</v>
      </c>
    </row>
    <row r="6141" spans="27:31" x14ac:dyDescent="0.25">
      <c r="AA6141" s="160"/>
      <c r="AB6141" s="162"/>
      <c r="AC6141" s="162"/>
      <c r="AD6141" s="162">
        <f t="shared" si="115"/>
        <v>0</v>
      </c>
      <c r="AE6141" s="160">
        <v>6139</v>
      </c>
    </row>
    <row r="6142" spans="27:31" x14ac:dyDescent="0.25">
      <c r="AA6142" s="160"/>
      <c r="AB6142" s="162"/>
      <c r="AC6142" s="162"/>
      <c r="AD6142" s="162">
        <f t="shared" si="115"/>
        <v>0</v>
      </c>
      <c r="AE6142" s="160">
        <v>6140</v>
      </c>
    </row>
    <row r="6143" spans="27:31" x14ac:dyDescent="0.25">
      <c r="AA6143" s="160"/>
      <c r="AB6143" s="162"/>
      <c r="AC6143" s="162"/>
      <c r="AD6143" s="162">
        <f t="shared" si="115"/>
        <v>0</v>
      </c>
      <c r="AE6143" s="160">
        <v>6141</v>
      </c>
    </row>
    <row r="6144" spans="27:31" x14ac:dyDescent="0.25">
      <c r="AA6144" s="160"/>
      <c r="AB6144" s="162"/>
      <c r="AC6144" s="162"/>
      <c r="AD6144" s="162">
        <f t="shared" si="115"/>
        <v>0</v>
      </c>
      <c r="AE6144" s="160">
        <v>6142</v>
      </c>
    </row>
    <row r="6145" spans="27:31" x14ac:dyDescent="0.25">
      <c r="AA6145" s="160"/>
      <c r="AB6145" s="162"/>
      <c r="AC6145" s="162"/>
      <c r="AD6145" s="162">
        <f t="shared" si="115"/>
        <v>0</v>
      </c>
      <c r="AE6145" s="160">
        <v>6143</v>
      </c>
    </row>
    <row r="6146" spans="27:31" x14ac:dyDescent="0.25">
      <c r="AA6146" s="160"/>
      <c r="AB6146" s="162"/>
      <c r="AC6146" s="162"/>
      <c r="AD6146" s="162">
        <f t="shared" si="115"/>
        <v>0</v>
      </c>
      <c r="AE6146" s="160">
        <v>6144</v>
      </c>
    </row>
    <row r="6147" spans="27:31" x14ac:dyDescent="0.25">
      <c r="AA6147" s="160"/>
      <c r="AB6147" s="162"/>
      <c r="AC6147" s="162"/>
      <c r="AD6147" s="162">
        <f t="shared" si="115"/>
        <v>0</v>
      </c>
      <c r="AE6147" s="160">
        <v>6145</v>
      </c>
    </row>
    <row r="6148" spans="27:31" x14ac:dyDescent="0.25">
      <c r="AA6148" s="160"/>
      <c r="AB6148" s="162"/>
      <c r="AC6148" s="162"/>
      <c r="AD6148" s="162">
        <f t="shared" ref="AD6148:AD6211" si="116">AB6148+AC6148</f>
        <v>0</v>
      </c>
      <c r="AE6148" s="160">
        <v>6146</v>
      </c>
    </row>
    <row r="6149" spans="27:31" x14ac:dyDescent="0.25">
      <c r="AA6149" s="160"/>
      <c r="AB6149" s="162"/>
      <c r="AC6149" s="162"/>
      <c r="AD6149" s="162">
        <f t="shared" si="116"/>
        <v>0</v>
      </c>
      <c r="AE6149" s="160">
        <v>6147</v>
      </c>
    </row>
    <row r="6150" spans="27:31" x14ac:dyDescent="0.25">
      <c r="AA6150" s="160"/>
      <c r="AB6150" s="162"/>
      <c r="AC6150" s="162"/>
      <c r="AD6150" s="162">
        <f t="shared" si="116"/>
        <v>0</v>
      </c>
      <c r="AE6150" s="160">
        <v>6148</v>
      </c>
    </row>
    <row r="6151" spans="27:31" x14ac:dyDescent="0.25">
      <c r="AA6151" s="160"/>
      <c r="AB6151" s="162"/>
      <c r="AC6151" s="162"/>
      <c r="AD6151" s="162">
        <f t="shared" si="116"/>
        <v>0</v>
      </c>
      <c r="AE6151" s="160">
        <v>6149</v>
      </c>
    </row>
    <row r="6152" spans="27:31" x14ac:dyDescent="0.25">
      <c r="AA6152" s="160"/>
      <c r="AB6152" s="162"/>
      <c r="AC6152" s="162"/>
      <c r="AD6152" s="162">
        <f t="shared" si="116"/>
        <v>0</v>
      </c>
      <c r="AE6152" s="160">
        <v>6150</v>
      </c>
    </row>
    <row r="6153" spans="27:31" x14ac:dyDescent="0.25">
      <c r="AA6153" s="160"/>
      <c r="AB6153" s="162"/>
      <c r="AC6153" s="162"/>
      <c r="AD6153" s="162">
        <f t="shared" si="116"/>
        <v>0</v>
      </c>
      <c r="AE6153" s="160">
        <v>6151</v>
      </c>
    </row>
    <row r="6154" spans="27:31" x14ac:dyDescent="0.25">
      <c r="AA6154" s="160"/>
      <c r="AB6154" s="162"/>
      <c r="AC6154" s="162"/>
      <c r="AD6154" s="162">
        <f t="shared" si="116"/>
        <v>0</v>
      </c>
      <c r="AE6154" s="160">
        <v>6152</v>
      </c>
    </row>
    <row r="6155" spans="27:31" x14ac:dyDescent="0.25">
      <c r="AA6155" s="160"/>
      <c r="AB6155" s="162"/>
      <c r="AC6155" s="162"/>
      <c r="AD6155" s="162">
        <f t="shared" si="116"/>
        <v>0</v>
      </c>
      <c r="AE6155" s="160">
        <v>6153</v>
      </c>
    </row>
    <row r="6156" spans="27:31" x14ac:dyDescent="0.25">
      <c r="AA6156" s="160"/>
      <c r="AB6156" s="162"/>
      <c r="AC6156" s="162"/>
      <c r="AD6156" s="162">
        <f t="shared" si="116"/>
        <v>0</v>
      </c>
      <c r="AE6156" s="160">
        <v>6154</v>
      </c>
    </row>
    <row r="6157" spans="27:31" x14ac:dyDescent="0.25">
      <c r="AA6157" s="160"/>
      <c r="AB6157" s="162"/>
      <c r="AC6157" s="162"/>
      <c r="AD6157" s="162">
        <f t="shared" si="116"/>
        <v>0</v>
      </c>
      <c r="AE6157" s="160">
        <v>6155</v>
      </c>
    </row>
    <row r="6158" spans="27:31" x14ac:dyDescent="0.25">
      <c r="AA6158" s="160"/>
      <c r="AB6158" s="162"/>
      <c r="AC6158" s="162"/>
      <c r="AD6158" s="162">
        <f t="shared" si="116"/>
        <v>0</v>
      </c>
      <c r="AE6158" s="160">
        <v>6156</v>
      </c>
    </row>
    <row r="6159" spans="27:31" x14ac:dyDescent="0.25">
      <c r="AA6159" s="160"/>
      <c r="AB6159" s="162"/>
      <c r="AC6159" s="162"/>
      <c r="AD6159" s="162">
        <f t="shared" si="116"/>
        <v>0</v>
      </c>
      <c r="AE6159" s="160">
        <v>6157</v>
      </c>
    </row>
    <row r="6160" spans="27:31" x14ac:dyDescent="0.25">
      <c r="AA6160" s="160"/>
      <c r="AB6160" s="162"/>
      <c r="AC6160" s="162"/>
      <c r="AD6160" s="162">
        <f t="shared" si="116"/>
        <v>0</v>
      </c>
      <c r="AE6160" s="160">
        <v>6158</v>
      </c>
    </row>
    <row r="6161" spans="27:31" x14ac:dyDescent="0.25">
      <c r="AA6161" s="160"/>
      <c r="AB6161" s="162"/>
      <c r="AC6161" s="162"/>
      <c r="AD6161" s="162">
        <f t="shared" si="116"/>
        <v>0</v>
      </c>
      <c r="AE6161" s="160">
        <v>6159</v>
      </c>
    </row>
    <row r="6162" spans="27:31" x14ac:dyDescent="0.25">
      <c r="AA6162" s="160"/>
      <c r="AB6162" s="162"/>
      <c r="AC6162" s="162"/>
      <c r="AD6162" s="162">
        <f t="shared" si="116"/>
        <v>0</v>
      </c>
      <c r="AE6162" s="160">
        <v>6160</v>
      </c>
    </row>
    <row r="6163" spans="27:31" x14ac:dyDescent="0.25">
      <c r="AA6163" s="160"/>
      <c r="AB6163" s="162"/>
      <c r="AC6163" s="162"/>
      <c r="AD6163" s="162">
        <f t="shared" si="116"/>
        <v>0</v>
      </c>
      <c r="AE6163" s="160">
        <v>6161</v>
      </c>
    </row>
    <row r="6164" spans="27:31" x14ac:dyDescent="0.25">
      <c r="AA6164" s="160"/>
      <c r="AB6164" s="162"/>
      <c r="AC6164" s="162"/>
      <c r="AD6164" s="162">
        <f t="shared" si="116"/>
        <v>0</v>
      </c>
      <c r="AE6164" s="160">
        <v>6162</v>
      </c>
    </row>
    <row r="6165" spans="27:31" x14ac:dyDescent="0.25">
      <c r="AA6165" s="160"/>
      <c r="AB6165" s="162"/>
      <c r="AC6165" s="162"/>
      <c r="AD6165" s="162">
        <f t="shared" si="116"/>
        <v>0</v>
      </c>
      <c r="AE6165" s="160">
        <v>6163</v>
      </c>
    </row>
    <row r="6166" spans="27:31" x14ac:dyDescent="0.25">
      <c r="AA6166" s="160"/>
      <c r="AB6166" s="162"/>
      <c r="AC6166" s="162"/>
      <c r="AD6166" s="162">
        <f t="shared" si="116"/>
        <v>0</v>
      </c>
      <c r="AE6166" s="160">
        <v>6164</v>
      </c>
    </row>
    <row r="6167" spans="27:31" x14ac:dyDescent="0.25">
      <c r="AA6167" s="160"/>
      <c r="AB6167" s="162"/>
      <c r="AC6167" s="162"/>
      <c r="AD6167" s="162">
        <f t="shared" si="116"/>
        <v>0</v>
      </c>
      <c r="AE6167" s="160">
        <v>6165</v>
      </c>
    </row>
    <row r="6168" spans="27:31" x14ac:dyDescent="0.25">
      <c r="AA6168" s="160"/>
      <c r="AB6168" s="162"/>
      <c r="AC6168" s="162"/>
      <c r="AD6168" s="162">
        <f t="shared" si="116"/>
        <v>0</v>
      </c>
      <c r="AE6168" s="160">
        <v>6166</v>
      </c>
    </row>
    <row r="6169" spans="27:31" x14ac:dyDescent="0.25">
      <c r="AA6169" s="160"/>
      <c r="AB6169" s="162"/>
      <c r="AC6169" s="162"/>
      <c r="AD6169" s="162">
        <f t="shared" si="116"/>
        <v>0</v>
      </c>
      <c r="AE6169" s="160">
        <v>6167</v>
      </c>
    </row>
    <row r="6170" spans="27:31" x14ac:dyDescent="0.25">
      <c r="AA6170" s="160"/>
      <c r="AB6170" s="162"/>
      <c r="AC6170" s="162"/>
      <c r="AD6170" s="162">
        <f t="shared" si="116"/>
        <v>0</v>
      </c>
      <c r="AE6170" s="160">
        <v>6168</v>
      </c>
    </row>
    <row r="6171" spans="27:31" x14ac:dyDescent="0.25">
      <c r="AA6171" s="160"/>
      <c r="AB6171" s="162"/>
      <c r="AC6171" s="162"/>
      <c r="AD6171" s="162">
        <f t="shared" si="116"/>
        <v>0</v>
      </c>
      <c r="AE6171" s="160">
        <v>6169</v>
      </c>
    </row>
    <row r="6172" spans="27:31" x14ac:dyDescent="0.25">
      <c r="AA6172" s="160"/>
      <c r="AB6172" s="162"/>
      <c r="AC6172" s="162"/>
      <c r="AD6172" s="162">
        <f t="shared" si="116"/>
        <v>0</v>
      </c>
      <c r="AE6172" s="160">
        <v>6170</v>
      </c>
    </row>
    <row r="6173" spans="27:31" x14ac:dyDescent="0.25">
      <c r="AA6173" s="160"/>
      <c r="AB6173" s="162"/>
      <c r="AC6173" s="162"/>
      <c r="AD6173" s="162">
        <f t="shared" si="116"/>
        <v>0</v>
      </c>
      <c r="AE6173" s="160">
        <v>6171</v>
      </c>
    </row>
    <row r="6174" spans="27:31" x14ac:dyDescent="0.25">
      <c r="AA6174" s="160"/>
      <c r="AB6174" s="162"/>
      <c r="AC6174" s="162"/>
      <c r="AD6174" s="162">
        <f t="shared" si="116"/>
        <v>0</v>
      </c>
      <c r="AE6174" s="160">
        <v>6172</v>
      </c>
    </row>
    <row r="6175" spans="27:31" x14ac:dyDescent="0.25">
      <c r="AA6175" s="160"/>
      <c r="AB6175" s="162"/>
      <c r="AC6175" s="162"/>
      <c r="AD6175" s="162">
        <f t="shared" si="116"/>
        <v>0</v>
      </c>
      <c r="AE6175" s="160">
        <v>6173</v>
      </c>
    </row>
    <row r="6176" spans="27:31" x14ac:dyDescent="0.25">
      <c r="AA6176" s="160"/>
      <c r="AB6176" s="162"/>
      <c r="AC6176" s="162"/>
      <c r="AD6176" s="162">
        <f t="shared" si="116"/>
        <v>0</v>
      </c>
      <c r="AE6176" s="160">
        <v>6174</v>
      </c>
    </row>
    <row r="6177" spans="27:31" x14ac:dyDescent="0.25">
      <c r="AA6177" s="160"/>
      <c r="AB6177" s="162"/>
      <c r="AC6177" s="162"/>
      <c r="AD6177" s="162">
        <f t="shared" si="116"/>
        <v>0</v>
      </c>
      <c r="AE6177" s="160">
        <v>6175</v>
      </c>
    </row>
    <row r="6178" spans="27:31" x14ac:dyDescent="0.25">
      <c r="AA6178" s="160"/>
      <c r="AB6178" s="162"/>
      <c r="AC6178" s="162"/>
      <c r="AD6178" s="162">
        <f t="shared" si="116"/>
        <v>0</v>
      </c>
      <c r="AE6178" s="160">
        <v>6176</v>
      </c>
    </row>
    <row r="6179" spans="27:31" x14ac:dyDescent="0.25">
      <c r="AA6179" s="160"/>
      <c r="AB6179" s="162"/>
      <c r="AC6179" s="162"/>
      <c r="AD6179" s="162">
        <f t="shared" si="116"/>
        <v>0</v>
      </c>
      <c r="AE6179" s="160">
        <v>6177</v>
      </c>
    </row>
    <row r="6180" spans="27:31" x14ac:dyDescent="0.25">
      <c r="AA6180" s="160"/>
      <c r="AB6180" s="162"/>
      <c r="AC6180" s="162"/>
      <c r="AD6180" s="162">
        <f t="shared" si="116"/>
        <v>0</v>
      </c>
      <c r="AE6180" s="160">
        <v>6178</v>
      </c>
    </row>
    <row r="6181" spans="27:31" x14ac:dyDescent="0.25">
      <c r="AA6181" s="160"/>
      <c r="AB6181" s="162"/>
      <c r="AC6181" s="162"/>
      <c r="AD6181" s="162">
        <f t="shared" si="116"/>
        <v>0</v>
      </c>
      <c r="AE6181" s="160">
        <v>6179</v>
      </c>
    </row>
    <row r="6182" spans="27:31" x14ac:dyDescent="0.25">
      <c r="AA6182" s="160"/>
      <c r="AB6182" s="162"/>
      <c r="AC6182" s="162"/>
      <c r="AD6182" s="162">
        <f t="shared" si="116"/>
        <v>0</v>
      </c>
      <c r="AE6182" s="160">
        <v>6180</v>
      </c>
    </row>
    <row r="6183" spans="27:31" x14ac:dyDescent="0.25">
      <c r="AA6183" s="160"/>
      <c r="AB6183" s="162"/>
      <c r="AC6183" s="162"/>
      <c r="AD6183" s="162">
        <f t="shared" si="116"/>
        <v>0</v>
      </c>
      <c r="AE6183" s="160">
        <v>6181</v>
      </c>
    </row>
    <row r="6184" spans="27:31" x14ac:dyDescent="0.25">
      <c r="AA6184" s="160"/>
      <c r="AB6184" s="162"/>
      <c r="AC6184" s="162"/>
      <c r="AD6184" s="162">
        <f t="shared" si="116"/>
        <v>0</v>
      </c>
      <c r="AE6184" s="160">
        <v>6182</v>
      </c>
    </row>
    <row r="6185" spans="27:31" x14ac:dyDescent="0.25">
      <c r="AA6185" s="160"/>
      <c r="AB6185" s="162"/>
      <c r="AC6185" s="162"/>
      <c r="AD6185" s="162">
        <f t="shared" si="116"/>
        <v>0</v>
      </c>
      <c r="AE6185" s="160">
        <v>6183</v>
      </c>
    </row>
    <row r="6186" spans="27:31" x14ac:dyDescent="0.25">
      <c r="AA6186" s="160"/>
      <c r="AB6186" s="162"/>
      <c r="AC6186" s="162"/>
      <c r="AD6186" s="162">
        <f t="shared" si="116"/>
        <v>0</v>
      </c>
      <c r="AE6186" s="160">
        <v>6184</v>
      </c>
    </row>
    <row r="6187" spans="27:31" x14ac:dyDescent="0.25">
      <c r="AA6187" s="160"/>
      <c r="AB6187" s="162"/>
      <c r="AC6187" s="162"/>
      <c r="AD6187" s="162">
        <f t="shared" si="116"/>
        <v>0</v>
      </c>
      <c r="AE6187" s="160">
        <v>6185</v>
      </c>
    </row>
    <row r="6188" spans="27:31" x14ac:dyDescent="0.25">
      <c r="AA6188" s="160"/>
      <c r="AB6188" s="162"/>
      <c r="AC6188" s="162"/>
      <c r="AD6188" s="162">
        <f t="shared" si="116"/>
        <v>0</v>
      </c>
      <c r="AE6188" s="160">
        <v>6186</v>
      </c>
    </row>
    <row r="6189" spans="27:31" x14ac:dyDescent="0.25">
      <c r="AA6189" s="160"/>
      <c r="AB6189" s="162"/>
      <c r="AC6189" s="162"/>
      <c r="AD6189" s="162">
        <f t="shared" si="116"/>
        <v>0</v>
      </c>
      <c r="AE6189" s="160">
        <v>6187</v>
      </c>
    </row>
    <row r="6190" spans="27:31" x14ac:dyDescent="0.25">
      <c r="AA6190" s="160"/>
      <c r="AB6190" s="162"/>
      <c r="AC6190" s="162"/>
      <c r="AD6190" s="162">
        <f t="shared" si="116"/>
        <v>0</v>
      </c>
      <c r="AE6190" s="160">
        <v>6188</v>
      </c>
    </row>
    <row r="6191" spans="27:31" x14ac:dyDescent="0.25">
      <c r="AA6191" s="160"/>
      <c r="AB6191" s="162"/>
      <c r="AC6191" s="162"/>
      <c r="AD6191" s="162">
        <f t="shared" si="116"/>
        <v>0</v>
      </c>
      <c r="AE6191" s="160">
        <v>6189</v>
      </c>
    </row>
    <row r="6192" spans="27:31" x14ac:dyDescent="0.25">
      <c r="AA6192" s="160"/>
      <c r="AB6192" s="162"/>
      <c r="AC6192" s="162"/>
      <c r="AD6192" s="162">
        <f t="shared" si="116"/>
        <v>0</v>
      </c>
      <c r="AE6192" s="160">
        <v>6190</v>
      </c>
    </row>
    <row r="6193" spans="27:31" x14ac:dyDescent="0.25">
      <c r="AA6193" s="160"/>
      <c r="AB6193" s="162"/>
      <c r="AC6193" s="162"/>
      <c r="AD6193" s="162">
        <f t="shared" si="116"/>
        <v>0</v>
      </c>
      <c r="AE6193" s="160">
        <v>6191</v>
      </c>
    </row>
    <row r="6194" spans="27:31" x14ac:dyDescent="0.25">
      <c r="AA6194" s="160"/>
      <c r="AB6194" s="162"/>
      <c r="AC6194" s="162"/>
      <c r="AD6194" s="162">
        <f t="shared" si="116"/>
        <v>0</v>
      </c>
      <c r="AE6194" s="160">
        <v>6192</v>
      </c>
    </row>
    <row r="6195" spans="27:31" x14ac:dyDescent="0.25">
      <c r="AA6195" s="160"/>
      <c r="AB6195" s="162"/>
      <c r="AC6195" s="162"/>
      <c r="AD6195" s="162">
        <f t="shared" si="116"/>
        <v>0</v>
      </c>
      <c r="AE6195" s="160">
        <v>6193</v>
      </c>
    </row>
    <row r="6196" spans="27:31" x14ac:dyDescent="0.25">
      <c r="AA6196" s="160"/>
      <c r="AB6196" s="162"/>
      <c r="AC6196" s="162"/>
      <c r="AD6196" s="162">
        <f t="shared" si="116"/>
        <v>0</v>
      </c>
      <c r="AE6196" s="160">
        <v>6194</v>
      </c>
    </row>
    <row r="6197" spans="27:31" x14ac:dyDescent="0.25">
      <c r="AA6197" s="160"/>
      <c r="AB6197" s="162"/>
      <c r="AC6197" s="162"/>
      <c r="AD6197" s="162">
        <f t="shared" si="116"/>
        <v>0</v>
      </c>
      <c r="AE6197" s="160">
        <v>6195</v>
      </c>
    </row>
    <row r="6198" spans="27:31" x14ac:dyDescent="0.25">
      <c r="AA6198" s="160"/>
      <c r="AB6198" s="162"/>
      <c r="AC6198" s="162"/>
      <c r="AD6198" s="162">
        <f t="shared" si="116"/>
        <v>0</v>
      </c>
      <c r="AE6198" s="160">
        <v>6196</v>
      </c>
    </row>
    <row r="6199" spans="27:31" x14ac:dyDescent="0.25">
      <c r="AA6199" s="160"/>
      <c r="AB6199" s="162"/>
      <c r="AC6199" s="162"/>
      <c r="AD6199" s="162">
        <f t="shared" si="116"/>
        <v>0</v>
      </c>
      <c r="AE6199" s="160">
        <v>6197</v>
      </c>
    </row>
    <row r="6200" spans="27:31" x14ac:dyDescent="0.25">
      <c r="AA6200" s="160"/>
      <c r="AB6200" s="162"/>
      <c r="AC6200" s="162"/>
      <c r="AD6200" s="162">
        <f t="shared" si="116"/>
        <v>0</v>
      </c>
      <c r="AE6200" s="160">
        <v>6198</v>
      </c>
    </row>
    <row r="6201" spans="27:31" x14ac:dyDescent="0.25">
      <c r="AA6201" s="160"/>
      <c r="AB6201" s="162"/>
      <c r="AC6201" s="162"/>
      <c r="AD6201" s="162">
        <f t="shared" si="116"/>
        <v>0</v>
      </c>
      <c r="AE6201" s="160">
        <v>6199</v>
      </c>
    </row>
    <row r="6202" spans="27:31" x14ac:dyDescent="0.25">
      <c r="AA6202" s="160"/>
      <c r="AB6202" s="162"/>
      <c r="AC6202" s="162"/>
      <c r="AD6202" s="162">
        <f t="shared" si="116"/>
        <v>0</v>
      </c>
      <c r="AE6202" s="160">
        <v>6200</v>
      </c>
    </row>
    <row r="6203" spans="27:31" x14ac:dyDescent="0.25">
      <c r="AA6203" s="160"/>
      <c r="AB6203" s="162"/>
      <c r="AC6203" s="162"/>
      <c r="AD6203" s="162">
        <f t="shared" si="116"/>
        <v>0</v>
      </c>
      <c r="AE6203" s="160">
        <v>6201</v>
      </c>
    </row>
    <row r="6204" spans="27:31" x14ac:dyDescent="0.25">
      <c r="AA6204" s="160"/>
      <c r="AB6204" s="162"/>
      <c r="AC6204" s="162"/>
      <c r="AD6204" s="162">
        <f t="shared" si="116"/>
        <v>0</v>
      </c>
      <c r="AE6204" s="160">
        <v>6202</v>
      </c>
    </row>
    <row r="6205" spans="27:31" x14ac:dyDescent="0.25">
      <c r="AA6205" s="160"/>
      <c r="AB6205" s="162"/>
      <c r="AC6205" s="162"/>
      <c r="AD6205" s="162">
        <f t="shared" si="116"/>
        <v>0</v>
      </c>
      <c r="AE6205" s="160">
        <v>6203</v>
      </c>
    </row>
    <row r="6206" spans="27:31" x14ac:dyDescent="0.25">
      <c r="AA6206" s="160"/>
      <c r="AB6206" s="162"/>
      <c r="AC6206" s="162"/>
      <c r="AD6206" s="162">
        <f t="shared" si="116"/>
        <v>0</v>
      </c>
      <c r="AE6206" s="160">
        <v>6204</v>
      </c>
    </row>
    <row r="6207" spans="27:31" x14ac:dyDescent="0.25">
      <c r="AA6207" s="160"/>
      <c r="AB6207" s="162"/>
      <c r="AC6207" s="162"/>
      <c r="AD6207" s="162">
        <f t="shared" si="116"/>
        <v>0</v>
      </c>
      <c r="AE6207" s="160">
        <v>6205</v>
      </c>
    </row>
    <row r="6208" spans="27:31" x14ac:dyDescent="0.25">
      <c r="AA6208" s="160"/>
      <c r="AB6208" s="162"/>
      <c r="AC6208" s="162"/>
      <c r="AD6208" s="162">
        <f t="shared" si="116"/>
        <v>0</v>
      </c>
      <c r="AE6208" s="160">
        <v>6206</v>
      </c>
    </row>
    <row r="6209" spans="27:31" x14ac:dyDescent="0.25">
      <c r="AA6209" s="160"/>
      <c r="AB6209" s="162"/>
      <c r="AC6209" s="162"/>
      <c r="AD6209" s="162">
        <f t="shared" si="116"/>
        <v>0</v>
      </c>
      <c r="AE6209" s="160">
        <v>6207</v>
      </c>
    </row>
    <row r="6210" spans="27:31" x14ac:dyDescent="0.25">
      <c r="AA6210" s="160"/>
      <c r="AB6210" s="162"/>
      <c r="AC6210" s="162"/>
      <c r="AD6210" s="162">
        <f t="shared" si="116"/>
        <v>0</v>
      </c>
      <c r="AE6210" s="160">
        <v>6208</v>
      </c>
    </row>
    <row r="6211" spans="27:31" x14ac:dyDescent="0.25">
      <c r="AA6211" s="160"/>
      <c r="AB6211" s="162"/>
      <c r="AC6211" s="162"/>
      <c r="AD6211" s="162">
        <f t="shared" si="116"/>
        <v>0</v>
      </c>
      <c r="AE6211" s="160">
        <v>6209</v>
      </c>
    </row>
    <row r="6212" spans="27:31" x14ac:dyDescent="0.25">
      <c r="AA6212" s="160"/>
      <c r="AB6212" s="162"/>
      <c r="AC6212" s="162"/>
      <c r="AD6212" s="162">
        <f t="shared" ref="AD6212:AD6275" si="117">AB6212+AC6212</f>
        <v>0</v>
      </c>
      <c r="AE6212" s="160">
        <v>6210</v>
      </c>
    </row>
    <row r="6213" spans="27:31" x14ac:dyDescent="0.25">
      <c r="AA6213" s="160"/>
      <c r="AB6213" s="162"/>
      <c r="AC6213" s="162"/>
      <c r="AD6213" s="162">
        <f t="shared" si="117"/>
        <v>0</v>
      </c>
      <c r="AE6213" s="160">
        <v>6211</v>
      </c>
    </row>
    <row r="6214" spans="27:31" x14ac:dyDescent="0.25">
      <c r="AA6214" s="160"/>
      <c r="AB6214" s="162"/>
      <c r="AC6214" s="162"/>
      <c r="AD6214" s="162">
        <f t="shared" si="117"/>
        <v>0</v>
      </c>
      <c r="AE6214" s="160">
        <v>6212</v>
      </c>
    </row>
    <row r="6215" spans="27:31" x14ac:dyDescent="0.25">
      <c r="AA6215" s="160"/>
      <c r="AB6215" s="162"/>
      <c r="AC6215" s="162"/>
      <c r="AD6215" s="162">
        <f t="shared" si="117"/>
        <v>0</v>
      </c>
      <c r="AE6215" s="160">
        <v>6213</v>
      </c>
    </row>
    <row r="6216" spans="27:31" x14ac:dyDescent="0.25">
      <c r="AA6216" s="160"/>
      <c r="AB6216" s="162"/>
      <c r="AC6216" s="162"/>
      <c r="AD6216" s="162">
        <f t="shared" si="117"/>
        <v>0</v>
      </c>
      <c r="AE6216" s="160">
        <v>6214</v>
      </c>
    </row>
    <row r="6217" spans="27:31" x14ac:dyDescent="0.25">
      <c r="AA6217" s="160"/>
      <c r="AB6217" s="162"/>
      <c r="AC6217" s="162"/>
      <c r="AD6217" s="162">
        <f t="shared" si="117"/>
        <v>0</v>
      </c>
      <c r="AE6217" s="160">
        <v>6215</v>
      </c>
    </row>
    <row r="6218" spans="27:31" x14ac:dyDescent="0.25">
      <c r="AA6218" s="160"/>
      <c r="AB6218" s="162"/>
      <c r="AC6218" s="162"/>
      <c r="AD6218" s="162">
        <f t="shared" si="117"/>
        <v>0</v>
      </c>
      <c r="AE6218" s="160">
        <v>6216</v>
      </c>
    </row>
    <row r="6219" spans="27:31" x14ac:dyDescent="0.25">
      <c r="AA6219" s="160"/>
      <c r="AB6219" s="162"/>
      <c r="AC6219" s="162"/>
      <c r="AD6219" s="162">
        <f t="shared" si="117"/>
        <v>0</v>
      </c>
      <c r="AE6219" s="160">
        <v>6217</v>
      </c>
    </row>
    <row r="6220" spans="27:31" x14ac:dyDescent="0.25">
      <c r="AA6220" s="160"/>
      <c r="AB6220" s="162"/>
      <c r="AC6220" s="162"/>
      <c r="AD6220" s="162">
        <f t="shared" si="117"/>
        <v>0</v>
      </c>
      <c r="AE6220" s="160">
        <v>6218</v>
      </c>
    </row>
    <row r="6221" spans="27:31" x14ac:dyDescent="0.25">
      <c r="AA6221" s="160"/>
      <c r="AB6221" s="162"/>
      <c r="AC6221" s="162"/>
      <c r="AD6221" s="162">
        <f t="shared" si="117"/>
        <v>0</v>
      </c>
      <c r="AE6221" s="160">
        <v>6219</v>
      </c>
    </row>
    <row r="6222" spans="27:31" x14ac:dyDescent="0.25">
      <c r="AA6222" s="160"/>
      <c r="AB6222" s="162"/>
      <c r="AC6222" s="162"/>
      <c r="AD6222" s="162">
        <f t="shared" si="117"/>
        <v>0</v>
      </c>
      <c r="AE6222" s="160">
        <v>6220</v>
      </c>
    </row>
    <row r="6223" spans="27:31" x14ac:dyDescent="0.25">
      <c r="AA6223" s="160"/>
      <c r="AB6223" s="162"/>
      <c r="AC6223" s="162"/>
      <c r="AD6223" s="162">
        <f t="shared" si="117"/>
        <v>0</v>
      </c>
      <c r="AE6223" s="160">
        <v>6221</v>
      </c>
    </row>
    <row r="6224" spans="27:31" x14ac:dyDescent="0.25">
      <c r="AA6224" s="160"/>
      <c r="AB6224" s="162"/>
      <c r="AC6224" s="162"/>
      <c r="AD6224" s="162">
        <f t="shared" si="117"/>
        <v>0</v>
      </c>
      <c r="AE6224" s="160">
        <v>6222</v>
      </c>
    </row>
    <row r="6225" spans="27:31" x14ac:dyDescent="0.25">
      <c r="AA6225" s="160"/>
      <c r="AB6225" s="162"/>
      <c r="AC6225" s="162"/>
      <c r="AD6225" s="162">
        <f t="shared" si="117"/>
        <v>0</v>
      </c>
      <c r="AE6225" s="160">
        <v>6223</v>
      </c>
    </row>
    <row r="6226" spans="27:31" x14ac:dyDescent="0.25">
      <c r="AA6226" s="160"/>
      <c r="AB6226" s="162"/>
      <c r="AC6226" s="162"/>
      <c r="AD6226" s="162">
        <f t="shared" si="117"/>
        <v>0</v>
      </c>
      <c r="AE6226" s="160">
        <v>6224</v>
      </c>
    </row>
    <row r="6227" spans="27:31" x14ac:dyDescent="0.25">
      <c r="AA6227" s="160"/>
      <c r="AB6227" s="162"/>
      <c r="AC6227" s="162"/>
      <c r="AD6227" s="162">
        <f t="shared" si="117"/>
        <v>0</v>
      </c>
      <c r="AE6227" s="160">
        <v>6225</v>
      </c>
    </row>
    <row r="6228" spans="27:31" x14ac:dyDescent="0.25">
      <c r="AA6228" s="160"/>
      <c r="AB6228" s="162"/>
      <c r="AC6228" s="162"/>
      <c r="AD6228" s="162">
        <f t="shared" si="117"/>
        <v>0</v>
      </c>
      <c r="AE6228" s="160">
        <v>6226</v>
      </c>
    </row>
    <row r="6229" spans="27:31" x14ac:dyDescent="0.25">
      <c r="AA6229" s="160"/>
      <c r="AB6229" s="162"/>
      <c r="AC6229" s="162"/>
      <c r="AD6229" s="162">
        <f t="shared" si="117"/>
        <v>0</v>
      </c>
      <c r="AE6229" s="160">
        <v>6227</v>
      </c>
    </row>
    <row r="6230" spans="27:31" x14ac:dyDescent="0.25">
      <c r="AA6230" s="160"/>
      <c r="AB6230" s="162"/>
      <c r="AC6230" s="162"/>
      <c r="AD6230" s="162">
        <f t="shared" si="117"/>
        <v>0</v>
      </c>
      <c r="AE6230" s="160">
        <v>6228</v>
      </c>
    </row>
    <row r="6231" spans="27:31" x14ac:dyDescent="0.25">
      <c r="AA6231" s="160"/>
      <c r="AB6231" s="162"/>
      <c r="AC6231" s="162"/>
      <c r="AD6231" s="162">
        <f t="shared" si="117"/>
        <v>0</v>
      </c>
      <c r="AE6231" s="160">
        <v>6229</v>
      </c>
    </row>
    <row r="6232" spans="27:31" x14ac:dyDescent="0.25">
      <c r="AA6232" s="160"/>
      <c r="AB6232" s="162"/>
      <c r="AC6232" s="162"/>
      <c r="AD6232" s="162">
        <f t="shared" si="117"/>
        <v>0</v>
      </c>
      <c r="AE6232" s="160">
        <v>6230</v>
      </c>
    </row>
    <row r="6233" spans="27:31" x14ac:dyDescent="0.25">
      <c r="AA6233" s="160"/>
      <c r="AB6233" s="162"/>
      <c r="AC6233" s="162"/>
      <c r="AD6233" s="162">
        <f t="shared" si="117"/>
        <v>0</v>
      </c>
      <c r="AE6233" s="160">
        <v>6231</v>
      </c>
    </row>
    <row r="6234" spans="27:31" x14ac:dyDescent="0.25">
      <c r="AA6234" s="160"/>
      <c r="AB6234" s="162"/>
      <c r="AC6234" s="162"/>
      <c r="AD6234" s="162">
        <f t="shared" si="117"/>
        <v>0</v>
      </c>
      <c r="AE6234" s="160">
        <v>6232</v>
      </c>
    </row>
    <row r="6235" spans="27:31" x14ac:dyDescent="0.25">
      <c r="AA6235" s="160"/>
      <c r="AB6235" s="162"/>
      <c r="AC6235" s="162"/>
      <c r="AD6235" s="162">
        <f t="shared" si="117"/>
        <v>0</v>
      </c>
      <c r="AE6235" s="160">
        <v>6233</v>
      </c>
    </row>
    <row r="6236" spans="27:31" x14ac:dyDescent="0.25">
      <c r="AA6236" s="160"/>
      <c r="AB6236" s="162"/>
      <c r="AC6236" s="162"/>
      <c r="AD6236" s="162">
        <f t="shared" si="117"/>
        <v>0</v>
      </c>
      <c r="AE6236" s="160">
        <v>6234</v>
      </c>
    </row>
    <row r="6237" spans="27:31" x14ac:dyDescent="0.25">
      <c r="AA6237" s="160"/>
      <c r="AB6237" s="162"/>
      <c r="AC6237" s="162"/>
      <c r="AD6237" s="162">
        <f t="shared" si="117"/>
        <v>0</v>
      </c>
      <c r="AE6237" s="160">
        <v>6235</v>
      </c>
    </row>
    <row r="6238" spans="27:31" x14ac:dyDescent="0.25">
      <c r="AA6238" s="160"/>
      <c r="AB6238" s="162"/>
      <c r="AC6238" s="162"/>
      <c r="AD6238" s="162">
        <f t="shared" si="117"/>
        <v>0</v>
      </c>
      <c r="AE6238" s="160">
        <v>6236</v>
      </c>
    </row>
    <row r="6239" spans="27:31" x14ac:dyDescent="0.25">
      <c r="AA6239" s="160"/>
      <c r="AB6239" s="162"/>
      <c r="AC6239" s="162"/>
      <c r="AD6239" s="162">
        <f t="shared" si="117"/>
        <v>0</v>
      </c>
      <c r="AE6239" s="160">
        <v>6237</v>
      </c>
    </row>
    <row r="6240" spans="27:31" x14ac:dyDescent="0.25">
      <c r="AA6240" s="160"/>
      <c r="AB6240" s="162"/>
      <c r="AC6240" s="162"/>
      <c r="AD6240" s="162">
        <f t="shared" si="117"/>
        <v>0</v>
      </c>
      <c r="AE6240" s="160">
        <v>6238</v>
      </c>
    </row>
    <row r="6241" spans="27:31" x14ac:dyDescent="0.25">
      <c r="AA6241" s="160"/>
      <c r="AB6241" s="162"/>
      <c r="AC6241" s="162"/>
      <c r="AD6241" s="162">
        <f t="shared" si="117"/>
        <v>0</v>
      </c>
      <c r="AE6241" s="160">
        <v>6239</v>
      </c>
    </row>
    <row r="6242" spans="27:31" x14ac:dyDescent="0.25">
      <c r="AA6242" s="160"/>
      <c r="AB6242" s="162"/>
      <c r="AC6242" s="162"/>
      <c r="AD6242" s="162">
        <f t="shared" si="117"/>
        <v>0</v>
      </c>
      <c r="AE6242" s="160">
        <v>6240</v>
      </c>
    </row>
    <row r="6243" spans="27:31" x14ac:dyDescent="0.25">
      <c r="AA6243" s="160"/>
      <c r="AB6243" s="162"/>
      <c r="AC6243" s="162"/>
      <c r="AD6243" s="162">
        <f t="shared" si="117"/>
        <v>0</v>
      </c>
      <c r="AE6243" s="160">
        <v>6241</v>
      </c>
    </row>
    <row r="6244" spans="27:31" x14ac:dyDescent="0.25">
      <c r="AA6244" s="160"/>
      <c r="AB6244" s="162"/>
      <c r="AC6244" s="162"/>
      <c r="AD6244" s="162">
        <f t="shared" si="117"/>
        <v>0</v>
      </c>
      <c r="AE6244" s="160">
        <v>6242</v>
      </c>
    </row>
    <row r="6245" spans="27:31" x14ac:dyDescent="0.25">
      <c r="AA6245" s="160"/>
      <c r="AB6245" s="162"/>
      <c r="AC6245" s="162"/>
      <c r="AD6245" s="162">
        <f t="shared" si="117"/>
        <v>0</v>
      </c>
      <c r="AE6245" s="160">
        <v>6243</v>
      </c>
    </row>
    <row r="6246" spans="27:31" x14ac:dyDescent="0.25">
      <c r="AA6246" s="160"/>
      <c r="AB6246" s="162"/>
      <c r="AC6246" s="162"/>
      <c r="AD6246" s="162">
        <f t="shared" si="117"/>
        <v>0</v>
      </c>
      <c r="AE6246" s="160">
        <v>6244</v>
      </c>
    </row>
    <row r="6247" spans="27:31" x14ac:dyDescent="0.25">
      <c r="AA6247" s="160"/>
      <c r="AB6247" s="162"/>
      <c r="AC6247" s="162"/>
      <c r="AD6247" s="162">
        <f t="shared" si="117"/>
        <v>0</v>
      </c>
      <c r="AE6247" s="160">
        <v>6245</v>
      </c>
    </row>
    <row r="6248" spans="27:31" x14ac:dyDescent="0.25">
      <c r="AA6248" s="160"/>
      <c r="AB6248" s="162"/>
      <c r="AC6248" s="162"/>
      <c r="AD6248" s="162">
        <f t="shared" si="117"/>
        <v>0</v>
      </c>
      <c r="AE6248" s="160">
        <v>6246</v>
      </c>
    </row>
    <row r="6249" spans="27:31" x14ac:dyDescent="0.25">
      <c r="AA6249" s="160"/>
      <c r="AB6249" s="162"/>
      <c r="AC6249" s="162"/>
      <c r="AD6249" s="162">
        <f t="shared" si="117"/>
        <v>0</v>
      </c>
      <c r="AE6249" s="160">
        <v>6247</v>
      </c>
    </row>
    <row r="6250" spans="27:31" x14ac:dyDescent="0.25">
      <c r="AA6250" s="160"/>
      <c r="AB6250" s="162"/>
      <c r="AC6250" s="162"/>
      <c r="AD6250" s="162">
        <f t="shared" si="117"/>
        <v>0</v>
      </c>
      <c r="AE6250" s="160">
        <v>6248</v>
      </c>
    </row>
    <row r="6251" spans="27:31" x14ac:dyDescent="0.25">
      <c r="AA6251" s="160"/>
      <c r="AB6251" s="162"/>
      <c r="AC6251" s="162"/>
      <c r="AD6251" s="162">
        <f t="shared" si="117"/>
        <v>0</v>
      </c>
      <c r="AE6251" s="160">
        <v>6249</v>
      </c>
    </row>
    <row r="6252" spans="27:31" x14ac:dyDescent="0.25">
      <c r="AA6252" s="160"/>
      <c r="AB6252" s="162"/>
      <c r="AC6252" s="162"/>
      <c r="AD6252" s="162">
        <f t="shared" si="117"/>
        <v>0</v>
      </c>
      <c r="AE6252" s="160">
        <v>6250</v>
      </c>
    </row>
    <row r="6253" spans="27:31" x14ac:dyDescent="0.25">
      <c r="AA6253" s="160"/>
      <c r="AB6253" s="162"/>
      <c r="AC6253" s="162"/>
      <c r="AD6253" s="162">
        <f t="shared" si="117"/>
        <v>0</v>
      </c>
      <c r="AE6253" s="160">
        <v>6251</v>
      </c>
    </row>
    <row r="6254" spans="27:31" x14ac:dyDescent="0.25">
      <c r="AA6254" s="160"/>
      <c r="AB6254" s="162"/>
      <c r="AC6254" s="162"/>
      <c r="AD6254" s="162">
        <f t="shared" si="117"/>
        <v>0</v>
      </c>
      <c r="AE6254" s="160">
        <v>6252</v>
      </c>
    </row>
    <row r="6255" spans="27:31" x14ac:dyDescent="0.25">
      <c r="AA6255" s="160"/>
      <c r="AB6255" s="162"/>
      <c r="AC6255" s="162"/>
      <c r="AD6255" s="162">
        <f t="shared" si="117"/>
        <v>0</v>
      </c>
      <c r="AE6255" s="160">
        <v>6253</v>
      </c>
    </row>
    <row r="6256" spans="27:31" x14ac:dyDescent="0.25">
      <c r="AA6256" s="160"/>
      <c r="AB6256" s="162"/>
      <c r="AC6256" s="162"/>
      <c r="AD6256" s="162">
        <f t="shared" si="117"/>
        <v>0</v>
      </c>
      <c r="AE6256" s="160">
        <v>6254</v>
      </c>
    </row>
    <row r="6257" spans="27:31" x14ac:dyDescent="0.25">
      <c r="AA6257" s="160"/>
      <c r="AB6257" s="162"/>
      <c r="AC6257" s="162"/>
      <c r="AD6257" s="162">
        <f t="shared" si="117"/>
        <v>0</v>
      </c>
      <c r="AE6257" s="160">
        <v>6255</v>
      </c>
    </row>
    <row r="6258" spans="27:31" x14ac:dyDescent="0.25">
      <c r="AA6258" s="160"/>
      <c r="AB6258" s="162"/>
      <c r="AC6258" s="162"/>
      <c r="AD6258" s="162">
        <f t="shared" si="117"/>
        <v>0</v>
      </c>
      <c r="AE6258" s="160">
        <v>6256</v>
      </c>
    </row>
    <row r="6259" spans="27:31" x14ac:dyDescent="0.25">
      <c r="AA6259" s="160"/>
      <c r="AB6259" s="162"/>
      <c r="AC6259" s="162"/>
      <c r="AD6259" s="162">
        <f t="shared" si="117"/>
        <v>0</v>
      </c>
      <c r="AE6259" s="160">
        <v>6257</v>
      </c>
    </row>
    <row r="6260" spans="27:31" x14ac:dyDescent="0.25">
      <c r="AA6260" s="160"/>
      <c r="AB6260" s="162"/>
      <c r="AC6260" s="162"/>
      <c r="AD6260" s="162">
        <f t="shared" si="117"/>
        <v>0</v>
      </c>
      <c r="AE6260" s="160">
        <v>6258</v>
      </c>
    </row>
    <row r="6261" spans="27:31" x14ac:dyDescent="0.25">
      <c r="AA6261" s="160"/>
      <c r="AB6261" s="162"/>
      <c r="AC6261" s="162"/>
      <c r="AD6261" s="162">
        <f t="shared" si="117"/>
        <v>0</v>
      </c>
      <c r="AE6261" s="160">
        <v>6259</v>
      </c>
    </row>
    <row r="6262" spans="27:31" x14ac:dyDescent="0.25">
      <c r="AA6262" s="160"/>
      <c r="AB6262" s="162"/>
      <c r="AC6262" s="162"/>
      <c r="AD6262" s="162">
        <f t="shared" si="117"/>
        <v>0</v>
      </c>
      <c r="AE6262" s="160">
        <v>6260</v>
      </c>
    </row>
    <row r="6263" spans="27:31" x14ac:dyDescent="0.25">
      <c r="AA6263" s="160"/>
      <c r="AB6263" s="162"/>
      <c r="AC6263" s="162"/>
      <c r="AD6263" s="162">
        <f t="shared" si="117"/>
        <v>0</v>
      </c>
      <c r="AE6263" s="160">
        <v>6261</v>
      </c>
    </row>
    <row r="6264" spans="27:31" x14ac:dyDescent="0.25">
      <c r="AA6264" s="160"/>
      <c r="AB6264" s="162"/>
      <c r="AC6264" s="162"/>
      <c r="AD6264" s="162">
        <f t="shared" si="117"/>
        <v>0</v>
      </c>
      <c r="AE6264" s="160">
        <v>6262</v>
      </c>
    </row>
    <row r="6265" spans="27:31" x14ac:dyDescent="0.25">
      <c r="AA6265" s="160"/>
      <c r="AB6265" s="162"/>
      <c r="AC6265" s="162"/>
      <c r="AD6265" s="162">
        <f t="shared" si="117"/>
        <v>0</v>
      </c>
      <c r="AE6265" s="160">
        <v>6263</v>
      </c>
    </row>
    <row r="6266" spans="27:31" x14ac:dyDescent="0.25">
      <c r="AA6266" s="160"/>
      <c r="AB6266" s="162"/>
      <c r="AC6266" s="162"/>
      <c r="AD6266" s="162">
        <f t="shared" si="117"/>
        <v>0</v>
      </c>
      <c r="AE6266" s="160">
        <v>6264</v>
      </c>
    </row>
    <row r="6267" spans="27:31" x14ac:dyDescent="0.25">
      <c r="AA6267" s="160"/>
      <c r="AB6267" s="162"/>
      <c r="AC6267" s="162"/>
      <c r="AD6267" s="162">
        <f t="shared" si="117"/>
        <v>0</v>
      </c>
      <c r="AE6267" s="160">
        <v>6265</v>
      </c>
    </row>
    <row r="6268" spans="27:31" x14ac:dyDescent="0.25">
      <c r="AA6268" s="160"/>
      <c r="AB6268" s="162"/>
      <c r="AC6268" s="162"/>
      <c r="AD6268" s="162">
        <f t="shared" si="117"/>
        <v>0</v>
      </c>
      <c r="AE6268" s="160">
        <v>6266</v>
      </c>
    </row>
    <row r="6269" spans="27:31" x14ac:dyDescent="0.25">
      <c r="AA6269" s="160"/>
      <c r="AB6269" s="162"/>
      <c r="AC6269" s="162"/>
      <c r="AD6269" s="162">
        <f t="shared" si="117"/>
        <v>0</v>
      </c>
      <c r="AE6269" s="160">
        <v>6267</v>
      </c>
    </row>
    <row r="6270" spans="27:31" x14ac:dyDescent="0.25">
      <c r="AA6270" s="160"/>
      <c r="AB6270" s="162"/>
      <c r="AC6270" s="162"/>
      <c r="AD6270" s="162">
        <f t="shared" si="117"/>
        <v>0</v>
      </c>
      <c r="AE6270" s="160">
        <v>6268</v>
      </c>
    </row>
    <row r="6271" spans="27:31" x14ac:dyDescent="0.25">
      <c r="AA6271" s="160"/>
      <c r="AB6271" s="162"/>
      <c r="AC6271" s="162"/>
      <c r="AD6271" s="162">
        <f t="shared" si="117"/>
        <v>0</v>
      </c>
      <c r="AE6271" s="160">
        <v>6269</v>
      </c>
    </row>
    <row r="6272" spans="27:31" x14ac:dyDescent="0.25">
      <c r="AA6272" s="160"/>
      <c r="AB6272" s="162"/>
      <c r="AC6272" s="162"/>
      <c r="AD6272" s="162">
        <f t="shared" si="117"/>
        <v>0</v>
      </c>
      <c r="AE6272" s="160">
        <v>6270</v>
      </c>
    </row>
    <row r="6273" spans="27:31" x14ac:dyDescent="0.25">
      <c r="AA6273" s="160"/>
      <c r="AB6273" s="162"/>
      <c r="AC6273" s="162"/>
      <c r="AD6273" s="162">
        <f t="shared" si="117"/>
        <v>0</v>
      </c>
      <c r="AE6273" s="160">
        <v>6271</v>
      </c>
    </row>
    <row r="6274" spans="27:31" x14ac:dyDescent="0.25">
      <c r="AA6274" s="160"/>
      <c r="AB6274" s="162"/>
      <c r="AC6274" s="162"/>
      <c r="AD6274" s="162">
        <f t="shared" si="117"/>
        <v>0</v>
      </c>
      <c r="AE6274" s="160">
        <v>6272</v>
      </c>
    </row>
    <row r="6275" spans="27:31" x14ac:dyDescent="0.25">
      <c r="AA6275" s="160"/>
      <c r="AB6275" s="162"/>
      <c r="AC6275" s="162"/>
      <c r="AD6275" s="162">
        <f t="shared" si="117"/>
        <v>0</v>
      </c>
      <c r="AE6275" s="160">
        <v>6273</v>
      </c>
    </row>
    <row r="6276" spans="27:31" x14ac:dyDescent="0.25">
      <c r="AA6276" s="160"/>
      <c r="AB6276" s="162"/>
      <c r="AC6276" s="162"/>
      <c r="AD6276" s="162">
        <f t="shared" ref="AD6276:AD6339" si="118">AB6276+AC6276</f>
        <v>0</v>
      </c>
      <c r="AE6276" s="160">
        <v>6274</v>
      </c>
    </row>
    <row r="6277" spans="27:31" x14ac:dyDescent="0.25">
      <c r="AA6277" s="160"/>
      <c r="AB6277" s="162"/>
      <c r="AC6277" s="162"/>
      <c r="AD6277" s="162">
        <f t="shared" si="118"/>
        <v>0</v>
      </c>
      <c r="AE6277" s="160">
        <v>6275</v>
      </c>
    </row>
    <row r="6278" spans="27:31" x14ac:dyDescent="0.25">
      <c r="AA6278" s="160"/>
      <c r="AB6278" s="162"/>
      <c r="AC6278" s="162"/>
      <c r="AD6278" s="162">
        <f t="shared" si="118"/>
        <v>0</v>
      </c>
      <c r="AE6278" s="160">
        <v>6276</v>
      </c>
    </row>
    <row r="6279" spans="27:31" x14ac:dyDescent="0.25">
      <c r="AA6279" s="160"/>
      <c r="AB6279" s="162"/>
      <c r="AC6279" s="162"/>
      <c r="AD6279" s="162">
        <f t="shared" si="118"/>
        <v>0</v>
      </c>
      <c r="AE6279" s="160">
        <v>6277</v>
      </c>
    </row>
    <row r="6280" spans="27:31" x14ac:dyDescent="0.25">
      <c r="AA6280" s="160"/>
      <c r="AB6280" s="162"/>
      <c r="AC6280" s="162"/>
      <c r="AD6280" s="162">
        <f t="shared" si="118"/>
        <v>0</v>
      </c>
      <c r="AE6280" s="160">
        <v>6278</v>
      </c>
    </row>
    <row r="6281" spans="27:31" x14ac:dyDescent="0.25">
      <c r="AA6281" s="160"/>
      <c r="AB6281" s="162"/>
      <c r="AC6281" s="162"/>
      <c r="AD6281" s="162">
        <f t="shared" si="118"/>
        <v>0</v>
      </c>
      <c r="AE6281" s="160">
        <v>6279</v>
      </c>
    </row>
    <row r="6282" spans="27:31" x14ac:dyDescent="0.25">
      <c r="AA6282" s="160"/>
      <c r="AB6282" s="162"/>
      <c r="AC6282" s="162"/>
      <c r="AD6282" s="162">
        <f t="shared" si="118"/>
        <v>0</v>
      </c>
      <c r="AE6282" s="160">
        <v>6280</v>
      </c>
    </row>
    <row r="6283" spans="27:31" x14ac:dyDescent="0.25">
      <c r="AA6283" s="160"/>
      <c r="AB6283" s="162"/>
      <c r="AC6283" s="162"/>
      <c r="AD6283" s="162">
        <f t="shared" si="118"/>
        <v>0</v>
      </c>
      <c r="AE6283" s="160">
        <v>6281</v>
      </c>
    </row>
    <row r="6284" spans="27:31" x14ac:dyDescent="0.25">
      <c r="AA6284" s="160"/>
      <c r="AB6284" s="162"/>
      <c r="AC6284" s="162"/>
      <c r="AD6284" s="162">
        <f t="shared" si="118"/>
        <v>0</v>
      </c>
      <c r="AE6284" s="160">
        <v>6282</v>
      </c>
    </row>
    <row r="6285" spans="27:31" x14ac:dyDescent="0.25">
      <c r="AA6285" s="160"/>
      <c r="AB6285" s="162"/>
      <c r="AC6285" s="162"/>
      <c r="AD6285" s="162">
        <f t="shared" si="118"/>
        <v>0</v>
      </c>
      <c r="AE6285" s="160">
        <v>6283</v>
      </c>
    </row>
    <row r="6286" spans="27:31" x14ac:dyDescent="0.25">
      <c r="AA6286" s="160"/>
      <c r="AB6286" s="162"/>
      <c r="AC6286" s="162"/>
      <c r="AD6286" s="162">
        <f t="shared" si="118"/>
        <v>0</v>
      </c>
      <c r="AE6286" s="160">
        <v>6284</v>
      </c>
    </row>
    <row r="6287" spans="27:31" x14ac:dyDescent="0.25">
      <c r="AA6287" s="160"/>
      <c r="AB6287" s="162"/>
      <c r="AC6287" s="162"/>
      <c r="AD6287" s="162">
        <f t="shared" si="118"/>
        <v>0</v>
      </c>
      <c r="AE6287" s="160">
        <v>6285</v>
      </c>
    </row>
    <row r="6288" spans="27:31" x14ac:dyDescent="0.25">
      <c r="AA6288" s="160"/>
      <c r="AB6288" s="162"/>
      <c r="AC6288" s="162"/>
      <c r="AD6288" s="162">
        <f t="shared" si="118"/>
        <v>0</v>
      </c>
      <c r="AE6288" s="160">
        <v>6286</v>
      </c>
    </row>
    <row r="6289" spans="27:31" x14ac:dyDescent="0.25">
      <c r="AA6289" s="160"/>
      <c r="AB6289" s="162"/>
      <c r="AC6289" s="162"/>
      <c r="AD6289" s="162">
        <f t="shared" si="118"/>
        <v>0</v>
      </c>
      <c r="AE6289" s="160">
        <v>6287</v>
      </c>
    </row>
    <row r="6290" spans="27:31" x14ac:dyDescent="0.25">
      <c r="AA6290" s="160"/>
      <c r="AB6290" s="162"/>
      <c r="AC6290" s="162"/>
      <c r="AD6290" s="162">
        <f t="shared" si="118"/>
        <v>0</v>
      </c>
      <c r="AE6290" s="160">
        <v>6288</v>
      </c>
    </row>
    <row r="6291" spans="27:31" x14ac:dyDescent="0.25">
      <c r="AA6291" s="160"/>
      <c r="AB6291" s="162"/>
      <c r="AC6291" s="162"/>
      <c r="AD6291" s="162">
        <f t="shared" si="118"/>
        <v>0</v>
      </c>
      <c r="AE6291" s="160">
        <v>6289</v>
      </c>
    </row>
    <row r="6292" spans="27:31" x14ac:dyDescent="0.25">
      <c r="AA6292" s="160"/>
      <c r="AB6292" s="162"/>
      <c r="AC6292" s="162"/>
      <c r="AD6292" s="162">
        <f t="shared" si="118"/>
        <v>0</v>
      </c>
      <c r="AE6292" s="160">
        <v>6290</v>
      </c>
    </row>
    <row r="6293" spans="27:31" x14ac:dyDescent="0.25">
      <c r="AA6293" s="160"/>
      <c r="AB6293" s="162"/>
      <c r="AC6293" s="162"/>
      <c r="AD6293" s="162">
        <f t="shared" si="118"/>
        <v>0</v>
      </c>
      <c r="AE6293" s="160">
        <v>6291</v>
      </c>
    </row>
    <row r="6294" spans="27:31" x14ac:dyDescent="0.25">
      <c r="AA6294" s="160"/>
      <c r="AB6294" s="162"/>
      <c r="AC6294" s="162"/>
      <c r="AD6294" s="162">
        <f t="shared" si="118"/>
        <v>0</v>
      </c>
      <c r="AE6294" s="160">
        <v>6292</v>
      </c>
    </row>
    <row r="6295" spans="27:31" x14ac:dyDescent="0.25">
      <c r="AA6295" s="160"/>
      <c r="AB6295" s="162"/>
      <c r="AC6295" s="162"/>
      <c r="AD6295" s="162">
        <f t="shared" si="118"/>
        <v>0</v>
      </c>
      <c r="AE6295" s="160">
        <v>6293</v>
      </c>
    </row>
    <row r="6296" spans="27:31" x14ac:dyDescent="0.25">
      <c r="AA6296" s="160"/>
      <c r="AB6296" s="162"/>
      <c r="AC6296" s="162"/>
      <c r="AD6296" s="162">
        <f t="shared" si="118"/>
        <v>0</v>
      </c>
      <c r="AE6296" s="160">
        <v>6294</v>
      </c>
    </row>
    <row r="6297" spans="27:31" x14ac:dyDescent="0.25">
      <c r="AA6297" s="160"/>
      <c r="AB6297" s="162"/>
      <c r="AC6297" s="162"/>
      <c r="AD6297" s="162">
        <f t="shared" si="118"/>
        <v>0</v>
      </c>
      <c r="AE6297" s="160">
        <v>6295</v>
      </c>
    </row>
    <row r="6298" spans="27:31" x14ac:dyDescent="0.25">
      <c r="AA6298" s="160"/>
      <c r="AB6298" s="162"/>
      <c r="AC6298" s="162"/>
      <c r="AD6298" s="162">
        <f t="shared" si="118"/>
        <v>0</v>
      </c>
      <c r="AE6298" s="160">
        <v>6296</v>
      </c>
    </row>
    <row r="6299" spans="27:31" x14ac:dyDescent="0.25">
      <c r="AA6299" s="160"/>
      <c r="AB6299" s="162"/>
      <c r="AC6299" s="162"/>
      <c r="AD6299" s="162">
        <f t="shared" si="118"/>
        <v>0</v>
      </c>
      <c r="AE6299" s="160">
        <v>6297</v>
      </c>
    </row>
    <row r="6300" spans="27:31" x14ac:dyDescent="0.25">
      <c r="AA6300" s="160"/>
      <c r="AB6300" s="162"/>
      <c r="AC6300" s="162"/>
      <c r="AD6300" s="162">
        <f t="shared" si="118"/>
        <v>0</v>
      </c>
      <c r="AE6300" s="160">
        <v>6298</v>
      </c>
    </row>
    <row r="6301" spans="27:31" x14ac:dyDescent="0.25">
      <c r="AA6301" s="160"/>
      <c r="AB6301" s="162"/>
      <c r="AC6301" s="162"/>
      <c r="AD6301" s="162">
        <f t="shared" si="118"/>
        <v>0</v>
      </c>
      <c r="AE6301" s="160">
        <v>6299</v>
      </c>
    </row>
    <row r="6302" spans="27:31" x14ac:dyDescent="0.25">
      <c r="AA6302" s="160"/>
      <c r="AB6302" s="162"/>
      <c r="AC6302" s="162"/>
      <c r="AD6302" s="162">
        <f t="shared" si="118"/>
        <v>0</v>
      </c>
      <c r="AE6302" s="160">
        <v>6300</v>
      </c>
    </row>
    <row r="6303" spans="27:31" x14ac:dyDescent="0.25">
      <c r="AA6303" s="160"/>
      <c r="AB6303" s="162"/>
      <c r="AC6303" s="162"/>
      <c r="AD6303" s="162">
        <f t="shared" si="118"/>
        <v>0</v>
      </c>
      <c r="AE6303" s="160">
        <v>6301</v>
      </c>
    </row>
    <row r="6304" spans="27:31" x14ac:dyDescent="0.25">
      <c r="AA6304" s="160"/>
      <c r="AB6304" s="162"/>
      <c r="AC6304" s="162"/>
      <c r="AD6304" s="162">
        <f t="shared" si="118"/>
        <v>0</v>
      </c>
      <c r="AE6304" s="160">
        <v>6302</v>
      </c>
    </row>
    <row r="6305" spans="27:31" x14ac:dyDescent="0.25">
      <c r="AA6305" s="160"/>
      <c r="AB6305" s="162"/>
      <c r="AC6305" s="162"/>
      <c r="AD6305" s="162">
        <f t="shared" si="118"/>
        <v>0</v>
      </c>
      <c r="AE6305" s="160">
        <v>6303</v>
      </c>
    </row>
    <row r="6306" spans="27:31" x14ac:dyDescent="0.25">
      <c r="AA6306" s="160"/>
      <c r="AB6306" s="162"/>
      <c r="AC6306" s="162"/>
      <c r="AD6306" s="162">
        <f t="shared" si="118"/>
        <v>0</v>
      </c>
      <c r="AE6306" s="160">
        <v>6304</v>
      </c>
    </row>
    <row r="6307" spans="27:31" x14ac:dyDescent="0.25">
      <c r="AA6307" s="160"/>
      <c r="AB6307" s="162"/>
      <c r="AC6307" s="162"/>
      <c r="AD6307" s="162">
        <f t="shared" si="118"/>
        <v>0</v>
      </c>
      <c r="AE6307" s="160">
        <v>6305</v>
      </c>
    </row>
    <row r="6308" spans="27:31" x14ac:dyDescent="0.25">
      <c r="AA6308" s="160"/>
      <c r="AB6308" s="162"/>
      <c r="AC6308" s="162"/>
      <c r="AD6308" s="162">
        <f t="shared" si="118"/>
        <v>0</v>
      </c>
      <c r="AE6308" s="160">
        <v>6306</v>
      </c>
    </row>
    <row r="6309" spans="27:31" x14ac:dyDescent="0.25">
      <c r="AA6309" s="160"/>
      <c r="AB6309" s="162"/>
      <c r="AC6309" s="162"/>
      <c r="AD6309" s="162">
        <f t="shared" si="118"/>
        <v>0</v>
      </c>
      <c r="AE6309" s="160">
        <v>6307</v>
      </c>
    </row>
    <row r="6310" spans="27:31" x14ac:dyDescent="0.25">
      <c r="AA6310" s="160"/>
      <c r="AB6310" s="162"/>
      <c r="AC6310" s="162"/>
      <c r="AD6310" s="162">
        <f t="shared" si="118"/>
        <v>0</v>
      </c>
      <c r="AE6310" s="160">
        <v>6308</v>
      </c>
    </row>
    <row r="6311" spans="27:31" x14ac:dyDescent="0.25">
      <c r="AA6311" s="160"/>
      <c r="AB6311" s="162"/>
      <c r="AC6311" s="162"/>
      <c r="AD6311" s="162">
        <f t="shared" si="118"/>
        <v>0</v>
      </c>
      <c r="AE6311" s="160">
        <v>6309</v>
      </c>
    </row>
    <row r="6312" spans="27:31" x14ac:dyDescent="0.25">
      <c r="AA6312" s="160"/>
      <c r="AB6312" s="162"/>
      <c r="AC6312" s="162"/>
      <c r="AD6312" s="162">
        <f t="shared" si="118"/>
        <v>0</v>
      </c>
      <c r="AE6312" s="160">
        <v>6310</v>
      </c>
    </row>
    <row r="6313" spans="27:31" x14ac:dyDescent="0.25">
      <c r="AA6313" s="160"/>
      <c r="AB6313" s="162"/>
      <c r="AC6313" s="162"/>
      <c r="AD6313" s="162">
        <f t="shared" si="118"/>
        <v>0</v>
      </c>
      <c r="AE6313" s="160">
        <v>6311</v>
      </c>
    </row>
    <row r="6314" spans="27:31" x14ac:dyDescent="0.25">
      <c r="AA6314" s="160"/>
      <c r="AB6314" s="162"/>
      <c r="AC6314" s="162"/>
      <c r="AD6314" s="162">
        <f t="shared" si="118"/>
        <v>0</v>
      </c>
      <c r="AE6314" s="160">
        <v>6312</v>
      </c>
    </row>
    <row r="6315" spans="27:31" x14ac:dyDescent="0.25">
      <c r="AA6315" s="160"/>
      <c r="AB6315" s="162"/>
      <c r="AC6315" s="162"/>
      <c r="AD6315" s="162">
        <f t="shared" si="118"/>
        <v>0</v>
      </c>
      <c r="AE6315" s="160">
        <v>6313</v>
      </c>
    </row>
    <row r="6316" spans="27:31" x14ac:dyDescent="0.25">
      <c r="AA6316" s="160"/>
      <c r="AB6316" s="162"/>
      <c r="AC6316" s="162"/>
      <c r="AD6316" s="162">
        <f t="shared" si="118"/>
        <v>0</v>
      </c>
      <c r="AE6316" s="160">
        <v>6314</v>
      </c>
    </row>
    <row r="6317" spans="27:31" x14ac:dyDescent="0.25">
      <c r="AA6317" s="160"/>
      <c r="AB6317" s="162"/>
      <c r="AC6317" s="162"/>
      <c r="AD6317" s="162">
        <f t="shared" si="118"/>
        <v>0</v>
      </c>
      <c r="AE6317" s="160">
        <v>6315</v>
      </c>
    </row>
    <row r="6318" spans="27:31" x14ac:dyDescent="0.25">
      <c r="AA6318" s="160"/>
      <c r="AB6318" s="162"/>
      <c r="AC6318" s="162"/>
      <c r="AD6318" s="162">
        <f t="shared" si="118"/>
        <v>0</v>
      </c>
      <c r="AE6318" s="160">
        <v>6316</v>
      </c>
    </row>
    <row r="6319" spans="27:31" x14ac:dyDescent="0.25">
      <c r="AA6319" s="160"/>
      <c r="AB6319" s="162"/>
      <c r="AC6319" s="162"/>
      <c r="AD6319" s="162">
        <f t="shared" si="118"/>
        <v>0</v>
      </c>
      <c r="AE6319" s="160">
        <v>6317</v>
      </c>
    </row>
    <row r="6320" spans="27:31" x14ac:dyDescent="0.25">
      <c r="AA6320" s="160"/>
      <c r="AB6320" s="162"/>
      <c r="AC6320" s="162"/>
      <c r="AD6320" s="162">
        <f t="shared" si="118"/>
        <v>0</v>
      </c>
      <c r="AE6320" s="160">
        <v>6318</v>
      </c>
    </row>
    <row r="6321" spans="27:31" x14ac:dyDescent="0.25">
      <c r="AA6321" s="160"/>
      <c r="AB6321" s="162"/>
      <c r="AC6321" s="162"/>
      <c r="AD6321" s="162">
        <f t="shared" si="118"/>
        <v>0</v>
      </c>
      <c r="AE6321" s="160">
        <v>6319</v>
      </c>
    </row>
    <row r="6322" spans="27:31" x14ac:dyDescent="0.25">
      <c r="AA6322" s="160"/>
      <c r="AB6322" s="162"/>
      <c r="AC6322" s="162"/>
      <c r="AD6322" s="162">
        <f t="shared" si="118"/>
        <v>0</v>
      </c>
      <c r="AE6322" s="160">
        <v>6320</v>
      </c>
    </row>
    <row r="6323" spans="27:31" x14ac:dyDescent="0.25">
      <c r="AA6323" s="160"/>
      <c r="AB6323" s="162"/>
      <c r="AC6323" s="162"/>
      <c r="AD6323" s="162">
        <f t="shared" si="118"/>
        <v>0</v>
      </c>
      <c r="AE6323" s="160">
        <v>6321</v>
      </c>
    </row>
    <row r="6324" spans="27:31" x14ac:dyDescent="0.25">
      <c r="AA6324" s="160"/>
      <c r="AB6324" s="162"/>
      <c r="AC6324" s="162"/>
      <c r="AD6324" s="162">
        <f t="shared" si="118"/>
        <v>0</v>
      </c>
      <c r="AE6324" s="160">
        <v>6322</v>
      </c>
    </row>
    <row r="6325" spans="27:31" x14ac:dyDescent="0.25">
      <c r="AA6325" s="160"/>
      <c r="AB6325" s="162"/>
      <c r="AC6325" s="162"/>
      <c r="AD6325" s="162">
        <f t="shared" si="118"/>
        <v>0</v>
      </c>
      <c r="AE6325" s="160">
        <v>6323</v>
      </c>
    </row>
    <row r="6326" spans="27:31" x14ac:dyDescent="0.25">
      <c r="AA6326" s="160"/>
      <c r="AB6326" s="162"/>
      <c r="AC6326" s="162"/>
      <c r="AD6326" s="162">
        <f t="shared" si="118"/>
        <v>0</v>
      </c>
      <c r="AE6326" s="160">
        <v>6324</v>
      </c>
    </row>
    <row r="6327" spans="27:31" x14ac:dyDescent="0.25">
      <c r="AA6327" s="160"/>
      <c r="AB6327" s="162"/>
      <c r="AC6327" s="162"/>
      <c r="AD6327" s="162">
        <f t="shared" si="118"/>
        <v>0</v>
      </c>
      <c r="AE6327" s="160">
        <v>6325</v>
      </c>
    </row>
    <row r="6328" spans="27:31" x14ac:dyDescent="0.25">
      <c r="AA6328" s="160"/>
      <c r="AB6328" s="162"/>
      <c r="AC6328" s="162"/>
      <c r="AD6328" s="162">
        <f t="shared" si="118"/>
        <v>0</v>
      </c>
      <c r="AE6328" s="160">
        <v>6326</v>
      </c>
    </row>
    <row r="6329" spans="27:31" x14ac:dyDescent="0.25">
      <c r="AA6329" s="160"/>
      <c r="AB6329" s="162"/>
      <c r="AC6329" s="162"/>
      <c r="AD6329" s="162">
        <f t="shared" si="118"/>
        <v>0</v>
      </c>
      <c r="AE6329" s="160">
        <v>6327</v>
      </c>
    </row>
    <row r="6330" spans="27:31" x14ac:dyDescent="0.25">
      <c r="AA6330" s="160"/>
      <c r="AB6330" s="162"/>
      <c r="AC6330" s="162"/>
      <c r="AD6330" s="162">
        <f t="shared" si="118"/>
        <v>0</v>
      </c>
      <c r="AE6330" s="160">
        <v>6328</v>
      </c>
    </row>
    <row r="6331" spans="27:31" x14ac:dyDescent="0.25">
      <c r="AA6331" s="160"/>
      <c r="AB6331" s="162"/>
      <c r="AC6331" s="162"/>
      <c r="AD6331" s="162">
        <f t="shared" si="118"/>
        <v>0</v>
      </c>
      <c r="AE6331" s="160">
        <v>6329</v>
      </c>
    </row>
    <row r="6332" spans="27:31" x14ac:dyDescent="0.25">
      <c r="AA6332" s="160"/>
      <c r="AB6332" s="162"/>
      <c r="AC6332" s="162"/>
      <c r="AD6332" s="162">
        <f t="shared" si="118"/>
        <v>0</v>
      </c>
      <c r="AE6332" s="160">
        <v>6330</v>
      </c>
    </row>
    <row r="6333" spans="27:31" x14ac:dyDescent="0.25">
      <c r="AA6333" s="160"/>
      <c r="AB6333" s="162"/>
      <c r="AC6333" s="162"/>
      <c r="AD6333" s="162">
        <f t="shared" si="118"/>
        <v>0</v>
      </c>
      <c r="AE6333" s="160">
        <v>6331</v>
      </c>
    </row>
    <row r="6334" spans="27:31" x14ac:dyDescent="0.25">
      <c r="AA6334" s="160"/>
      <c r="AB6334" s="162"/>
      <c r="AC6334" s="162"/>
      <c r="AD6334" s="162">
        <f t="shared" si="118"/>
        <v>0</v>
      </c>
      <c r="AE6334" s="160">
        <v>6332</v>
      </c>
    </row>
    <row r="6335" spans="27:31" x14ac:dyDescent="0.25">
      <c r="AA6335" s="160"/>
      <c r="AB6335" s="162"/>
      <c r="AC6335" s="162"/>
      <c r="AD6335" s="162">
        <f t="shared" si="118"/>
        <v>0</v>
      </c>
      <c r="AE6335" s="160">
        <v>6333</v>
      </c>
    </row>
    <row r="6336" spans="27:31" x14ac:dyDescent="0.25">
      <c r="AA6336" s="160"/>
      <c r="AB6336" s="162"/>
      <c r="AC6336" s="162"/>
      <c r="AD6336" s="162">
        <f t="shared" si="118"/>
        <v>0</v>
      </c>
      <c r="AE6336" s="160">
        <v>6334</v>
      </c>
    </row>
    <row r="6337" spans="27:31" x14ac:dyDescent="0.25">
      <c r="AA6337" s="160"/>
      <c r="AB6337" s="162"/>
      <c r="AC6337" s="162"/>
      <c r="AD6337" s="162">
        <f t="shared" si="118"/>
        <v>0</v>
      </c>
      <c r="AE6337" s="160">
        <v>6335</v>
      </c>
    </row>
    <row r="6338" spans="27:31" x14ac:dyDescent="0.25">
      <c r="AA6338" s="160"/>
      <c r="AB6338" s="162"/>
      <c r="AC6338" s="162"/>
      <c r="AD6338" s="162">
        <f t="shared" si="118"/>
        <v>0</v>
      </c>
      <c r="AE6338" s="160">
        <v>6336</v>
      </c>
    </row>
    <row r="6339" spans="27:31" x14ac:dyDescent="0.25">
      <c r="AA6339" s="160"/>
      <c r="AB6339" s="162"/>
      <c r="AC6339" s="162"/>
      <c r="AD6339" s="162">
        <f t="shared" si="118"/>
        <v>0</v>
      </c>
      <c r="AE6339" s="160">
        <v>6337</v>
      </c>
    </row>
    <row r="6340" spans="27:31" x14ac:dyDescent="0.25">
      <c r="AA6340" s="160"/>
      <c r="AB6340" s="162"/>
      <c r="AC6340" s="162"/>
      <c r="AD6340" s="162">
        <f t="shared" ref="AD6340:AD6403" si="119">AB6340+AC6340</f>
        <v>0</v>
      </c>
      <c r="AE6340" s="160">
        <v>6338</v>
      </c>
    </row>
    <row r="6341" spans="27:31" x14ac:dyDescent="0.25">
      <c r="AA6341" s="160"/>
      <c r="AB6341" s="162"/>
      <c r="AC6341" s="162"/>
      <c r="AD6341" s="162">
        <f t="shared" si="119"/>
        <v>0</v>
      </c>
      <c r="AE6341" s="160">
        <v>6339</v>
      </c>
    </row>
    <row r="6342" spans="27:31" x14ac:dyDescent="0.25">
      <c r="AA6342" s="160"/>
      <c r="AB6342" s="162"/>
      <c r="AC6342" s="162"/>
      <c r="AD6342" s="162">
        <f t="shared" si="119"/>
        <v>0</v>
      </c>
      <c r="AE6342" s="160">
        <v>6340</v>
      </c>
    </row>
    <row r="6343" spans="27:31" x14ac:dyDescent="0.25">
      <c r="AA6343" s="160"/>
      <c r="AB6343" s="162"/>
      <c r="AC6343" s="162"/>
      <c r="AD6343" s="162">
        <f t="shared" si="119"/>
        <v>0</v>
      </c>
      <c r="AE6343" s="160">
        <v>6341</v>
      </c>
    </row>
    <row r="6344" spans="27:31" x14ac:dyDescent="0.25">
      <c r="AA6344" s="160"/>
      <c r="AB6344" s="162"/>
      <c r="AC6344" s="162"/>
      <c r="AD6344" s="162">
        <f t="shared" si="119"/>
        <v>0</v>
      </c>
      <c r="AE6344" s="160">
        <v>6342</v>
      </c>
    </row>
    <row r="6345" spans="27:31" x14ac:dyDescent="0.25">
      <c r="AA6345" s="160"/>
      <c r="AB6345" s="162"/>
      <c r="AC6345" s="162"/>
      <c r="AD6345" s="162">
        <f t="shared" si="119"/>
        <v>0</v>
      </c>
      <c r="AE6345" s="160">
        <v>6343</v>
      </c>
    </row>
    <row r="6346" spans="27:31" x14ac:dyDescent="0.25">
      <c r="AA6346" s="160"/>
      <c r="AB6346" s="162"/>
      <c r="AC6346" s="162"/>
      <c r="AD6346" s="162">
        <f t="shared" si="119"/>
        <v>0</v>
      </c>
      <c r="AE6346" s="160">
        <v>6344</v>
      </c>
    </row>
    <row r="6347" spans="27:31" x14ac:dyDescent="0.25">
      <c r="AA6347" s="160"/>
      <c r="AB6347" s="162"/>
      <c r="AC6347" s="162"/>
      <c r="AD6347" s="162">
        <f t="shared" si="119"/>
        <v>0</v>
      </c>
      <c r="AE6347" s="160">
        <v>6345</v>
      </c>
    </row>
    <row r="6348" spans="27:31" x14ac:dyDescent="0.25">
      <c r="AA6348" s="160"/>
      <c r="AB6348" s="162"/>
      <c r="AC6348" s="162"/>
      <c r="AD6348" s="162">
        <f t="shared" si="119"/>
        <v>0</v>
      </c>
      <c r="AE6348" s="160">
        <v>6346</v>
      </c>
    </row>
    <row r="6349" spans="27:31" x14ac:dyDescent="0.25">
      <c r="AA6349" s="160"/>
      <c r="AB6349" s="162"/>
      <c r="AC6349" s="162"/>
      <c r="AD6349" s="162">
        <f t="shared" si="119"/>
        <v>0</v>
      </c>
      <c r="AE6349" s="160">
        <v>6347</v>
      </c>
    </row>
    <row r="6350" spans="27:31" x14ac:dyDescent="0.25">
      <c r="AA6350" s="160"/>
      <c r="AB6350" s="162"/>
      <c r="AC6350" s="162"/>
      <c r="AD6350" s="162">
        <f t="shared" si="119"/>
        <v>0</v>
      </c>
      <c r="AE6350" s="160">
        <v>6348</v>
      </c>
    </row>
    <row r="6351" spans="27:31" x14ac:dyDescent="0.25">
      <c r="AA6351" s="160"/>
      <c r="AB6351" s="162"/>
      <c r="AC6351" s="162"/>
      <c r="AD6351" s="162">
        <f t="shared" si="119"/>
        <v>0</v>
      </c>
      <c r="AE6351" s="160">
        <v>6349</v>
      </c>
    </row>
    <row r="6352" spans="27:31" x14ac:dyDescent="0.25">
      <c r="AA6352" s="160"/>
      <c r="AB6352" s="162"/>
      <c r="AC6352" s="162"/>
      <c r="AD6352" s="162">
        <f t="shared" si="119"/>
        <v>0</v>
      </c>
      <c r="AE6352" s="160">
        <v>6350</v>
      </c>
    </row>
    <row r="6353" spans="27:31" x14ac:dyDescent="0.25">
      <c r="AA6353" s="160"/>
      <c r="AB6353" s="162"/>
      <c r="AC6353" s="162"/>
      <c r="AD6353" s="162">
        <f t="shared" si="119"/>
        <v>0</v>
      </c>
      <c r="AE6353" s="160">
        <v>6351</v>
      </c>
    </row>
    <row r="6354" spans="27:31" x14ac:dyDescent="0.25">
      <c r="AA6354" s="160"/>
      <c r="AB6354" s="162"/>
      <c r="AC6354" s="162"/>
      <c r="AD6354" s="162">
        <f t="shared" si="119"/>
        <v>0</v>
      </c>
      <c r="AE6354" s="160">
        <v>6352</v>
      </c>
    </row>
    <row r="6355" spans="27:31" x14ac:dyDescent="0.25">
      <c r="AA6355" s="160"/>
      <c r="AB6355" s="162"/>
      <c r="AC6355" s="162"/>
      <c r="AD6355" s="162">
        <f t="shared" si="119"/>
        <v>0</v>
      </c>
      <c r="AE6355" s="160">
        <v>6353</v>
      </c>
    </row>
    <row r="6356" spans="27:31" x14ac:dyDescent="0.25">
      <c r="AA6356" s="160"/>
      <c r="AB6356" s="162"/>
      <c r="AC6356" s="162"/>
      <c r="AD6356" s="162">
        <f t="shared" si="119"/>
        <v>0</v>
      </c>
      <c r="AE6356" s="160">
        <v>6354</v>
      </c>
    </row>
    <row r="6357" spans="27:31" x14ac:dyDescent="0.25">
      <c r="AA6357" s="160"/>
      <c r="AB6357" s="162"/>
      <c r="AC6357" s="162"/>
      <c r="AD6357" s="162">
        <f t="shared" si="119"/>
        <v>0</v>
      </c>
      <c r="AE6357" s="160">
        <v>6355</v>
      </c>
    </row>
    <row r="6358" spans="27:31" x14ac:dyDescent="0.25">
      <c r="AA6358" s="160"/>
      <c r="AB6358" s="162"/>
      <c r="AC6358" s="162"/>
      <c r="AD6358" s="162">
        <f t="shared" si="119"/>
        <v>0</v>
      </c>
      <c r="AE6358" s="160">
        <v>6356</v>
      </c>
    </row>
    <row r="6359" spans="27:31" x14ac:dyDescent="0.25">
      <c r="AA6359" s="160"/>
      <c r="AB6359" s="162"/>
      <c r="AC6359" s="162"/>
      <c r="AD6359" s="162">
        <f t="shared" si="119"/>
        <v>0</v>
      </c>
      <c r="AE6359" s="160">
        <v>6357</v>
      </c>
    </row>
    <row r="6360" spans="27:31" x14ac:dyDescent="0.25">
      <c r="AA6360" s="160"/>
      <c r="AB6360" s="162"/>
      <c r="AC6360" s="162"/>
      <c r="AD6360" s="162">
        <f t="shared" si="119"/>
        <v>0</v>
      </c>
      <c r="AE6360" s="160">
        <v>6358</v>
      </c>
    </row>
    <row r="6361" spans="27:31" x14ac:dyDescent="0.25">
      <c r="AA6361" s="160"/>
      <c r="AB6361" s="162"/>
      <c r="AC6361" s="162"/>
      <c r="AD6361" s="162">
        <f t="shared" si="119"/>
        <v>0</v>
      </c>
      <c r="AE6361" s="160">
        <v>6359</v>
      </c>
    </row>
    <row r="6362" spans="27:31" x14ac:dyDescent="0.25">
      <c r="AA6362" s="160"/>
      <c r="AB6362" s="162"/>
      <c r="AC6362" s="162"/>
      <c r="AD6362" s="162">
        <f t="shared" si="119"/>
        <v>0</v>
      </c>
      <c r="AE6362" s="160">
        <v>6360</v>
      </c>
    </row>
    <row r="6363" spans="27:31" x14ac:dyDescent="0.25">
      <c r="AA6363" s="160"/>
      <c r="AB6363" s="162"/>
      <c r="AC6363" s="162"/>
      <c r="AD6363" s="162">
        <f t="shared" si="119"/>
        <v>0</v>
      </c>
      <c r="AE6363" s="160">
        <v>6361</v>
      </c>
    </row>
    <row r="6364" spans="27:31" x14ac:dyDescent="0.25">
      <c r="AA6364" s="160"/>
      <c r="AB6364" s="162"/>
      <c r="AC6364" s="162"/>
      <c r="AD6364" s="162">
        <f t="shared" si="119"/>
        <v>0</v>
      </c>
      <c r="AE6364" s="160">
        <v>6362</v>
      </c>
    </row>
    <row r="6365" spans="27:31" x14ac:dyDescent="0.25">
      <c r="AA6365" s="160"/>
      <c r="AB6365" s="162"/>
      <c r="AC6365" s="162"/>
      <c r="AD6365" s="162">
        <f t="shared" si="119"/>
        <v>0</v>
      </c>
      <c r="AE6365" s="160">
        <v>6363</v>
      </c>
    </row>
    <row r="6366" spans="27:31" x14ac:dyDescent="0.25">
      <c r="AA6366" s="160"/>
      <c r="AB6366" s="162"/>
      <c r="AC6366" s="162"/>
      <c r="AD6366" s="162">
        <f t="shared" si="119"/>
        <v>0</v>
      </c>
      <c r="AE6366" s="160">
        <v>6364</v>
      </c>
    </row>
    <row r="6367" spans="27:31" x14ac:dyDescent="0.25">
      <c r="AA6367" s="160"/>
      <c r="AB6367" s="162"/>
      <c r="AC6367" s="162"/>
      <c r="AD6367" s="162">
        <f t="shared" si="119"/>
        <v>0</v>
      </c>
      <c r="AE6367" s="160">
        <v>6365</v>
      </c>
    </row>
    <row r="6368" spans="27:31" x14ac:dyDescent="0.25">
      <c r="AA6368" s="160"/>
      <c r="AB6368" s="162"/>
      <c r="AC6368" s="162"/>
      <c r="AD6368" s="162">
        <f t="shared" si="119"/>
        <v>0</v>
      </c>
      <c r="AE6368" s="160">
        <v>6366</v>
      </c>
    </row>
    <row r="6369" spans="27:31" x14ac:dyDescent="0.25">
      <c r="AA6369" s="160"/>
      <c r="AB6369" s="162"/>
      <c r="AC6369" s="162"/>
      <c r="AD6369" s="162">
        <f t="shared" si="119"/>
        <v>0</v>
      </c>
      <c r="AE6369" s="160">
        <v>6367</v>
      </c>
    </row>
    <row r="6370" spans="27:31" x14ac:dyDescent="0.25">
      <c r="AA6370" s="160"/>
      <c r="AB6370" s="162"/>
      <c r="AC6370" s="162"/>
      <c r="AD6370" s="162">
        <f t="shared" si="119"/>
        <v>0</v>
      </c>
      <c r="AE6370" s="160">
        <v>6368</v>
      </c>
    </row>
    <row r="6371" spans="27:31" x14ac:dyDescent="0.25">
      <c r="AA6371" s="160"/>
      <c r="AB6371" s="162"/>
      <c r="AC6371" s="162"/>
      <c r="AD6371" s="162">
        <f t="shared" si="119"/>
        <v>0</v>
      </c>
      <c r="AE6371" s="160">
        <v>6369</v>
      </c>
    </row>
    <row r="6372" spans="27:31" x14ac:dyDescent="0.25">
      <c r="AA6372" s="160"/>
      <c r="AB6372" s="162"/>
      <c r="AC6372" s="162"/>
      <c r="AD6372" s="162">
        <f t="shared" si="119"/>
        <v>0</v>
      </c>
      <c r="AE6372" s="160">
        <v>6370</v>
      </c>
    </row>
    <row r="6373" spans="27:31" x14ac:dyDescent="0.25">
      <c r="AA6373" s="160"/>
      <c r="AB6373" s="162"/>
      <c r="AC6373" s="162"/>
      <c r="AD6373" s="162">
        <f t="shared" si="119"/>
        <v>0</v>
      </c>
      <c r="AE6373" s="160">
        <v>6371</v>
      </c>
    </row>
    <row r="6374" spans="27:31" x14ac:dyDescent="0.25">
      <c r="AA6374" s="160"/>
      <c r="AB6374" s="162"/>
      <c r="AC6374" s="162"/>
      <c r="AD6374" s="162">
        <f t="shared" si="119"/>
        <v>0</v>
      </c>
      <c r="AE6374" s="160">
        <v>6372</v>
      </c>
    </row>
    <row r="6375" spans="27:31" x14ac:dyDescent="0.25">
      <c r="AA6375" s="160"/>
      <c r="AB6375" s="162"/>
      <c r="AC6375" s="162"/>
      <c r="AD6375" s="162">
        <f t="shared" si="119"/>
        <v>0</v>
      </c>
      <c r="AE6375" s="160">
        <v>6373</v>
      </c>
    </row>
    <row r="6376" spans="27:31" x14ac:dyDescent="0.25">
      <c r="AA6376" s="160"/>
      <c r="AB6376" s="162"/>
      <c r="AC6376" s="162"/>
      <c r="AD6376" s="162">
        <f t="shared" si="119"/>
        <v>0</v>
      </c>
      <c r="AE6376" s="160">
        <v>6374</v>
      </c>
    </row>
    <row r="6377" spans="27:31" x14ac:dyDescent="0.25">
      <c r="AA6377" s="160"/>
      <c r="AB6377" s="162"/>
      <c r="AC6377" s="162"/>
      <c r="AD6377" s="162">
        <f t="shared" si="119"/>
        <v>0</v>
      </c>
      <c r="AE6377" s="160">
        <v>6375</v>
      </c>
    </row>
    <row r="6378" spans="27:31" x14ac:dyDescent="0.25">
      <c r="AA6378" s="160"/>
      <c r="AB6378" s="162"/>
      <c r="AC6378" s="162"/>
      <c r="AD6378" s="162">
        <f t="shared" si="119"/>
        <v>0</v>
      </c>
      <c r="AE6378" s="160">
        <v>6376</v>
      </c>
    </row>
    <row r="6379" spans="27:31" x14ac:dyDescent="0.25">
      <c r="AA6379" s="160"/>
      <c r="AB6379" s="162"/>
      <c r="AC6379" s="162"/>
      <c r="AD6379" s="162">
        <f t="shared" si="119"/>
        <v>0</v>
      </c>
      <c r="AE6379" s="160">
        <v>6377</v>
      </c>
    </row>
    <row r="6380" spans="27:31" x14ac:dyDescent="0.25">
      <c r="AA6380" s="160"/>
      <c r="AB6380" s="162"/>
      <c r="AC6380" s="162"/>
      <c r="AD6380" s="162">
        <f t="shared" si="119"/>
        <v>0</v>
      </c>
      <c r="AE6380" s="160">
        <v>6378</v>
      </c>
    </row>
    <row r="6381" spans="27:31" x14ac:dyDescent="0.25">
      <c r="AA6381" s="160"/>
      <c r="AB6381" s="162"/>
      <c r="AC6381" s="162"/>
      <c r="AD6381" s="162">
        <f t="shared" si="119"/>
        <v>0</v>
      </c>
      <c r="AE6381" s="160">
        <v>6379</v>
      </c>
    </row>
    <row r="6382" spans="27:31" x14ac:dyDescent="0.25">
      <c r="AA6382" s="160"/>
      <c r="AB6382" s="162"/>
      <c r="AC6382" s="162"/>
      <c r="AD6382" s="162">
        <f t="shared" si="119"/>
        <v>0</v>
      </c>
      <c r="AE6382" s="160">
        <v>6380</v>
      </c>
    </row>
    <row r="6383" spans="27:31" x14ac:dyDescent="0.25">
      <c r="AA6383" s="160"/>
      <c r="AB6383" s="162"/>
      <c r="AC6383" s="162"/>
      <c r="AD6383" s="162">
        <f t="shared" si="119"/>
        <v>0</v>
      </c>
      <c r="AE6383" s="160">
        <v>6381</v>
      </c>
    </row>
    <row r="6384" spans="27:31" x14ac:dyDescent="0.25">
      <c r="AA6384" s="160"/>
      <c r="AB6384" s="162"/>
      <c r="AC6384" s="162"/>
      <c r="AD6384" s="162">
        <f t="shared" si="119"/>
        <v>0</v>
      </c>
      <c r="AE6384" s="160">
        <v>6382</v>
      </c>
    </row>
    <row r="6385" spans="27:31" x14ac:dyDescent="0.25">
      <c r="AA6385" s="160"/>
      <c r="AB6385" s="162"/>
      <c r="AC6385" s="162"/>
      <c r="AD6385" s="162">
        <f t="shared" si="119"/>
        <v>0</v>
      </c>
      <c r="AE6385" s="160">
        <v>6383</v>
      </c>
    </row>
    <row r="6386" spans="27:31" x14ac:dyDescent="0.25">
      <c r="AA6386" s="160"/>
      <c r="AB6386" s="162"/>
      <c r="AC6386" s="162"/>
      <c r="AD6386" s="162">
        <f t="shared" si="119"/>
        <v>0</v>
      </c>
      <c r="AE6386" s="160">
        <v>6384</v>
      </c>
    </row>
    <row r="6387" spans="27:31" x14ac:dyDescent="0.25">
      <c r="AA6387" s="160"/>
      <c r="AB6387" s="162"/>
      <c r="AC6387" s="162"/>
      <c r="AD6387" s="162">
        <f t="shared" si="119"/>
        <v>0</v>
      </c>
      <c r="AE6387" s="160">
        <v>6385</v>
      </c>
    </row>
    <row r="6388" spans="27:31" x14ac:dyDescent="0.25">
      <c r="AA6388" s="160"/>
      <c r="AB6388" s="162"/>
      <c r="AC6388" s="162"/>
      <c r="AD6388" s="162">
        <f t="shared" si="119"/>
        <v>0</v>
      </c>
      <c r="AE6388" s="160">
        <v>6386</v>
      </c>
    </row>
    <row r="6389" spans="27:31" x14ac:dyDescent="0.25">
      <c r="AA6389" s="160"/>
      <c r="AB6389" s="162"/>
      <c r="AC6389" s="162"/>
      <c r="AD6389" s="162">
        <f t="shared" si="119"/>
        <v>0</v>
      </c>
      <c r="AE6389" s="160">
        <v>6387</v>
      </c>
    </row>
    <row r="6390" spans="27:31" x14ac:dyDescent="0.25">
      <c r="AA6390" s="160"/>
      <c r="AB6390" s="162"/>
      <c r="AC6390" s="162"/>
      <c r="AD6390" s="162">
        <f t="shared" si="119"/>
        <v>0</v>
      </c>
      <c r="AE6390" s="160">
        <v>6388</v>
      </c>
    </row>
    <row r="6391" spans="27:31" x14ac:dyDescent="0.25">
      <c r="AA6391" s="160"/>
      <c r="AB6391" s="162"/>
      <c r="AC6391" s="162"/>
      <c r="AD6391" s="162">
        <f t="shared" si="119"/>
        <v>0</v>
      </c>
      <c r="AE6391" s="160">
        <v>6389</v>
      </c>
    </row>
    <row r="6392" spans="27:31" x14ac:dyDescent="0.25">
      <c r="AA6392" s="160"/>
      <c r="AB6392" s="162"/>
      <c r="AC6392" s="162"/>
      <c r="AD6392" s="162">
        <f t="shared" si="119"/>
        <v>0</v>
      </c>
      <c r="AE6392" s="160">
        <v>6390</v>
      </c>
    </row>
    <row r="6393" spans="27:31" x14ac:dyDescent="0.25">
      <c r="AA6393" s="160"/>
      <c r="AB6393" s="162"/>
      <c r="AC6393" s="162"/>
      <c r="AD6393" s="162">
        <f t="shared" si="119"/>
        <v>0</v>
      </c>
      <c r="AE6393" s="160">
        <v>6391</v>
      </c>
    </row>
    <row r="6394" spans="27:31" x14ac:dyDescent="0.25">
      <c r="AA6394" s="160"/>
      <c r="AB6394" s="162"/>
      <c r="AC6394" s="162"/>
      <c r="AD6394" s="162">
        <f t="shared" si="119"/>
        <v>0</v>
      </c>
      <c r="AE6394" s="160">
        <v>6392</v>
      </c>
    </row>
    <row r="6395" spans="27:31" x14ac:dyDescent="0.25">
      <c r="AA6395" s="160"/>
      <c r="AB6395" s="162"/>
      <c r="AC6395" s="162"/>
      <c r="AD6395" s="162">
        <f t="shared" si="119"/>
        <v>0</v>
      </c>
      <c r="AE6395" s="160">
        <v>6393</v>
      </c>
    </row>
    <row r="6396" spans="27:31" x14ac:dyDescent="0.25">
      <c r="AA6396" s="160"/>
      <c r="AB6396" s="162"/>
      <c r="AC6396" s="162"/>
      <c r="AD6396" s="162">
        <f t="shared" si="119"/>
        <v>0</v>
      </c>
      <c r="AE6396" s="160">
        <v>6394</v>
      </c>
    </row>
    <row r="6397" spans="27:31" x14ac:dyDescent="0.25">
      <c r="AA6397" s="160"/>
      <c r="AB6397" s="162"/>
      <c r="AC6397" s="162"/>
      <c r="AD6397" s="162">
        <f t="shared" si="119"/>
        <v>0</v>
      </c>
      <c r="AE6397" s="160">
        <v>6395</v>
      </c>
    </row>
    <row r="6398" spans="27:31" x14ac:dyDescent="0.25">
      <c r="AA6398" s="160"/>
      <c r="AB6398" s="162"/>
      <c r="AC6398" s="162"/>
      <c r="AD6398" s="162">
        <f t="shared" si="119"/>
        <v>0</v>
      </c>
      <c r="AE6398" s="160">
        <v>6396</v>
      </c>
    </row>
    <row r="6399" spans="27:31" x14ac:dyDescent="0.25">
      <c r="AA6399" s="160"/>
      <c r="AB6399" s="162"/>
      <c r="AC6399" s="162"/>
      <c r="AD6399" s="162">
        <f t="shared" si="119"/>
        <v>0</v>
      </c>
      <c r="AE6399" s="160">
        <v>6397</v>
      </c>
    </row>
    <row r="6400" spans="27:31" x14ac:dyDescent="0.25">
      <c r="AA6400" s="160"/>
      <c r="AB6400" s="162"/>
      <c r="AC6400" s="162"/>
      <c r="AD6400" s="162">
        <f t="shared" si="119"/>
        <v>0</v>
      </c>
      <c r="AE6400" s="160">
        <v>6398</v>
      </c>
    </row>
    <row r="6401" spans="27:31" x14ac:dyDescent="0.25">
      <c r="AA6401" s="160"/>
      <c r="AB6401" s="162"/>
      <c r="AC6401" s="162"/>
      <c r="AD6401" s="162">
        <f t="shared" si="119"/>
        <v>0</v>
      </c>
      <c r="AE6401" s="160">
        <v>6399</v>
      </c>
    </row>
    <row r="6402" spans="27:31" x14ac:dyDescent="0.25">
      <c r="AA6402" s="160"/>
      <c r="AB6402" s="162"/>
      <c r="AC6402" s="162"/>
      <c r="AD6402" s="162">
        <f t="shared" si="119"/>
        <v>0</v>
      </c>
      <c r="AE6402" s="160">
        <v>6400</v>
      </c>
    </row>
    <row r="6403" spans="27:31" x14ac:dyDescent="0.25">
      <c r="AA6403" s="160"/>
      <c r="AB6403" s="162"/>
      <c r="AC6403" s="162"/>
      <c r="AD6403" s="162">
        <f t="shared" si="119"/>
        <v>0</v>
      </c>
      <c r="AE6403" s="160">
        <v>6401</v>
      </c>
    </row>
    <row r="6404" spans="27:31" x14ac:dyDescent="0.25">
      <c r="AA6404" s="160"/>
      <c r="AB6404" s="162"/>
      <c r="AC6404" s="162"/>
      <c r="AD6404" s="162">
        <f t="shared" ref="AD6404:AD6467" si="120">AB6404+AC6404</f>
        <v>0</v>
      </c>
      <c r="AE6404" s="160">
        <v>6402</v>
      </c>
    </row>
    <row r="6405" spans="27:31" x14ac:dyDescent="0.25">
      <c r="AA6405" s="160"/>
      <c r="AB6405" s="162"/>
      <c r="AC6405" s="162"/>
      <c r="AD6405" s="162">
        <f t="shared" si="120"/>
        <v>0</v>
      </c>
      <c r="AE6405" s="160">
        <v>6403</v>
      </c>
    </row>
    <row r="6406" spans="27:31" x14ac:dyDescent="0.25">
      <c r="AA6406" s="160"/>
      <c r="AB6406" s="162"/>
      <c r="AC6406" s="162"/>
      <c r="AD6406" s="162">
        <f t="shared" si="120"/>
        <v>0</v>
      </c>
      <c r="AE6406" s="160">
        <v>6404</v>
      </c>
    </row>
    <row r="6407" spans="27:31" x14ac:dyDescent="0.25">
      <c r="AA6407" s="160"/>
      <c r="AB6407" s="162"/>
      <c r="AC6407" s="162"/>
      <c r="AD6407" s="162">
        <f t="shared" si="120"/>
        <v>0</v>
      </c>
      <c r="AE6407" s="160">
        <v>6405</v>
      </c>
    </row>
    <row r="6408" spans="27:31" x14ac:dyDescent="0.25">
      <c r="AA6408" s="160"/>
      <c r="AB6408" s="162"/>
      <c r="AC6408" s="162"/>
      <c r="AD6408" s="162">
        <f t="shared" si="120"/>
        <v>0</v>
      </c>
      <c r="AE6408" s="160">
        <v>6406</v>
      </c>
    </row>
    <row r="6409" spans="27:31" x14ac:dyDescent="0.25">
      <c r="AA6409" s="160"/>
      <c r="AB6409" s="162"/>
      <c r="AC6409" s="162"/>
      <c r="AD6409" s="162">
        <f t="shared" si="120"/>
        <v>0</v>
      </c>
      <c r="AE6409" s="160">
        <v>6407</v>
      </c>
    </row>
    <row r="6410" spans="27:31" x14ac:dyDescent="0.25">
      <c r="AA6410" s="160"/>
      <c r="AB6410" s="162"/>
      <c r="AC6410" s="162"/>
      <c r="AD6410" s="162">
        <f t="shared" si="120"/>
        <v>0</v>
      </c>
      <c r="AE6410" s="160">
        <v>6408</v>
      </c>
    </row>
    <row r="6411" spans="27:31" x14ac:dyDescent="0.25">
      <c r="AA6411" s="160"/>
      <c r="AB6411" s="162"/>
      <c r="AC6411" s="162"/>
      <c r="AD6411" s="162">
        <f t="shared" si="120"/>
        <v>0</v>
      </c>
      <c r="AE6411" s="160">
        <v>6409</v>
      </c>
    </row>
    <row r="6412" spans="27:31" x14ac:dyDescent="0.25">
      <c r="AA6412" s="160"/>
      <c r="AB6412" s="162"/>
      <c r="AC6412" s="162"/>
      <c r="AD6412" s="162">
        <f t="shared" si="120"/>
        <v>0</v>
      </c>
      <c r="AE6412" s="160">
        <v>6410</v>
      </c>
    </row>
    <row r="6413" spans="27:31" x14ac:dyDescent="0.25">
      <c r="AA6413" s="160"/>
      <c r="AB6413" s="162"/>
      <c r="AC6413" s="162"/>
      <c r="AD6413" s="162">
        <f t="shared" si="120"/>
        <v>0</v>
      </c>
      <c r="AE6413" s="160">
        <v>6411</v>
      </c>
    </row>
    <row r="6414" spans="27:31" x14ac:dyDescent="0.25">
      <c r="AA6414" s="160"/>
      <c r="AB6414" s="162"/>
      <c r="AC6414" s="162"/>
      <c r="AD6414" s="162">
        <f t="shared" si="120"/>
        <v>0</v>
      </c>
      <c r="AE6414" s="160">
        <v>6412</v>
      </c>
    </row>
    <row r="6415" spans="27:31" x14ac:dyDescent="0.25">
      <c r="AA6415" s="160"/>
      <c r="AB6415" s="162"/>
      <c r="AC6415" s="162"/>
      <c r="AD6415" s="162">
        <f t="shared" si="120"/>
        <v>0</v>
      </c>
      <c r="AE6415" s="160">
        <v>6413</v>
      </c>
    </row>
    <row r="6416" spans="27:31" x14ac:dyDescent="0.25">
      <c r="AA6416" s="160"/>
      <c r="AB6416" s="162"/>
      <c r="AC6416" s="162"/>
      <c r="AD6416" s="162">
        <f t="shared" si="120"/>
        <v>0</v>
      </c>
      <c r="AE6416" s="160">
        <v>6414</v>
      </c>
    </row>
    <row r="6417" spans="27:31" x14ac:dyDescent="0.25">
      <c r="AA6417" s="160"/>
      <c r="AB6417" s="162"/>
      <c r="AC6417" s="162"/>
      <c r="AD6417" s="162">
        <f t="shared" si="120"/>
        <v>0</v>
      </c>
      <c r="AE6417" s="160">
        <v>6415</v>
      </c>
    </row>
    <row r="6418" spans="27:31" x14ac:dyDescent="0.25">
      <c r="AA6418" s="160"/>
      <c r="AB6418" s="162"/>
      <c r="AC6418" s="162"/>
      <c r="AD6418" s="162">
        <f t="shared" si="120"/>
        <v>0</v>
      </c>
      <c r="AE6418" s="160">
        <v>6416</v>
      </c>
    </row>
    <row r="6419" spans="27:31" x14ac:dyDescent="0.25">
      <c r="AA6419" s="160"/>
      <c r="AB6419" s="162"/>
      <c r="AC6419" s="162"/>
      <c r="AD6419" s="162">
        <f t="shared" si="120"/>
        <v>0</v>
      </c>
      <c r="AE6419" s="160">
        <v>6417</v>
      </c>
    </row>
    <row r="6420" spans="27:31" x14ac:dyDescent="0.25">
      <c r="AA6420" s="160"/>
      <c r="AB6420" s="162"/>
      <c r="AC6420" s="162"/>
      <c r="AD6420" s="162">
        <f t="shared" si="120"/>
        <v>0</v>
      </c>
      <c r="AE6420" s="160">
        <v>6418</v>
      </c>
    </row>
    <row r="6421" spans="27:31" x14ac:dyDescent="0.25">
      <c r="AA6421" s="160"/>
      <c r="AB6421" s="162"/>
      <c r="AC6421" s="162"/>
      <c r="AD6421" s="162">
        <f t="shared" si="120"/>
        <v>0</v>
      </c>
      <c r="AE6421" s="160">
        <v>6419</v>
      </c>
    </row>
    <row r="6422" spans="27:31" x14ac:dyDescent="0.25">
      <c r="AA6422" s="160"/>
      <c r="AB6422" s="162"/>
      <c r="AC6422" s="162"/>
      <c r="AD6422" s="162">
        <f t="shared" si="120"/>
        <v>0</v>
      </c>
      <c r="AE6422" s="160">
        <v>6420</v>
      </c>
    </row>
    <row r="6423" spans="27:31" x14ac:dyDescent="0.25">
      <c r="AA6423" s="160"/>
      <c r="AB6423" s="162"/>
      <c r="AC6423" s="162"/>
      <c r="AD6423" s="162">
        <f t="shared" si="120"/>
        <v>0</v>
      </c>
      <c r="AE6423" s="160">
        <v>6421</v>
      </c>
    </row>
    <row r="6424" spans="27:31" x14ac:dyDescent="0.25">
      <c r="AA6424" s="160"/>
      <c r="AB6424" s="162"/>
      <c r="AC6424" s="162"/>
      <c r="AD6424" s="162">
        <f t="shared" si="120"/>
        <v>0</v>
      </c>
      <c r="AE6424" s="160">
        <v>6422</v>
      </c>
    </row>
    <row r="6425" spans="27:31" x14ac:dyDescent="0.25">
      <c r="AA6425" s="160"/>
      <c r="AB6425" s="162"/>
      <c r="AC6425" s="162"/>
      <c r="AD6425" s="162">
        <f t="shared" si="120"/>
        <v>0</v>
      </c>
      <c r="AE6425" s="160">
        <v>6423</v>
      </c>
    </row>
    <row r="6426" spans="27:31" x14ac:dyDescent="0.25">
      <c r="AA6426" s="160"/>
      <c r="AB6426" s="162"/>
      <c r="AC6426" s="162"/>
      <c r="AD6426" s="162">
        <f t="shared" si="120"/>
        <v>0</v>
      </c>
      <c r="AE6426" s="160">
        <v>6424</v>
      </c>
    </row>
    <row r="6427" spans="27:31" x14ac:dyDescent="0.25">
      <c r="AA6427" s="160"/>
      <c r="AB6427" s="162"/>
      <c r="AC6427" s="162"/>
      <c r="AD6427" s="162">
        <f t="shared" si="120"/>
        <v>0</v>
      </c>
      <c r="AE6427" s="160">
        <v>6425</v>
      </c>
    </row>
    <row r="6428" spans="27:31" x14ac:dyDescent="0.25">
      <c r="AA6428" s="160"/>
      <c r="AB6428" s="162"/>
      <c r="AC6428" s="162"/>
      <c r="AD6428" s="162">
        <f t="shared" si="120"/>
        <v>0</v>
      </c>
      <c r="AE6428" s="160">
        <v>6426</v>
      </c>
    </row>
    <row r="6429" spans="27:31" x14ac:dyDescent="0.25">
      <c r="AA6429" s="160"/>
      <c r="AB6429" s="162"/>
      <c r="AC6429" s="162"/>
      <c r="AD6429" s="162">
        <f t="shared" si="120"/>
        <v>0</v>
      </c>
      <c r="AE6429" s="160">
        <v>6427</v>
      </c>
    </row>
    <row r="6430" spans="27:31" x14ac:dyDescent="0.25">
      <c r="AA6430" s="160"/>
      <c r="AB6430" s="162"/>
      <c r="AC6430" s="162"/>
      <c r="AD6430" s="162">
        <f t="shared" si="120"/>
        <v>0</v>
      </c>
      <c r="AE6430" s="160">
        <v>6428</v>
      </c>
    </row>
    <row r="6431" spans="27:31" x14ac:dyDescent="0.25">
      <c r="AA6431" s="160"/>
      <c r="AB6431" s="162"/>
      <c r="AC6431" s="162"/>
      <c r="AD6431" s="162">
        <f t="shared" si="120"/>
        <v>0</v>
      </c>
      <c r="AE6431" s="160">
        <v>6429</v>
      </c>
    </row>
    <row r="6432" spans="27:31" x14ac:dyDescent="0.25">
      <c r="AA6432" s="160"/>
      <c r="AB6432" s="162"/>
      <c r="AC6432" s="162"/>
      <c r="AD6432" s="162">
        <f t="shared" si="120"/>
        <v>0</v>
      </c>
      <c r="AE6432" s="160">
        <v>6430</v>
      </c>
    </row>
    <row r="6433" spans="27:31" x14ac:dyDescent="0.25">
      <c r="AA6433" s="160"/>
      <c r="AB6433" s="162"/>
      <c r="AC6433" s="162"/>
      <c r="AD6433" s="162">
        <f t="shared" si="120"/>
        <v>0</v>
      </c>
      <c r="AE6433" s="160">
        <v>6431</v>
      </c>
    </row>
    <row r="6434" spans="27:31" x14ac:dyDescent="0.25">
      <c r="AA6434" s="160"/>
      <c r="AB6434" s="162"/>
      <c r="AC6434" s="162"/>
      <c r="AD6434" s="162">
        <f t="shared" si="120"/>
        <v>0</v>
      </c>
      <c r="AE6434" s="160">
        <v>6432</v>
      </c>
    </row>
    <row r="6435" spans="27:31" x14ac:dyDescent="0.25">
      <c r="AA6435" s="160"/>
      <c r="AB6435" s="162"/>
      <c r="AC6435" s="162"/>
      <c r="AD6435" s="162">
        <f t="shared" si="120"/>
        <v>0</v>
      </c>
      <c r="AE6435" s="160">
        <v>6433</v>
      </c>
    </row>
    <row r="6436" spans="27:31" x14ac:dyDescent="0.25">
      <c r="AA6436" s="160"/>
      <c r="AB6436" s="162"/>
      <c r="AC6436" s="162"/>
      <c r="AD6436" s="162">
        <f t="shared" si="120"/>
        <v>0</v>
      </c>
      <c r="AE6436" s="160">
        <v>6434</v>
      </c>
    </row>
    <row r="6437" spans="27:31" x14ac:dyDescent="0.25">
      <c r="AA6437" s="160"/>
      <c r="AB6437" s="162"/>
      <c r="AC6437" s="162"/>
      <c r="AD6437" s="162">
        <f t="shared" si="120"/>
        <v>0</v>
      </c>
      <c r="AE6437" s="160">
        <v>6435</v>
      </c>
    </row>
    <row r="6438" spans="27:31" x14ac:dyDescent="0.25">
      <c r="AA6438" s="160"/>
      <c r="AB6438" s="162"/>
      <c r="AC6438" s="162"/>
      <c r="AD6438" s="162">
        <f t="shared" si="120"/>
        <v>0</v>
      </c>
      <c r="AE6438" s="160">
        <v>6436</v>
      </c>
    </row>
    <row r="6439" spans="27:31" x14ac:dyDescent="0.25">
      <c r="AA6439" s="160"/>
      <c r="AB6439" s="162"/>
      <c r="AC6439" s="162"/>
      <c r="AD6439" s="162">
        <f t="shared" si="120"/>
        <v>0</v>
      </c>
      <c r="AE6439" s="160">
        <v>6437</v>
      </c>
    </row>
    <row r="6440" spans="27:31" x14ac:dyDescent="0.25">
      <c r="AA6440" s="160"/>
      <c r="AB6440" s="162"/>
      <c r="AC6440" s="162"/>
      <c r="AD6440" s="162">
        <f t="shared" si="120"/>
        <v>0</v>
      </c>
      <c r="AE6440" s="160">
        <v>6438</v>
      </c>
    </row>
    <row r="6441" spans="27:31" x14ac:dyDescent="0.25">
      <c r="AA6441" s="160"/>
      <c r="AB6441" s="162"/>
      <c r="AC6441" s="162"/>
      <c r="AD6441" s="162">
        <f t="shared" si="120"/>
        <v>0</v>
      </c>
      <c r="AE6441" s="160">
        <v>6439</v>
      </c>
    </row>
    <row r="6442" spans="27:31" x14ac:dyDescent="0.25">
      <c r="AA6442" s="160"/>
      <c r="AB6442" s="162"/>
      <c r="AC6442" s="162"/>
      <c r="AD6442" s="162">
        <f t="shared" si="120"/>
        <v>0</v>
      </c>
      <c r="AE6442" s="160">
        <v>6440</v>
      </c>
    </row>
    <row r="6443" spans="27:31" x14ac:dyDescent="0.25">
      <c r="AA6443" s="160"/>
      <c r="AB6443" s="162"/>
      <c r="AC6443" s="162"/>
      <c r="AD6443" s="162">
        <f t="shared" si="120"/>
        <v>0</v>
      </c>
      <c r="AE6443" s="160">
        <v>6441</v>
      </c>
    </row>
    <row r="6444" spans="27:31" x14ac:dyDescent="0.25">
      <c r="AA6444" s="160"/>
      <c r="AB6444" s="162"/>
      <c r="AC6444" s="162"/>
      <c r="AD6444" s="162">
        <f t="shared" si="120"/>
        <v>0</v>
      </c>
      <c r="AE6444" s="160">
        <v>6442</v>
      </c>
    </row>
    <row r="6445" spans="27:31" x14ac:dyDescent="0.25">
      <c r="AA6445" s="160"/>
      <c r="AB6445" s="162"/>
      <c r="AC6445" s="162"/>
      <c r="AD6445" s="162">
        <f t="shared" si="120"/>
        <v>0</v>
      </c>
      <c r="AE6445" s="160">
        <v>6443</v>
      </c>
    </row>
    <row r="6446" spans="27:31" x14ac:dyDescent="0.25">
      <c r="AA6446" s="160"/>
      <c r="AB6446" s="162"/>
      <c r="AC6446" s="162"/>
      <c r="AD6446" s="162">
        <f t="shared" si="120"/>
        <v>0</v>
      </c>
      <c r="AE6446" s="160">
        <v>6444</v>
      </c>
    </row>
    <row r="6447" spans="27:31" x14ac:dyDescent="0.25">
      <c r="AA6447" s="160"/>
      <c r="AB6447" s="162"/>
      <c r="AC6447" s="162"/>
      <c r="AD6447" s="162">
        <f t="shared" si="120"/>
        <v>0</v>
      </c>
      <c r="AE6447" s="160">
        <v>6445</v>
      </c>
    </row>
    <row r="6448" spans="27:31" x14ac:dyDescent="0.25">
      <c r="AA6448" s="160"/>
      <c r="AB6448" s="162"/>
      <c r="AC6448" s="162"/>
      <c r="AD6448" s="162">
        <f t="shared" si="120"/>
        <v>0</v>
      </c>
      <c r="AE6448" s="160">
        <v>6446</v>
      </c>
    </row>
    <row r="6449" spans="27:31" x14ac:dyDescent="0.25">
      <c r="AA6449" s="160"/>
      <c r="AB6449" s="162"/>
      <c r="AC6449" s="162"/>
      <c r="AD6449" s="162">
        <f t="shared" si="120"/>
        <v>0</v>
      </c>
      <c r="AE6449" s="160">
        <v>6447</v>
      </c>
    </row>
    <row r="6450" spans="27:31" x14ac:dyDescent="0.25">
      <c r="AA6450" s="160"/>
      <c r="AB6450" s="162"/>
      <c r="AC6450" s="162"/>
      <c r="AD6450" s="162">
        <f t="shared" si="120"/>
        <v>0</v>
      </c>
      <c r="AE6450" s="160">
        <v>6448</v>
      </c>
    </row>
    <row r="6451" spans="27:31" x14ac:dyDescent="0.25">
      <c r="AA6451" s="160"/>
      <c r="AB6451" s="162"/>
      <c r="AC6451" s="162"/>
      <c r="AD6451" s="162">
        <f t="shared" si="120"/>
        <v>0</v>
      </c>
      <c r="AE6451" s="160">
        <v>6449</v>
      </c>
    </row>
    <row r="6452" spans="27:31" x14ac:dyDescent="0.25">
      <c r="AA6452" s="160"/>
      <c r="AB6452" s="162"/>
      <c r="AC6452" s="162"/>
      <c r="AD6452" s="162">
        <f t="shared" si="120"/>
        <v>0</v>
      </c>
      <c r="AE6452" s="160">
        <v>6450</v>
      </c>
    </row>
    <row r="6453" spans="27:31" x14ac:dyDescent="0.25">
      <c r="AA6453" s="160"/>
      <c r="AB6453" s="162"/>
      <c r="AC6453" s="162"/>
      <c r="AD6453" s="162">
        <f t="shared" si="120"/>
        <v>0</v>
      </c>
      <c r="AE6453" s="160">
        <v>6451</v>
      </c>
    </row>
    <row r="6454" spans="27:31" x14ac:dyDescent="0.25">
      <c r="AA6454" s="160"/>
      <c r="AB6454" s="162"/>
      <c r="AC6454" s="162"/>
      <c r="AD6454" s="162">
        <f t="shared" si="120"/>
        <v>0</v>
      </c>
      <c r="AE6454" s="160">
        <v>6452</v>
      </c>
    </row>
    <row r="6455" spans="27:31" x14ac:dyDescent="0.25">
      <c r="AA6455" s="160"/>
      <c r="AB6455" s="162"/>
      <c r="AC6455" s="162"/>
      <c r="AD6455" s="162">
        <f t="shared" si="120"/>
        <v>0</v>
      </c>
      <c r="AE6455" s="160">
        <v>6453</v>
      </c>
    </row>
    <row r="6456" spans="27:31" x14ac:dyDescent="0.25">
      <c r="AA6456" s="160"/>
      <c r="AB6456" s="162"/>
      <c r="AC6456" s="162"/>
      <c r="AD6456" s="162">
        <f t="shared" si="120"/>
        <v>0</v>
      </c>
      <c r="AE6456" s="160">
        <v>6454</v>
      </c>
    </row>
    <row r="6457" spans="27:31" x14ac:dyDescent="0.25">
      <c r="AA6457" s="160"/>
      <c r="AB6457" s="162"/>
      <c r="AC6457" s="162"/>
      <c r="AD6457" s="162">
        <f t="shared" si="120"/>
        <v>0</v>
      </c>
      <c r="AE6457" s="160">
        <v>6455</v>
      </c>
    </row>
    <row r="6458" spans="27:31" x14ac:dyDescent="0.25">
      <c r="AA6458" s="160"/>
      <c r="AB6458" s="162"/>
      <c r="AC6458" s="162"/>
      <c r="AD6458" s="162">
        <f t="shared" si="120"/>
        <v>0</v>
      </c>
      <c r="AE6458" s="160">
        <v>6456</v>
      </c>
    </row>
    <row r="6459" spans="27:31" x14ac:dyDescent="0.25">
      <c r="AA6459" s="160"/>
      <c r="AB6459" s="162"/>
      <c r="AC6459" s="162"/>
      <c r="AD6459" s="162">
        <f t="shared" si="120"/>
        <v>0</v>
      </c>
      <c r="AE6459" s="160">
        <v>6457</v>
      </c>
    </row>
    <row r="6460" spans="27:31" x14ac:dyDescent="0.25">
      <c r="AA6460" s="160"/>
      <c r="AB6460" s="162"/>
      <c r="AC6460" s="162"/>
      <c r="AD6460" s="162">
        <f t="shared" si="120"/>
        <v>0</v>
      </c>
      <c r="AE6460" s="160">
        <v>6458</v>
      </c>
    </row>
    <row r="6461" spans="27:31" x14ac:dyDescent="0.25">
      <c r="AA6461" s="160"/>
      <c r="AB6461" s="162"/>
      <c r="AC6461" s="162"/>
      <c r="AD6461" s="162">
        <f t="shared" si="120"/>
        <v>0</v>
      </c>
      <c r="AE6461" s="160">
        <v>6459</v>
      </c>
    </row>
    <row r="6462" spans="27:31" x14ac:dyDescent="0.25">
      <c r="AA6462" s="160"/>
      <c r="AB6462" s="162"/>
      <c r="AC6462" s="162"/>
      <c r="AD6462" s="162">
        <f t="shared" si="120"/>
        <v>0</v>
      </c>
      <c r="AE6462" s="160">
        <v>6460</v>
      </c>
    </row>
    <row r="6463" spans="27:31" x14ac:dyDescent="0.25">
      <c r="AA6463" s="160"/>
      <c r="AB6463" s="162"/>
      <c r="AC6463" s="162"/>
      <c r="AD6463" s="162">
        <f t="shared" si="120"/>
        <v>0</v>
      </c>
      <c r="AE6463" s="160">
        <v>6461</v>
      </c>
    </row>
    <row r="6464" spans="27:31" x14ac:dyDescent="0.25">
      <c r="AA6464" s="160"/>
      <c r="AB6464" s="162"/>
      <c r="AC6464" s="162"/>
      <c r="AD6464" s="162">
        <f t="shared" si="120"/>
        <v>0</v>
      </c>
      <c r="AE6464" s="160">
        <v>6462</v>
      </c>
    </row>
    <row r="6465" spans="27:31" x14ac:dyDescent="0.25">
      <c r="AA6465" s="160"/>
      <c r="AB6465" s="162"/>
      <c r="AC6465" s="162"/>
      <c r="AD6465" s="162">
        <f t="shared" si="120"/>
        <v>0</v>
      </c>
      <c r="AE6465" s="160">
        <v>6463</v>
      </c>
    </row>
    <row r="6466" spans="27:31" x14ac:dyDescent="0.25">
      <c r="AA6466" s="160"/>
      <c r="AB6466" s="162"/>
      <c r="AC6466" s="162"/>
      <c r="AD6466" s="162">
        <f t="shared" si="120"/>
        <v>0</v>
      </c>
      <c r="AE6466" s="160">
        <v>6464</v>
      </c>
    </row>
    <row r="6467" spans="27:31" x14ac:dyDescent="0.25">
      <c r="AA6467" s="160"/>
      <c r="AB6467" s="162"/>
      <c r="AC6467" s="162"/>
      <c r="AD6467" s="162">
        <f t="shared" si="120"/>
        <v>0</v>
      </c>
      <c r="AE6467" s="160">
        <v>6465</v>
      </c>
    </row>
    <row r="6468" spans="27:31" x14ac:dyDescent="0.25">
      <c r="AA6468" s="160"/>
      <c r="AB6468" s="162"/>
      <c r="AC6468" s="162"/>
      <c r="AD6468" s="162">
        <f t="shared" ref="AD6468:AD6531" si="121">AB6468+AC6468</f>
        <v>0</v>
      </c>
      <c r="AE6468" s="160">
        <v>6466</v>
      </c>
    </row>
    <row r="6469" spans="27:31" x14ac:dyDescent="0.25">
      <c r="AA6469" s="160"/>
      <c r="AB6469" s="162"/>
      <c r="AC6469" s="162"/>
      <c r="AD6469" s="162">
        <f t="shared" si="121"/>
        <v>0</v>
      </c>
      <c r="AE6469" s="160">
        <v>6467</v>
      </c>
    </row>
    <row r="6470" spans="27:31" x14ac:dyDescent="0.25">
      <c r="AA6470" s="160"/>
      <c r="AB6470" s="162"/>
      <c r="AC6470" s="162"/>
      <c r="AD6470" s="162">
        <f t="shared" si="121"/>
        <v>0</v>
      </c>
      <c r="AE6470" s="160">
        <v>6468</v>
      </c>
    </row>
    <row r="6471" spans="27:31" x14ac:dyDescent="0.25">
      <c r="AA6471" s="160"/>
      <c r="AB6471" s="162"/>
      <c r="AC6471" s="162"/>
      <c r="AD6471" s="162">
        <f t="shared" si="121"/>
        <v>0</v>
      </c>
      <c r="AE6471" s="160">
        <v>6469</v>
      </c>
    </row>
    <row r="6472" spans="27:31" x14ac:dyDescent="0.25">
      <c r="AA6472" s="160"/>
      <c r="AB6472" s="162"/>
      <c r="AC6472" s="162"/>
      <c r="AD6472" s="162">
        <f t="shared" si="121"/>
        <v>0</v>
      </c>
      <c r="AE6472" s="160">
        <v>6470</v>
      </c>
    </row>
    <row r="6473" spans="27:31" x14ac:dyDescent="0.25">
      <c r="AA6473" s="160"/>
      <c r="AB6473" s="162"/>
      <c r="AC6473" s="162"/>
      <c r="AD6473" s="162">
        <f t="shared" si="121"/>
        <v>0</v>
      </c>
      <c r="AE6473" s="160">
        <v>6471</v>
      </c>
    </row>
    <row r="6474" spans="27:31" x14ac:dyDescent="0.25">
      <c r="AA6474" s="160"/>
      <c r="AB6474" s="162"/>
      <c r="AC6474" s="162"/>
      <c r="AD6474" s="162">
        <f t="shared" si="121"/>
        <v>0</v>
      </c>
      <c r="AE6474" s="160">
        <v>6472</v>
      </c>
    </row>
    <row r="6475" spans="27:31" x14ac:dyDescent="0.25">
      <c r="AA6475" s="160"/>
      <c r="AB6475" s="162"/>
      <c r="AC6475" s="162"/>
      <c r="AD6475" s="162">
        <f t="shared" si="121"/>
        <v>0</v>
      </c>
      <c r="AE6475" s="160">
        <v>6473</v>
      </c>
    </row>
    <row r="6476" spans="27:31" x14ac:dyDescent="0.25">
      <c r="AA6476" s="160"/>
      <c r="AB6476" s="162"/>
      <c r="AC6476" s="162"/>
      <c r="AD6476" s="162">
        <f t="shared" si="121"/>
        <v>0</v>
      </c>
      <c r="AE6476" s="160">
        <v>6474</v>
      </c>
    </row>
    <row r="6477" spans="27:31" x14ac:dyDescent="0.25">
      <c r="AA6477" s="160"/>
      <c r="AB6477" s="162"/>
      <c r="AC6477" s="162"/>
      <c r="AD6477" s="162">
        <f t="shared" si="121"/>
        <v>0</v>
      </c>
      <c r="AE6477" s="160">
        <v>6475</v>
      </c>
    </row>
    <row r="6478" spans="27:31" x14ac:dyDescent="0.25">
      <c r="AA6478" s="160"/>
      <c r="AB6478" s="162"/>
      <c r="AC6478" s="162"/>
      <c r="AD6478" s="162">
        <f t="shared" si="121"/>
        <v>0</v>
      </c>
      <c r="AE6478" s="160">
        <v>6476</v>
      </c>
    </row>
    <row r="6479" spans="27:31" x14ac:dyDescent="0.25">
      <c r="AA6479" s="160"/>
      <c r="AB6479" s="162"/>
      <c r="AC6479" s="162"/>
      <c r="AD6479" s="162">
        <f t="shared" si="121"/>
        <v>0</v>
      </c>
      <c r="AE6479" s="160">
        <v>6477</v>
      </c>
    </row>
    <row r="6480" spans="27:31" x14ac:dyDescent="0.25">
      <c r="AA6480" s="160"/>
      <c r="AB6480" s="162"/>
      <c r="AC6480" s="162"/>
      <c r="AD6480" s="162">
        <f t="shared" si="121"/>
        <v>0</v>
      </c>
      <c r="AE6480" s="160">
        <v>6478</v>
      </c>
    </row>
    <row r="6481" spans="27:31" x14ac:dyDescent="0.25">
      <c r="AA6481" s="160"/>
      <c r="AB6481" s="162"/>
      <c r="AC6481" s="162"/>
      <c r="AD6481" s="162">
        <f t="shared" si="121"/>
        <v>0</v>
      </c>
      <c r="AE6481" s="160">
        <v>6479</v>
      </c>
    </row>
    <row r="6482" spans="27:31" x14ac:dyDescent="0.25">
      <c r="AA6482" s="160"/>
      <c r="AB6482" s="162"/>
      <c r="AC6482" s="162"/>
      <c r="AD6482" s="162">
        <f t="shared" si="121"/>
        <v>0</v>
      </c>
      <c r="AE6482" s="160">
        <v>6480</v>
      </c>
    </row>
    <row r="6483" spans="27:31" x14ac:dyDescent="0.25">
      <c r="AA6483" s="160"/>
      <c r="AB6483" s="162"/>
      <c r="AC6483" s="162"/>
      <c r="AD6483" s="162">
        <f t="shared" si="121"/>
        <v>0</v>
      </c>
      <c r="AE6483" s="160">
        <v>6481</v>
      </c>
    </row>
    <row r="6484" spans="27:31" x14ac:dyDescent="0.25">
      <c r="AA6484" s="160"/>
      <c r="AB6484" s="162"/>
      <c r="AC6484" s="162"/>
      <c r="AD6484" s="162">
        <f t="shared" si="121"/>
        <v>0</v>
      </c>
      <c r="AE6484" s="160">
        <v>6482</v>
      </c>
    </row>
    <row r="6485" spans="27:31" x14ac:dyDescent="0.25">
      <c r="AA6485" s="160"/>
      <c r="AB6485" s="162"/>
      <c r="AC6485" s="162"/>
      <c r="AD6485" s="162">
        <f t="shared" si="121"/>
        <v>0</v>
      </c>
      <c r="AE6485" s="160">
        <v>6483</v>
      </c>
    </row>
    <row r="6486" spans="27:31" x14ac:dyDescent="0.25">
      <c r="AA6486" s="160"/>
      <c r="AB6486" s="162"/>
      <c r="AC6486" s="162"/>
      <c r="AD6486" s="162">
        <f t="shared" si="121"/>
        <v>0</v>
      </c>
      <c r="AE6486" s="160">
        <v>6484</v>
      </c>
    </row>
    <row r="6487" spans="27:31" x14ac:dyDescent="0.25">
      <c r="AA6487" s="160"/>
      <c r="AB6487" s="162"/>
      <c r="AC6487" s="162"/>
      <c r="AD6487" s="162">
        <f t="shared" si="121"/>
        <v>0</v>
      </c>
      <c r="AE6487" s="160">
        <v>6485</v>
      </c>
    </row>
    <row r="6488" spans="27:31" x14ac:dyDescent="0.25">
      <c r="AA6488" s="160"/>
      <c r="AB6488" s="162"/>
      <c r="AC6488" s="162"/>
      <c r="AD6488" s="162">
        <f t="shared" si="121"/>
        <v>0</v>
      </c>
      <c r="AE6488" s="160">
        <v>6486</v>
      </c>
    </row>
    <row r="6489" spans="27:31" x14ac:dyDescent="0.25">
      <c r="AA6489" s="160"/>
      <c r="AB6489" s="162"/>
      <c r="AC6489" s="162"/>
      <c r="AD6489" s="162">
        <f t="shared" si="121"/>
        <v>0</v>
      </c>
      <c r="AE6489" s="160">
        <v>6487</v>
      </c>
    </row>
    <row r="6490" spans="27:31" x14ac:dyDescent="0.25">
      <c r="AA6490" s="160"/>
      <c r="AB6490" s="162"/>
      <c r="AC6490" s="162"/>
      <c r="AD6490" s="162">
        <f t="shared" si="121"/>
        <v>0</v>
      </c>
      <c r="AE6490" s="160">
        <v>6488</v>
      </c>
    </row>
    <row r="6491" spans="27:31" x14ac:dyDescent="0.25">
      <c r="AA6491" s="160"/>
      <c r="AB6491" s="162"/>
      <c r="AC6491" s="162"/>
      <c r="AD6491" s="162">
        <f t="shared" si="121"/>
        <v>0</v>
      </c>
      <c r="AE6491" s="160">
        <v>6489</v>
      </c>
    </row>
    <row r="6492" spans="27:31" x14ac:dyDescent="0.25">
      <c r="AA6492" s="160"/>
      <c r="AB6492" s="162"/>
      <c r="AC6492" s="162"/>
      <c r="AD6492" s="162">
        <f t="shared" si="121"/>
        <v>0</v>
      </c>
      <c r="AE6492" s="160">
        <v>6490</v>
      </c>
    </row>
    <row r="6493" spans="27:31" x14ac:dyDescent="0.25">
      <c r="AA6493" s="160"/>
      <c r="AB6493" s="162"/>
      <c r="AC6493" s="162"/>
      <c r="AD6493" s="162">
        <f t="shared" si="121"/>
        <v>0</v>
      </c>
      <c r="AE6493" s="160">
        <v>6491</v>
      </c>
    </row>
    <row r="6494" spans="27:31" x14ac:dyDescent="0.25">
      <c r="AA6494" s="160"/>
      <c r="AB6494" s="162"/>
      <c r="AC6494" s="162"/>
      <c r="AD6494" s="162">
        <f t="shared" si="121"/>
        <v>0</v>
      </c>
      <c r="AE6494" s="160">
        <v>6492</v>
      </c>
    </row>
    <row r="6495" spans="27:31" x14ac:dyDescent="0.25">
      <c r="AA6495" s="160"/>
      <c r="AB6495" s="162"/>
      <c r="AC6495" s="162"/>
      <c r="AD6495" s="162">
        <f t="shared" si="121"/>
        <v>0</v>
      </c>
      <c r="AE6495" s="160">
        <v>6493</v>
      </c>
    </row>
    <row r="6496" spans="27:31" x14ac:dyDescent="0.25">
      <c r="AA6496" s="160"/>
      <c r="AB6496" s="162"/>
      <c r="AC6496" s="162"/>
      <c r="AD6496" s="162">
        <f t="shared" si="121"/>
        <v>0</v>
      </c>
      <c r="AE6496" s="160">
        <v>6494</v>
      </c>
    </row>
    <row r="6497" spans="27:31" x14ac:dyDescent="0.25">
      <c r="AA6497" s="160"/>
      <c r="AB6497" s="162"/>
      <c r="AC6497" s="162"/>
      <c r="AD6497" s="162">
        <f t="shared" si="121"/>
        <v>0</v>
      </c>
      <c r="AE6497" s="160">
        <v>6495</v>
      </c>
    </row>
    <row r="6498" spans="27:31" x14ac:dyDescent="0.25">
      <c r="AA6498" s="160"/>
      <c r="AB6498" s="162"/>
      <c r="AC6498" s="162"/>
      <c r="AD6498" s="162">
        <f t="shared" si="121"/>
        <v>0</v>
      </c>
      <c r="AE6498" s="160">
        <v>6496</v>
      </c>
    </row>
    <row r="6499" spans="27:31" x14ac:dyDescent="0.25">
      <c r="AA6499" s="160"/>
      <c r="AB6499" s="162"/>
      <c r="AC6499" s="162"/>
      <c r="AD6499" s="162">
        <f t="shared" si="121"/>
        <v>0</v>
      </c>
      <c r="AE6499" s="160">
        <v>6497</v>
      </c>
    </row>
    <row r="6500" spans="27:31" x14ac:dyDescent="0.25">
      <c r="AA6500" s="160"/>
      <c r="AB6500" s="162"/>
      <c r="AC6500" s="162"/>
      <c r="AD6500" s="162">
        <f t="shared" si="121"/>
        <v>0</v>
      </c>
      <c r="AE6500" s="160">
        <v>6498</v>
      </c>
    </row>
    <row r="6501" spans="27:31" x14ac:dyDescent="0.25">
      <c r="AA6501" s="160"/>
      <c r="AB6501" s="162"/>
      <c r="AC6501" s="162"/>
      <c r="AD6501" s="162">
        <f t="shared" si="121"/>
        <v>0</v>
      </c>
      <c r="AE6501" s="160">
        <v>6499</v>
      </c>
    </row>
    <row r="6502" spans="27:31" x14ac:dyDescent="0.25">
      <c r="AA6502" s="160"/>
      <c r="AB6502" s="162"/>
      <c r="AC6502" s="162"/>
      <c r="AD6502" s="162">
        <f t="shared" si="121"/>
        <v>0</v>
      </c>
      <c r="AE6502" s="160">
        <v>6500</v>
      </c>
    </row>
    <row r="6503" spans="27:31" x14ac:dyDescent="0.25">
      <c r="AA6503" s="160"/>
      <c r="AB6503" s="162"/>
      <c r="AC6503" s="162"/>
      <c r="AD6503" s="162">
        <f t="shared" si="121"/>
        <v>0</v>
      </c>
      <c r="AE6503" s="160">
        <v>6501</v>
      </c>
    </row>
    <row r="6504" spans="27:31" x14ac:dyDescent="0.25">
      <c r="AA6504" s="160"/>
      <c r="AB6504" s="162"/>
      <c r="AC6504" s="162"/>
      <c r="AD6504" s="162">
        <f t="shared" si="121"/>
        <v>0</v>
      </c>
      <c r="AE6504" s="160">
        <v>6502</v>
      </c>
    </row>
    <row r="6505" spans="27:31" x14ac:dyDescent="0.25">
      <c r="AA6505" s="160"/>
      <c r="AB6505" s="162"/>
      <c r="AC6505" s="162"/>
      <c r="AD6505" s="162">
        <f t="shared" si="121"/>
        <v>0</v>
      </c>
      <c r="AE6505" s="160">
        <v>6503</v>
      </c>
    </row>
    <row r="6506" spans="27:31" x14ac:dyDescent="0.25">
      <c r="AA6506" s="160"/>
      <c r="AB6506" s="162"/>
      <c r="AC6506" s="162"/>
      <c r="AD6506" s="162">
        <f t="shared" si="121"/>
        <v>0</v>
      </c>
      <c r="AE6506" s="160">
        <v>6504</v>
      </c>
    </row>
    <row r="6507" spans="27:31" x14ac:dyDescent="0.25">
      <c r="AA6507" s="160"/>
      <c r="AB6507" s="162"/>
      <c r="AC6507" s="162"/>
      <c r="AD6507" s="162">
        <f t="shared" si="121"/>
        <v>0</v>
      </c>
      <c r="AE6507" s="160">
        <v>6505</v>
      </c>
    </row>
    <row r="6508" spans="27:31" x14ac:dyDescent="0.25">
      <c r="AA6508" s="160"/>
      <c r="AB6508" s="162"/>
      <c r="AC6508" s="162"/>
      <c r="AD6508" s="162">
        <f t="shared" si="121"/>
        <v>0</v>
      </c>
      <c r="AE6508" s="160">
        <v>6506</v>
      </c>
    </row>
    <row r="6509" spans="27:31" x14ac:dyDescent="0.25">
      <c r="AA6509" s="160"/>
      <c r="AB6509" s="162"/>
      <c r="AC6509" s="162"/>
      <c r="AD6509" s="162">
        <f t="shared" si="121"/>
        <v>0</v>
      </c>
      <c r="AE6509" s="160">
        <v>6507</v>
      </c>
    </row>
    <row r="6510" spans="27:31" x14ac:dyDescent="0.25">
      <c r="AA6510" s="160"/>
      <c r="AB6510" s="162"/>
      <c r="AC6510" s="162"/>
      <c r="AD6510" s="162">
        <f t="shared" si="121"/>
        <v>0</v>
      </c>
      <c r="AE6510" s="160">
        <v>6508</v>
      </c>
    </row>
    <row r="6511" spans="27:31" x14ac:dyDescent="0.25">
      <c r="AA6511" s="160"/>
      <c r="AB6511" s="162"/>
      <c r="AC6511" s="162"/>
      <c r="AD6511" s="162">
        <f t="shared" si="121"/>
        <v>0</v>
      </c>
      <c r="AE6511" s="160">
        <v>6509</v>
      </c>
    </row>
    <row r="6512" spans="27:31" x14ac:dyDescent="0.25">
      <c r="AA6512" s="160"/>
      <c r="AB6512" s="162"/>
      <c r="AC6512" s="162"/>
      <c r="AD6512" s="162">
        <f t="shared" si="121"/>
        <v>0</v>
      </c>
      <c r="AE6512" s="160">
        <v>6510</v>
      </c>
    </row>
    <row r="6513" spans="27:31" x14ac:dyDescent="0.25">
      <c r="AA6513" s="160"/>
      <c r="AB6513" s="162"/>
      <c r="AC6513" s="162"/>
      <c r="AD6513" s="162">
        <f t="shared" si="121"/>
        <v>0</v>
      </c>
      <c r="AE6513" s="160">
        <v>6511</v>
      </c>
    </row>
    <row r="6514" spans="27:31" x14ac:dyDescent="0.25">
      <c r="AA6514" s="160"/>
      <c r="AB6514" s="162"/>
      <c r="AC6514" s="162"/>
      <c r="AD6514" s="162">
        <f t="shared" si="121"/>
        <v>0</v>
      </c>
      <c r="AE6514" s="160">
        <v>6512</v>
      </c>
    </row>
    <row r="6515" spans="27:31" x14ac:dyDescent="0.25">
      <c r="AA6515" s="160"/>
      <c r="AB6515" s="162"/>
      <c r="AC6515" s="162"/>
      <c r="AD6515" s="162">
        <f t="shared" si="121"/>
        <v>0</v>
      </c>
      <c r="AE6515" s="160">
        <v>6513</v>
      </c>
    </row>
    <row r="6516" spans="27:31" x14ac:dyDescent="0.25">
      <c r="AA6516" s="160"/>
      <c r="AB6516" s="162"/>
      <c r="AC6516" s="162"/>
      <c r="AD6516" s="162">
        <f t="shared" si="121"/>
        <v>0</v>
      </c>
      <c r="AE6516" s="160">
        <v>6514</v>
      </c>
    </row>
    <row r="6517" spans="27:31" x14ac:dyDescent="0.25">
      <c r="AA6517" s="160"/>
      <c r="AB6517" s="162"/>
      <c r="AC6517" s="162"/>
      <c r="AD6517" s="162">
        <f t="shared" si="121"/>
        <v>0</v>
      </c>
      <c r="AE6517" s="160">
        <v>6515</v>
      </c>
    </row>
    <row r="6518" spans="27:31" x14ac:dyDescent="0.25">
      <c r="AA6518" s="160"/>
      <c r="AB6518" s="162"/>
      <c r="AC6518" s="162"/>
      <c r="AD6518" s="162">
        <f t="shared" si="121"/>
        <v>0</v>
      </c>
      <c r="AE6518" s="160">
        <v>6516</v>
      </c>
    </row>
    <row r="6519" spans="27:31" x14ac:dyDescent="0.25">
      <c r="AA6519" s="160"/>
      <c r="AB6519" s="162"/>
      <c r="AC6519" s="162"/>
      <c r="AD6519" s="162">
        <f t="shared" si="121"/>
        <v>0</v>
      </c>
      <c r="AE6519" s="160">
        <v>6517</v>
      </c>
    </row>
    <row r="6520" spans="27:31" x14ac:dyDescent="0.25">
      <c r="AA6520" s="160"/>
      <c r="AB6520" s="162"/>
      <c r="AC6520" s="162"/>
      <c r="AD6520" s="162">
        <f t="shared" si="121"/>
        <v>0</v>
      </c>
      <c r="AE6520" s="160">
        <v>6518</v>
      </c>
    </row>
    <row r="6521" spans="27:31" x14ac:dyDescent="0.25">
      <c r="AA6521" s="160"/>
      <c r="AB6521" s="162"/>
      <c r="AC6521" s="162"/>
      <c r="AD6521" s="162">
        <f t="shared" si="121"/>
        <v>0</v>
      </c>
      <c r="AE6521" s="160">
        <v>6519</v>
      </c>
    </row>
    <row r="6522" spans="27:31" x14ac:dyDescent="0.25">
      <c r="AA6522" s="160"/>
      <c r="AB6522" s="162"/>
      <c r="AC6522" s="162"/>
      <c r="AD6522" s="162">
        <f t="shared" si="121"/>
        <v>0</v>
      </c>
      <c r="AE6522" s="160">
        <v>6520</v>
      </c>
    </row>
    <row r="6523" spans="27:31" x14ac:dyDescent="0.25">
      <c r="AA6523" s="160"/>
      <c r="AB6523" s="162"/>
      <c r="AC6523" s="162"/>
      <c r="AD6523" s="162">
        <f t="shared" si="121"/>
        <v>0</v>
      </c>
      <c r="AE6523" s="160">
        <v>6521</v>
      </c>
    </row>
    <row r="6524" spans="27:31" x14ac:dyDescent="0.25">
      <c r="AA6524" s="160"/>
      <c r="AB6524" s="162"/>
      <c r="AC6524" s="162"/>
      <c r="AD6524" s="162">
        <f t="shared" si="121"/>
        <v>0</v>
      </c>
      <c r="AE6524" s="160">
        <v>6522</v>
      </c>
    </row>
    <row r="6525" spans="27:31" x14ac:dyDescent="0.25">
      <c r="AA6525" s="160"/>
      <c r="AB6525" s="162"/>
      <c r="AC6525" s="162"/>
      <c r="AD6525" s="162">
        <f t="shared" si="121"/>
        <v>0</v>
      </c>
      <c r="AE6525" s="160">
        <v>6523</v>
      </c>
    </row>
    <row r="6526" spans="27:31" x14ac:dyDescent="0.25">
      <c r="AA6526" s="160"/>
      <c r="AB6526" s="162"/>
      <c r="AC6526" s="162"/>
      <c r="AD6526" s="162">
        <f t="shared" si="121"/>
        <v>0</v>
      </c>
      <c r="AE6526" s="160">
        <v>6524</v>
      </c>
    </row>
    <row r="6527" spans="27:31" x14ac:dyDescent="0.25">
      <c r="AA6527" s="160"/>
      <c r="AB6527" s="162"/>
      <c r="AC6527" s="162"/>
      <c r="AD6527" s="162">
        <f t="shared" si="121"/>
        <v>0</v>
      </c>
      <c r="AE6527" s="160">
        <v>6525</v>
      </c>
    </row>
    <row r="6528" spans="27:31" x14ac:dyDescent="0.25">
      <c r="AA6528" s="160"/>
      <c r="AB6528" s="162"/>
      <c r="AC6528" s="162"/>
      <c r="AD6528" s="162">
        <f t="shared" si="121"/>
        <v>0</v>
      </c>
      <c r="AE6528" s="160">
        <v>6526</v>
      </c>
    </row>
    <row r="6529" spans="27:31" x14ac:dyDescent="0.25">
      <c r="AA6529" s="160"/>
      <c r="AB6529" s="162"/>
      <c r="AC6529" s="162"/>
      <c r="AD6529" s="162">
        <f t="shared" si="121"/>
        <v>0</v>
      </c>
      <c r="AE6529" s="160">
        <v>6527</v>
      </c>
    </row>
    <row r="6530" spans="27:31" x14ac:dyDescent="0.25">
      <c r="AA6530" s="160"/>
      <c r="AB6530" s="162"/>
      <c r="AC6530" s="162"/>
      <c r="AD6530" s="162">
        <f t="shared" si="121"/>
        <v>0</v>
      </c>
      <c r="AE6530" s="160">
        <v>6528</v>
      </c>
    </row>
    <row r="6531" spans="27:31" x14ac:dyDescent="0.25">
      <c r="AA6531" s="160"/>
      <c r="AB6531" s="162"/>
      <c r="AC6531" s="162"/>
      <c r="AD6531" s="162">
        <f t="shared" si="121"/>
        <v>0</v>
      </c>
      <c r="AE6531" s="160">
        <v>6529</v>
      </c>
    </row>
    <row r="6532" spans="27:31" x14ac:dyDescent="0.25">
      <c r="AA6532" s="160"/>
      <c r="AB6532" s="162"/>
      <c r="AC6532" s="162"/>
      <c r="AD6532" s="162">
        <f t="shared" ref="AD6532:AD6595" si="122">AB6532+AC6532</f>
        <v>0</v>
      </c>
      <c r="AE6532" s="160">
        <v>6530</v>
      </c>
    </row>
    <row r="6533" spans="27:31" x14ac:dyDescent="0.25">
      <c r="AA6533" s="160"/>
      <c r="AB6533" s="162"/>
      <c r="AC6533" s="162"/>
      <c r="AD6533" s="162">
        <f t="shared" si="122"/>
        <v>0</v>
      </c>
      <c r="AE6533" s="160">
        <v>6531</v>
      </c>
    </row>
    <row r="6534" spans="27:31" x14ac:dyDescent="0.25">
      <c r="AA6534" s="160"/>
      <c r="AB6534" s="162"/>
      <c r="AC6534" s="162"/>
      <c r="AD6534" s="162">
        <f t="shared" si="122"/>
        <v>0</v>
      </c>
      <c r="AE6534" s="160">
        <v>6532</v>
      </c>
    </row>
    <row r="6535" spans="27:31" x14ac:dyDescent="0.25">
      <c r="AA6535" s="160"/>
      <c r="AB6535" s="162"/>
      <c r="AC6535" s="162"/>
      <c r="AD6535" s="162">
        <f t="shared" si="122"/>
        <v>0</v>
      </c>
      <c r="AE6535" s="160">
        <v>6533</v>
      </c>
    </row>
    <row r="6536" spans="27:31" x14ac:dyDescent="0.25">
      <c r="AA6536" s="160"/>
      <c r="AB6536" s="162"/>
      <c r="AC6536" s="162"/>
      <c r="AD6536" s="162">
        <f t="shared" si="122"/>
        <v>0</v>
      </c>
      <c r="AE6536" s="160">
        <v>6534</v>
      </c>
    </row>
    <row r="6537" spans="27:31" x14ac:dyDescent="0.25">
      <c r="AA6537" s="160"/>
      <c r="AB6537" s="162"/>
      <c r="AC6537" s="162"/>
      <c r="AD6537" s="162">
        <f t="shared" si="122"/>
        <v>0</v>
      </c>
      <c r="AE6537" s="160">
        <v>6535</v>
      </c>
    </row>
    <row r="6538" spans="27:31" x14ac:dyDescent="0.25">
      <c r="AA6538" s="160"/>
      <c r="AB6538" s="162"/>
      <c r="AC6538" s="162"/>
      <c r="AD6538" s="162">
        <f t="shared" si="122"/>
        <v>0</v>
      </c>
      <c r="AE6538" s="160">
        <v>6536</v>
      </c>
    </row>
    <row r="6539" spans="27:31" x14ac:dyDescent="0.25">
      <c r="AA6539" s="160"/>
      <c r="AB6539" s="162"/>
      <c r="AC6539" s="162"/>
      <c r="AD6539" s="162">
        <f t="shared" si="122"/>
        <v>0</v>
      </c>
      <c r="AE6539" s="160">
        <v>6537</v>
      </c>
    </row>
    <row r="6540" spans="27:31" x14ac:dyDescent="0.25">
      <c r="AA6540" s="160"/>
      <c r="AB6540" s="162"/>
      <c r="AC6540" s="162"/>
      <c r="AD6540" s="162">
        <f t="shared" si="122"/>
        <v>0</v>
      </c>
      <c r="AE6540" s="160">
        <v>6538</v>
      </c>
    </row>
    <row r="6541" spans="27:31" x14ac:dyDescent="0.25">
      <c r="AA6541" s="160"/>
      <c r="AB6541" s="162"/>
      <c r="AC6541" s="162"/>
      <c r="AD6541" s="162">
        <f t="shared" si="122"/>
        <v>0</v>
      </c>
      <c r="AE6541" s="160">
        <v>6539</v>
      </c>
    </row>
    <row r="6542" spans="27:31" x14ac:dyDescent="0.25">
      <c r="AA6542" s="160"/>
      <c r="AB6542" s="162"/>
      <c r="AC6542" s="162"/>
      <c r="AD6542" s="162">
        <f t="shared" si="122"/>
        <v>0</v>
      </c>
      <c r="AE6542" s="160">
        <v>6540</v>
      </c>
    </row>
    <row r="6543" spans="27:31" x14ac:dyDescent="0.25">
      <c r="AA6543" s="160"/>
      <c r="AB6543" s="162"/>
      <c r="AC6543" s="162"/>
      <c r="AD6543" s="162">
        <f t="shared" si="122"/>
        <v>0</v>
      </c>
      <c r="AE6543" s="160">
        <v>6541</v>
      </c>
    </row>
    <row r="6544" spans="27:31" x14ac:dyDescent="0.25">
      <c r="AA6544" s="160"/>
      <c r="AB6544" s="162"/>
      <c r="AC6544" s="162"/>
      <c r="AD6544" s="162">
        <f t="shared" si="122"/>
        <v>0</v>
      </c>
      <c r="AE6544" s="160">
        <v>6542</v>
      </c>
    </row>
    <row r="6545" spans="27:31" x14ac:dyDescent="0.25">
      <c r="AA6545" s="160"/>
      <c r="AB6545" s="162"/>
      <c r="AC6545" s="162"/>
      <c r="AD6545" s="162">
        <f t="shared" si="122"/>
        <v>0</v>
      </c>
      <c r="AE6545" s="160">
        <v>6543</v>
      </c>
    </row>
    <row r="6546" spans="27:31" x14ac:dyDescent="0.25">
      <c r="AA6546" s="160"/>
      <c r="AB6546" s="162"/>
      <c r="AC6546" s="162"/>
      <c r="AD6546" s="162">
        <f t="shared" si="122"/>
        <v>0</v>
      </c>
      <c r="AE6546" s="160">
        <v>6544</v>
      </c>
    </row>
    <row r="6547" spans="27:31" x14ac:dyDescent="0.25">
      <c r="AA6547" s="160"/>
      <c r="AB6547" s="162"/>
      <c r="AC6547" s="162"/>
      <c r="AD6547" s="162">
        <f t="shared" si="122"/>
        <v>0</v>
      </c>
      <c r="AE6547" s="160">
        <v>6545</v>
      </c>
    </row>
    <row r="6548" spans="27:31" x14ac:dyDescent="0.25">
      <c r="AA6548" s="160"/>
      <c r="AB6548" s="162"/>
      <c r="AC6548" s="162"/>
      <c r="AD6548" s="162">
        <f t="shared" si="122"/>
        <v>0</v>
      </c>
      <c r="AE6548" s="160">
        <v>6546</v>
      </c>
    </row>
    <row r="6549" spans="27:31" x14ac:dyDescent="0.25">
      <c r="AA6549" s="160"/>
      <c r="AB6549" s="162"/>
      <c r="AC6549" s="162"/>
      <c r="AD6549" s="162">
        <f t="shared" si="122"/>
        <v>0</v>
      </c>
      <c r="AE6549" s="160">
        <v>6547</v>
      </c>
    </row>
    <row r="6550" spans="27:31" x14ac:dyDescent="0.25">
      <c r="AA6550" s="160"/>
      <c r="AB6550" s="162"/>
      <c r="AC6550" s="162"/>
      <c r="AD6550" s="162">
        <f t="shared" si="122"/>
        <v>0</v>
      </c>
      <c r="AE6550" s="160">
        <v>6548</v>
      </c>
    </row>
    <row r="6551" spans="27:31" x14ac:dyDescent="0.25">
      <c r="AA6551" s="160"/>
      <c r="AB6551" s="162"/>
      <c r="AC6551" s="162"/>
      <c r="AD6551" s="162">
        <f t="shared" si="122"/>
        <v>0</v>
      </c>
      <c r="AE6551" s="160">
        <v>6549</v>
      </c>
    </row>
    <row r="6552" spans="27:31" x14ac:dyDescent="0.25">
      <c r="AA6552" s="160"/>
      <c r="AB6552" s="162"/>
      <c r="AC6552" s="162"/>
      <c r="AD6552" s="162">
        <f t="shared" si="122"/>
        <v>0</v>
      </c>
      <c r="AE6552" s="160">
        <v>6550</v>
      </c>
    </row>
    <row r="6553" spans="27:31" x14ac:dyDescent="0.25">
      <c r="AA6553" s="160"/>
      <c r="AB6553" s="162"/>
      <c r="AC6553" s="162"/>
      <c r="AD6553" s="162">
        <f t="shared" si="122"/>
        <v>0</v>
      </c>
      <c r="AE6553" s="160">
        <v>6551</v>
      </c>
    </row>
    <row r="6554" spans="27:31" x14ac:dyDescent="0.25">
      <c r="AA6554" s="160"/>
      <c r="AB6554" s="162"/>
      <c r="AC6554" s="162"/>
      <c r="AD6554" s="162">
        <f t="shared" si="122"/>
        <v>0</v>
      </c>
      <c r="AE6554" s="160">
        <v>6552</v>
      </c>
    </row>
    <row r="6555" spans="27:31" x14ac:dyDescent="0.25">
      <c r="AA6555" s="160"/>
      <c r="AB6555" s="162"/>
      <c r="AC6555" s="162"/>
      <c r="AD6555" s="162">
        <f t="shared" si="122"/>
        <v>0</v>
      </c>
      <c r="AE6555" s="160">
        <v>6553</v>
      </c>
    </row>
    <row r="6556" spans="27:31" x14ac:dyDescent="0.25">
      <c r="AA6556" s="160"/>
      <c r="AB6556" s="162"/>
      <c r="AC6556" s="162"/>
      <c r="AD6556" s="162">
        <f t="shared" si="122"/>
        <v>0</v>
      </c>
      <c r="AE6556" s="160">
        <v>6554</v>
      </c>
    </row>
    <row r="6557" spans="27:31" x14ac:dyDescent="0.25">
      <c r="AA6557" s="160"/>
      <c r="AB6557" s="162"/>
      <c r="AC6557" s="162"/>
      <c r="AD6557" s="162">
        <f t="shared" si="122"/>
        <v>0</v>
      </c>
      <c r="AE6557" s="160">
        <v>6555</v>
      </c>
    </row>
    <row r="6558" spans="27:31" x14ac:dyDescent="0.25">
      <c r="AA6558" s="160"/>
      <c r="AB6558" s="162"/>
      <c r="AC6558" s="162"/>
      <c r="AD6558" s="162">
        <f t="shared" si="122"/>
        <v>0</v>
      </c>
      <c r="AE6558" s="160">
        <v>6556</v>
      </c>
    </row>
    <row r="6559" spans="27:31" x14ac:dyDescent="0.25">
      <c r="AA6559" s="160"/>
      <c r="AB6559" s="162"/>
      <c r="AC6559" s="162"/>
      <c r="AD6559" s="162">
        <f t="shared" si="122"/>
        <v>0</v>
      </c>
      <c r="AE6559" s="160">
        <v>6557</v>
      </c>
    </row>
    <row r="6560" spans="27:31" x14ac:dyDescent="0.25">
      <c r="AA6560" s="160"/>
      <c r="AB6560" s="162"/>
      <c r="AC6560" s="162"/>
      <c r="AD6560" s="162">
        <f t="shared" si="122"/>
        <v>0</v>
      </c>
      <c r="AE6560" s="160">
        <v>6558</v>
      </c>
    </row>
    <row r="6561" spans="27:31" x14ac:dyDescent="0.25">
      <c r="AA6561" s="160"/>
      <c r="AB6561" s="162"/>
      <c r="AC6561" s="162"/>
      <c r="AD6561" s="162">
        <f t="shared" si="122"/>
        <v>0</v>
      </c>
      <c r="AE6561" s="160">
        <v>6559</v>
      </c>
    </row>
    <row r="6562" spans="27:31" x14ac:dyDescent="0.25">
      <c r="AA6562" s="160"/>
      <c r="AB6562" s="162"/>
      <c r="AC6562" s="162"/>
      <c r="AD6562" s="162">
        <f t="shared" si="122"/>
        <v>0</v>
      </c>
      <c r="AE6562" s="160">
        <v>6560</v>
      </c>
    </row>
    <row r="6563" spans="27:31" x14ac:dyDescent="0.25">
      <c r="AA6563" s="160"/>
      <c r="AB6563" s="162"/>
      <c r="AC6563" s="162"/>
      <c r="AD6563" s="162">
        <f t="shared" si="122"/>
        <v>0</v>
      </c>
      <c r="AE6563" s="160">
        <v>6561</v>
      </c>
    </row>
    <row r="6564" spans="27:31" x14ac:dyDescent="0.25">
      <c r="AA6564" s="160"/>
      <c r="AB6564" s="162"/>
      <c r="AC6564" s="162"/>
      <c r="AD6564" s="162">
        <f t="shared" si="122"/>
        <v>0</v>
      </c>
      <c r="AE6564" s="160">
        <v>6562</v>
      </c>
    </row>
    <row r="6565" spans="27:31" x14ac:dyDescent="0.25">
      <c r="AA6565" s="160"/>
      <c r="AB6565" s="162"/>
      <c r="AC6565" s="162"/>
      <c r="AD6565" s="162">
        <f t="shared" si="122"/>
        <v>0</v>
      </c>
      <c r="AE6565" s="160">
        <v>6563</v>
      </c>
    </row>
    <row r="6566" spans="27:31" x14ac:dyDescent="0.25">
      <c r="AA6566" s="160"/>
      <c r="AB6566" s="162"/>
      <c r="AC6566" s="162"/>
      <c r="AD6566" s="162">
        <f t="shared" si="122"/>
        <v>0</v>
      </c>
      <c r="AE6566" s="160">
        <v>6564</v>
      </c>
    </row>
    <row r="6567" spans="27:31" x14ac:dyDescent="0.25">
      <c r="AA6567" s="160"/>
      <c r="AB6567" s="162"/>
      <c r="AC6567" s="162"/>
      <c r="AD6567" s="162">
        <f t="shared" si="122"/>
        <v>0</v>
      </c>
      <c r="AE6567" s="160">
        <v>6565</v>
      </c>
    </row>
    <row r="6568" spans="27:31" x14ac:dyDescent="0.25">
      <c r="AA6568" s="160"/>
      <c r="AB6568" s="162"/>
      <c r="AC6568" s="162"/>
      <c r="AD6568" s="162">
        <f t="shared" si="122"/>
        <v>0</v>
      </c>
      <c r="AE6568" s="160">
        <v>6566</v>
      </c>
    </row>
    <row r="6569" spans="27:31" x14ac:dyDescent="0.25">
      <c r="AA6569" s="160"/>
      <c r="AB6569" s="162"/>
      <c r="AC6569" s="162"/>
      <c r="AD6569" s="162">
        <f t="shared" si="122"/>
        <v>0</v>
      </c>
      <c r="AE6569" s="160">
        <v>6567</v>
      </c>
    </row>
    <row r="6570" spans="27:31" x14ac:dyDescent="0.25">
      <c r="AA6570" s="160"/>
      <c r="AB6570" s="162"/>
      <c r="AC6570" s="162"/>
      <c r="AD6570" s="162">
        <f t="shared" si="122"/>
        <v>0</v>
      </c>
      <c r="AE6570" s="160">
        <v>6568</v>
      </c>
    </row>
    <row r="6571" spans="27:31" x14ac:dyDescent="0.25">
      <c r="AA6571" s="160"/>
      <c r="AB6571" s="162"/>
      <c r="AC6571" s="162"/>
      <c r="AD6571" s="162">
        <f t="shared" si="122"/>
        <v>0</v>
      </c>
      <c r="AE6571" s="160">
        <v>6569</v>
      </c>
    </row>
    <row r="6572" spans="27:31" x14ac:dyDescent="0.25">
      <c r="AA6572" s="160"/>
      <c r="AB6572" s="162"/>
      <c r="AC6572" s="162"/>
      <c r="AD6572" s="162">
        <f t="shared" si="122"/>
        <v>0</v>
      </c>
      <c r="AE6572" s="160">
        <v>6570</v>
      </c>
    </row>
    <row r="6573" spans="27:31" x14ac:dyDescent="0.25">
      <c r="AA6573" s="160"/>
      <c r="AB6573" s="162"/>
      <c r="AC6573" s="162"/>
      <c r="AD6573" s="162">
        <f t="shared" si="122"/>
        <v>0</v>
      </c>
      <c r="AE6573" s="160">
        <v>6571</v>
      </c>
    </row>
    <row r="6574" spans="27:31" x14ac:dyDescent="0.25">
      <c r="AA6574" s="160"/>
      <c r="AB6574" s="162"/>
      <c r="AC6574" s="162"/>
      <c r="AD6574" s="162">
        <f t="shared" si="122"/>
        <v>0</v>
      </c>
      <c r="AE6574" s="160">
        <v>6572</v>
      </c>
    </row>
    <row r="6575" spans="27:31" x14ac:dyDescent="0.25">
      <c r="AA6575" s="160"/>
      <c r="AB6575" s="162"/>
      <c r="AC6575" s="162"/>
      <c r="AD6575" s="162">
        <f t="shared" si="122"/>
        <v>0</v>
      </c>
      <c r="AE6575" s="160">
        <v>6573</v>
      </c>
    </row>
    <row r="6576" spans="27:31" x14ac:dyDescent="0.25">
      <c r="AA6576" s="160"/>
      <c r="AB6576" s="162"/>
      <c r="AC6576" s="162"/>
      <c r="AD6576" s="162">
        <f t="shared" si="122"/>
        <v>0</v>
      </c>
      <c r="AE6576" s="160">
        <v>6574</v>
      </c>
    </row>
    <row r="6577" spans="27:31" x14ac:dyDescent="0.25">
      <c r="AA6577" s="160"/>
      <c r="AB6577" s="162"/>
      <c r="AC6577" s="162"/>
      <c r="AD6577" s="162">
        <f t="shared" si="122"/>
        <v>0</v>
      </c>
      <c r="AE6577" s="160">
        <v>6575</v>
      </c>
    </row>
    <row r="6578" spans="27:31" x14ac:dyDescent="0.25">
      <c r="AA6578" s="160"/>
      <c r="AB6578" s="162"/>
      <c r="AC6578" s="162"/>
      <c r="AD6578" s="162">
        <f t="shared" si="122"/>
        <v>0</v>
      </c>
      <c r="AE6578" s="160">
        <v>6576</v>
      </c>
    </row>
    <row r="6579" spans="27:31" x14ac:dyDescent="0.25">
      <c r="AA6579" s="160"/>
      <c r="AB6579" s="162"/>
      <c r="AC6579" s="162"/>
      <c r="AD6579" s="162">
        <f t="shared" si="122"/>
        <v>0</v>
      </c>
      <c r="AE6579" s="160">
        <v>6577</v>
      </c>
    </row>
    <row r="6580" spans="27:31" x14ac:dyDescent="0.25">
      <c r="AA6580" s="160"/>
      <c r="AB6580" s="162"/>
      <c r="AC6580" s="162"/>
      <c r="AD6580" s="162">
        <f t="shared" si="122"/>
        <v>0</v>
      </c>
      <c r="AE6580" s="160">
        <v>6578</v>
      </c>
    </row>
    <row r="6581" spans="27:31" x14ac:dyDescent="0.25">
      <c r="AA6581" s="160"/>
      <c r="AB6581" s="162"/>
      <c r="AC6581" s="162"/>
      <c r="AD6581" s="162">
        <f t="shared" si="122"/>
        <v>0</v>
      </c>
      <c r="AE6581" s="160">
        <v>6579</v>
      </c>
    </row>
    <row r="6582" spans="27:31" x14ac:dyDescent="0.25">
      <c r="AA6582" s="160"/>
      <c r="AB6582" s="162"/>
      <c r="AC6582" s="162"/>
      <c r="AD6582" s="162">
        <f t="shared" si="122"/>
        <v>0</v>
      </c>
      <c r="AE6582" s="160">
        <v>6580</v>
      </c>
    </row>
    <row r="6583" spans="27:31" x14ac:dyDescent="0.25">
      <c r="AA6583" s="160"/>
      <c r="AB6583" s="162"/>
      <c r="AC6583" s="162"/>
      <c r="AD6583" s="162">
        <f t="shared" si="122"/>
        <v>0</v>
      </c>
      <c r="AE6583" s="160">
        <v>6581</v>
      </c>
    </row>
    <row r="6584" spans="27:31" x14ac:dyDescent="0.25">
      <c r="AA6584" s="160"/>
      <c r="AB6584" s="162"/>
      <c r="AC6584" s="162"/>
      <c r="AD6584" s="162">
        <f t="shared" si="122"/>
        <v>0</v>
      </c>
      <c r="AE6584" s="160">
        <v>6582</v>
      </c>
    </row>
    <row r="6585" spans="27:31" x14ac:dyDescent="0.25">
      <c r="AA6585" s="160"/>
      <c r="AB6585" s="162"/>
      <c r="AC6585" s="162"/>
      <c r="AD6585" s="162">
        <f t="shared" si="122"/>
        <v>0</v>
      </c>
      <c r="AE6585" s="160">
        <v>6583</v>
      </c>
    </row>
    <row r="6586" spans="27:31" x14ac:dyDescent="0.25">
      <c r="AA6586" s="160"/>
      <c r="AB6586" s="162"/>
      <c r="AC6586" s="162"/>
      <c r="AD6586" s="162">
        <f t="shared" si="122"/>
        <v>0</v>
      </c>
      <c r="AE6586" s="160">
        <v>6584</v>
      </c>
    </row>
    <row r="6587" spans="27:31" x14ac:dyDescent="0.25">
      <c r="AA6587" s="160"/>
      <c r="AB6587" s="162"/>
      <c r="AC6587" s="162"/>
      <c r="AD6587" s="162">
        <f t="shared" si="122"/>
        <v>0</v>
      </c>
      <c r="AE6587" s="160">
        <v>6585</v>
      </c>
    </row>
    <row r="6588" spans="27:31" x14ac:dyDescent="0.25">
      <c r="AA6588" s="160"/>
      <c r="AB6588" s="162"/>
      <c r="AC6588" s="162"/>
      <c r="AD6588" s="162">
        <f t="shared" si="122"/>
        <v>0</v>
      </c>
      <c r="AE6588" s="160">
        <v>6586</v>
      </c>
    </row>
    <row r="6589" spans="27:31" x14ac:dyDescent="0.25">
      <c r="AA6589" s="160"/>
      <c r="AB6589" s="162"/>
      <c r="AC6589" s="162"/>
      <c r="AD6589" s="162">
        <f t="shared" si="122"/>
        <v>0</v>
      </c>
      <c r="AE6589" s="160">
        <v>6587</v>
      </c>
    </row>
    <row r="6590" spans="27:31" x14ac:dyDescent="0.25">
      <c r="AA6590" s="160"/>
      <c r="AB6590" s="162"/>
      <c r="AC6590" s="162"/>
      <c r="AD6590" s="162">
        <f t="shared" si="122"/>
        <v>0</v>
      </c>
      <c r="AE6590" s="160">
        <v>6588</v>
      </c>
    </row>
    <row r="6591" spans="27:31" x14ac:dyDescent="0.25">
      <c r="AA6591" s="160"/>
      <c r="AB6591" s="162"/>
      <c r="AC6591" s="162"/>
      <c r="AD6591" s="162">
        <f t="shared" si="122"/>
        <v>0</v>
      </c>
      <c r="AE6591" s="160">
        <v>6589</v>
      </c>
    </row>
    <row r="6592" spans="27:31" x14ac:dyDescent="0.25">
      <c r="AA6592" s="160"/>
      <c r="AB6592" s="162"/>
      <c r="AC6592" s="162"/>
      <c r="AD6592" s="162">
        <f t="shared" si="122"/>
        <v>0</v>
      </c>
      <c r="AE6592" s="160">
        <v>6590</v>
      </c>
    </row>
    <row r="6593" spans="27:31" x14ac:dyDescent="0.25">
      <c r="AA6593" s="160"/>
      <c r="AB6593" s="162"/>
      <c r="AC6593" s="162"/>
      <c r="AD6593" s="162">
        <f t="shared" si="122"/>
        <v>0</v>
      </c>
      <c r="AE6593" s="160">
        <v>6591</v>
      </c>
    </row>
    <row r="6594" spans="27:31" x14ac:dyDescent="0.25">
      <c r="AA6594" s="160"/>
      <c r="AB6594" s="162"/>
      <c r="AC6594" s="162"/>
      <c r="AD6594" s="162">
        <f t="shared" si="122"/>
        <v>0</v>
      </c>
      <c r="AE6594" s="160">
        <v>6592</v>
      </c>
    </row>
    <row r="6595" spans="27:31" x14ac:dyDescent="0.25">
      <c r="AA6595" s="160"/>
      <c r="AB6595" s="162"/>
      <c r="AC6595" s="162"/>
      <c r="AD6595" s="162">
        <f t="shared" si="122"/>
        <v>0</v>
      </c>
      <c r="AE6595" s="160">
        <v>6593</v>
      </c>
    </row>
    <row r="6596" spans="27:31" x14ac:dyDescent="0.25">
      <c r="AA6596" s="160"/>
      <c r="AB6596" s="162"/>
      <c r="AC6596" s="162"/>
      <c r="AD6596" s="162">
        <f t="shared" ref="AD6596:AD6659" si="123">AB6596+AC6596</f>
        <v>0</v>
      </c>
      <c r="AE6596" s="160">
        <v>6594</v>
      </c>
    </row>
    <row r="6597" spans="27:31" x14ac:dyDescent="0.25">
      <c r="AA6597" s="160"/>
      <c r="AB6597" s="162"/>
      <c r="AC6597" s="162"/>
      <c r="AD6597" s="162">
        <f t="shared" si="123"/>
        <v>0</v>
      </c>
      <c r="AE6597" s="160">
        <v>6595</v>
      </c>
    </row>
    <row r="6598" spans="27:31" x14ac:dyDescent="0.25">
      <c r="AA6598" s="160"/>
      <c r="AB6598" s="162"/>
      <c r="AC6598" s="162"/>
      <c r="AD6598" s="162">
        <f t="shared" si="123"/>
        <v>0</v>
      </c>
      <c r="AE6598" s="160">
        <v>6596</v>
      </c>
    </row>
    <row r="6599" spans="27:31" x14ac:dyDescent="0.25">
      <c r="AA6599" s="160"/>
      <c r="AB6599" s="162"/>
      <c r="AC6599" s="162"/>
      <c r="AD6599" s="162">
        <f t="shared" si="123"/>
        <v>0</v>
      </c>
      <c r="AE6599" s="160">
        <v>6597</v>
      </c>
    </row>
    <row r="6600" spans="27:31" x14ac:dyDescent="0.25">
      <c r="AA6600" s="160"/>
      <c r="AB6600" s="162"/>
      <c r="AC6600" s="162"/>
      <c r="AD6600" s="162">
        <f t="shared" si="123"/>
        <v>0</v>
      </c>
      <c r="AE6600" s="160">
        <v>6598</v>
      </c>
    </row>
    <row r="6601" spans="27:31" x14ac:dyDescent="0.25">
      <c r="AA6601" s="160"/>
      <c r="AB6601" s="162"/>
      <c r="AC6601" s="162"/>
      <c r="AD6601" s="162">
        <f t="shared" si="123"/>
        <v>0</v>
      </c>
      <c r="AE6601" s="160">
        <v>6599</v>
      </c>
    </row>
    <row r="6602" spans="27:31" x14ac:dyDescent="0.25">
      <c r="AA6602" s="160"/>
      <c r="AB6602" s="162"/>
      <c r="AC6602" s="162"/>
      <c r="AD6602" s="162">
        <f t="shared" si="123"/>
        <v>0</v>
      </c>
      <c r="AE6602" s="160">
        <v>6600</v>
      </c>
    </row>
    <row r="6603" spans="27:31" x14ac:dyDescent="0.25">
      <c r="AA6603" s="160"/>
      <c r="AB6603" s="162"/>
      <c r="AC6603" s="162"/>
      <c r="AD6603" s="162">
        <f t="shared" si="123"/>
        <v>0</v>
      </c>
      <c r="AE6603" s="160">
        <v>6601</v>
      </c>
    </row>
    <row r="6604" spans="27:31" x14ac:dyDescent="0.25">
      <c r="AA6604" s="160"/>
      <c r="AB6604" s="162"/>
      <c r="AC6604" s="162"/>
      <c r="AD6604" s="162">
        <f t="shared" si="123"/>
        <v>0</v>
      </c>
      <c r="AE6604" s="160">
        <v>6602</v>
      </c>
    </row>
    <row r="6605" spans="27:31" x14ac:dyDescent="0.25">
      <c r="AA6605" s="160"/>
      <c r="AB6605" s="162"/>
      <c r="AC6605" s="162"/>
      <c r="AD6605" s="162">
        <f t="shared" si="123"/>
        <v>0</v>
      </c>
      <c r="AE6605" s="160">
        <v>6603</v>
      </c>
    </row>
    <row r="6606" spans="27:31" x14ac:dyDescent="0.25">
      <c r="AA6606" s="160"/>
      <c r="AB6606" s="162"/>
      <c r="AC6606" s="162"/>
      <c r="AD6606" s="162">
        <f t="shared" si="123"/>
        <v>0</v>
      </c>
      <c r="AE6606" s="160">
        <v>6604</v>
      </c>
    </row>
    <row r="6607" spans="27:31" x14ac:dyDescent="0.25">
      <c r="AA6607" s="160"/>
      <c r="AB6607" s="162"/>
      <c r="AC6607" s="162"/>
      <c r="AD6607" s="162">
        <f t="shared" si="123"/>
        <v>0</v>
      </c>
      <c r="AE6607" s="160">
        <v>6605</v>
      </c>
    </row>
    <row r="6608" spans="27:31" x14ac:dyDescent="0.25">
      <c r="AA6608" s="160"/>
      <c r="AB6608" s="162"/>
      <c r="AC6608" s="162"/>
      <c r="AD6608" s="162">
        <f t="shared" si="123"/>
        <v>0</v>
      </c>
      <c r="AE6608" s="160">
        <v>6606</v>
      </c>
    </row>
    <row r="6609" spans="27:31" x14ac:dyDescent="0.25">
      <c r="AA6609" s="160"/>
      <c r="AB6609" s="162"/>
      <c r="AC6609" s="162"/>
      <c r="AD6609" s="162">
        <f t="shared" si="123"/>
        <v>0</v>
      </c>
      <c r="AE6609" s="160">
        <v>6607</v>
      </c>
    </row>
    <row r="6610" spans="27:31" x14ac:dyDescent="0.25">
      <c r="AA6610" s="160"/>
      <c r="AB6610" s="162"/>
      <c r="AC6610" s="162"/>
      <c r="AD6610" s="162">
        <f t="shared" si="123"/>
        <v>0</v>
      </c>
      <c r="AE6610" s="160">
        <v>6608</v>
      </c>
    </row>
    <row r="6611" spans="27:31" x14ac:dyDescent="0.25">
      <c r="AA6611" s="160"/>
      <c r="AB6611" s="162"/>
      <c r="AC6611" s="162"/>
      <c r="AD6611" s="162">
        <f t="shared" si="123"/>
        <v>0</v>
      </c>
      <c r="AE6611" s="160">
        <v>6609</v>
      </c>
    </row>
    <row r="6612" spans="27:31" x14ac:dyDescent="0.25">
      <c r="AA6612" s="160"/>
      <c r="AB6612" s="162"/>
      <c r="AC6612" s="162"/>
      <c r="AD6612" s="162">
        <f t="shared" si="123"/>
        <v>0</v>
      </c>
      <c r="AE6612" s="160">
        <v>6610</v>
      </c>
    </row>
    <row r="6613" spans="27:31" x14ac:dyDescent="0.25">
      <c r="AA6613" s="160"/>
      <c r="AB6613" s="162"/>
      <c r="AC6613" s="162"/>
      <c r="AD6613" s="162">
        <f t="shared" si="123"/>
        <v>0</v>
      </c>
      <c r="AE6613" s="160">
        <v>6611</v>
      </c>
    </row>
    <row r="6614" spans="27:31" x14ac:dyDescent="0.25">
      <c r="AA6614" s="160"/>
      <c r="AB6614" s="162"/>
      <c r="AC6614" s="162"/>
      <c r="AD6614" s="162">
        <f t="shared" si="123"/>
        <v>0</v>
      </c>
      <c r="AE6614" s="160">
        <v>6612</v>
      </c>
    </row>
    <row r="6615" spans="27:31" x14ac:dyDescent="0.25">
      <c r="AA6615" s="160"/>
      <c r="AB6615" s="162"/>
      <c r="AC6615" s="162"/>
      <c r="AD6615" s="162">
        <f t="shared" si="123"/>
        <v>0</v>
      </c>
      <c r="AE6615" s="160">
        <v>6613</v>
      </c>
    </row>
    <row r="6616" spans="27:31" x14ac:dyDescent="0.25">
      <c r="AA6616" s="160"/>
      <c r="AB6616" s="162"/>
      <c r="AC6616" s="162"/>
      <c r="AD6616" s="162">
        <f t="shared" si="123"/>
        <v>0</v>
      </c>
      <c r="AE6616" s="160">
        <v>6614</v>
      </c>
    </row>
    <row r="6617" spans="27:31" x14ac:dyDescent="0.25">
      <c r="AA6617" s="160"/>
      <c r="AB6617" s="162"/>
      <c r="AC6617" s="162"/>
      <c r="AD6617" s="162">
        <f t="shared" si="123"/>
        <v>0</v>
      </c>
      <c r="AE6617" s="160">
        <v>6615</v>
      </c>
    </row>
    <row r="6618" spans="27:31" x14ac:dyDescent="0.25">
      <c r="AA6618" s="160"/>
      <c r="AB6618" s="162"/>
      <c r="AC6618" s="162"/>
      <c r="AD6618" s="162">
        <f t="shared" si="123"/>
        <v>0</v>
      </c>
      <c r="AE6618" s="160">
        <v>6616</v>
      </c>
    </row>
    <row r="6619" spans="27:31" x14ac:dyDescent="0.25">
      <c r="AA6619" s="160"/>
      <c r="AB6619" s="162"/>
      <c r="AC6619" s="162"/>
      <c r="AD6619" s="162">
        <f t="shared" si="123"/>
        <v>0</v>
      </c>
      <c r="AE6619" s="160">
        <v>6617</v>
      </c>
    </row>
    <row r="6620" spans="27:31" x14ac:dyDescent="0.25">
      <c r="AA6620" s="160"/>
      <c r="AB6620" s="162"/>
      <c r="AC6620" s="162"/>
      <c r="AD6620" s="162">
        <f t="shared" si="123"/>
        <v>0</v>
      </c>
      <c r="AE6620" s="160">
        <v>6618</v>
      </c>
    </row>
    <row r="6621" spans="27:31" x14ac:dyDescent="0.25">
      <c r="AA6621" s="160"/>
      <c r="AB6621" s="162"/>
      <c r="AC6621" s="162"/>
      <c r="AD6621" s="162">
        <f t="shared" si="123"/>
        <v>0</v>
      </c>
      <c r="AE6621" s="160">
        <v>6619</v>
      </c>
    </row>
    <row r="6622" spans="27:31" x14ac:dyDescent="0.25">
      <c r="AA6622" s="160"/>
      <c r="AB6622" s="162"/>
      <c r="AC6622" s="162"/>
      <c r="AD6622" s="162">
        <f t="shared" si="123"/>
        <v>0</v>
      </c>
      <c r="AE6622" s="160">
        <v>6620</v>
      </c>
    </row>
    <row r="6623" spans="27:31" x14ac:dyDescent="0.25">
      <c r="AA6623" s="160"/>
      <c r="AB6623" s="162"/>
      <c r="AC6623" s="162"/>
      <c r="AD6623" s="162">
        <f t="shared" si="123"/>
        <v>0</v>
      </c>
      <c r="AE6623" s="160">
        <v>6621</v>
      </c>
    </row>
    <row r="6624" spans="27:31" x14ac:dyDescent="0.25">
      <c r="AA6624" s="160"/>
      <c r="AB6624" s="162"/>
      <c r="AC6624" s="162"/>
      <c r="AD6624" s="162">
        <f t="shared" si="123"/>
        <v>0</v>
      </c>
      <c r="AE6624" s="160">
        <v>6622</v>
      </c>
    </row>
    <row r="6625" spans="27:31" x14ac:dyDescent="0.25">
      <c r="AA6625" s="160"/>
      <c r="AB6625" s="162"/>
      <c r="AC6625" s="162"/>
      <c r="AD6625" s="162">
        <f t="shared" si="123"/>
        <v>0</v>
      </c>
      <c r="AE6625" s="160">
        <v>6623</v>
      </c>
    </row>
    <row r="6626" spans="27:31" x14ac:dyDescent="0.25">
      <c r="AA6626" s="160"/>
      <c r="AB6626" s="162"/>
      <c r="AC6626" s="162"/>
      <c r="AD6626" s="162">
        <f t="shared" si="123"/>
        <v>0</v>
      </c>
      <c r="AE6626" s="160">
        <v>6624</v>
      </c>
    </row>
    <row r="6627" spans="27:31" x14ac:dyDescent="0.25">
      <c r="AA6627" s="160"/>
      <c r="AB6627" s="162"/>
      <c r="AC6627" s="162"/>
      <c r="AD6627" s="162">
        <f t="shared" si="123"/>
        <v>0</v>
      </c>
      <c r="AE6627" s="160">
        <v>6625</v>
      </c>
    </row>
    <row r="6628" spans="27:31" x14ac:dyDescent="0.25">
      <c r="AA6628" s="160"/>
      <c r="AB6628" s="162"/>
      <c r="AC6628" s="162"/>
      <c r="AD6628" s="162">
        <f t="shared" si="123"/>
        <v>0</v>
      </c>
      <c r="AE6628" s="160">
        <v>6626</v>
      </c>
    </row>
    <row r="6629" spans="27:31" x14ac:dyDescent="0.25">
      <c r="AA6629" s="160"/>
      <c r="AB6629" s="162"/>
      <c r="AC6629" s="162"/>
      <c r="AD6629" s="162">
        <f t="shared" si="123"/>
        <v>0</v>
      </c>
      <c r="AE6629" s="160">
        <v>6627</v>
      </c>
    </row>
    <row r="6630" spans="27:31" x14ac:dyDescent="0.25">
      <c r="AA6630" s="160"/>
      <c r="AB6630" s="162"/>
      <c r="AC6630" s="162"/>
      <c r="AD6630" s="162">
        <f t="shared" si="123"/>
        <v>0</v>
      </c>
      <c r="AE6630" s="160">
        <v>6628</v>
      </c>
    </row>
    <row r="6631" spans="27:31" x14ac:dyDescent="0.25">
      <c r="AA6631" s="160"/>
      <c r="AB6631" s="162"/>
      <c r="AC6631" s="162"/>
      <c r="AD6631" s="162">
        <f t="shared" si="123"/>
        <v>0</v>
      </c>
      <c r="AE6631" s="160">
        <v>6629</v>
      </c>
    </row>
    <row r="6632" spans="27:31" x14ac:dyDescent="0.25">
      <c r="AA6632" s="160"/>
      <c r="AB6632" s="162"/>
      <c r="AC6632" s="162"/>
      <c r="AD6632" s="162">
        <f t="shared" si="123"/>
        <v>0</v>
      </c>
      <c r="AE6632" s="160">
        <v>6630</v>
      </c>
    </row>
    <row r="6633" spans="27:31" x14ac:dyDescent="0.25">
      <c r="AA6633" s="160"/>
      <c r="AB6633" s="162"/>
      <c r="AC6633" s="162"/>
      <c r="AD6633" s="162">
        <f t="shared" si="123"/>
        <v>0</v>
      </c>
      <c r="AE6633" s="160">
        <v>6631</v>
      </c>
    </row>
    <row r="6634" spans="27:31" x14ac:dyDescent="0.25">
      <c r="AA6634" s="160"/>
      <c r="AB6634" s="162"/>
      <c r="AC6634" s="162"/>
      <c r="AD6634" s="162">
        <f t="shared" si="123"/>
        <v>0</v>
      </c>
      <c r="AE6634" s="160">
        <v>6632</v>
      </c>
    </row>
    <row r="6635" spans="27:31" x14ac:dyDescent="0.25">
      <c r="AA6635" s="160"/>
      <c r="AB6635" s="162"/>
      <c r="AC6635" s="162"/>
      <c r="AD6635" s="162">
        <f t="shared" si="123"/>
        <v>0</v>
      </c>
      <c r="AE6635" s="160">
        <v>6633</v>
      </c>
    </row>
    <row r="6636" spans="27:31" x14ac:dyDescent="0.25">
      <c r="AA6636" s="160"/>
      <c r="AB6636" s="162"/>
      <c r="AC6636" s="162"/>
      <c r="AD6636" s="162">
        <f t="shared" si="123"/>
        <v>0</v>
      </c>
      <c r="AE6636" s="160">
        <v>6634</v>
      </c>
    </row>
    <row r="6637" spans="27:31" x14ac:dyDescent="0.25">
      <c r="AA6637" s="160"/>
      <c r="AB6637" s="162"/>
      <c r="AC6637" s="162"/>
      <c r="AD6637" s="162">
        <f t="shared" si="123"/>
        <v>0</v>
      </c>
      <c r="AE6637" s="160">
        <v>6635</v>
      </c>
    </row>
    <row r="6638" spans="27:31" x14ac:dyDescent="0.25">
      <c r="AA6638" s="160"/>
      <c r="AB6638" s="162"/>
      <c r="AC6638" s="162"/>
      <c r="AD6638" s="162">
        <f t="shared" si="123"/>
        <v>0</v>
      </c>
      <c r="AE6638" s="160">
        <v>6636</v>
      </c>
    </row>
    <row r="6639" spans="27:31" x14ac:dyDescent="0.25">
      <c r="AA6639" s="160"/>
      <c r="AB6639" s="162"/>
      <c r="AC6639" s="162"/>
      <c r="AD6639" s="162">
        <f t="shared" si="123"/>
        <v>0</v>
      </c>
      <c r="AE6639" s="160">
        <v>6637</v>
      </c>
    </row>
    <row r="6640" spans="27:31" x14ac:dyDescent="0.25">
      <c r="AA6640" s="160"/>
      <c r="AB6640" s="162"/>
      <c r="AC6640" s="162"/>
      <c r="AD6640" s="162">
        <f t="shared" si="123"/>
        <v>0</v>
      </c>
      <c r="AE6640" s="160">
        <v>6638</v>
      </c>
    </row>
    <row r="6641" spans="27:31" x14ac:dyDescent="0.25">
      <c r="AA6641" s="160"/>
      <c r="AB6641" s="162"/>
      <c r="AC6641" s="162"/>
      <c r="AD6641" s="162">
        <f t="shared" si="123"/>
        <v>0</v>
      </c>
      <c r="AE6641" s="160">
        <v>6639</v>
      </c>
    </row>
    <row r="6642" spans="27:31" x14ac:dyDescent="0.25">
      <c r="AA6642" s="160"/>
      <c r="AB6642" s="162"/>
      <c r="AC6642" s="162"/>
      <c r="AD6642" s="162">
        <f t="shared" si="123"/>
        <v>0</v>
      </c>
      <c r="AE6642" s="160">
        <v>6640</v>
      </c>
    </row>
    <row r="6643" spans="27:31" x14ac:dyDescent="0.25">
      <c r="AA6643" s="160"/>
      <c r="AB6643" s="162"/>
      <c r="AC6643" s="162"/>
      <c r="AD6643" s="162">
        <f t="shared" si="123"/>
        <v>0</v>
      </c>
      <c r="AE6643" s="160">
        <v>6641</v>
      </c>
    </row>
    <row r="6644" spans="27:31" x14ac:dyDescent="0.25">
      <c r="AA6644" s="160"/>
      <c r="AB6644" s="162"/>
      <c r="AC6644" s="162"/>
      <c r="AD6644" s="162">
        <f t="shared" si="123"/>
        <v>0</v>
      </c>
      <c r="AE6644" s="160">
        <v>6642</v>
      </c>
    </row>
    <row r="6645" spans="27:31" x14ac:dyDescent="0.25">
      <c r="AA6645" s="160"/>
      <c r="AB6645" s="162"/>
      <c r="AC6645" s="162"/>
      <c r="AD6645" s="162">
        <f t="shared" si="123"/>
        <v>0</v>
      </c>
      <c r="AE6645" s="160">
        <v>6643</v>
      </c>
    </row>
    <row r="6646" spans="27:31" x14ac:dyDescent="0.25">
      <c r="AA6646" s="160"/>
      <c r="AB6646" s="162"/>
      <c r="AC6646" s="162"/>
      <c r="AD6646" s="162">
        <f t="shared" si="123"/>
        <v>0</v>
      </c>
      <c r="AE6646" s="160">
        <v>6644</v>
      </c>
    </row>
    <row r="6647" spans="27:31" x14ac:dyDescent="0.25">
      <c r="AA6647" s="160"/>
      <c r="AB6647" s="162"/>
      <c r="AC6647" s="162"/>
      <c r="AD6647" s="162">
        <f t="shared" si="123"/>
        <v>0</v>
      </c>
      <c r="AE6647" s="160">
        <v>6645</v>
      </c>
    </row>
    <row r="6648" spans="27:31" x14ac:dyDescent="0.25">
      <c r="AA6648" s="160"/>
      <c r="AB6648" s="162"/>
      <c r="AC6648" s="162"/>
      <c r="AD6648" s="162">
        <f t="shared" si="123"/>
        <v>0</v>
      </c>
      <c r="AE6648" s="160">
        <v>6646</v>
      </c>
    </row>
    <row r="6649" spans="27:31" x14ac:dyDescent="0.25">
      <c r="AA6649" s="160"/>
      <c r="AB6649" s="162"/>
      <c r="AC6649" s="162"/>
      <c r="AD6649" s="162">
        <f t="shared" si="123"/>
        <v>0</v>
      </c>
      <c r="AE6649" s="160">
        <v>6647</v>
      </c>
    </row>
    <row r="6650" spans="27:31" x14ac:dyDescent="0.25">
      <c r="AA6650" s="160"/>
      <c r="AB6650" s="162"/>
      <c r="AC6650" s="162"/>
      <c r="AD6650" s="162">
        <f t="shared" si="123"/>
        <v>0</v>
      </c>
      <c r="AE6650" s="160">
        <v>6648</v>
      </c>
    </row>
    <row r="6651" spans="27:31" x14ac:dyDescent="0.25">
      <c r="AA6651" s="160"/>
      <c r="AB6651" s="162"/>
      <c r="AC6651" s="162"/>
      <c r="AD6651" s="162">
        <f t="shared" si="123"/>
        <v>0</v>
      </c>
      <c r="AE6651" s="160">
        <v>6649</v>
      </c>
    </row>
    <row r="6652" spans="27:31" x14ac:dyDescent="0.25">
      <c r="AA6652" s="160"/>
      <c r="AB6652" s="162"/>
      <c r="AC6652" s="162"/>
      <c r="AD6652" s="162">
        <f t="shared" si="123"/>
        <v>0</v>
      </c>
      <c r="AE6652" s="160">
        <v>6650</v>
      </c>
    </row>
    <row r="6653" spans="27:31" x14ac:dyDescent="0.25">
      <c r="AA6653" s="160"/>
      <c r="AB6653" s="162"/>
      <c r="AC6653" s="162"/>
      <c r="AD6653" s="162">
        <f t="shared" si="123"/>
        <v>0</v>
      </c>
      <c r="AE6653" s="160">
        <v>6651</v>
      </c>
    </row>
    <row r="6654" spans="27:31" x14ac:dyDescent="0.25">
      <c r="AA6654" s="160"/>
      <c r="AB6654" s="162"/>
      <c r="AC6654" s="162"/>
      <c r="AD6654" s="162">
        <f t="shared" si="123"/>
        <v>0</v>
      </c>
      <c r="AE6654" s="160">
        <v>6652</v>
      </c>
    </row>
    <row r="6655" spans="27:31" x14ac:dyDescent="0.25">
      <c r="AA6655" s="160"/>
      <c r="AB6655" s="162"/>
      <c r="AC6655" s="162"/>
      <c r="AD6655" s="162">
        <f t="shared" si="123"/>
        <v>0</v>
      </c>
      <c r="AE6655" s="160">
        <v>6653</v>
      </c>
    </row>
    <row r="6656" spans="27:31" x14ac:dyDescent="0.25">
      <c r="AA6656" s="160"/>
      <c r="AB6656" s="162"/>
      <c r="AC6656" s="162"/>
      <c r="AD6656" s="162">
        <f t="shared" si="123"/>
        <v>0</v>
      </c>
      <c r="AE6656" s="160">
        <v>6654</v>
      </c>
    </row>
    <row r="6657" spans="27:31" x14ac:dyDescent="0.25">
      <c r="AA6657" s="160"/>
      <c r="AB6657" s="162"/>
      <c r="AC6657" s="162"/>
      <c r="AD6657" s="162">
        <f t="shared" si="123"/>
        <v>0</v>
      </c>
      <c r="AE6657" s="160">
        <v>6655</v>
      </c>
    </row>
    <row r="6658" spans="27:31" x14ac:dyDescent="0.25">
      <c r="AA6658" s="160"/>
      <c r="AB6658" s="162"/>
      <c r="AC6658" s="162"/>
      <c r="AD6658" s="162">
        <f t="shared" si="123"/>
        <v>0</v>
      </c>
      <c r="AE6658" s="160">
        <v>6656</v>
      </c>
    </row>
    <row r="6659" spans="27:31" x14ac:dyDescent="0.25">
      <c r="AA6659" s="160"/>
      <c r="AB6659" s="162"/>
      <c r="AC6659" s="162"/>
      <c r="AD6659" s="162">
        <f t="shared" si="123"/>
        <v>0</v>
      </c>
      <c r="AE6659" s="160">
        <v>6657</v>
      </c>
    </row>
    <row r="6660" spans="27:31" x14ac:dyDescent="0.25">
      <c r="AA6660" s="160"/>
      <c r="AB6660" s="162"/>
      <c r="AC6660" s="162"/>
      <c r="AD6660" s="162">
        <f t="shared" ref="AD6660:AD6723" si="124">AB6660+AC6660</f>
        <v>0</v>
      </c>
      <c r="AE6660" s="160">
        <v>6658</v>
      </c>
    </row>
    <row r="6661" spans="27:31" x14ac:dyDescent="0.25">
      <c r="AA6661" s="160"/>
      <c r="AB6661" s="162"/>
      <c r="AC6661" s="162"/>
      <c r="AD6661" s="162">
        <f t="shared" si="124"/>
        <v>0</v>
      </c>
      <c r="AE6661" s="160">
        <v>6659</v>
      </c>
    </row>
    <row r="6662" spans="27:31" x14ac:dyDescent="0.25">
      <c r="AA6662" s="160"/>
      <c r="AB6662" s="162"/>
      <c r="AC6662" s="162"/>
      <c r="AD6662" s="162">
        <f t="shared" si="124"/>
        <v>0</v>
      </c>
      <c r="AE6662" s="160">
        <v>6660</v>
      </c>
    </row>
    <row r="6663" spans="27:31" x14ac:dyDescent="0.25">
      <c r="AA6663" s="160"/>
      <c r="AB6663" s="162"/>
      <c r="AC6663" s="162"/>
      <c r="AD6663" s="162">
        <f t="shared" si="124"/>
        <v>0</v>
      </c>
      <c r="AE6663" s="160">
        <v>6661</v>
      </c>
    </row>
    <row r="6664" spans="27:31" x14ac:dyDescent="0.25">
      <c r="AA6664" s="160"/>
      <c r="AB6664" s="162"/>
      <c r="AC6664" s="162"/>
      <c r="AD6664" s="162">
        <f t="shared" si="124"/>
        <v>0</v>
      </c>
      <c r="AE6664" s="160">
        <v>6662</v>
      </c>
    </row>
    <row r="6665" spans="27:31" x14ac:dyDescent="0.25">
      <c r="AA6665" s="160"/>
      <c r="AB6665" s="162"/>
      <c r="AC6665" s="162"/>
      <c r="AD6665" s="162">
        <f t="shared" si="124"/>
        <v>0</v>
      </c>
      <c r="AE6665" s="160">
        <v>6663</v>
      </c>
    </row>
    <row r="6666" spans="27:31" x14ac:dyDescent="0.25">
      <c r="AA6666" s="160"/>
      <c r="AB6666" s="162"/>
      <c r="AC6666" s="162"/>
      <c r="AD6666" s="162">
        <f t="shared" si="124"/>
        <v>0</v>
      </c>
      <c r="AE6666" s="160">
        <v>6664</v>
      </c>
    </row>
    <row r="6667" spans="27:31" x14ac:dyDescent="0.25">
      <c r="AA6667" s="160"/>
      <c r="AB6667" s="162"/>
      <c r="AC6667" s="162"/>
      <c r="AD6667" s="162">
        <f t="shared" si="124"/>
        <v>0</v>
      </c>
      <c r="AE6667" s="160">
        <v>6665</v>
      </c>
    </row>
    <row r="6668" spans="27:31" x14ac:dyDescent="0.25">
      <c r="AA6668" s="160"/>
      <c r="AB6668" s="162"/>
      <c r="AC6668" s="162"/>
      <c r="AD6668" s="162">
        <f t="shared" si="124"/>
        <v>0</v>
      </c>
      <c r="AE6668" s="160">
        <v>6666</v>
      </c>
    </row>
    <row r="6669" spans="27:31" x14ac:dyDescent="0.25">
      <c r="AA6669" s="160"/>
      <c r="AB6669" s="162"/>
      <c r="AC6669" s="162"/>
      <c r="AD6669" s="162">
        <f t="shared" si="124"/>
        <v>0</v>
      </c>
      <c r="AE6669" s="160">
        <v>6667</v>
      </c>
    </row>
    <row r="6670" spans="27:31" x14ac:dyDescent="0.25">
      <c r="AA6670" s="160"/>
      <c r="AB6670" s="162"/>
      <c r="AC6670" s="162"/>
      <c r="AD6670" s="162">
        <f t="shared" si="124"/>
        <v>0</v>
      </c>
      <c r="AE6670" s="160">
        <v>6668</v>
      </c>
    </row>
    <row r="6671" spans="27:31" x14ac:dyDescent="0.25">
      <c r="AA6671" s="160"/>
      <c r="AB6671" s="162"/>
      <c r="AC6671" s="162"/>
      <c r="AD6671" s="162">
        <f t="shared" si="124"/>
        <v>0</v>
      </c>
      <c r="AE6671" s="160">
        <v>6669</v>
      </c>
    </row>
    <row r="6672" spans="27:31" x14ac:dyDescent="0.25">
      <c r="AA6672" s="160"/>
      <c r="AB6672" s="162"/>
      <c r="AC6672" s="162"/>
      <c r="AD6672" s="162">
        <f t="shared" si="124"/>
        <v>0</v>
      </c>
      <c r="AE6672" s="160">
        <v>6670</v>
      </c>
    </row>
    <row r="6673" spans="27:31" x14ac:dyDescent="0.25">
      <c r="AA6673" s="160"/>
      <c r="AB6673" s="162"/>
      <c r="AC6673" s="162"/>
      <c r="AD6673" s="162">
        <f t="shared" si="124"/>
        <v>0</v>
      </c>
      <c r="AE6673" s="160">
        <v>6671</v>
      </c>
    </row>
    <row r="6674" spans="27:31" x14ac:dyDescent="0.25">
      <c r="AA6674" s="160"/>
      <c r="AB6674" s="162"/>
      <c r="AC6674" s="162"/>
      <c r="AD6674" s="162">
        <f t="shared" si="124"/>
        <v>0</v>
      </c>
      <c r="AE6674" s="160">
        <v>6672</v>
      </c>
    </row>
    <row r="6675" spans="27:31" x14ac:dyDescent="0.25">
      <c r="AA6675" s="160"/>
      <c r="AB6675" s="162"/>
      <c r="AC6675" s="162"/>
      <c r="AD6675" s="162">
        <f t="shared" si="124"/>
        <v>0</v>
      </c>
      <c r="AE6675" s="160">
        <v>6673</v>
      </c>
    </row>
    <row r="6676" spans="27:31" x14ac:dyDescent="0.25">
      <c r="AA6676" s="160"/>
      <c r="AB6676" s="162"/>
      <c r="AC6676" s="162"/>
      <c r="AD6676" s="162">
        <f t="shared" si="124"/>
        <v>0</v>
      </c>
      <c r="AE6676" s="160">
        <v>6674</v>
      </c>
    </row>
    <row r="6677" spans="27:31" x14ac:dyDescent="0.25">
      <c r="AA6677" s="160"/>
      <c r="AB6677" s="162"/>
      <c r="AC6677" s="162"/>
      <c r="AD6677" s="162">
        <f t="shared" si="124"/>
        <v>0</v>
      </c>
      <c r="AE6677" s="160">
        <v>6675</v>
      </c>
    </row>
    <row r="6678" spans="27:31" x14ac:dyDescent="0.25">
      <c r="AA6678" s="160"/>
      <c r="AB6678" s="162"/>
      <c r="AC6678" s="162"/>
      <c r="AD6678" s="162">
        <f t="shared" si="124"/>
        <v>0</v>
      </c>
      <c r="AE6678" s="160">
        <v>6676</v>
      </c>
    </row>
    <row r="6679" spans="27:31" x14ac:dyDescent="0.25">
      <c r="AA6679" s="160"/>
      <c r="AB6679" s="162"/>
      <c r="AC6679" s="162"/>
      <c r="AD6679" s="162">
        <f t="shared" si="124"/>
        <v>0</v>
      </c>
      <c r="AE6679" s="160">
        <v>6677</v>
      </c>
    </row>
    <row r="6680" spans="27:31" x14ac:dyDescent="0.25">
      <c r="AA6680" s="160"/>
      <c r="AB6680" s="162"/>
      <c r="AC6680" s="162"/>
      <c r="AD6680" s="162">
        <f t="shared" si="124"/>
        <v>0</v>
      </c>
      <c r="AE6680" s="160">
        <v>6678</v>
      </c>
    </row>
    <row r="6681" spans="27:31" x14ac:dyDescent="0.25">
      <c r="AA6681" s="160"/>
      <c r="AB6681" s="162"/>
      <c r="AC6681" s="162"/>
      <c r="AD6681" s="162">
        <f t="shared" si="124"/>
        <v>0</v>
      </c>
      <c r="AE6681" s="160">
        <v>6679</v>
      </c>
    </row>
    <row r="6682" spans="27:31" x14ac:dyDescent="0.25">
      <c r="AA6682" s="160"/>
      <c r="AB6682" s="162"/>
      <c r="AC6682" s="162"/>
      <c r="AD6682" s="162">
        <f t="shared" si="124"/>
        <v>0</v>
      </c>
      <c r="AE6682" s="160">
        <v>6680</v>
      </c>
    </row>
    <row r="6683" spans="27:31" x14ac:dyDescent="0.25">
      <c r="AA6683" s="160"/>
      <c r="AB6683" s="162"/>
      <c r="AC6683" s="162"/>
      <c r="AD6683" s="162">
        <f t="shared" si="124"/>
        <v>0</v>
      </c>
      <c r="AE6683" s="160">
        <v>6681</v>
      </c>
    </row>
    <row r="6684" spans="27:31" x14ac:dyDescent="0.25">
      <c r="AA6684" s="160"/>
      <c r="AB6684" s="162"/>
      <c r="AC6684" s="162"/>
      <c r="AD6684" s="162">
        <f t="shared" si="124"/>
        <v>0</v>
      </c>
      <c r="AE6684" s="160">
        <v>6682</v>
      </c>
    </row>
    <row r="6685" spans="27:31" x14ac:dyDescent="0.25">
      <c r="AA6685" s="160"/>
      <c r="AB6685" s="162"/>
      <c r="AC6685" s="162"/>
      <c r="AD6685" s="162">
        <f t="shared" si="124"/>
        <v>0</v>
      </c>
      <c r="AE6685" s="160">
        <v>6683</v>
      </c>
    </row>
    <row r="6686" spans="27:31" x14ac:dyDescent="0.25">
      <c r="AA6686" s="160"/>
      <c r="AB6686" s="162"/>
      <c r="AC6686" s="162"/>
      <c r="AD6686" s="162">
        <f t="shared" si="124"/>
        <v>0</v>
      </c>
      <c r="AE6686" s="160">
        <v>6684</v>
      </c>
    </row>
    <row r="6687" spans="27:31" x14ac:dyDescent="0.25">
      <c r="AA6687" s="160"/>
      <c r="AB6687" s="162"/>
      <c r="AC6687" s="162"/>
      <c r="AD6687" s="162">
        <f t="shared" si="124"/>
        <v>0</v>
      </c>
      <c r="AE6687" s="160">
        <v>6685</v>
      </c>
    </row>
    <row r="6688" spans="27:31" x14ac:dyDescent="0.25">
      <c r="AA6688" s="160"/>
      <c r="AB6688" s="162"/>
      <c r="AC6688" s="162"/>
      <c r="AD6688" s="162">
        <f t="shared" si="124"/>
        <v>0</v>
      </c>
      <c r="AE6688" s="160">
        <v>6686</v>
      </c>
    </row>
    <row r="6689" spans="27:31" x14ac:dyDescent="0.25">
      <c r="AA6689" s="160"/>
      <c r="AB6689" s="162"/>
      <c r="AC6689" s="162"/>
      <c r="AD6689" s="162">
        <f t="shared" si="124"/>
        <v>0</v>
      </c>
      <c r="AE6689" s="160">
        <v>6687</v>
      </c>
    </row>
    <row r="6690" spans="27:31" x14ac:dyDescent="0.25">
      <c r="AA6690" s="160"/>
      <c r="AB6690" s="162"/>
      <c r="AC6690" s="162"/>
      <c r="AD6690" s="162">
        <f t="shared" si="124"/>
        <v>0</v>
      </c>
      <c r="AE6690" s="160">
        <v>6688</v>
      </c>
    </row>
    <row r="6691" spans="27:31" x14ac:dyDescent="0.25">
      <c r="AA6691" s="160"/>
      <c r="AB6691" s="162"/>
      <c r="AC6691" s="162"/>
      <c r="AD6691" s="162">
        <f t="shared" si="124"/>
        <v>0</v>
      </c>
      <c r="AE6691" s="160">
        <v>6689</v>
      </c>
    </row>
    <row r="6692" spans="27:31" x14ac:dyDescent="0.25">
      <c r="AA6692" s="160"/>
      <c r="AB6692" s="162"/>
      <c r="AC6692" s="162"/>
      <c r="AD6692" s="162">
        <f t="shared" si="124"/>
        <v>0</v>
      </c>
      <c r="AE6692" s="160">
        <v>6690</v>
      </c>
    </row>
    <row r="6693" spans="27:31" x14ac:dyDescent="0.25">
      <c r="AA6693" s="160"/>
      <c r="AB6693" s="162"/>
      <c r="AC6693" s="162"/>
      <c r="AD6693" s="162">
        <f t="shared" si="124"/>
        <v>0</v>
      </c>
      <c r="AE6693" s="160">
        <v>6691</v>
      </c>
    </row>
    <row r="6694" spans="27:31" x14ac:dyDescent="0.25">
      <c r="AA6694" s="160"/>
      <c r="AB6694" s="162"/>
      <c r="AC6694" s="162"/>
      <c r="AD6694" s="162">
        <f t="shared" si="124"/>
        <v>0</v>
      </c>
      <c r="AE6694" s="160">
        <v>6692</v>
      </c>
    </row>
    <row r="6695" spans="27:31" x14ac:dyDescent="0.25">
      <c r="AA6695" s="160"/>
      <c r="AB6695" s="162"/>
      <c r="AC6695" s="162"/>
      <c r="AD6695" s="162">
        <f t="shared" si="124"/>
        <v>0</v>
      </c>
      <c r="AE6695" s="160">
        <v>6693</v>
      </c>
    </row>
    <row r="6696" spans="27:31" x14ac:dyDescent="0.25">
      <c r="AA6696" s="160"/>
      <c r="AB6696" s="162"/>
      <c r="AC6696" s="162"/>
      <c r="AD6696" s="162">
        <f t="shared" si="124"/>
        <v>0</v>
      </c>
      <c r="AE6696" s="160">
        <v>6694</v>
      </c>
    </row>
    <row r="6697" spans="27:31" x14ac:dyDescent="0.25">
      <c r="AA6697" s="160"/>
      <c r="AB6697" s="162"/>
      <c r="AC6697" s="162"/>
      <c r="AD6697" s="162">
        <f t="shared" si="124"/>
        <v>0</v>
      </c>
      <c r="AE6697" s="160">
        <v>6695</v>
      </c>
    </row>
    <row r="6698" spans="27:31" x14ac:dyDescent="0.25">
      <c r="AA6698" s="160"/>
      <c r="AB6698" s="162"/>
      <c r="AC6698" s="162"/>
      <c r="AD6698" s="162">
        <f t="shared" si="124"/>
        <v>0</v>
      </c>
      <c r="AE6698" s="160">
        <v>6696</v>
      </c>
    </row>
    <row r="6699" spans="27:31" x14ac:dyDescent="0.25">
      <c r="AA6699" s="160"/>
      <c r="AB6699" s="162"/>
      <c r="AC6699" s="162"/>
      <c r="AD6699" s="162">
        <f t="shared" si="124"/>
        <v>0</v>
      </c>
      <c r="AE6699" s="160">
        <v>6697</v>
      </c>
    </row>
    <row r="6700" spans="27:31" x14ac:dyDescent="0.25">
      <c r="AA6700" s="160"/>
      <c r="AB6700" s="162"/>
      <c r="AC6700" s="162"/>
      <c r="AD6700" s="162">
        <f t="shared" si="124"/>
        <v>0</v>
      </c>
      <c r="AE6700" s="160">
        <v>6698</v>
      </c>
    </row>
    <row r="6701" spans="27:31" x14ac:dyDescent="0.25">
      <c r="AA6701" s="160"/>
      <c r="AB6701" s="162"/>
      <c r="AC6701" s="162"/>
      <c r="AD6701" s="162">
        <f t="shared" si="124"/>
        <v>0</v>
      </c>
      <c r="AE6701" s="160">
        <v>6699</v>
      </c>
    </row>
    <row r="6702" spans="27:31" x14ac:dyDescent="0.25">
      <c r="AA6702" s="160"/>
      <c r="AB6702" s="162"/>
      <c r="AC6702" s="162"/>
      <c r="AD6702" s="162">
        <f t="shared" si="124"/>
        <v>0</v>
      </c>
      <c r="AE6702" s="160">
        <v>6700</v>
      </c>
    </row>
    <row r="6703" spans="27:31" x14ac:dyDescent="0.25">
      <c r="AA6703" s="160"/>
      <c r="AB6703" s="162"/>
      <c r="AC6703" s="162"/>
      <c r="AD6703" s="162">
        <f t="shared" si="124"/>
        <v>0</v>
      </c>
      <c r="AE6703" s="160">
        <v>6701</v>
      </c>
    </row>
    <row r="6704" spans="27:31" x14ac:dyDescent="0.25">
      <c r="AA6704" s="160"/>
      <c r="AB6704" s="162"/>
      <c r="AC6704" s="162"/>
      <c r="AD6704" s="162">
        <f t="shared" si="124"/>
        <v>0</v>
      </c>
      <c r="AE6704" s="160">
        <v>6702</v>
      </c>
    </row>
    <row r="6705" spans="27:31" x14ac:dyDescent="0.25">
      <c r="AA6705" s="160"/>
      <c r="AB6705" s="162"/>
      <c r="AC6705" s="162"/>
      <c r="AD6705" s="162">
        <f t="shared" si="124"/>
        <v>0</v>
      </c>
      <c r="AE6705" s="160">
        <v>6703</v>
      </c>
    </row>
    <row r="6706" spans="27:31" x14ac:dyDescent="0.25">
      <c r="AA6706" s="160"/>
      <c r="AB6706" s="162"/>
      <c r="AC6706" s="162"/>
      <c r="AD6706" s="162">
        <f t="shared" si="124"/>
        <v>0</v>
      </c>
      <c r="AE6706" s="160">
        <v>6704</v>
      </c>
    </row>
    <row r="6707" spans="27:31" x14ac:dyDescent="0.25">
      <c r="AA6707" s="160"/>
      <c r="AB6707" s="162"/>
      <c r="AC6707" s="162"/>
      <c r="AD6707" s="162">
        <f t="shared" si="124"/>
        <v>0</v>
      </c>
      <c r="AE6707" s="160">
        <v>6705</v>
      </c>
    </row>
    <row r="6708" spans="27:31" x14ac:dyDescent="0.25">
      <c r="AA6708" s="160"/>
      <c r="AB6708" s="162"/>
      <c r="AC6708" s="162"/>
      <c r="AD6708" s="162">
        <f t="shared" si="124"/>
        <v>0</v>
      </c>
      <c r="AE6708" s="160">
        <v>6706</v>
      </c>
    </row>
    <row r="6709" spans="27:31" x14ac:dyDescent="0.25">
      <c r="AA6709" s="160"/>
      <c r="AB6709" s="162"/>
      <c r="AC6709" s="162"/>
      <c r="AD6709" s="162">
        <f t="shared" si="124"/>
        <v>0</v>
      </c>
      <c r="AE6709" s="160">
        <v>6707</v>
      </c>
    </row>
    <row r="6710" spans="27:31" x14ac:dyDescent="0.25">
      <c r="AA6710" s="160"/>
      <c r="AB6710" s="162"/>
      <c r="AC6710" s="162"/>
      <c r="AD6710" s="162">
        <f t="shared" si="124"/>
        <v>0</v>
      </c>
      <c r="AE6710" s="160">
        <v>6708</v>
      </c>
    </row>
    <row r="6711" spans="27:31" x14ac:dyDescent="0.25">
      <c r="AA6711" s="160"/>
      <c r="AB6711" s="162"/>
      <c r="AC6711" s="162"/>
      <c r="AD6711" s="162">
        <f t="shared" si="124"/>
        <v>0</v>
      </c>
      <c r="AE6711" s="160">
        <v>6709</v>
      </c>
    </row>
    <row r="6712" spans="27:31" x14ac:dyDescent="0.25">
      <c r="AA6712" s="160"/>
      <c r="AB6712" s="162"/>
      <c r="AC6712" s="162"/>
      <c r="AD6712" s="162">
        <f t="shared" si="124"/>
        <v>0</v>
      </c>
      <c r="AE6712" s="160">
        <v>6710</v>
      </c>
    </row>
    <row r="6713" spans="27:31" x14ac:dyDescent="0.25">
      <c r="AA6713" s="160"/>
      <c r="AB6713" s="162"/>
      <c r="AC6713" s="162"/>
      <c r="AD6713" s="162">
        <f t="shared" si="124"/>
        <v>0</v>
      </c>
      <c r="AE6713" s="160">
        <v>6711</v>
      </c>
    </row>
    <row r="6714" spans="27:31" x14ac:dyDescent="0.25">
      <c r="AA6714" s="160"/>
      <c r="AB6714" s="162"/>
      <c r="AC6714" s="162"/>
      <c r="AD6714" s="162">
        <f t="shared" si="124"/>
        <v>0</v>
      </c>
      <c r="AE6714" s="160">
        <v>6712</v>
      </c>
    </row>
    <row r="6715" spans="27:31" x14ac:dyDescent="0.25">
      <c r="AA6715" s="160"/>
      <c r="AB6715" s="162"/>
      <c r="AC6715" s="162"/>
      <c r="AD6715" s="162">
        <f t="shared" si="124"/>
        <v>0</v>
      </c>
      <c r="AE6715" s="160">
        <v>6713</v>
      </c>
    </row>
    <row r="6716" spans="27:31" x14ac:dyDescent="0.25">
      <c r="AA6716" s="160"/>
      <c r="AB6716" s="162"/>
      <c r="AC6716" s="162"/>
      <c r="AD6716" s="162">
        <f t="shared" si="124"/>
        <v>0</v>
      </c>
      <c r="AE6716" s="160">
        <v>6714</v>
      </c>
    </row>
    <row r="6717" spans="27:31" x14ac:dyDescent="0.25">
      <c r="AA6717" s="160"/>
      <c r="AB6717" s="162"/>
      <c r="AC6717" s="162"/>
      <c r="AD6717" s="162">
        <f t="shared" si="124"/>
        <v>0</v>
      </c>
      <c r="AE6717" s="160">
        <v>6715</v>
      </c>
    </row>
    <row r="6718" spans="27:31" x14ac:dyDescent="0.25">
      <c r="AA6718" s="160"/>
      <c r="AB6718" s="162"/>
      <c r="AC6718" s="162"/>
      <c r="AD6718" s="162">
        <f t="shared" si="124"/>
        <v>0</v>
      </c>
      <c r="AE6718" s="160">
        <v>6716</v>
      </c>
    </row>
    <row r="6719" spans="27:31" x14ac:dyDescent="0.25">
      <c r="AA6719" s="160"/>
      <c r="AB6719" s="162"/>
      <c r="AC6719" s="162"/>
      <c r="AD6719" s="162">
        <f t="shared" si="124"/>
        <v>0</v>
      </c>
      <c r="AE6719" s="160">
        <v>6717</v>
      </c>
    </row>
    <row r="6720" spans="27:31" x14ac:dyDescent="0.25">
      <c r="AA6720" s="160"/>
      <c r="AB6720" s="162"/>
      <c r="AC6720" s="162"/>
      <c r="AD6720" s="162">
        <f t="shared" si="124"/>
        <v>0</v>
      </c>
      <c r="AE6720" s="160">
        <v>6718</v>
      </c>
    </row>
    <row r="6721" spans="27:31" x14ac:dyDescent="0.25">
      <c r="AA6721" s="160"/>
      <c r="AB6721" s="162"/>
      <c r="AC6721" s="162"/>
      <c r="AD6721" s="162">
        <f t="shared" si="124"/>
        <v>0</v>
      </c>
      <c r="AE6721" s="160">
        <v>6719</v>
      </c>
    </row>
    <row r="6722" spans="27:31" x14ac:dyDescent="0.25">
      <c r="AA6722" s="160"/>
      <c r="AB6722" s="162"/>
      <c r="AC6722" s="162"/>
      <c r="AD6722" s="162">
        <f t="shared" si="124"/>
        <v>0</v>
      </c>
      <c r="AE6722" s="160">
        <v>6720</v>
      </c>
    </row>
    <row r="6723" spans="27:31" x14ac:dyDescent="0.25">
      <c r="AA6723" s="160"/>
      <c r="AB6723" s="162"/>
      <c r="AC6723" s="162"/>
      <c r="AD6723" s="162">
        <f t="shared" si="124"/>
        <v>0</v>
      </c>
      <c r="AE6723" s="160">
        <v>6721</v>
      </c>
    </row>
    <row r="6724" spans="27:31" x14ac:dyDescent="0.25">
      <c r="AA6724" s="160"/>
      <c r="AB6724" s="162"/>
      <c r="AC6724" s="162"/>
      <c r="AD6724" s="162">
        <f t="shared" ref="AD6724:AD6787" si="125">AB6724+AC6724</f>
        <v>0</v>
      </c>
      <c r="AE6724" s="160">
        <v>6722</v>
      </c>
    </row>
    <row r="6725" spans="27:31" x14ac:dyDescent="0.25">
      <c r="AA6725" s="160"/>
      <c r="AB6725" s="162"/>
      <c r="AC6725" s="162"/>
      <c r="AD6725" s="162">
        <f t="shared" si="125"/>
        <v>0</v>
      </c>
      <c r="AE6725" s="160">
        <v>6723</v>
      </c>
    </row>
    <row r="6726" spans="27:31" x14ac:dyDescent="0.25">
      <c r="AA6726" s="160"/>
      <c r="AB6726" s="162"/>
      <c r="AC6726" s="162"/>
      <c r="AD6726" s="162">
        <f t="shared" si="125"/>
        <v>0</v>
      </c>
      <c r="AE6726" s="160">
        <v>6724</v>
      </c>
    </row>
    <row r="6727" spans="27:31" x14ac:dyDescent="0.25">
      <c r="AA6727" s="160"/>
      <c r="AB6727" s="162"/>
      <c r="AC6727" s="162"/>
      <c r="AD6727" s="162">
        <f t="shared" si="125"/>
        <v>0</v>
      </c>
      <c r="AE6727" s="160">
        <v>6725</v>
      </c>
    </row>
    <row r="6728" spans="27:31" x14ac:dyDescent="0.25">
      <c r="AA6728" s="160"/>
      <c r="AB6728" s="162"/>
      <c r="AC6728" s="162"/>
      <c r="AD6728" s="162">
        <f t="shared" si="125"/>
        <v>0</v>
      </c>
      <c r="AE6728" s="160">
        <v>6726</v>
      </c>
    </row>
    <row r="6729" spans="27:31" x14ac:dyDescent="0.25">
      <c r="AA6729" s="160"/>
      <c r="AB6729" s="162"/>
      <c r="AC6729" s="162"/>
      <c r="AD6729" s="162">
        <f t="shared" si="125"/>
        <v>0</v>
      </c>
      <c r="AE6729" s="160">
        <v>6727</v>
      </c>
    </row>
    <row r="6730" spans="27:31" x14ac:dyDescent="0.25">
      <c r="AA6730" s="160"/>
      <c r="AB6730" s="162"/>
      <c r="AC6730" s="162"/>
      <c r="AD6730" s="162">
        <f t="shared" si="125"/>
        <v>0</v>
      </c>
      <c r="AE6730" s="160">
        <v>6728</v>
      </c>
    </row>
    <row r="6731" spans="27:31" x14ac:dyDescent="0.25">
      <c r="AA6731" s="160"/>
      <c r="AB6731" s="162"/>
      <c r="AC6731" s="162"/>
      <c r="AD6731" s="162">
        <f t="shared" si="125"/>
        <v>0</v>
      </c>
      <c r="AE6731" s="160">
        <v>6729</v>
      </c>
    </row>
    <row r="6732" spans="27:31" x14ac:dyDescent="0.25">
      <c r="AA6732" s="160"/>
      <c r="AB6732" s="162"/>
      <c r="AC6732" s="162"/>
      <c r="AD6732" s="162">
        <f t="shared" si="125"/>
        <v>0</v>
      </c>
      <c r="AE6732" s="160">
        <v>6730</v>
      </c>
    </row>
    <row r="6733" spans="27:31" x14ac:dyDescent="0.25">
      <c r="AA6733" s="160"/>
      <c r="AB6733" s="162"/>
      <c r="AC6733" s="162"/>
      <c r="AD6733" s="162">
        <f t="shared" si="125"/>
        <v>0</v>
      </c>
      <c r="AE6733" s="160">
        <v>6731</v>
      </c>
    </row>
    <row r="6734" spans="27:31" x14ac:dyDescent="0.25">
      <c r="AA6734" s="160"/>
      <c r="AB6734" s="162"/>
      <c r="AC6734" s="162"/>
      <c r="AD6734" s="162">
        <f t="shared" si="125"/>
        <v>0</v>
      </c>
      <c r="AE6734" s="160">
        <v>6732</v>
      </c>
    </row>
    <row r="6735" spans="27:31" x14ac:dyDescent="0.25">
      <c r="AA6735" s="160"/>
      <c r="AB6735" s="162"/>
      <c r="AC6735" s="162"/>
      <c r="AD6735" s="162">
        <f t="shared" si="125"/>
        <v>0</v>
      </c>
      <c r="AE6735" s="160">
        <v>6733</v>
      </c>
    </row>
    <row r="6736" spans="27:31" x14ac:dyDescent="0.25">
      <c r="AA6736" s="160"/>
      <c r="AB6736" s="162"/>
      <c r="AC6736" s="162"/>
      <c r="AD6736" s="162">
        <f t="shared" si="125"/>
        <v>0</v>
      </c>
      <c r="AE6736" s="160">
        <v>6734</v>
      </c>
    </row>
    <row r="6737" spans="27:31" x14ac:dyDescent="0.25">
      <c r="AA6737" s="160"/>
      <c r="AB6737" s="162"/>
      <c r="AC6737" s="162"/>
      <c r="AD6737" s="162">
        <f t="shared" si="125"/>
        <v>0</v>
      </c>
      <c r="AE6737" s="160">
        <v>6735</v>
      </c>
    </row>
    <row r="6738" spans="27:31" x14ac:dyDescent="0.25">
      <c r="AA6738" s="160"/>
      <c r="AB6738" s="162"/>
      <c r="AC6738" s="162"/>
      <c r="AD6738" s="162">
        <f t="shared" si="125"/>
        <v>0</v>
      </c>
      <c r="AE6738" s="160">
        <v>6736</v>
      </c>
    </row>
    <row r="6739" spans="27:31" x14ac:dyDescent="0.25">
      <c r="AA6739" s="160"/>
      <c r="AB6739" s="162"/>
      <c r="AC6739" s="162"/>
      <c r="AD6739" s="162">
        <f t="shared" si="125"/>
        <v>0</v>
      </c>
      <c r="AE6739" s="160">
        <v>6737</v>
      </c>
    </row>
    <row r="6740" spans="27:31" x14ac:dyDescent="0.25">
      <c r="AA6740" s="160"/>
      <c r="AB6740" s="162"/>
      <c r="AC6740" s="162"/>
      <c r="AD6740" s="162">
        <f t="shared" si="125"/>
        <v>0</v>
      </c>
      <c r="AE6740" s="160">
        <v>6738</v>
      </c>
    </row>
    <row r="6741" spans="27:31" x14ac:dyDescent="0.25">
      <c r="AA6741" s="160"/>
      <c r="AB6741" s="162"/>
      <c r="AC6741" s="162"/>
      <c r="AD6741" s="162">
        <f t="shared" si="125"/>
        <v>0</v>
      </c>
      <c r="AE6741" s="160">
        <v>6739</v>
      </c>
    </row>
    <row r="6742" spans="27:31" x14ac:dyDescent="0.25">
      <c r="AA6742" s="160"/>
      <c r="AB6742" s="162"/>
      <c r="AC6742" s="162"/>
      <c r="AD6742" s="162">
        <f t="shared" si="125"/>
        <v>0</v>
      </c>
      <c r="AE6742" s="160">
        <v>6740</v>
      </c>
    </row>
    <row r="6743" spans="27:31" x14ac:dyDescent="0.25">
      <c r="AA6743" s="160"/>
      <c r="AB6743" s="162"/>
      <c r="AC6743" s="162"/>
      <c r="AD6743" s="162">
        <f t="shared" si="125"/>
        <v>0</v>
      </c>
      <c r="AE6743" s="160">
        <v>6741</v>
      </c>
    </row>
    <row r="6744" spans="27:31" x14ac:dyDescent="0.25">
      <c r="AA6744" s="160"/>
      <c r="AB6744" s="162"/>
      <c r="AC6744" s="162"/>
      <c r="AD6744" s="162">
        <f t="shared" si="125"/>
        <v>0</v>
      </c>
      <c r="AE6744" s="160">
        <v>6742</v>
      </c>
    </row>
    <row r="6745" spans="27:31" x14ac:dyDescent="0.25">
      <c r="AA6745" s="160"/>
      <c r="AB6745" s="162"/>
      <c r="AC6745" s="162"/>
      <c r="AD6745" s="162">
        <f t="shared" si="125"/>
        <v>0</v>
      </c>
      <c r="AE6745" s="160">
        <v>6743</v>
      </c>
    </row>
    <row r="6746" spans="27:31" x14ac:dyDescent="0.25">
      <c r="AA6746" s="160"/>
      <c r="AB6746" s="162"/>
      <c r="AC6746" s="162"/>
      <c r="AD6746" s="162">
        <f t="shared" si="125"/>
        <v>0</v>
      </c>
      <c r="AE6746" s="160">
        <v>6744</v>
      </c>
    </row>
    <row r="6747" spans="27:31" x14ac:dyDescent="0.25">
      <c r="AA6747" s="160"/>
      <c r="AB6747" s="162"/>
      <c r="AC6747" s="162"/>
      <c r="AD6747" s="162">
        <f t="shared" si="125"/>
        <v>0</v>
      </c>
      <c r="AE6747" s="160">
        <v>6745</v>
      </c>
    </row>
    <row r="6748" spans="27:31" x14ac:dyDescent="0.25">
      <c r="AA6748" s="160"/>
      <c r="AB6748" s="162"/>
      <c r="AC6748" s="162"/>
      <c r="AD6748" s="162">
        <f t="shared" si="125"/>
        <v>0</v>
      </c>
      <c r="AE6748" s="160">
        <v>6746</v>
      </c>
    </row>
    <row r="6749" spans="27:31" x14ac:dyDescent="0.25">
      <c r="AA6749" s="160"/>
      <c r="AB6749" s="162"/>
      <c r="AC6749" s="162"/>
      <c r="AD6749" s="162">
        <f t="shared" si="125"/>
        <v>0</v>
      </c>
      <c r="AE6749" s="160">
        <v>6747</v>
      </c>
    </row>
    <row r="6750" spans="27:31" x14ac:dyDescent="0.25">
      <c r="AA6750" s="160"/>
      <c r="AB6750" s="162"/>
      <c r="AC6750" s="162"/>
      <c r="AD6750" s="162">
        <f t="shared" si="125"/>
        <v>0</v>
      </c>
      <c r="AE6750" s="160">
        <v>6748</v>
      </c>
    </row>
    <row r="6751" spans="27:31" x14ac:dyDescent="0.25">
      <c r="AA6751" s="160"/>
      <c r="AB6751" s="162"/>
      <c r="AC6751" s="162"/>
      <c r="AD6751" s="162">
        <f t="shared" si="125"/>
        <v>0</v>
      </c>
      <c r="AE6751" s="160">
        <v>6749</v>
      </c>
    </row>
    <row r="6752" spans="27:31" x14ac:dyDescent="0.25">
      <c r="AA6752" s="160"/>
      <c r="AB6752" s="162"/>
      <c r="AC6752" s="162"/>
      <c r="AD6752" s="162">
        <f t="shared" si="125"/>
        <v>0</v>
      </c>
      <c r="AE6752" s="160">
        <v>6750</v>
      </c>
    </row>
    <row r="6753" spans="27:31" x14ac:dyDescent="0.25">
      <c r="AA6753" s="160"/>
      <c r="AB6753" s="162"/>
      <c r="AC6753" s="162"/>
      <c r="AD6753" s="162">
        <f t="shared" si="125"/>
        <v>0</v>
      </c>
      <c r="AE6753" s="160">
        <v>6751</v>
      </c>
    </row>
    <row r="6754" spans="27:31" x14ac:dyDescent="0.25">
      <c r="AA6754" s="160"/>
      <c r="AB6754" s="162"/>
      <c r="AC6754" s="162"/>
      <c r="AD6754" s="162">
        <f t="shared" si="125"/>
        <v>0</v>
      </c>
      <c r="AE6754" s="160">
        <v>6752</v>
      </c>
    </row>
    <row r="6755" spans="27:31" x14ac:dyDescent="0.25">
      <c r="AA6755" s="160"/>
      <c r="AB6755" s="162"/>
      <c r="AC6755" s="162"/>
      <c r="AD6755" s="162">
        <f t="shared" si="125"/>
        <v>0</v>
      </c>
      <c r="AE6755" s="160">
        <v>6753</v>
      </c>
    </row>
    <row r="6756" spans="27:31" x14ac:dyDescent="0.25">
      <c r="AA6756" s="160"/>
      <c r="AB6756" s="162"/>
      <c r="AC6756" s="162"/>
      <c r="AD6756" s="162">
        <f t="shared" si="125"/>
        <v>0</v>
      </c>
      <c r="AE6756" s="160">
        <v>6754</v>
      </c>
    </row>
    <row r="6757" spans="27:31" x14ac:dyDescent="0.25">
      <c r="AA6757" s="160"/>
      <c r="AB6757" s="162"/>
      <c r="AC6757" s="162"/>
      <c r="AD6757" s="162">
        <f t="shared" si="125"/>
        <v>0</v>
      </c>
      <c r="AE6757" s="160">
        <v>6755</v>
      </c>
    </row>
    <row r="6758" spans="27:31" x14ac:dyDescent="0.25">
      <c r="AA6758" s="160"/>
      <c r="AB6758" s="162"/>
      <c r="AC6758" s="162"/>
      <c r="AD6758" s="162">
        <f t="shared" si="125"/>
        <v>0</v>
      </c>
      <c r="AE6758" s="160">
        <v>6756</v>
      </c>
    </row>
    <row r="6759" spans="27:31" x14ac:dyDescent="0.25">
      <c r="AA6759" s="160"/>
      <c r="AB6759" s="162"/>
      <c r="AC6759" s="162"/>
      <c r="AD6759" s="162">
        <f t="shared" si="125"/>
        <v>0</v>
      </c>
      <c r="AE6759" s="160">
        <v>6757</v>
      </c>
    </row>
    <row r="6760" spans="27:31" x14ac:dyDescent="0.25">
      <c r="AA6760" s="160"/>
      <c r="AB6760" s="162"/>
      <c r="AC6760" s="162"/>
      <c r="AD6760" s="162">
        <f t="shared" si="125"/>
        <v>0</v>
      </c>
      <c r="AE6760" s="160">
        <v>6758</v>
      </c>
    </row>
    <row r="6761" spans="27:31" x14ac:dyDescent="0.25">
      <c r="AA6761" s="160"/>
      <c r="AB6761" s="162"/>
      <c r="AC6761" s="162"/>
      <c r="AD6761" s="162">
        <f t="shared" si="125"/>
        <v>0</v>
      </c>
      <c r="AE6761" s="160">
        <v>6759</v>
      </c>
    </row>
    <row r="6762" spans="27:31" x14ac:dyDescent="0.25">
      <c r="AA6762" s="160"/>
      <c r="AB6762" s="162"/>
      <c r="AC6762" s="162"/>
      <c r="AD6762" s="162">
        <f t="shared" si="125"/>
        <v>0</v>
      </c>
      <c r="AE6762" s="160">
        <v>6760</v>
      </c>
    </row>
    <row r="6763" spans="27:31" x14ac:dyDescent="0.25">
      <c r="AA6763" s="160"/>
      <c r="AB6763" s="162"/>
      <c r="AC6763" s="162"/>
      <c r="AD6763" s="162">
        <f t="shared" si="125"/>
        <v>0</v>
      </c>
      <c r="AE6763" s="160">
        <v>6761</v>
      </c>
    </row>
    <row r="6764" spans="27:31" x14ac:dyDescent="0.25">
      <c r="AA6764" s="160"/>
      <c r="AB6764" s="162"/>
      <c r="AC6764" s="162"/>
      <c r="AD6764" s="162">
        <f t="shared" si="125"/>
        <v>0</v>
      </c>
      <c r="AE6764" s="160">
        <v>6762</v>
      </c>
    </row>
    <row r="6765" spans="27:31" x14ac:dyDescent="0.25">
      <c r="AA6765" s="160"/>
      <c r="AB6765" s="162"/>
      <c r="AC6765" s="162"/>
      <c r="AD6765" s="162">
        <f t="shared" si="125"/>
        <v>0</v>
      </c>
      <c r="AE6765" s="160">
        <v>6763</v>
      </c>
    </row>
    <row r="6766" spans="27:31" x14ac:dyDescent="0.25">
      <c r="AA6766" s="160"/>
      <c r="AB6766" s="162"/>
      <c r="AC6766" s="162"/>
      <c r="AD6766" s="162">
        <f t="shared" si="125"/>
        <v>0</v>
      </c>
      <c r="AE6766" s="160">
        <v>6764</v>
      </c>
    </row>
    <row r="6767" spans="27:31" x14ac:dyDescent="0.25">
      <c r="AA6767" s="160"/>
      <c r="AB6767" s="162"/>
      <c r="AC6767" s="162"/>
      <c r="AD6767" s="162">
        <f t="shared" si="125"/>
        <v>0</v>
      </c>
      <c r="AE6767" s="160">
        <v>6765</v>
      </c>
    </row>
    <row r="6768" spans="27:31" x14ac:dyDescent="0.25">
      <c r="AA6768" s="160"/>
      <c r="AB6768" s="162"/>
      <c r="AC6768" s="162"/>
      <c r="AD6768" s="162">
        <f t="shared" si="125"/>
        <v>0</v>
      </c>
      <c r="AE6768" s="160">
        <v>6766</v>
      </c>
    </row>
    <row r="6769" spans="27:31" x14ac:dyDescent="0.25">
      <c r="AA6769" s="160"/>
      <c r="AB6769" s="162"/>
      <c r="AC6769" s="162"/>
      <c r="AD6769" s="162">
        <f t="shared" si="125"/>
        <v>0</v>
      </c>
      <c r="AE6769" s="160">
        <v>6767</v>
      </c>
    </row>
    <row r="6770" spans="27:31" x14ac:dyDescent="0.25">
      <c r="AA6770" s="160"/>
      <c r="AB6770" s="162"/>
      <c r="AC6770" s="162"/>
      <c r="AD6770" s="162">
        <f t="shared" si="125"/>
        <v>0</v>
      </c>
      <c r="AE6770" s="160">
        <v>6768</v>
      </c>
    </row>
    <row r="6771" spans="27:31" x14ac:dyDescent="0.25">
      <c r="AA6771" s="160"/>
      <c r="AB6771" s="162"/>
      <c r="AC6771" s="162"/>
      <c r="AD6771" s="162">
        <f t="shared" si="125"/>
        <v>0</v>
      </c>
      <c r="AE6771" s="160">
        <v>6769</v>
      </c>
    </row>
    <row r="6772" spans="27:31" x14ac:dyDescent="0.25">
      <c r="AA6772" s="160"/>
      <c r="AB6772" s="162"/>
      <c r="AC6772" s="162"/>
      <c r="AD6772" s="162">
        <f t="shared" si="125"/>
        <v>0</v>
      </c>
      <c r="AE6772" s="160">
        <v>6770</v>
      </c>
    </row>
    <row r="6773" spans="27:31" x14ac:dyDescent="0.25">
      <c r="AA6773" s="160"/>
      <c r="AB6773" s="162"/>
      <c r="AC6773" s="162"/>
      <c r="AD6773" s="162">
        <f t="shared" si="125"/>
        <v>0</v>
      </c>
      <c r="AE6773" s="160">
        <v>6771</v>
      </c>
    </row>
    <row r="6774" spans="27:31" x14ac:dyDescent="0.25">
      <c r="AA6774" s="160"/>
      <c r="AB6774" s="162"/>
      <c r="AC6774" s="162"/>
      <c r="AD6774" s="162">
        <f t="shared" si="125"/>
        <v>0</v>
      </c>
      <c r="AE6774" s="160">
        <v>6772</v>
      </c>
    </row>
    <row r="6775" spans="27:31" x14ac:dyDescent="0.25">
      <c r="AA6775" s="160"/>
      <c r="AB6775" s="162"/>
      <c r="AC6775" s="162"/>
      <c r="AD6775" s="162">
        <f t="shared" si="125"/>
        <v>0</v>
      </c>
      <c r="AE6775" s="160">
        <v>6773</v>
      </c>
    </row>
    <row r="6776" spans="27:31" x14ac:dyDescent="0.25">
      <c r="AA6776" s="160"/>
      <c r="AB6776" s="162"/>
      <c r="AC6776" s="162"/>
      <c r="AD6776" s="162">
        <f t="shared" si="125"/>
        <v>0</v>
      </c>
      <c r="AE6776" s="160">
        <v>6774</v>
      </c>
    </row>
    <row r="6777" spans="27:31" x14ac:dyDescent="0.25">
      <c r="AA6777" s="160"/>
      <c r="AB6777" s="162"/>
      <c r="AC6777" s="162"/>
      <c r="AD6777" s="162">
        <f t="shared" si="125"/>
        <v>0</v>
      </c>
      <c r="AE6777" s="160">
        <v>6775</v>
      </c>
    </row>
    <row r="6778" spans="27:31" x14ac:dyDescent="0.25">
      <c r="AA6778" s="160"/>
      <c r="AB6778" s="162"/>
      <c r="AC6778" s="162"/>
      <c r="AD6778" s="162">
        <f t="shared" si="125"/>
        <v>0</v>
      </c>
      <c r="AE6778" s="160">
        <v>6776</v>
      </c>
    </row>
    <row r="6779" spans="27:31" x14ac:dyDescent="0.25">
      <c r="AA6779" s="160"/>
      <c r="AB6779" s="162"/>
      <c r="AC6779" s="162"/>
      <c r="AD6779" s="162">
        <f t="shared" si="125"/>
        <v>0</v>
      </c>
      <c r="AE6779" s="160">
        <v>6777</v>
      </c>
    </row>
    <row r="6780" spans="27:31" x14ac:dyDescent="0.25">
      <c r="AA6780" s="160"/>
      <c r="AB6780" s="162"/>
      <c r="AC6780" s="162"/>
      <c r="AD6780" s="162">
        <f t="shared" si="125"/>
        <v>0</v>
      </c>
      <c r="AE6780" s="160">
        <v>6778</v>
      </c>
    </row>
    <row r="6781" spans="27:31" x14ac:dyDescent="0.25">
      <c r="AA6781" s="160"/>
      <c r="AB6781" s="162"/>
      <c r="AC6781" s="162"/>
      <c r="AD6781" s="162">
        <f t="shared" si="125"/>
        <v>0</v>
      </c>
      <c r="AE6781" s="160">
        <v>6779</v>
      </c>
    </row>
    <row r="6782" spans="27:31" x14ac:dyDescent="0.25">
      <c r="AA6782" s="160"/>
      <c r="AB6782" s="162"/>
      <c r="AC6782" s="162"/>
      <c r="AD6782" s="162">
        <f t="shared" si="125"/>
        <v>0</v>
      </c>
      <c r="AE6782" s="160">
        <v>6780</v>
      </c>
    </row>
    <row r="6783" spans="27:31" x14ac:dyDescent="0.25">
      <c r="AA6783" s="160"/>
      <c r="AB6783" s="162"/>
      <c r="AC6783" s="162"/>
      <c r="AD6783" s="162">
        <f t="shared" si="125"/>
        <v>0</v>
      </c>
      <c r="AE6783" s="160">
        <v>6781</v>
      </c>
    </row>
    <row r="6784" spans="27:31" x14ac:dyDescent="0.25">
      <c r="AA6784" s="160"/>
      <c r="AB6784" s="162"/>
      <c r="AC6784" s="162"/>
      <c r="AD6784" s="162">
        <f t="shared" si="125"/>
        <v>0</v>
      </c>
      <c r="AE6784" s="160">
        <v>6782</v>
      </c>
    </row>
    <row r="6785" spans="27:31" x14ac:dyDescent="0.25">
      <c r="AA6785" s="160"/>
      <c r="AB6785" s="162"/>
      <c r="AC6785" s="162"/>
      <c r="AD6785" s="162">
        <f t="shared" si="125"/>
        <v>0</v>
      </c>
      <c r="AE6785" s="160">
        <v>6783</v>
      </c>
    </row>
    <row r="6786" spans="27:31" x14ac:dyDescent="0.25">
      <c r="AA6786" s="160"/>
      <c r="AB6786" s="162"/>
      <c r="AC6786" s="162"/>
      <c r="AD6786" s="162">
        <f t="shared" si="125"/>
        <v>0</v>
      </c>
      <c r="AE6786" s="160">
        <v>6784</v>
      </c>
    </row>
    <row r="6787" spans="27:31" x14ac:dyDescent="0.25">
      <c r="AA6787" s="160"/>
      <c r="AB6787" s="162"/>
      <c r="AC6787" s="162"/>
      <c r="AD6787" s="162">
        <f t="shared" si="125"/>
        <v>0</v>
      </c>
      <c r="AE6787" s="160">
        <v>6785</v>
      </c>
    </row>
    <row r="6788" spans="27:31" x14ac:dyDescent="0.25">
      <c r="AA6788" s="160"/>
      <c r="AB6788" s="162"/>
      <c r="AC6788" s="162"/>
      <c r="AD6788" s="162">
        <f t="shared" ref="AD6788:AD6851" si="126">AB6788+AC6788</f>
        <v>0</v>
      </c>
      <c r="AE6788" s="160">
        <v>6786</v>
      </c>
    </row>
    <row r="6789" spans="27:31" x14ac:dyDescent="0.25">
      <c r="AA6789" s="160"/>
      <c r="AB6789" s="162"/>
      <c r="AC6789" s="162"/>
      <c r="AD6789" s="162">
        <f t="shared" si="126"/>
        <v>0</v>
      </c>
      <c r="AE6789" s="160">
        <v>6787</v>
      </c>
    </row>
    <row r="6790" spans="27:31" x14ac:dyDescent="0.25">
      <c r="AA6790" s="160"/>
      <c r="AB6790" s="162"/>
      <c r="AC6790" s="162"/>
      <c r="AD6790" s="162">
        <f t="shared" si="126"/>
        <v>0</v>
      </c>
      <c r="AE6790" s="160">
        <v>6788</v>
      </c>
    </row>
    <row r="6791" spans="27:31" x14ac:dyDescent="0.25">
      <c r="AA6791" s="160"/>
      <c r="AB6791" s="162"/>
      <c r="AC6791" s="162"/>
      <c r="AD6791" s="162">
        <f t="shared" si="126"/>
        <v>0</v>
      </c>
      <c r="AE6791" s="160">
        <v>6789</v>
      </c>
    </row>
    <row r="6792" spans="27:31" x14ac:dyDescent="0.25">
      <c r="AA6792" s="160"/>
      <c r="AB6792" s="162"/>
      <c r="AC6792" s="162"/>
      <c r="AD6792" s="162">
        <f t="shared" si="126"/>
        <v>0</v>
      </c>
      <c r="AE6792" s="160">
        <v>6790</v>
      </c>
    </row>
    <row r="6793" spans="27:31" x14ac:dyDescent="0.25">
      <c r="AA6793" s="160"/>
      <c r="AB6793" s="162"/>
      <c r="AC6793" s="162"/>
      <c r="AD6793" s="162">
        <f t="shared" si="126"/>
        <v>0</v>
      </c>
      <c r="AE6793" s="160">
        <v>6791</v>
      </c>
    </row>
    <row r="6794" spans="27:31" x14ac:dyDescent="0.25">
      <c r="AA6794" s="160"/>
      <c r="AB6794" s="162"/>
      <c r="AC6794" s="162"/>
      <c r="AD6794" s="162">
        <f t="shared" si="126"/>
        <v>0</v>
      </c>
      <c r="AE6794" s="160">
        <v>6792</v>
      </c>
    </row>
    <row r="6795" spans="27:31" x14ac:dyDescent="0.25">
      <c r="AA6795" s="160"/>
      <c r="AB6795" s="162"/>
      <c r="AC6795" s="162"/>
      <c r="AD6795" s="162">
        <f t="shared" si="126"/>
        <v>0</v>
      </c>
      <c r="AE6795" s="160">
        <v>6793</v>
      </c>
    </row>
    <row r="6796" spans="27:31" x14ac:dyDescent="0.25">
      <c r="AA6796" s="160"/>
      <c r="AB6796" s="162"/>
      <c r="AC6796" s="162"/>
      <c r="AD6796" s="162">
        <f t="shared" si="126"/>
        <v>0</v>
      </c>
      <c r="AE6796" s="160">
        <v>6794</v>
      </c>
    </row>
    <row r="6797" spans="27:31" x14ac:dyDescent="0.25">
      <c r="AA6797" s="160"/>
      <c r="AB6797" s="162"/>
      <c r="AC6797" s="162"/>
      <c r="AD6797" s="162">
        <f t="shared" si="126"/>
        <v>0</v>
      </c>
      <c r="AE6797" s="160">
        <v>6795</v>
      </c>
    </row>
    <row r="6798" spans="27:31" x14ac:dyDescent="0.25">
      <c r="AA6798" s="160"/>
      <c r="AB6798" s="162"/>
      <c r="AC6798" s="162"/>
      <c r="AD6798" s="162">
        <f t="shared" si="126"/>
        <v>0</v>
      </c>
      <c r="AE6798" s="160">
        <v>6796</v>
      </c>
    </row>
    <row r="6799" spans="27:31" x14ac:dyDescent="0.25">
      <c r="AA6799" s="160"/>
      <c r="AB6799" s="162"/>
      <c r="AC6799" s="162"/>
      <c r="AD6799" s="162">
        <f t="shared" si="126"/>
        <v>0</v>
      </c>
      <c r="AE6799" s="160">
        <v>6797</v>
      </c>
    </row>
    <row r="6800" spans="27:31" x14ac:dyDescent="0.25">
      <c r="AA6800" s="160"/>
      <c r="AB6800" s="162"/>
      <c r="AC6800" s="162"/>
      <c r="AD6800" s="162">
        <f t="shared" si="126"/>
        <v>0</v>
      </c>
      <c r="AE6800" s="160">
        <v>6798</v>
      </c>
    </row>
    <row r="6801" spans="27:31" x14ac:dyDescent="0.25">
      <c r="AA6801" s="160"/>
      <c r="AB6801" s="162"/>
      <c r="AC6801" s="162"/>
      <c r="AD6801" s="162">
        <f t="shared" si="126"/>
        <v>0</v>
      </c>
      <c r="AE6801" s="160">
        <v>6799</v>
      </c>
    </row>
    <row r="6802" spans="27:31" x14ac:dyDescent="0.25">
      <c r="AA6802" s="160"/>
      <c r="AB6802" s="162"/>
      <c r="AC6802" s="162"/>
      <c r="AD6802" s="162">
        <f t="shared" si="126"/>
        <v>0</v>
      </c>
      <c r="AE6802" s="160">
        <v>6800</v>
      </c>
    </row>
    <row r="6803" spans="27:31" x14ac:dyDescent="0.25">
      <c r="AA6803" s="160"/>
      <c r="AB6803" s="162"/>
      <c r="AC6803" s="162"/>
      <c r="AD6803" s="162">
        <f t="shared" si="126"/>
        <v>0</v>
      </c>
      <c r="AE6803" s="160">
        <v>6801</v>
      </c>
    </row>
    <row r="6804" spans="27:31" x14ac:dyDescent="0.25">
      <c r="AA6804" s="160"/>
      <c r="AB6804" s="162"/>
      <c r="AC6804" s="162"/>
      <c r="AD6804" s="162">
        <f t="shared" si="126"/>
        <v>0</v>
      </c>
      <c r="AE6804" s="160">
        <v>6802</v>
      </c>
    </row>
    <row r="6805" spans="27:31" x14ac:dyDescent="0.25">
      <c r="AA6805" s="160"/>
      <c r="AB6805" s="162"/>
      <c r="AC6805" s="162"/>
      <c r="AD6805" s="162">
        <f t="shared" si="126"/>
        <v>0</v>
      </c>
      <c r="AE6805" s="160">
        <v>6803</v>
      </c>
    </row>
    <row r="6806" spans="27:31" x14ac:dyDescent="0.25">
      <c r="AA6806" s="160"/>
      <c r="AB6806" s="162"/>
      <c r="AC6806" s="162"/>
      <c r="AD6806" s="162">
        <f t="shared" si="126"/>
        <v>0</v>
      </c>
      <c r="AE6806" s="160">
        <v>6804</v>
      </c>
    </row>
    <row r="6807" spans="27:31" x14ac:dyDescent="0.25">
      <c r="AA6807" s="160"/>
      <c r="AB6807" s="162"/>
      <c r="AC6807" s="162"/>
      <c r="AD6807" s="162">
        <f t="shared" si="126"/>
        <v>0</v>
      </c>
      <c r="AE6807" s="160">
        <v>6805</v>
      </c>
    </row>
    <row r="6808" spans="27:31" x14ac:dyDescent="0.25">
      <c r="AA6808" s="160"/>
      <c r="AB6808" s="162"/>
      <c r="AC6808" s="162"/>
      <c r="AD6808" s="162">
        <f t="shared" si="126"/>
        <v>0</v>
      </c>
      <c r="AE6808" s="160">
        <v>6806</v>
      </c>
    </row>
    <row r="6809" spans="27:31" x14ac:dyDescent="0.25">
      <c r="AA6809" s="160"/>
      <c r="AB6809" s="162"/>
      <c r="AC6809" s="162"/>
      <c r="AD6809" s="162">
        <f t="shared" si="126"/>
        <v>0</v>
      </c>
      <c r="AE6809" s="160">
        <v>6807</v>
      </c>
    </row>
    <row r="6810" spans="27:31" x14ac:dyDescent="0.25">
      <c r="AA6810" s="160"/>
      <c r="AB6810" s="162"/>
      <c r="AC6810" s="162"/>
      <c r="AD6810" s="162">
        <f t="shared" si="126"/>
        <v>0</v>
      </c>
      <c r="AE6810" s="160">
        <v>6808</v>
      </c>
    </row>
    <row r="6811" spans="27:31" x14ac:dyDescent="0.25">
      <c r="AA6811" s="160"/>
      <c r="AB6811" s="162"/>
      <c r="AC6811" s="162"/>
      <c r="AD6811" s="162">
        <f t="shared" si="126"/>
        <v>0</v>
      </c>
      <c r="AE6811" s="160">
        <v>6809</v>
      </c>
    </row>
    <row r="6812" spans="27:31" x14ac:dyDescent="0.25">
      <c r="AA6812" s="160"/>
      <c r="AB6812" s="162"/>
      <c r="AC6812" s="162"/>
      <c r="AD6812" s="162">
        <f t="shared" si="126"/>
        <v>0</v>
      </c>
      <c r="AE6812" s="160">
        <v>6810</v>
      </c>
    </row>
    <row r="6813" spans="27:31" x14ac:dyDescent="0.25">
      <c r="AA6813" s="160"/>
      <c r="AB6813" s="162"/>
      <c r="AC6813" s="162"/>
      <c r="AD6813" s="162">
        <f t="shared" si="126"/>
        <v>0</v>
      </c>
      <c r="AE6813" s="160">
        <v>6811</v>
      </c>
    </row>
    <row r="6814" spans="27:31" x14ac:dyDescent="0.25">
      <c r="AA6814" s="160"/>
      <c r="AB6814" s="162"/>
      <c r="AC6814" s="162"/>
      <c r="AD6814" s="162">
        <f t="shared" si="126"/>
        <v>0</v>
      </c>
      <c r="AE6814" s="160">
        <v>6812</v>
      </c>
    </row>
    <row r="6815" spans="27:31" x14ac:dyDescent="0.25">
      <c r="AA6815" s="160"/>
      <c r="AB6815" s="162"/>
      <c r="AC6815" s="162"/>
      <c r="AD6815" s="162">
        <f t="shared" si="126"/>
        <v>0</v>
      </c>
      <c r="AE6815" s="160">
        <v>6813</v>
      </c>
    </row>
    <row r="6816" spans="27:31" x14ac:dyDescent="0.25">
      <c r="AA6816" s="160"/>
      <c r="AB6816" s="162"/>
      <c r="AC6816" s="162"/>
      <c r="AD6816" s="162">
        <f t="shared" si="126"/>
        <v>0</v>
      </c>
      <c r="AE6816" s="160">
        <v>6814</v>
      </c>
    </row>
    <row r="6817" spans="27:31" x14ac:dyDescent="0.25">
      <c r="AA6817" s="160"/>
      <c r="AB6817" s="162"/>
      <c r="AC6817" s="162"/>
      <c r="AD6817" s="162">
        <f t="shared" si="126"/>
        <v>0</v>
      </c>
      <c r="AE6817" s="160">
        <v>6815</v>
      </c>
    </row>
    <row r="6818" spans="27:31" x14ac:dyDescent="0.25">
      <c r="AA6818" s="160"/>
      <c r="AB6818" s="162"/>
      <c r="AC6818" s="162"/>
      <c r="AD6818" s="162">
        <f t="shared" si="126"/>
        <v>0</v>
      </c>
      <c r="AE6818" s="160">
        <v>6816</v>
      </c>
    </row>
    <row r="6819" spans="27:31" x14ac:dyDescent="0.25">
      <c r="AA6819" s="160"/>
      <c r="AB6819" s="162"/>
      <c r="AC6819" s="162"/>
      <c r="AD6819" s="162">
        <f t="shared" si="126"/>
        <v>0</v>
      </c>
      <c r="AE6819" s="160">
        <v>6817</v>
      </c>
    </row>
    <row r="6820" spans="27:31" x14ac:dyDescent="0.25">
      <c r="AA6820" s="160"/>
      <c r="AB6820" s="162"/>
      <c r="AC6820" s="162"/>
      <c r="AD6820" s="162">
        <f t="shared" si="126"/>
        <v>0</v>
      </c>
      <c r="AE6820" s="160">
        <v>6818</v>
      </c>
    </row>
    <row r="6821" spans="27:31" x14ac:dyDescent="0.25">
      <c r="AA6821" s="160"/>
      <c r="AB6821" s="162"/>
      <c r="AC6821" s="162"/>
      <c r="AD6821" s="162">
        <f t="shared" si="126"/>
        <v>0</v>
      </c>
      <c r="AE6821" s="160">
        <v>6819</v>
      </c>
    </row>
    <row r="6822" spans="27:31" x14ac:dyDescent="0.25">
      <c r="AA6822" s="160"/>
      <c r="AB6822" s="162"/>
      <c r="AC6822" s="162"/>
      <c r="AD6822" s="162">
        <f t="shared" si="126"/>
        <v>0</v>
      </c>
      <c r="AE6822" s="160">
        <v>6820</v>
      </c>
    </row>
    <row r="6823" spans="27:31" x14ac:dyDescent="0.25">
      <c r="AA6823" s="160"/>
      <c r="AB6823" s="162"/>
      <c r="AC6823" s="162"/>
      <c r="AD6823" s="162">
        <f t="shared" si="126"/>
        <v>0</v>
      </c>
      <c r="AE6823" s="160">
        <v>6821</v>
      </c>
    </row>
    <row r="6824" spans="27:31" x14ac:dyDescent="0.25">
      <c r="AA6824" s="160"/>
      <c r="AB6824" s="162"/>
      <c r="AC6824" s="162"/>
      <c r="AD6824" s="162">
        <f t="shared" si="126"/>
        <v>0</v>
      </c>
      <c r="AE6824" s="160">
        <v>6822</v>
      </c>
    </row>
    <row r="6825" spans="27:31" x14ac:dyDescent="0.25">
      <c r="AA6825" s="160"/>
      <c r="AB6825" s="162"/>
      <c r="AC6825" s="162"/>
      <c r="AD6825" s="162">
        <f t="shared" si="126"/>
        <v>0</v>
      </c>
      <c r="AE6825" s="160">
        <v>6823</v>
      </c>
    </row>
    <row r="6826" spans="27:31" x14ac:dyDescent="0.25">
      <c r="AA6826" s="160"/>
      <c r="AB6826" s="162"/>
      <c r="AC6826" s="162"/>
      <c r="AD6826" s="162">
        <f t="shared" si="126"/>
        <v>0</v>
      </c>
      <c r="AE6826" s="160">
        <v>6824</v>
      </c>
    </row>
    <row r="6827" spans="27:31" x14ac:dyDescent="0.25">
      <c r="AA6827" s="160"/>
      <c r="AB6827" s="162"/>
      <c r="AC6827" s="162"/>
      <c r="AD6827" s="162">
        <f t="shared" si="126"/>
        <v>0</v>
      </c>
      <c r="AE6827" s="160">
        <v>6825</v>
      </c>
    </row>
    <row r="6828" spans="27:31" x14ac:dyDescent="0.25">
      <c r="AA6828" s="160"/>
      <c r="AB6828" s="162"/>
      <c r="AC6828" s="162"/>
      <c r="AD6828" s="162">
        <f t="shared" si="126"/>
        <v>0</v>
      </c>
      <c r="AE6828" s="160">
        <v>6826</v>
      </c>
    </row>
    <row r="6829" spans="27:31" x14ac:dyDescent="0.25">
      <c r="AA6829" s="160"/>
      <c r="AB6829" s="162"/>
      <c r="AC6829" s="162"/>
      <c r="AD6829" s="162">
        <f t="shared" si="126"/>
        <v>0</v>
      </c>
      <c r="AE6829" s="160">
        <v>6827</v>
      </c>
    </row>
    <row r="6830" spans="27:31" x14ac:dyDescent="0.25">
      <c r="AA6830" s="160"/>
      <c r="AB6830" s="162"/>
      <c r="AC6830" s="162"/>
      <c r="AD6830" s="162">
        <f t="shared" si="126"/>
        <v>0</v>
      </c>
      <c r="AE6830" s="160">
        <v>6828</v>
      </c>
    </row>
    <row r="6831" spans="27:31" x14ac:dyDescent="0.25">
      <c r="AA6831" s="160"/>
      <c r="AB6831" s="162"/>
      <c r="AC6831" s="162"/>
      <c r="AD6831" s="162">
        <f t="shared" si="126"/>
        <v>0</v>
      </c>
      <c r="AE6831" s="160">
        <v>6829</v>
      </c>
    </row>
    <row r="6832" spans="27:31" x14ac:dyDescent="0.25">
      <c r="AA6832" s="160"/>
      <c r="AB6832" s="162"/>
      <c r="AC6832" s="162"/>
      <c r="AD6832" s="162">
        <f t="shared" si="126"/>
        <v>0</v>
      </c>
      <c r="AE6832" s="160">
        <v>6830</v>
      </c>
    </row>
    <row r="6833" spans="27:31" x14ac:dyDescent="0.25">
      <c r="AA6833" s="160"/>
      <c r="AB6833" s="162"/>
      <c r="AC6833" s="162"/>
      <c r="AD6833" s="162">
        <f t="shared" si="126"/>
        <v>0</v>
      </c>
      <c r="AE6833" s="160">
        <v>6831</v>
      </c>
    </row>
    <row r="6834" spans="27:31" x14ac:dyDescent="0.25">
      <c r="AA6834" s="160"/>
      <c r="AB6834" s="162"/>
      <c r="AC6834" s="162"/>
      <c r="AD6834" s="162">
        <f t="shared" si="126"/>
        <v>0</v>
      </c>
      <c r="AE6834" s="160">
        <v>6832</v>
      </c>
    </row>
    <row r="6835" spans="27:31" x14ac:dyDescent="0.25">
      <c r="AA6835" s="160"/>
      <c r="AB6835" s="162"/>
      <c r="AC6835" s="162"/>
      <c r="AD6835" s="162">
        <f t="shared" si="126"/>
        <v>0</v>
      </c>
      <c r="AE6835" s="160">
        <v>6833</v>
      </c>
    </row>
    <row r="6836" spans="27:31" x14ac:dyDescent="0.25">
      <c r="AA6836" s="160"/>
      <c r="AB6836" s="162"/>
      <c r="AC6836" s="162"/>
      <c r="AD6836" s="162">
        <f t="shared" si="126"/>
        <v>0</v>
      </c>
      <c r="AE6836" s="160">
        <v>6834</v>
      </c>
    </row>
    <row r="6837" spans="27:31" x14ac:dyDescent="0.25">
      <c r="AA6837" s="160"/>
      <c r="AB6837" s="162"/>
      <c r="AC6837" s="162"/>
      <c r="AD6837" s="162">
        <f t="shared" si="126"/>
        <v>0</v>
      </c>
      <c r="AE6837" s="160">
        <v>6835</v>
      </c>
    </row>
    <row r="6838" spans="27:31" x14ac:dyDescent="0.25">
      <c r="AA6838" s="160"/>
      <c r="AB6838" s="162"/>
      <c r="AC6838" s="162"/>
      <c r="AD6838" s="162">
        <f t="shared" si="126"/>
        <v>0</v>
      </c>
      <c r="AE6838" s="160">
        <v>6836</v>
      </c>
    </row>
    <row r="6839" spans="27:31" x14ac:dyDescent="0.25">
      <c r="AA6839" s="160"/>
      <c r="AB6839" s="162"/>
      <c r="AC6839" s="162"/>
      <c r="AD6839" s="162">
        <f t="shared" si="126"/>
        <v>0</v>
      </c>
      <c r="AE6839" s="160">
        <v>6837</v>
      </c>
    </row>
    <row r="6840" spans="27:31" x14ac:dyDescent="0.25">
      <c r="AA6840" s="160"/>
      <c r="AB6840" s="162"/>
      <c r="AC6840" s="162"/>
      <c r="AD6840" s="162">
        <f t="shared" si="126"/>
        <v>0</v>
      </c>
      <c r="AE6840" s="160">
        <v>6838</v>
      </c>
    </row>
    <row r="6841" spans="27:31" x14ac:dyDescent="0.25">
      <c r="AA6841" s="160"/>
      <c r="AB6841" s="162"/>
      <c r="AC6841" s="162"/>
      <c r="AD6841" s="162">
        <f t="shared" si="126"/>
        <v>0</v>
      </c>
      <c r="AE6841" s="160">
        <v>6839</v>
      </c>
    </row>
    <row r="6842" spans="27:31" x14ac:dyDescent="0.25">
      <c r="AA6842" s="160"/>
      <c r="AB6842" s="162"/>
      <c r="AC6842" s="162"/>
      <c r="AD6842" s="162">
        <f t="shared" si="126"/>
        <v>0</v>
      </c>
      <c r="AE6842" s="160">
        <v>6840</v>
      </c>
    </row>
    <row r="6843" spans="27:31" x14ac:dyDescent="0.25">
      <c r="AA6843" s="160"/>
      <c r="AB6843" s="162"/>
      <c r="AC6843" s="162"/>
      <c r="AD6843" s="162">
        <f t="shared" si="126"/>
        <v>0</v>
      </c>
      <c r="AE6843" s="160">
        <v>6841</v>
      </c>
    </row>
    <row r="6844" spans="27:31" x14ac:dyDescent="0.25">
      <c r="AA6844" s="160"/>
      <c r="AB6844" s="162"/>
      <c r="AC6844" s="162"/>
      <c r="AD6844" s="162">
        <f t="shared" si="126"/>
        <v>0</v>
      </c>
      <c r="AE6844" s="160">
        <v>6842</v>
      </c>
    </row>
    <row r="6845" spans="27:31" x14ac:dyDescent="0.25">
      <c r="AA6845" s="160"/>
      <c r="AB6845" s="162"/>
      <c r="AC6845" s="162"/>
      <c r="AD6845" s="162">
        <f t="shared" si="126"/>
        <v>0</v>
      </c>
      <c r="AE6845" s="160">
        <v>6843</v>
      </c>
    </row>
    <row r="6846" spans="27:31" x14ac:dyDescent="0.25">
      <c r="AA6846" s="160"/>
      <c r="AB6846" s="162"/>
      <c r="AC6846" s="162"/>
      <c r="AD6846" s="162">
        <f t="shared" si="126"/>
        <v>0</v>
      </c>
      <c r="AE6846" s="160">
        <v>6844</v>
      </c>
    </row>
    <row r="6847" spans="27:31" x14ac:dyDescent="0.25">
      <c r="AA6847" s="160"/>
      <c r="AB6847" s="162"/>
      <c r="AC6847" s="162"/>
      <c r="AD6847" s="162">
        <f t="shared" si="126"/>
        <v>0</v>
      </c>
      <c r="AE6847" s="160">
        <v>6845</v>
      </c>
    </row>
    <row r="6848" spans="27:31" x14ac:dyDescent="0.25">
      <c r="AA6848" s="160"/>
      <c r="AB6848" s="162"/>
      <c r="AC6848" s="162"/>
      <c r="AD6848" s="162">
        <f t="shared" si="126"/>
        <v>0</v>
      </c>
      <c r="AE6848" s="160">
        <v>6846</v>
      </c>
    </row>
    <row r="6849" spans="27:31" x14ac:dyDescent="0.25">
      <c r="AA6849" s="160"/>
      <c r="AB6849" s="162"/>
      <c r="AC6849" s="162"/>
      <c r="AD6849" s="162">
        <f t="shared" si="126"/>
        <v>0</v>
      </c>
      <c r="AE6849" s="160">
        <v>6847</v>
      </c>
    </row>
    <row r="6850" spans="27:31" x14ac:dyDescent="0.25">
      <c r="AA6850" s="160"/>
      <c r="AB6850" s="162"/>
      <c r="AC6850" s="162"/>
      <c r="AD6850" s="162">
        <f t="shared" si="126"/>
        <v>0</v>
      </c>
      <c r="AE6850" s="160">
        <v>6848</v>
      </c>
    </row>
    <row r="6851" spans="27:31" x14ac:dyDescent="0.25">
      <c r="AA6851" s="160"/>
      <c r="AB6851" s="162"/>
      <c r="AC6851" s="162"/>
      <c r="AD6851" s="162">
        <f t="shared" si="126"/>
        <v>0</v>
      </c>
      <c r="AE6851" s="160">
        <v>6849</v>
      </c>
    </row>
    <row r="6852" spans="27:31" x14ac:dyDescent="0.25">
      <c r="AA6852" s="160"/>
      <c r="AB6852" s="162"/>
      <c r="AC6852" s="162"/>
      <c r="AD6852" s="162">
        <f t="shared" ref="AD6852:AD6915" si="127">AB6852+AC6852</f>
        <v>0</v>
      </c>
      <c r="AE6852" s="160">
        <v>6850</v>
      </c>
    </row>
    <row r="6853" spans="27:31" x14ac:dyDescent="0.25">
      <c r="AA6853" s="160"/>
      <c r="AB6853" s="162"/>
      <c r="AC6853" s="162"/>
      <c r="AD6853" s="162">
        <f t="shared" si="127"/>
        <v>0</v>
      </c>
      <c r="AE6853" s="160">
        <v>6851</v>
      </c>
    </row>
    <row r="6854" spans="27:31" x14ac:dyDescent="0.25">
      <c r="AA6854" s="160"/>
      <c r="AB6854" s="162"/>
      <c r="AC6854" s="162"/>
      <c r="AD6854" s="162">
        <f t="shared" si="127"/>
        <v>0</v>
      </c>
      <c r="AE6854" s="160">
        <v>6852</v>
      </c>
    </row>
    <row r="6855" spans="27:31" x14ac:dyDescent="0.25">
      <c r="AA6855" s="160"/>
      <c r="AB6855" s="162"/>
      <c r="AC6855" s="162"/>
      <c r="AD6855" s="162">
        <f t="shared" si="127"/>
        <v>0</v>
      </c>
      <c r="AE6855" s="160">
        <v>6853</v>
      </c>
    </row>
    <row r="6856" spans="27:31" x14ac:dyDescent="0.25">
      <c r="AA6856" s="160"/>
      <c r="AB6856" s="162"/>
      <c r="AC6856" s="162"/>
      <c r="AD6856" s="162">
        <f t="shared" si="127"/>
        <v>0</v>
      </c>
      <c r="AE6856" s="160">
        <v>6854</v>
      </c>
    </row>
    <row r="6857" spans="27:31" x14ac:dyDescent="0.25">
      <c r="AA6857" s="160"/>
      <c r="AB6857" s="162"/>
      <c r="AC6857" s="162"/>
      <c r="AD6857" s="162">
        <f t="shared" si="127"/>
        <v>0</v>
      </c>
      <c r="AE6857" s="160">
        <v>6855</v>
      </c>
    </row>
    <row r="6858" spans="27:31" x14ac:dyDescent="0.25">
      <c r="AA6858" s="160"/>
      <c r="AB6858" s="162"/>
      <c r="AC6858" s="162"/>
      <c r="AD6858" s="162">
        <f t="shared" si="127"/>
        <v>0</v>
      </c>
      <c r="AE6858" s="160">
        <v>6856</v>
      </c>
    </row>
    <row r="6859" spans="27:31" x14ac:dyDescent="0.25">
      <c r="AA6859" s="160"/>
      <c r="AB6859" s="162"/>
      <c r="AC6859" s="162"/>
      <c r="AD6859" s="162">
        <f t="shared" si="127"/>
        <v>0</v>
      </c>
      <c r="AE6859" s="160">
        <v>6857</v>
      </c>
    </row>
    <row r="6860" spans="27:31" x14ac:dyDescent="0.25">
      <c r="AA6860" s="160"/>
      <c r="AB6860" s="162"/>
      <c r="AC6860" s="162"/>
      <c r="AD6860" s="162">
        <f t="shared" si="127"/>
        <v>0</v>
      </c>
      <c r="AE6860" s="160">
        <v>6858</v>
      </c>
    </row>
    <row r="6861" spans="27:31" x14ac:dyDescent="0.25">
      <c r="AA6861" s="160"/>
      <c r="AB6861" s="162"/>
      <c r="AC6861" s="162"/>
      <c r="AD6861" s="162">
        <f t="shared" si="127"/>
        <v>0</v>
      </c>
      <c r="AE6861" s="160">
        <v>6859</v>
      </c>
    </row>
    <row r="6862" spans="27:31" x14ac:dyDescent="0.25">
      <c r="AA6862" s="160"/>
      <c r="AB6862" s="162"/>
      <c r="AC6862" s="162"/>
      <c r="AD6862" s="162">
        <f t="shared" si="127"/>
        <v>0</v>
      </c>
      <c r="AE6862" s="160">
        <v>6860</v>
      </c>
    </row>
    <row r="6863" spans="27:31" x14ac:dyDescent="0.25">
      <c r="AA6863" s="160"/>
      <c r="AB6863" s="162"/>
      <c r="AC6863" s="162"/>
      <c r="AD6863" s="162">
        <f t="shared" si="127"/>
        <v>0</v>
      </c>
      <c r="AE6863" s="160">
        <v>6861</v>
      </c>
    </row>
    <row r="6864" spans="27:31" x14ac:dyDescent="0.25">
      <c r="AA6864" s="160"/>
      <c r="AB6864" s="162"/>
      <c r="AC6864" s="162"/>
      <c r="AD6864" s="162">
        <f t="shared" si="127"/>
        <v>0</v>
      </c>
      <c r="AE6864" s="160">
        <v>6862</v>
      </c>
    </row>
    <row r="6865" spans="27:31" x14ac:dyDescent="0.25">
      <c r="AA6865" s="160"/>
      <c r="AB6865" s="162"/>
      <c r="AC6865" s="162"/>
      <c r="AD6865" s="162">
        <f t="shared" si="127"/>
        <v>0</v>
      </c>
      <c r="AE6865" s="160">
        <v>6863</v>
      </c>
    </row>
    <row r="6866" spans="27:31" x14ac:dyDescent="0.25">
      <c r="AA6866" s="160"/>
      <c r="AB6866" s="162"/>
      <c r="AC6866" s="162"/>
      <c r="AD6866" s="162">
        <f t="shared" si="127"/>
        <v>0</v>
      </c>
      <c r="AE6866" s="160">
        <v>6864</v>
      </c>
    </row>
    <row r="6867" spans="27:31" x14ac:dyDescent="0.25">
      <c r="AA6867" s="160"/>
      <c r="AB6867" s="162"/>
      <c r="AC6867" s="162"/>
      <c r="AD6867" s="162">
        <f t="shared" si="127"/>
        <v>0</v>
      </c>
      <c r="AE6867" s="160">
        <v>6865</v>
      </c>
    </row>
    <row r="6868" spans="27:31" x14ac:dyDescent="0.25">
      <c r="AA6868" s="160"/>
      <c r="AB6868" s="162"/>
      <c r="AC6868" s="162"/>
      <c r="AD6868" s="162">
        <f t="shared" si="127"/>
        <v>0</v>
      </c>
      <c r="AE6868" s="160">
        <v>6866</v>
      </c>
    </row>
    <row r="6869" spans="27:31" x14ac:dyDescent="0.25">
      <c r="AA6869" s="160"/>
      <c r="AB6869" s="162"/>
      <c r="AC6869" s="162"/>
      <c r="AD6869" s="162">
        <f t="shared" si="127"/>
        <v>0</v>
      </c>
      <c r="AE6869" s="160">
        <v>6867</v>
      </c>
    </row>
    <row r="6870" spans="27:31" x14ac:dyDescent="0.25">
      <c r="AA6870" s="160"/>
      <c r="AB6870" s="162"/>
      <c r="AC6870" s="162"/>
      <c r="AD6870" s="162">
        <f t="shared" si="127"/>
        <v>0</v>
      </c>
      <c r="AE6870" s="160">
        <v>6868</v>
      </c>
    </row>
    <row r="6871" spans="27:31" x14ac:dyDescent="0.25">
      <c r="AA6871" s="160"/>
      <c r="AB6871" s="162"/>
      <c r="AC6871" s="162"/>
      <c r="AD6871" s="162">
        <f t="shared" si="127"/>
        <v>0</v>
      </c>
      <c r="AE6871" s="160">
        <v>6869</v>
      </c>
    </row>
    <row r="6872" spans="27:31" x14ac:dyDescent="0.25">
      <c r="AA6872" s="160"/>
      <c r="AB6872" s="162"/>
      <c r="AC6872" s="162"/>
      <c r="AD6872" s="162">
        <f t="shared" si="127"/>
        <v>0</v>
      </c>
      <c r="AE6872" s="160">
        <v>6870</v>
      </c>
    </row>
    <row r="6873" spans="27:31" x14ac:dyDescent="0.25">
      <c r="AA6873" s="160"/>
      <c r="AB6873" s="162"/>
      <c r="AC6873" s="162"/>
      <c r="AD6873" s="162">
        <f t="shared" si="127"/>
        <v>0</v>
      </c>
      <c r="AE6873" s="160">
        <v>6871</v>
      </c>
    </row>
    <row r="6874" spans="27:31" x14ac:dyDescent="0.25">
      <c r="AA6874" s="160"/>
      <c r="AB6874" s="162"/>
      <c r="AC6874" s="162"/>
      <c r="AD6874" s="162">
        <f t="shared" si="127"/>
        <v>0</v>
      </c>
      <c r="AE6874" s="160">
        <v>6872</v>
      </c>
    </row>
    <row r="6875" spans="27:31" x14ac:dyDescent="0.25">
      <c r="AA6875" s="160"/>
      <c r="AB6875" s="162"/>
      <c r="AC6875" s="162"/>
      <c r="AD6875" s="162">
        <f t="shared" si="127"/>
        <v>0</v>
      </c>
      <c r="AE6875" s="160">
        <v>6873</v>
      </c>
    </row>
    <row r="6876" spans="27:31" x14ac:dyDescent="0.25">
      <c r="AA6876" s="160"/>
      <c r="AB6876" s="162"/>
      <c r="AC6876" s="162"/>
      <c r="AD6876" s="162">
        <f t="shared" si="127"/>
        <v>0</v>
      </c>
      <c r="AE6876" s="160">
        <v>6874</v>
      </c>
    </row>
    <row r="6877" spans="27:31" x14ac:dyDescent="0.25">
      <c r="AA6877" s="160"/>
      <c r="AB6877" s="162"/>
      <c r="AC6877" s="162"/>
      <c r="AD6877" s="162">
        <f t="shared" si="127"/>
        <v>0</v>
      </c>
      <c r="AE6877" s="160">
        <v>6875</v>
      </c>
    </row>
    <row r="6878" spans="27:31" x14ac:dyDescent="0.25">
      <c r="AA6878" s="160"/>
      <c r="AB6878" s="162"/>
      <c r="AC6878" s="162"/>
      <c r="AD6878" s="162">
        <f t="shared" si="127"/>
        <v>0</v>
      </c>
      <c r="AE6878" s="160">
        <v>6876</v>
      </c>
    </row>
    <row r="6879" spans="27:31" x14ac:dyDescent="0.25">
      <c r="AA6879" s="160"/>
      <c r="AB6879" s="162"/>
      <c r="AC6879" s="162"/>
      <c r="AD6879" s="162">
        <f t="shared" si="127"/>
        <v>0</v>
      </c>
      <c r="AE6879" s="160">
        <v>6877</v>
      </c>
    </row>
    <row r="6880" spans="27:31" x14ac:dyDescent="0.25">
      <c r="AA6880" s="160"/>
      <c r="AB6880" s="162"/>
      <c r="AC6880" s="162"/>
      <c r="AD6880" s="162">
        <f t="shared" si="127"/>
        <v>0</v>
      </c>
      <c r="AE6880" s="160">
        <v>6878</v>
      </c>
    </row>
    <row r="6881" spans="27:31" x14ac:dyDescent="0.25">
      <c r="AA6881" s="160"/>
      <c r="AB6881" s="162"/>
      <c r="AC6881" s="162"/>
      <c r="AD6881" s="162">
        <f t="shared" si="127"/>
        <v>0</v>
      </c>
      <c r="AE6881" s="160">
        <v>6879</v>
      </c>
    </row>
    <row r="6882" spans="27:31" x14ac:dyDescent="0.25">
      <c r="AA6882" s="160"/>
      <c r="AB6882" s="162"/>
      <c r="AC6882" s="162"/>
      <c r="AD6882" s="162">
        <f t="shared" si="127"/>
        <v>0</v>
      </c>
      <c r="AE6882" s="160">
        <v>6880</v>
      </c>
    </row>
    <row r="6883" spans="27:31" x14ac:dyDescent="0.25">
      <c r="AA6883" s="160"/>
      <c r="AB6883" s="162"/>
      <c r="AC6883" s="162"/>
      <c r="AD6883" s="162">
        <f t="shared" si="127"/>
        <v>0</v>
      </c>
      <c r="AE6883" s="160">
        <v>6881</v>
      </c>
    </row>
    <row r="6884" spans="27:31" x14ac:dyDescent="0.25">
      <c r="AA6884" s="160"/>
      <c r="AB6884" s="162"/>
      <c r="AC6884" s="162"/>
      <c r="AD6884" s="162">
        <f t="shared" si="127"/>
        <v>0</v>
      </c>
      <c r="AE6884" s="160">
        <v>6882</v>
      </c>
    </row>
    <row r="6885" spans="27:31" x14ac:dyDescent="0.25">
      <c r="AA6885" s="160"/>
      <c r="AB6885" s="162"/>
      <c r="AC6885" s="162"/>
      <c r="AD6885" s="162">
        <f t="shared" si="127"/>
        <v>0</v>
      </c>
      <c r="AE6885" s="160">
        <v>6883</v>
      </c>
    </row>
    <row r="6886" spans="27:31" x14ac:dyDescent="0.25">
      <c r="AA6886" s="160"/>
      <c r="AB6886" s="162"/>
      <c r="AC6886" s="162"/>
      <c r="AD6886" s="162">
        <f t="shared" si="127"/>
        <v>0</v>
      </c>
      <c r="AE6886" s="160">
        <v>6884</v>
      </c>
    </row>
    <row r="6887" spans="27:31" x14ac:dyDescent="0.25">
      <c r="AA6887" s="160"/>
      <c r="AB6887" s="162"/>
      <c r="AC6887" s="162"/>
      <c r="AD6887" s="162">
        <f t="shared" si="127"/>
        <v>0</v>
      </c>
      <c r="AE6887" s="160">
        <v>6885</v>
      </c>
    </row>
    <row r="6888" spans="27:31" x14ac:dyDescent="0.25">
      <c r="AA6888" s="160"/>
      <c r="AB6888" s="162"/>
      <c r="AC6888" s="162"/>
      <c r="AD6888" s="162">
        <f t="shared" si="127"/>
        <v>0</v>
      </c>
      <c r="AE6888" s="160">
        <v>6886</v>
      </c>
    </row>
    <row r="6889" spans="27:31" x14ac:dyDescent="0.25">
      <c r="AA6889" s="160"/>
      <c r="AB6889" s="162"/>
      <c r="AC6889" s="162"/>
      <c r="AD6889" s="162">
        <f t="shared" si="127"/>
        <v>0</v>
      </c>
      <c r="AE6889" s="160">
        <v>6887</v>
      </c>
    </row>
    <row r="6890" spans="27:31" x14ac:dyDescent="0.25">
      <c r="AA6890" s="160"/>
      <c r="AB6890" s="162"/>
      <c r="AC6890" s="162"/>
      <c r="AD6890" s="162">
        <f t="shared" si="127"/>
        <v>0</v>
      </c>
      <c r="AE6890" s="160">
        <v>6888</v>
      </c>
    </row>
    <row r="6891" spans="27:31" x14ac:dyDescent="0.25">
      <c r="AA6891" s="160"/>
      <c r="AB6891" s="162"/>
      <c r="AC6891" s="162"/>
      <c r="AD6891" s="162">
        <f t="shared" si="127"/>
        <v>0</v>
      </c>
      <c r="AE6891" s="160">
        <v>6889</v>
      </c>
    </row>
    <row r="6892" spans="27:31" x14ac:dyDescent="0.25">
      <c r="AA6892" s="160"/>
      <c r="AB6892" s="162"/>
      <c r="AC6892" s="162"/>
      <c r="AD6892" s="162">
        <f t="shared" si="127"/>
        <v>0</v>
      </c>
      <c r="AE6892" s="160">
        <v>6890</v>
      </c>
    </row>
    <row r="6893" spans="27:31" x14ac:dyDescent="0.25">
      <c r="AA6893" s="160"/>
      <c r="AB6893" s="162"/>
      <c r="AC6893" s="162"/>
      <c r="AD6893" s="162">
        <f t="shared" si="127"/>
        <v>0</v>
      </c>
      <c r="AE6893" s="160">
        <v>6891</v>
      </c>
    </row>
    <row r="6894" spans="27:31" x14ac:dyDescent="0.25">
      <c r="AA6894" s="160"/>
      <c r="AB6894" s="162"/>
      <c r="AC6894" s="162"/>
      <c r="AD6894" s="162">
        <f t="shared" si="127"/>
        <v>0</v>
      </c>
      <c r="AE6894" s="160">
        <v>6892</v>
      </c>
    </row>
    <row r="6895" spans="27:31" x14ac:dyDescent="0.25">
      <c r="AA6895" s="160"/>
      <c r="AB6895" s="162"/>
      <c r="AC6895" s="162"/>
      <c r="AD6895" s="162">
        <f t="shared" si="127"/>
        <v>0</v>
      </c>
      <c r="AE6895" s="160">
        <v>6893</v>
      </c>
    </row>
    <row r="6896" spans="27:31" x14ac:dyDescent="0.25">
      <c r="AA6896" s="160"/>
      <c r="AB6896" s="162"/>
      <c r="AC6896" s="162"/>
      <c r="AD6896" s="162">
        <f t="shared" si="127"/>
        <v>0</v>
      </c>
      <c r="AE6896" s="160">
        <v>6894</v>
      </c>
    </row>
    <row r="6897" spans="27:31" x14ac:dyDescent="0.25">
      <c r="AA6897" s="160"/>
      <c r="AB6897" s="162"/>
      <c r="AC6897" s="162"/>
      <c r="AD6897" s="162">
        <f t="shared" si="127"/>
        <v>0</v>
      </c>
      <c r="AE6897" s="160">
        <v>6895</v>
      </c>
    </row>
    <row r="6898" spans="27:31" x14ac:dyDescent="0.25">
      <c r="AA6898" s="160"/>
      <c r="AB6898" s="162"/>
      <c r="AC6898" s="162"/>
      <c r="AD6898" s="162">
        <f t="shared" si="127"/>
        <v>0</v>
      </c>
      <c r="AE6898" s="160">
        <v>6896</v>
      </c>
    </row>
    <row r="6899" spans="27:31" x14ac:dyDescent="0.25">
      <c r="AA6899" s="160"/>
      <c r="AB6899" s="162"/>
      <c r="AC6899" s="162"/>
      <c r="AD6899" s="162">
        <f t="shared" si="127"/>
        <v>0</v>
      </c>
      <c r="AE6899" s="160">
        <v>6897</v>
      </c>
    </row>
    <row r="6900" spans="27:31" x14ac:dyDescent="0.25">
      <c r="AA6900" s="160"/>
      <c r="AB6900" s="162"/>
      <c r="AC6900" s="162"/>
      <c r="AD6900" s="162">
        <f t="shared" si="127"/>
        <v>0</v>
      </c>
      <c r="AE6900" s="160">
        <v>6898</v>
      </c>
    </row>
    <row r="6901" spans="27:31" x14ac:dyDescent="0.25">
      <c r="AA6901" s="160"/>
      <c r="AB6901" s="162"/>
      <c r="AC6901" s="162"/>
      <c r="AD6901" s="162">
        <f t="shared" si="127"/>
        <v>0</v>
      </c>
      <c r="AE6901" s="160">
        <v>6899</v>
      </c>
    </row>
    <row r="6902" spans="27:31" x14ac:dyDescent="0.25">
      <c r="AA6902" s="160"/>
      <c r="AB6902" s="162"/>
      <c r="AC6902" s="162"/>
      <c r="AD6902" s="162">
        <f t="shared" si="127"/>
        <v>0</v>
      </c>
      <c r="AE6902" s="160">
        <v>6900</v>
      </c>
    </row>
    <row r="6903" spans="27:31" x14ac:dyDescent="0.25">
      <c r="AA6903" s="160"/>
      <c r="AB6903" s="162"/>
      <c r="AC6903" s="162"/>
      <c r="AD6903" s="162">
        <f t="shared" si="127"/>
        <v>0</v>
      </c>
      <c r="AE6903" s="160">
        <v>6901</v>
      </c>
    </row>
    <row r="6904" spans="27:31" x14ac:dyDescent="0.25">
      <c r="AA6904" s="160"/>
      <c r="AB6904" s="162"/>
      <c r="AC6904" s="162"/>
      <c r="AD6904" s="162">
        <f t="shared" si="127"/>
        <v>0</v>
      </c>
      <c r="AE6904" s="160">
        <v>6902</v>
      </c>
    </row>
    <row r="6905" spans="27:31" x14ac:dyDescent="0.25">
      <c r="AA6905" s="160"/>
      <c r="AB6905" s="162"/>
      <c r="AC6905" s="162"/>
      <c r="AD6905" s="162">
        <f t="shared" si="127"/>
        <v>0</v>
      </c>
      <c r="AE6905" s="160">
        <v>6903</v>
      </c>
    </row>
    <row r="6906" spans="27:31" x14ac:dyDescent="0.25">
      <c r="AA6906" s="160"/>
      <c r="AB6906" s="162"/>
      <c r="AC6906" s="162"/>
      <c r="AD6906" s="162">
        <f t="shared" si="127"/>
        <v>0</v>
      </c>
      <c r="AE6906" s="160">
        <v>6904</v>
      </c>
    </row>
    <row r="6907" spans="27:31" x14ac:dyDescent="0.25">
      <c r="AA6907" s="160"/>
      <c r="AB6907" s="162"/>
      <c r="AC6907" s="162"/>
      <c r="AD6907" s="162">
        <f t="shared" si="127"/>
        <v>0</v>
      </c>
      <c r="AE6907" s="160">
        <v>6905</v>
      </c>
    </row>
    <row r="6908" spans="27:31" x14ac:dyDescent="0.25">
      <c r="AA6908" s="160"/>
      <c r="AB6908" s="162"/>
      <c r="AC6908" s="162"/>
      <c r="AD6908" s="162">
        <f t="shared" si="127"/>
        <v>0</v>
      </c>
      <c r="AE6908" s="160">
        <v>6906</v>
      </c>
    </row>
    <row r="6909" spans="27:31" x14ac:dyDescent="0.25">
      <c r="AA6909" s="160"/>
      <c r="AB6909" s="162"/>
      <c r="AC6909" s="162"/>
      <c r="AD6909" s="162">
        <f t="shared" si="127"/>
        <v>0</v>
      </c>
      <c r="AE6909" s="160">
        <v>6907</v>
      </c>
    </row>
    <row r="6910" spans="27:31" x14ac:dyDescent="0.25">
      <c r="AA6910" s="160"/>
      <c r="AB6910" s="162"/>
      <c r="AC6910" s="162"/>
      <c r="AD6910" s="162">
        <f t="shared" si="127"/>
        <v>0</v>
      </c>
      <c r="AE6910" s="160">
        <v>6908</v>
      </c>
    </row>
    <row r="6911" spans="27:31" x14ac:dyDescent="0.25">
      <c r="AA6911" s="160"/>
      <c r="AB6911" s="162"/>
      <c r="AC6911" s="162"/>
      <c r="AD6911" s="162">
        <f t="shared" si="127"/>
        <v>0</v>
      </c>
      <c r="AE6911" s="160">
        <v>6909</v>
      </c>
    </row>
    <row r="6912" spans="27:31" x14ac:dyDescent="0.25">
      <c r="AA6912" s="160"/>
      <c r="AB6912" s="162"/>
      <c r="AC6912" s="162"/>
      <c r="AD6912" s="162">
        <f t="shared" si="127"/>
        <v>0</v>
      </c>
      <c r="AE6912" s="160">
        <v>6910</v>
      </c>
    </row>
    <row r="6913" spans="27:31" x14ac:dyDescent="0.25">
      <c r="AA6913" s="160"/>
      <c r="AB6913" s="162"/>
      <c r="AC6913" s="162"/>
      <c r="AD6913" s="162">
        <f t="shared" si="127"/>
        <v>0</v>
      </c>
      <c r="AE6913" s="160">
        <v>6911</v>
      </c>
    </row>
    <row r="6914" spans="27:31" x14ac:dyDescent="0.25">
      <c r="AA6914" s="160"/>
      <c r="AB6914" s="162"/>
      <c r="AC6914" s="162"/>
      <c r="AD6914" s="162">
        <f t="shared" si="127"/>
        <v>0</v>
      </c>
      <c r="AE6914" s="160">
        <v>6912</v>
      </c>
    </row>
    <row r="6915" spans="27:31" x14ac:dyDescent="0.25">
      <c r="AA6915" s="160"/>
      <c r="AB6915" s="162"/>
      <c r="AC6915" s="162"/>
      <c r="AD6915" s="162">
        <f t="shared" si="127"/>
        <v>0</v>
      </c>
      <c r="AE6915" s="160">
        <v>6913</v>
      </c>
    </row>
    <row r="6916" spans="27:31" x14ac:dyDescent="0.25">
      <c r="AA6916" s="160"/>
      <c r="AB6916" s="162"/>
      <c r="AC6916" s="162"/>
      <c r="AD6916" s="162">
        <f t="shared" ref="AD6916:AD6979" si="128">AB6916+AC6916</f>
        <v>0</v>
      </c>
      <c r="AE6916" s="160">
        <v>6914</v>
      </c>
    </row>
    <row r="6917" spans="27:31" x14ac:dyDescent="0.25">
      <c r="AA6917" s="160"/>
      <c r="AB6917" s="162"/>
      <c r="AC6917" s="162"/>
      <c r="AD6917" s="162">
        <f t="shared" si="128"/>
        <v>0</v>
      </c>
      <c r="AE6917" s="160">
        <v>6915</v>
      </c>
    </row>
    <row r="6918" spans="27:31" x14ac:dyDescent="0.25">
      <c r="AA6918" s="160"/>
      <c r="AB6918" s="162"/>
      <c r="AC6918" s="162"/>
      <c r="AD6918" s="162">
        <f t="shared" si="128"/>
        <v>0</v>
      </c>
      <c r="AE6918" s="160">
        <v>6916</v>
      </c>
    </row>
    <row r="6919" spans="27:31" x14ac:dyDescent="0.25">
      <c r="AA6919" s="160"/>
      <c r="AB6919" s="162"/>
      <c r="AC6919" s="162"/>
      <c r="AD6919" s="162">
        <f t="shared" si="128"/>
        <v>0</v>
      </c>
      <c r="AE6919" s="160">
        <v>6917</v>
      </c>
    </row>
    <row r="6920" spans="27:31" x14ac:dyDescent="0.25">
      <c r="AA6920" s="160"/>
      <c r="AB6920" s="162"/>
      <c r="AC6920" s="162"/>
      <c r="AD6920" s="162">
        <f t="shared" si="128"/>
        <v>0</v>
      </c>
      <c r="AE6920" s="160">
        <v>6918</v>
      </c>
    </row>
    <row r="6921" spans="27:31" x14ac:dyDescent="0.25">
      <c r="AA6921" s="160"/>
      <c r="AB6921" s="162"/>
      <c r="AC6921" s="162"/>
      <c r="AD6921" s="162">
        <f t="shared" si="128"/>
        <v>0</v>
      </c>
      <c r="AE6921" s="160">
        <v>6919</v>
      </c>
    </row>
    <row r="6922" spans="27:31" x14ac:dyDescent="0.25">
      <c r="AA6922" s="160"/>
      <c r="AB6922" s="162"/>
      <c r="AC6922" s="162"/>
      <c r="AD6922" s="162">
        <f t="shared" si="128"/>
        <v>0</v>
      </c>
      <c r="AE6922" s="160">
        <v>6920</v>
      </c>
    </row>
    <row r="6923" spans="27:31" x14ac:dyDescent="0.25">
      <c r="AA6923" s="160"/>
      <c r="AB6923" s="162"/>
      <c r="AC6923" s="162"/>
      <c r="AD6923" s="162">
        <f t="shared" si="128"/>
        <v>0</v>
      </c>
      <c r="AE6923" s="160">
        <v>6921</v>
      </c>
    </row>
    <row r="6924" spans="27:31" x14ac:dyDescent="0.25">
      <c r="AA6924" s="160"/>
      <c r="AB6924" s="162"/>
      <c r="AC6924" s="162"/>
      <c r="AD6924" s="162">
        <f t="shared" si="128"/>
        <v>0</v>
      </c>
      <c r="AE6924" s="160">
        <v>6922</v>
      </c>
    </row>
    <row r="6925" spans="27:31" x14ac:dyDescent="0.25">
      <c r="AA6925" s="160"/>
      <c r="AB6925" s="162"/>
      <c r="AC6925" s="162"/>
      <c r="AD6925" s="162">
        <f t="shared" si="128"/>
        <v>0</v>
      </c>
      <c r="AE6925" s="160">
        <v>6923</v>
      </c>
    </row>
    <row r="6926" spans="27:31" x14ac:dyDescent="0.25">
      <c r="AA6926" s="160"/>
      <c r="AB6926" s="162"/>
      <c r="AC6926" s="162"/>
      <c r="AD6926" s="162">
        <f t="shared" si="128"/>
        <v>0</v>
      </c>
      <c r="AE6926" s="160">
        <v>6924</v>
      </c>
    </row>
    <row r="6927" spans="27:31" x14ac:dyDescent="0.25">
      <c r="AA6927" s="160"/>
      <c r="AB6927" s="162"/>
      <c r="AC6927" s="162"/>
      <c r="AD6927" s="162">
        <f t="shared" si="128"/>
        <v>0</v>
      </c>
      <c r="AE6927" s="160">
        <v>6925</v>
      </c>
    </row>
    <row r="6928" spans="27:31" x14ac:dyDescent="0.25">
      <c r="AA6928" s="160"/>
      <c r="AB6928" s="162"/>
      <c r="AC6928" s="162"/>
      <c r="AD6928" s="162">
        <f t="shared" si="128"/>
        <v>0</v>
      </c>
      <c r="AE6928" s="160">
        <v>6926</v>
      </c>
    </row>
    <row r="6929" spans="27:31" x14ac:dyDescent="0.25">
      <c r="AA6929" s="160"/>
      <c r="AB6929" s="162"/>
      <c r="AC6929" s="162"/>
      <c r="AD6929" s="162">
        <f t="shared" si="128"/>
        <v>0</v>
      </c>
      <c r="AE6929" s="160">
        <v>6927</v>
      </c>
    </row>
    <row r="6930" spans="27:31" x14ac:dyDescent="0.25">
      <c r="AA6930" s="160"/>
      <c r="AB6930" s="162"/>
      <c r="AC6930" s="162"/>
      <c r="AD6930" s="162">
        <f t="shared" si="128"/>
        <v>0</v>
      </c>
      <c r="AE6930" s="160">
        <v>6928</v>
      </c>
    </row>
    <row r="6931" spans="27:31" x14ac:dyDescent="0.25">
      <c r="AA6931" s="160"/>
      <c r="AB6931" s="162"/>
      <c r="AC6931" s="162"/>
      <c r="AD6931" s="162">
        <f t="shared" si="128"/>
        <v>0</v>
      </c>
      <c r="AE6931" s="160">
        <v>6929</v>
      </c>
    </row>
    <row r="6932" spans="27:31" x14ac:dyDescent="0.25">
      <c r="AA6932" s="160"/>
      <c r="AB6932" s="162"/>
      <c r="AC6932" s="162"/>
      <c r="AD6932" s="162">
        <f t="shared" si="128"/>
        <v>0</v>
      </c>
      <c r="AE6932" s="160">
        <v>6930</v>
      </c>
    </row>
    <row r="6933" spans="27:31" x14ac:dyDescent="0.25">
      <c r="AA6933" s="160"/>
      <c r="AB6933" s="162"/>
      <c r="AC6933" s="162"/>
      <c r="AD6933" s="162">
        <f t="shared" si="128"/>
        <v>0</v>
      </c>
      <c r="AE6933" s="160">
        <v>6931</v>
      </c>
    </row>
    <row r="6934" spans="27:31" x14ac:dyDescent="0.25">
      <c r="AA6934" s="160"/>
      <c r="AB6934" s="162"/>
      <c r="AC6934" s="162"/>
      <c r="AD6934" s="162">
        <f t="shared" si="128"/>
        <v>0</v>
      </c>
      <c r="AE6934" s="160">
        <v>6932</v>
      </c>
    </row>
    <row r="6935" spans="27:31" x14ac:dyDescent="0.25">
      <c r="AA6935" s="160"/>
      <c r="AB6935" s="162"/>
      <c r="AC6935" s="162"/>
      <c r="AD6935" s="162">
        <f t="shared" si="128"/>
        <v>0</v>
      </c>
      <c r="AE6935" s="160">
        <v>6933</v>
      </c>
    </row>
    <row r="6936" spans="27:31" x14ac:dyDescent="0.25">
      <c r="AA6936" s="160"/>
      <c r="AB6936" s="162"/>
      <c r="AC6936" s="162"/>
      <c r="AD6936" s="162">
        <f t="shared" si="128"/>
        <v>0</v>
      </c>
      <c r="AE6936" s="160">
        <v>6934</v>
      </c>
    </row>
    <row r="6937" spans="27:31" x14ac:dyDescent="0.25">
      <c r="AA6937" s="160"/>
      <c r="AB6937" s="162"/>
      <c r="AC6937" s="162"/>
      <c r="AD6937" s="162">
        <f t="shared" si="128"/>
        <v>0</v>
      </c>
      <c r="AE6937" s="160">
        <v>6935</v>
      </c>
    </row>
    <row r="6938" spans="27:31" x14ac:dyDescent="0.25">
      <c r="AA6938" s="160"/>
      <c r="AB6938" s="162"/>
      <c r="AC6938" s="162"/>
      <c r="AD6938" s="162">
        <f t="shared" si="128"/>
        <v>0</v>
      </c>
      <c r="AE6938" s="160">
        <v>6936</v>
      </c>
    </row>
    <row r="6939" spans="27:31" x14ac:dyDescent="0.25">
      <c r="AA6939" s="160"/>
      <c r="AB6939" s="162"/>
      <c r="AC6939" s="162"/>
      <c r="AD6939" s="162">
        <f t="shared" si="128"/>
        <v>0</v>
      </c>
      <c r="AE6939" s="160">
        <v>6937</v>
      </c>
    </row>
    <row r="6940" spans="27:31" x14ac:dyDescent="0.25">
      <c r="AA6940" s="160"/>
      <c r="AB6940" s="162"/>
      <c r="AC6940" s="162"/>
      <c r="AD6940" s="162">
        <f t="shared" si="128"/>
        <v>0</v>
      </c>
      <c r="AE6940" s="160">
        <v>6938</v>
      </c>
    </row>
    <row r="6941" spans="27:31" x14ac:dyDescent="0.25">
      <c r="AA6941" s="160"/>
      <c r="AB6941" s="162"/>
      <c r="AC6941" s="162"/>
      <c r="AD6941" s="162">
        <f t="shared" si="128"/>
        <v>0</v>
      </c>
      <c r="AE6941" s="160">
        <v>6939</v>
      </c>
    </row>
    <row r="6942" spans="27:31" x14ac:dyDescent="0.25">
      <c r="AA6942" s="160"/>
      <c r="AB6942" s="162"/>
      <c r="AC6942" s="162"/>
      <c r="AD6942" s="162">
        <f t="shared" si="128"/>
        <v>0</v>
      </c>
      <c r="AE6942" s="160">
        <v>6940</v>
      </c>
    </row>
    <row r="6943" spans="27:31" x14ac:dyDescent="0.25">
      <c r="AA6943" s="160"/>
      <c r="AB6943" s="162"/>
      <c r="AC6943" s="162"/>
      <c r="AD6943" s="162">
        <f t="shared" si="128"/>
        <v>0</v>
      </c>
      <c r="AE6943" s="160">
        <v>6941</v>
      </c>
    </row>
    <row r="6944" spans="27:31" x14ac:dyDescent="0.25">
      <c r="AA6944" s="160"/>
      <c r="AB6944" s="162"/>
      <c r="AC6944" s="162"/>
      <c r="AD6944" s="162">
        <f t="shared" si="128"/>
        <v>0</v>
      </c>
      <c r="AE6944" s="160">
        <v>6942</v>
      </c>
    </row>
    <row r="6945" spans="27:31" x14ac:dyDescent="0.25">
      <c r="AA6945" s="160"/>
      <c r="AB6945" s="162"/>
      <c r="AC6945" s="162"/>
      <c r="AD6945" s="162">
        <f t="shared" si="128"/>
        <v>0</v>
      </c>
      <c r="AE6945" s="160">
        <v>6943</v>
      </c>
    </row>
    <row r="6946" spans="27:31" x14ac:dyDescent="0.25">
      <c r="AA6946" s="160"/>
      <c r="AB6946" s="162"/>
      <c r="AC6946" s="162"/>
      <c r="AD6946" s="162">
        <f t="shared" si="128"/>
        <v>0</v>
      </c>
      <c r="AE6946" s="160">
        <v>6944</v>
      </c>
    </row>
    <row r="6947" spans="27:31" x14ac:dyDescent="0.25">
      <c r="AA6947" s="160"/>
      <c r="AB6947" s="162"/>
      <c r="AC6947" s="162"/>
      <c r="AD6947" s="162">
        <f t="shared" si="128"/>
        <v>0</v>
      </c>
      <c r="AE6947" s="160">
        <v>6945</v>
      </c>
    </row>
    <row r="6948" spans="27:31" x14ac:dyDescent="0.25">
      <c r="AA6948" s="160"/>
      <c r="AB6948" s="162"/>
      <c r="AC6948" s="162"/>
      <c r="AD6948" s="162">
        <f t="shared" si="128"/>
        <v>0</v>
      </c>
      <c r="AE6948" s="160">
        <v>6946</v>
      </c>
    </row>
    <row r="6949" spans="27:31" x14ac:dyDescent="0.25">
      <c r="AA6949" s="160"/>
      <c r="AB6949" s="162"/>
      <c r="AC6949" s="162"/>
      <c r="AD6949" s="162">
        <f t="shared" si="128"/>
        <v>0</v>
      </c>
      <c r="AE6949" s="160">
        <v>6947</v>
      </c>
    </row>
    <row r="6950" spans="27:31" x14ac:dyDescent="0.25">
      <c r="AA6950" s="160"/>
      <c r="AB6950" s="162"/>
      <c r="AC6950" s="162"/>
      <c r="AD6950" s="162">
        <f t="shared" si="128"/>
        <v>0</v>
      </c>
      <c r="AE6950" s="160">
        <v>6948</v>
      </c>
    </row>
    <row r="6951" spans="27:31" x14ac:dyDescent="0.25">
      <c r="AA6951" s="160"/>
      <c r="AB6951" s="162"/>
      <c r="AC6951" s="162"/>
      <c r="AD6951" s="162">
        <f t="shared" si="128"/>
        <v>0</v>
      </c>
      <c r="AE6951" s="160">
        <v>6949</v>
      </c>
    </row>
    <row r="6952" spans="27:31" x14ac:dyDescent="0.25">
      <c r="AA6952" s="160"/>
      <c r="AB6952" s="162"/>
      <c r="AC6952" s="162"/>
      <c r="AD6952" s="162">
        <f t="shared" si="128"/>
        <v>0</v>
      </c>
      <c r="AE6952" s="160">
        <v>6950</v>
      </c>
    </row>
    <row r="6953" spans="27:31" x14ac:dyDescent="0.25">
      <c r="AA6953" s="160"/>
      <c r="AB6953" s="162"/>
      <c r="AC6953" s="162"/>
      <c r="AD6953" s="162">
        <f t="shared" si="128"/>
        <v>0</v>
      </c>
      <c r="AE6953" s="160">
        <v>6951</v>
      </c>
    </row>
    <row r="6954" spans="27:31" x14ac:dyDescent="0.25">
      <c r="AA6954" s="160"/>
      <c r="AB6954" s="162"/>
      <c r="AC6954" s="162"/>
      <c r="AD6954" s="162">
        <f t="shared" si="128"/>
        <v>0</v>
      </c>
      <c r="AE6954" s="160">
        <v>6952</v>
      </c>
    </row>
    <row r="6955" spans="27:31" x14ac:dyDescent="0.25">
      <c r="AA6955" s="160"/>
      <c r="AB6955" s="162"/>
      <c r="AC6955" s="162"/>
      <c r="AD6955" s="162">
        <f t="shared" si="128"/>
        <v>0</v>
      </c>
      <c r="AE6955" s="160">
        <v>6953</v>
      </c>
    </row>
    <row r="6956" spans="27:31" x14ac:dyDescent="0.25">
      <c r="AA6956" s="160"/>
      <c r="AB6956" s="162"/>
      <c r="AC6956" s="162"/>
      <c r="AD6956" s="162">
        <f t="shared" si="128"/>
        <v>0</v>
      </c>
      <c r="AE6956" s="160">
        <v>6954</v>
      </c>
    </row>
    <row r="6957" spans="27:31" x14ac:dyDescent="0.25">
      <c r="AA6957" s="160"/>
      <c r="AB6957" s="162"/>
      <c r="AC6957" s="162"/>
      <c r="AD6957" s="162">
        <f t="shared" si="128"/>
        <v>0</v>
      </c>
      <c r="AE6957" s="160">
        <v>6955</v>
      </c>
    </row>
    <row r="6958" spans="27:31" x14ac:dyDescent="0.25">
      <c r="AA6958" s="160"/>
      <c r="AB6958" s="162"/>
      <c r="AC6958" s="162"/>
      <c r="AD6958" s="162">
        <f t="shared" si="128"/>
        <v>0</v>
      </c>
      <c r="AE6958" s="160">
        <v>6956</v>
      </c>
    </row>
    <row r="6959" spans="27:31" x14ac:dyDescent="0.25">
      <c r="AA6959" s="160"/>
      <c r="AB6959" s="162"/>
      <c r="AC6959" s="162"/>
      <c r="AD6959" s="162">
        <f t="shared" si="128"/>
        <v>0</v>
      </c>
      <c r="AE6959" s="160">
        <v>6957</v>
      </c>
    </row>
    <row r="6960" spans="27:31" x14ac:dyDescent="0.25">
      <c r="AA6960" s="160"/>
      <c r="AB6960" s="162"/>
      <c r="AC6960" s="162"/>
      <c r="AD6960" s="162">
        <f t="shared" si="128"/>
        <v>0</v>
      </c>
      <c r="AE6960" s="160">
        <v>6958</v>
      </c>
    </row>
    <row r="6961" spans="27:31" x14ac:dyDescent="0.25">
      <c r="AA6961" s="160"/>
      <c r="AB6961" s="162"/>
      <c r="AC6961" s="162"/>
      <c r="AD6961" s="162">
        <f t="shared" si="128"/>
        <v>0</v>
      </c>
      <c r="AE6961" s="160">
        <v>6959</v>
      </c>
    </row>
    <row r="6962" spans="27:31" x14ac:dyDescent="0.25">
      <c r="AA6962" s="160"/>
      <c r="AB6962" s="162"/>
      <c r="AC6962" s="162"/>
      <c r="AD6962" s="162">
        <f t="shared" si="128"/>
        <v>0</v>
      </c>
      <c r="AE6962" s="160">
        <v>6960</v>
      </c>
    </row>
    <row r="6963" spans="27:31" x14ac:dyDescent="0.25">
      <c r="AA6963" s="160"/>
      <c r="AB6963" s="162"/>
      <c r="AC6963" s="162"/>
      <c r="AD6963" s="162">
        <f t="shared" si="128"/>
        <v>0</v>
      </c>
      <c r="AE6963" s="160">
        <v>6961</v>
      </c>
    </row>
    <row r="6964" spans="27:31" x14ac:dyDescent="0.25">
      <c r="AA6964" s="160"/>
      <c r="AB6964" s="162"/>
      <c r="AC6964" s="162"/>
      <c r="AD6964" s="162">
        <f t="shared" si="128"/>
        <v>0</v>
      </c>
      <c r="AE6964" s="160">
        <v>6962</v>
      </c>
    </row>
    <row r="6965" spans="27:31" x14ac:dyDescent="0.25">
      <c r="AA6965" s="160"/>
      <c r="AB6965" s="162"/>
      <c r="AC6965" s="162"/>
      <c r="AD6965" s="162">
        <f t="shared" si="128"/>
        <v>0</v>
      </c>
      <c r="AE6965" s="160">
        <v>6963</v>
      </c>
    </row>
    <row r="6966" spans="27:31" x14ac:dyDescent="0.25">
      <c r="AA6966" s="160"/>
      <c r="AB6966" s="162"/>
      <c r="AC6966" s="162"/>
      <c r="AD6966" s="162">
        <f t="shared" si="128"/>
        <v>0</v>
      </c>
      <c r="AE6966" s="160">
        <v>6964</v>
      </c>
    </row>
    <row r="6967" spans="27:31" x14ac:dyDescent="0.25">
      <c r="AA6967" s="160"/>
      <c r="AB6967" s="162"/>
      <c r="AC6967" s="162"/>
      <c r="AD6967" s="162">
        <f t="shared" si="128"/>
        <v>0</v>
      </c>
      <c r="AE6967" s="160">
        <v>6965</v>
      </c>
    </row>
    <row r="6968" spans="27:31" x14ac:dyDescent="0.25">
      <c r="AA6968" s="160"/>
      <c r="AB6968" s="162"/>
      <c r="AC6968" s="162"/>
      <c r="AD6968" s="162">
        <f t="shared" si="128"/>
        <v>0</v>
      </c>
      <c r="AE6968" s="160">
        <v>6966</v>
      </c>
    </row>
    <row r="6969" spans="27:31" x14ac:dyDescent="0.25">
      <c r="AA6969" s="160"/>
      <c r="AB6969" s="162"/>
      <c r="AC6969" s="162"/>
      <c r="AD6969" s="162">
        <f t="shared" si="128"/>
        <v>0</v>
      </c>
      <c r="AE6969" s="160">
        <v>6967</v>
      </c>
    </row>
    <row r="6970" spans="27:31" x14ac:dyDescent="0.25">
      <c r="AA6970" s="160"/>
      <c r="AB6970" s="162"/>
      <c r="AC6970" s="162"/>
      <c r="AD6970" s="162">
        <f t="shared" si="128"/>
        <v>0</v>
      </c>
      <c r="AE6970" s="160">
        <v>6968</v>
      </c>
    </row>
    <row r="6971" spans="27:31" x14ac:dyDescent="0.25">
      <c r="AA6971" s="160"/>
      <c r="AB6971" s="162"/>
      <c r="AC6971" s="162"/>
      <c r="AD6971" s="162">
        <f t="shared" si="128"/>
        <v>0</v>
      </c>
      <c r="AE6971" s="160">
        <v>6969</v>
      </c>
    </row>
    <row r="6972" spans="27:31" x14ac:dyDescent="0.25">
      <c r="AA6972" s="160"/>
      <c r="AB6972" s="162"/>
      <c r="AC6972" s="162"/>
      <c r="AD6972" s="162">
        <f t="shared" si="128"/>
        <v>0</v>
      </c>
      <c r="AE6972" s="160">
        <v>6970</v>
      </c>
    </row>
    <row r="6973" spans="27:31" x14ac:dyDescent="0.25">
      <c r="AA6973" s="160"/>
      <c r="AB6973" s="162"/>
      <c r="AC6973" s="162"/>
      <c r="AD6973" s="162">
        <f t="shared" si="128"/>
        <v>0</v>
      </c>
      <c r="AE6973" s="160">
        <v>6971</v>
      </c>
    </row>
    <row r="6974" spans="27:31" x14ac:dyDescent="0.25">
      <c r="AA6974" s="160"/>
      <c r="AB6974" s="162"/>
      <c r="AC6974" s="162"/>
      <c r="AD6974" s="162">
        <f t="shared" si="128"/>
        <v>0</v>
      </c>
      <c r="AE6974" s="160">
        <v>6972</v>
      </c>
    </row>
    <row r="6975" spans="27:31" x14ac:dyDescent="0.25">
      <c r="AA6975" s="160"/>
      <c r="AB6975" s="162"/>
      <c r="AC6975" s="162"/>
      <c r="AD6975" s="162">
        <f t="shared" si="128"/>
        <v>0</v>
      </c>
      <c r="AE6975" s="160">
        <v>6973</v>
      </c>
    </row>
    <row r="6976" spans="27:31" x14ac:dyDescent="0.25">
      <c r="AA6976" s="160"/>
      <c r="AB6976" s="162"/>
      <c r="AC6976" s="162"/>
      <c r="AD6976" s="162">
        <f t="shared" si="128"/>
        <v>0</v>
      </c>
      <c r="AE6976" s="160">
        <v>6974</v>
      </c>
    </row>
    <row r="6977" spans="27:31" x14ac:dyDescent="0.25">
      <c r="AA6977" s="160"/>
      <c r="AB6977" s="162"/>
      <c r="AC6977" s="162"/>
      <c r="AD6977" s="162">
        <f t="shared" si="128"/>
        <v>0</v>
      </c>
      <c r="AE6977" s="160">
        <v>6975</v>
      </c>
    </row>
    <row r="6978" spans="27:31" x14ac:dyDescent="0.25">
      <c r="AA6978" s="160"/>
      <c r="AB6978" s="162"/>
      <c r="AC6978" s="162"/>
      <c r="AD6978" s="162">
        <f t="shared" si="128"/>
        <v>0</v>
      </c>
      <c r="AE6978" s="160">
        <v>6976</v>
      </c>
    </row>
    <row r="6979" spans="27:31" x14ac:dyDescent="0.25">
      <c r="AA6979" s="160"/>
      <c r="AB6979" s="162"/>
      <c r="AC6979" s="162"/>
      <c r="AD6979" s="162">
        <f t="shared" si="128"/>
        <v>0</v>
      </c>
      <c r="AE6979" s="160">
        <v>6977</v>
      </c>
    </row>
    <row r="6980" spans="27:31" x14ac:dyDescent="0.25">
      <c r="AA6980" s="160"/>
      <c r="AB6980" s="162"/>
      <c r="AC6980" s="162"/>
      <c r="AD6980" s="162">
        <f t="shared" ref="AD6980:AD7043" si="129">AB6980+AC6980</f>
        <v>0</v>
      </c>
      <c r="AE6980" s="160">
        <v>6978</v>
      </c>
    </row>
    <row r="6981" spans="27:31" x14ac:dyDescent="0.25">
      <c r="AA6981" s="160"/>
      <c r="AB6981" s="162"/>
      <c r="AC6981" s="162"/>
      <c r="AD6981" s="162">
        <f t="shared" si="129"/>
        <v>0</v>
      </c>
      <c r="AE6981" s="160">
        <v>6979</v>
      </c>
    </row>
    <row r="6982" spans="27:31" x14ac:dyDescent="0.25">
      <c r="AA6982" s="160"/>
      <c r="AB6982" s="162"/>
      <c r="AC6982" s="162"/>
      <c r="AD6982" s="162">
        <f t="shared" si="129"/>
        <v>0</v>
      </c>
      <c r="AE6982" s="160">
        <v>6980</v>
      </c>
    </row>
    <row r="6983" spans="27:31" x14ac:dyDescent="0.25">
      <c r="AA6983" s="160"/>
      <c r="AB6983" s="162"/>
      <c r="AC6983" s="162"/>
      <c r="AD6983" s="162">
        <f t="shared" si="129"/>
        <v>0</v>
      </c>
      <c r="AE6983" s="160">
        <v>6981</v>
      </c>
    </row>
    <row r="6984" spans="27:31" x14ac:dyDescent="0.25">
      <c r="AA6984" s="160"/>
      <c r="AB6984" s="162"/>
      <c r="AC6984" s="162"/>
      <c r="AD6984" s="162">
        <f t="shared" si="129"/>
        <v>0</v>
      </c>
      <c r="AE6984" s="160">
        <v>6982</v>
      </c>
    </row>
    <row r="6985" spans="27:31" x14ac:dyDescent="0.25">
      <c r="AA6985" s="160"/>
      <c r="AB6985" s="162"/>
      <c r="AC6985" s="162"/>
      <c r="AD6985" s="162">
        <f t="shared" si="129"/>
        <v>0</v>
      </c>
      <c r="AE6985" s="160">
        <v>6983</v>
      </c>
    </row>
    <row r="6986" spans="27:31" x14ac:dyDescent="0.25">
      <c r="AA6986" s="160"/>
      <c r="AB6986" s="162"/>
      <c r="AC6986" s="162"/>
      <c r="AD6986" s="162">
        <f t="shared" si="129"/>
        <v>0</v>
      </c>
      <c r="AE6986" s="160">
        <v>6984</v>
      </c>
    </row>
    <row r="6987" spans="27:31" x14ac:dyDescent="0.25">
      <c r="AA6987" s="160"/>
      <c r="AB6987" s="162"/>
      <c r="AC6987" s="162"/>
      <c r="AD6987" s="162">
        <f t="shared" si="129"/>
        <v>0</v>
      </c>
      <c r="AE6987" s="160">
        <v>6985</v>
      </c>
    </row>
    <row r="6988" spans="27:31" x14ac:dyDescent="0.25">
      <c r="AA6988" s="160"/>
      <c r="AB6988" s="162"/>
      <c r="AC6988" s="162"/>
      <c r="AD6988" s="162">
        <f t="shared" si="129"/>
        <v>0</v>
      </c>
      <c r="AE6988" s="160">
        <v>6986</v>
      </c>
    </row>
    <row r="6989" spans="27:31" x14ac:dyDescent="0.25">
      <c r="AA6989" s="160"/>
      <c r="AB6989" s="162"/>
      <c r="AC6989" s="162"/>
      <c r="AD6989" s="162">
        <f t="shared" si="129"/>
        <v>0</v>
      </c>
      <c r="AE6989" s="160">
        <v>6987</v>
      </c>
    </row>
    <row r="6990" spans="27:31" x14ac:dyDescent="0.25">
      <c r="AA6990" s="160"/>
      <c r="AB6990" s="162"/>
      <c r="AC6990" s="162"/>
      <c r="AD6990" s="162">
        <f t="shared" si="129"/>
        <v>0</v>
      </c>
      <c r="AE6990" s="160">
        <v>6988</v>
      </c>
    </row>
    <row r="6991" spans="27:31" x14ac:dyDescent="0.25">
      <c r="AA6991" s="160"/>
      <c r="AB6991" s="162"/>
      <c r="AC6991" s="162"/>
      <c r="AD6991" s="162">
        <f t="shared" si="129"/>
        <v>0</v>
      </c>
      <c r="AE6991" s="160">
        <v>6989</v>
      </c>
    </row>
    <row r="6992" spans="27:31" x14ac:dyDescent="0.25">
      <c r="AA6992" s="160"/>
      <c r="AB6992" s="162"/>
      <c r="AC6992" s="162"/>
      <c r="AD6992" s="162">
        <f t="shared" si="129"/>
        <v>0</v>
      </c>
      <c r="AE6992" s="160">
        <v>6990</v>
      </c>
    </row>
    <row r="6993" spans="27:31" x14ac:dyDescent="0.25">
      <c r="AA6993" s="160"/>
      <c r="AB6993" s="162"/>
      <c r="AC6993" s="162"/>
      <c r="AD6993" s="162">
        <f t="shared" si="129"/>
        <v>0</v>
      </c>
      <c r="AE6993" s="160">
        <v>6991</v>
      </c>
    </row>
    <row r="6994" spans="27:31" x14ac:dyDescent="0.25">
      <c r="AA6994" s="160"/>
      <c r="AB6994" s="162"/>
      <c r="AC6994" s="162"/>
      <c r="AD6994" s="162">
        <f t="shared" si="129"/>
        <v>0</v>
      </c>
      <c r="AE6994" s="160">
        <v>6992</v>
      </c>
    </row>
    <row r="6995" spans="27:31" x14ac:dyDescent="0.25">
      <c r="AA6995" s="160"/>
      <c r="AB6995" s="162"/>
      <c r="AC6995" s="162"/>
      <c r="AD6995" s="162">
        <f t="shared" si="129"/>
        <v>0</v>
      </c>
      <c r="AE6995" s="160">
        <v>6993</v>
      </c>
    </row>
    <row r="6996" spans="27:31" x14ac:dyDescent="0.25">
      <c r="AA6996" s="160"/>
      <c r="AB6996" s="162"/>
      <c r="AC6996" s="162"/>
      <c r="AD6996" s="162">
        <f t="shared" si="129"/>
        <v>0</v>
      </c>
      <c r="AE6996" s="160">
        <v>6994</v>
      </c>
    </row>
    <row r="6997" spans="27:31" x14ac:dyDescent="0.25">
      <c r="AA6997" s="160"/>
      <c r="AB6997" s="162"/>
      <c r="AC6997" s="162"/>
      <c r="AD6997" s="162">
        <f t="shared" si="129"/>
        <v>0</v>
      </c>
      <c r="AE6997" s="160">
        <v>6995</v>
      </c>
    </row>
    <row r="6998" spans="27:31" x14ac:dyDescent="0.25">
      <c r="AA6998" s="160"/>
      <c r="AB6998" s="162"/>
      <c r="AC6998" s="162"/>
      <c r="AD6998" s="162">
        <f t="shared" si="129"/>
        <v>0</v>
      </c>
      <c r="AE6998" s="160">
        <v>6996</v>
      </c>
    </row>
    <row r="6999" spans="27:31" x14ac:dyDescent="0.25">
      <c r="AA6999" s="160"/>
      <c r="AB6999" s="162"/>
      <c r="AC6999" s="162"/>
      <c r="AD6999" s="162">
        <f t="shared" si="129"/>
        <v>0</v>
      </c>
      <c r="AE6999" s="160">
        <v>6997</v>
      </c>
    </row>
    <row r="7000" spans="27:31" x14ac:dyDescent="0.25">
      <c r="AA7000" s="160"/>
      <c r="AB7000" s="162"/>
      <c r="AC7000" s="162"/>
      <c r="AD7000" s="162">
        <f t="shared" si="129"/>
        <v>0</v>
      </c>
      <c r="AE7000" s="160">
        <v>6998</v>
      </c>
    </row>
    <row r="7001" spans="27:31" x14ac:dyDescent="0.25">
      <c r="AA7001" s="160"/>
      <c r="AB7001" s="162"/>
      <c r="AC7001" s="162"/>
      <c r="AD7001" s="162">
        <f t="shared" si="129"/>
        <v>0</v>
      </c>
      <c r="AE7001" s="160">
        <v>6999</v>
      </c>
    </row>
    <row r="7002" spans="27:31" x14ac:dyDescent="0.25">
      <c r="AA7002" s="160"/>
      <c r="AB7002" s="162"/>
      <c r="AC7002" s="162"/>
      <c r="AD7002" s="162">
        <f t="shared" si="129"/>
        <v>0</v>
      </c>
      <c r="AE7002" s="160">
        <v>7000</v>
      </c>
    </row>
    <row r="7003" spans="27:31" x14ac:dyDescent="0.25">
      <c r="AA7003" s="160"/>
      <c r="AB7003" s="162"/>
      <c r="AC7003" s="162"/>
      <c r="AD7003" s="162">
        <f t="shared" si="129"/>
        <v>0</v>
      </c>
      <c r="AE7003" s="160">
        <v>7001</v>
      </c>
    </row>
    <row r="7004" spans="27:31" x14ac:dyDescent="0.25">
      <c r="AA7004" s="160"/>
      <c r="AB7004" s="162"/>
      <c r="AC7004" s="162"/>
      <c r="AD7004" s="162">
        <f t="shared" si="129"/>
        <v>0</v>
      </c>
      <c r="AE7004" s="160">
        <v>7002</v>
      </c>
    </row>
    <row r="7005" spans="27:31" x14ac:dyDescent="0.25">
      <c r="AA7005" s="160"/>
      <c r="AB7005" s="162"/>
      <c r="AC7005" s="162"/>
      <c r="AD7005" s="162">
        <f t="shared" si="129"/>
        <v>0</v>
      </c>
      <c r="AE7005" s="160">
        <v>7003</v>
      </c>
    </row>
    <row r="7006" spans="27:31" x14ac:dyDescent="0.25">
      <c r="AA7006" s="160"/>
      <c r="AB7006" s="162"/>
      <c r="AC7006" s="162"/>
      <c r="AD7006" s="162">
        <f t="shared" si="129"/>
        <v>0</v>
      </c>
      <c r="AE7006" s="160">
        <v>7004</v>
      </c>
    </row>
    <row r="7007" spans="27:31" x14ac:dyDescent="0.25">
      <c r="AA7007" s="160"/>
      <c r="AB7007" s="162"/>
      <c r="AC7007" s="162"/>
      <c r="AD7007" s="162">
        <f t="shared" si="129"/>
        <v>0</v>
      </c>
      <c r="AE7007" s="160">
        <v>7005</v>
      </c>
    </row>
    <row r="7008" spans="27:31" x14ac:dyDescent="0.25">
      <c r="AA7008" s="160"/>
      <c r="AB7008" s="162"/>
      <c r="AC7008" s="162"/>
      <c r="AD7008" s="162">
        <f t="shared" si="129"/>
        <v>0</v>
      </c>
      <c r="AE7008" s="160">
        <v>7006</v>
      </c>
    </row>
    <row r="7009" spans="27:31" x14ac:dyDescent="0.25">
      <c r="AA7009" s="160"/>
      <c r="AB7009" s="162"/>
      <c r="AC7009" s="162"/>
      <c r="AD7009" s="162">
        <f t="shared" si="129"/>
        <v>0</v>
      </c>
      <c r="AE7009" s="160">
        <v>7007</v>
      </c>
    </row>
    <row r="7010" spans="27:31" x14ac:dyDescent="0.25">
      <c r="AA7010" s="160"/>
      <c r="AB7010" s="162"/>
      <c r="AC7010" s="162"/>
      <c r="AD7010" s="162">
        <f t="shared" si="129"/>
        <v>0</v>
      </c>
      <c r="AE7010" s="160">
        <v>7008</v>
      </c>
    </row>
    <row r="7011" spans="27:31" x14ac:dyDescent="0.25">
      <c r="AA7011" s="160"/>
      <c r="AB7011" s="162"/>
      <c r="AC7011" s="162"/>
      <c r="AD7011" s="162">
        <f t="shared" si="129"/>
        <v>0</v>
      </c>
      <c r="AE7011" s="160">
        <v>7009</v>
      </c>
    </row>
    <row r="7012" spans="27:31" x14ac:dyDescent="0.25">
      <c r="AA7012" s="160"/>
      <c r="AB7012" s="162"/>
      <c r="AC7012" s="162"/>
      <c r="AD7012" s="162">
        <f t="shared" si="129"/>
        <v>0</v>
      </c>
      <c r="AE7012" s="160">
        <v>7010</v>
      </c>
    </row>
    <row r="7013" spans="27:31" x14ac:dyDescent="0.25">
      <c r="AA7013" s="160"/>
      <c r="AB7013" s="162"/>
      <c r="AC7013" s="162"/>
      <c r="AD7013" s="162">
        <f t="shared" si="129"/>
        <v>0</v>
      </c>
      <c r="AE7013" s="160">
        <v>7011</v>
      </c>
    </row>
    <row r="7014" spans="27:31" x14ac:dyDescent="0.25">
      <c r="AA7014" s="160"/>
      <c r="AB7014" s="162"/>
      <c r="AC7014" s="162"/>
      <c r="AD7014" s="162">
        <f t="shared" si="129"/>
        <v>0</v>
      </c>
      <c r="AE7014" s="160">
        <v>7012</v>
      </c>
    </row>
    <row r="7015" spans="27:31" x14ac:dyDescent="0.25">
      <c r="AA7015" s="160"/>
      <c r="AB7015" s="162"/>
      <c r="AC7015" s="162"/>
      <c r="AD7015" s="162">
        <f t="shared" si="129"/>
        <v>0</v>
      </c>
      <c r="AE7015" s="160">
        <v>7013</v>
      </c>
    </row>
    <row r="7016" spans="27:31" x14ac:dyDescent="0.25">
      <c r="AA7016" s="160"/>
      <c r="AB7016" s="162"/>
      <c r="AC7016" s="162"/>
      <c r="AD7016" s="162">
        <f t="shared" si="129"/>
        <v>0</v>
      </c>
      <c r="AE7016" s="160">
        <v>7014</v>
      </c>
    </row>
    <row r="7017" spans="27:31" x14ac:dyDescent="0.25">
      <c r="AA7017" s="160"/>
      <c r="AB7017" s="162"/>
      <c r="AC7017" s="162"/>
      <c r="AD7017" s="162">
        <f t="shared" si="129"/>
        <v>0</v>
      </c>
      <c r="AE7017" s="160">
        <v>7015</v>
      </c>
    </row>
    <row r="7018" spans="27:31" x14ac:dyDescent="0.25">
      <c r="AA7018" s="160"/>
      <c r="AB7018" s="162"/>
      <c r="AC7018" s="162"/>
      <c r="AD7018" s="162">
        <f t="shared" si="129"/>
        <v>0</v>
      </c>
      <c r="AE7018" s="160">
        <v>7016</v>
      </c>
    </row>
    <row r="7019" spans="27:31" x14ac:dyDescent="0.25">
      <c r="AA7019" s="160"/>
      <c r="AB7019" s="162"/>
      <c r="AC7019" s="162"/>
      <c r="AD7019" s="162">
        <f t="shared" si="129"/>
        <v>0</v>
      </c>
      <c r="AE7019" s="160">
        <v>7017</v>
      </c>
    </row>
    <row r="7020" spans="27:31" x14ac:dyDescent="0.25">
      <c r="AA7020" s="160"/>
      <c r="AB7020" s="162"/>
      <c r="AC7020" s="162"/>
      <c r="AD7020" s="162">
        <f t="shared" si="129"/>
        <v>0</v>
      </c>
      <c r="AE7020" s="160">
        <v>7018</v>
      </c>
    </row>
    <row r="7021" spans="27:31" x14ac:dyDescent="0.25">
      <c r="AA7021" s="160"/>
      <c r="AB7021" s="162"/>
      <c r="AC7021" s="162"/>
      <c r="AD7021" s="162">
        <f t="shared" si="129"/>
        <v>0</v>
      </c>
      <c r="AE7021" s="160">
        <v>7019</v>
      </c>
    </row>
    <row r="7022" spans="27:31" x14ac:dyDescent="0.25">
      <c r="AA7022" s="160"/>
      <c r="AB7022" s="162"/>
      <c r="AC7022" s="162"/>
      <c r="AD7022" s="162">
        <f t="shared" si="129"/>
        <v>0</v>
      </c>
      <c r="AE7022" s="160">
        <v>7020</v>
      </c>
    </row>
    <row r="7023" spans="27:31" x14ac:dyDescent="0.25">
      <c r="AA7023" s="160"/>
      <c r="AB7023" s="162"/>
      <c r="AC7023" s="162"/>
      <c r="AD7023" s="162">
        <f t="shared" si="129"/>
        <v>0</v>
      </c>
      <c r="AE7023" s="160">
        <v>7021</v>
      </c>
    </row>
    <row r="7024" spans="27:31" x14ac:dyDescent="0.25">
      <c r="AA7024" s="160"/>
      <c r="AB7024" s="162"/>
      <c r="AC7024" s="162"/>
      <c r="AD7024" s="162">
        <f t="shared" si="129"/>
        <v>0</v>
      </c>
      <c r="AE7024" s="160">
        <v>7022</v>
      </c>
    </row>
    <row r="7025" spans="27:31" x14ac:dyDescent="0.25">
      <c r="AA7025" s="160"/>
      <c r="AB7025" s="162"/>
      <c r="AC7025" s="162"/>
      <c r="AD7025" s="162">
        <f t="shared" si="129"/>
        <v>0</v>
      </c>
      <c r="AE7025" s="160">
        <v>7023</v>
      </c>
    </row>
    <row r="7026" spans="27:31" x14ac:dyDescent="0.25">
      <c r="AA7026" s="160"/>
      <c r="AB7026" s="162"/>
      <c r="AC7026" s="162"/>
      <c r="AD7026" s="162">
        <f t="shared" si="129"/>
        <v>0</v>
      </c>
      <c r="AE7026" s="160">
        <v>7024</v>
      </c>
    </row>
    <row r="7027" spans="27:31" x14ac:dyDescent="0.25">
      <c r="AA7027" s="160"/>
      <c r="AB7027" s="162"/>
      <c r="AC7027" s="162"/>
      <c r="AD7027" s="162">
        <f t="shared" si="129"/>
        <v>0</v>
      </c>
      <c r="AE7027" s="160">
        <v>7025</v>
      </c>
    </row>
    <row r="7028" spans="27:31" x14ac:dyDescent="0.25">
      <c r="AA7028" s="160"/>
      <c r="AB7028" s="162"/>
      <c r="AC7028" s="162"/>
      <c r="AD7028" s="162">
        <f t="shared" si="129"/>
        <v>0</v>
      </c>
      <c r="AE7028" s="160">
        <v>7026</v>
      </c>
    </row>
    <row r="7029" spans="27:31" x14ac:dyDescent="0.25">
      <c r="AA7029" s="160"/>
      <c r="AB7029" s="162"/>
      <c r="AC7029" s="162"/>
      <c r="AD7029" s="162">
        <f t="shared" si="129"/>
        <v>0</v>
      </c>
      <c r="AE7029" s="160">
        <v>7027</v>
      </c>
    </row>
    <row r="7030" spans="27:31" x14ac:dyDescent="0.25">
      <c r="AA7030" s="160"/>
      <c r="AB7030" s="162"/>
      <c r="AC7030" s="162"/>
      <c r="AD7030" s="162">
        <f t="shared" si="129"/>
        <v>0</v>
      </c>
      <c r="AE7030" s="160">
        <v>7028</v>
      </c>
    </row>
    <row r="7031" spans="27:31" x14ac:dyDescent="0.25">
      <c r="AA7031" s="160"/>
      <c r="AB7031" s="162"/>
      <c r="AC7031" s="162"/>
      <c r="AD7031" s="162">
        <f t="shared" si="129"/>
        <v>0</v>
      </c>
      <c r="AE7031" s="160">
        <v>7029</v>
      </c>
    </row>
    <row r="7032" spans="27:31" x14ac:dyDescent="0.25">
      <c r="AA7032" s="160"/>
      <c r="AB7032" s="162"/>
      <c r="AC7032" s="162"/>
      <c r="AD7032" s="162">
        <f t="shared" si="129"/>
        <v>0</v>
      </c>
      <c r="AE7032" s="160">
        <v>7030</v>
      </c>
    </row>
    <row r="7033" spans="27:31" x14ac:dyDescent="0.25">
      <c r="AA7033" s="160"/>
      <c r="AB7033" s="162"/>
      <c r="AC7033" s="162"/>
      <c r="AD7033" s="162">
        <f t="shared" si="129"/>
        <v>0</v>
      </c>
      <c r="AE7033" s="160">
        <v>7031</v>
      </c>
    </row>
    <row r="7034" spans="27:31" x14ac:dyDescent="0.25">
      <c r="AA7034" s="160"/>
      <c r="AB7034" s="162"/>
      <c r="AC7034" s="162"/>
      <c r="AD7034" s="162">
        <f t="shared" si="129"/>
        <v>0</v>
      </c>
      <c r="AE7034" s="160">
        <v>7032</v>
      </c>
    </row>
    <row r="7035" spans="27:31" x14ac:dyDescent="0.25">
      <c r="AA7035" s="160"/>
      <c r="AB7035" s="162"/>
      <c r="AC7035" s="162"/>
      <c r="AD7035" s="162">
        <f t="shared" si="129"/>
        <v>0</v>
      </c>
      <c r="AE7035" s="160">
        <v>7033</v>
      </c>
    </row>
    <row r="7036" spans="27:31" x14ac:dyDescent="0.25">
      <c r="AA7036" s="160"/>
      <c r="AB7036" s="162"/>
      <c r="AC7036" s="162"/>
      <c r="AD7036" s="162">
        <f t="shared" si="129"/>
        <v>0</v>
      </c>
      <c r="AE7036" s="160">
        <v>7034</v>
      </c>
    </row>
    <row r="7037" spans="27:31" x14ac:dyDescent="0.25">
      <c r="AA7037" s="160"/>
      <c r="AB7037" s="162"/>
      <c r="AC7037" s="162"/>
      <c r="AD7037" s="162">
        <f t="shared" si="129"/>
        <v>0</v>
      </c>
      <c r="AE7037" s="160">
        <v>7035</v>
      </c>
    </row>
    <row r="7038" spans="27:31" x14ac:dyDescent="0.25">
      <c r="AA7038" s="160"/>
      <c r="AB7038" s="162"/>
      <c r="AC7038" s="162"/>
      <c r="AD7038" s="162">
        <f t="shared" si="129"/>
        <v>0</v>
      </c>
      <c r="AE7038" s="160">
        <v>7036</v>
      </c>
    </row>
    <row r="7039" spans="27:31" x14ac:dyDescent="0.25">
      <c r="AA7039" s="160"/>
      <c r="AB7039" s="162"/>
      <c r="AC7039" s="162"/>
      <c r="AD7039" s="162">
        <f t="shared" si="129"/>
        <v>0</v>
      </c>
      <c r="AE7039" s="160">
        <v>7037</v>
      </c>
    </row>
    <row r="7040" spans="27:31" x14ac:dyDescent="0.25">
      <c r="AA7040" s="160"/>
      <c r="AB7040" s="162"/>
      <c r="AC7040" s="162"/>
      <c r="AD7040" s="162">
        <f t="shared" si="129"/>
        <v>0</v>
      </c>
      <c r="AE7040" s="160">
        <v>7038</v>
      </c>
    </row>
    <row r="7041" spans="27:31" x14ac:dyDescent="0.25">
      <c r="AA7041" s="160"/>
      <c r="AB7041" s="162"/>
      <c r="AC7041" s="162"/>
      <c r="AD7041" s="162">
        <f t="shared" si="129"/>
        <v>0</v>
      </c>
      <c r="AE7041" s="160">
        <v>7039</v>
      </c>
    </row>
    <row r="7042" spans="27:31" x14ac:dyDescent="0.25">
      <c r="AA7042" s="160"/>
      <c r="AB7042" s="162"/>
      <c r="AC7042" s="162"/>
      <c r="AD7042" s="162">
        <f t="shared" si="129"/>
        <v>0</v>
      </c>
      <c r="AE7042" s="160">
        <v>7040</v>
      </c>
    </row>
    <row r="7043" spans="27:31" x14ac:dyDescent="0.25">
      <c r="AA7043" s="160"/>
      <c r="AB7043" s="162"/>
      <c r="AC7043" s="162"/>
      <c r="AD7043" s="162">
        <f t="shared" si="129"/>
        <v>0</v>
      </c>
      <c r="AE7043" s="160">
        <v>7041</v>
      </c>
    </row>
    <row r="7044" spans="27:31" x14ac:dyDescent="0.25">
      <c r="AA7044" s="160"/>
      <c r="AB7044" s="162"/>
      <c r="AC7044" s="162"/>
      <c r="AD7044" s="162">
        <f t="shared" ref="AD7044:AD7107" si="130">AB7044+AC7044</f>
        <v>0</v>
      </c>
      <c r="AE7044" s="160">
        <v>7042</v>
      </c>
    </row>
    <row r="7045" spans="27:31" x14ac:dyDescent="0.25">
      <c r="AA7045" s="160"/>
      <c r="AB7045" s="162"/>
      <c r="AC7045" s="162"/>
      <c r="AD7045" s="162">
        <f t="shared" si="130"/>
        <v>0</v>
      </c>
      <c r="AE7045" s="160">
        <v>7043</v>
      </c>
    </row>
    <row r="7046" spans="27:31" x14ac:dyDescent="0.25">
      <c r="AA7046" s="160"/>
      <c r="AB7046" s="162"/>
      <c r="AC7046" s="162"/>
      <c r="AD7046" s="162">
        <f t="shared" si="130"/>
        <v>0</v>
      </c>
      <c r="AE7046" s="160">
        <v>7044</v>
      </c>
    </row>
    <row r="7047" spans="27:31" x14ac:dyDescent="0.25">
      <c r="AA7047" s="160"/>
      <c r="AB7047" s="162"/>
      <c r="AC7047" s="162"/>
      <c r="AD7047" s="162">
        <f t="shared" si="130"/>
        <v>0</v>
      </c>
      <c r="AE7047" s="160">
        <v>7045</v>
      </c>
    </row>
    <row r="7048" spans="27:31" x14ac:dyDescent="0.25">
      <c r="AA7048" s="160"/>
      <c r="AB7048" s="162"/>
      <c r="AC7048" s="162"/>
      <c r="AD7048" s="162">
        <f t="shared" si="130"/>
        <v>0</v>
      </c>
      <c r="AE7048" s="160">
        <v>7046</v>
      </c>
    </row>
    <row r="7049" spans="27:31" x14ac:dyDescent="0.25">
      <c r="AA7049" s="160"/>
      <c r="AB7049" s="162"/>
      <c r="AC7049" s="162"/>
      <c r="AD7049" s="162">
        <f t="shared" si="130"/>
        <v>0</v>
      </c>
      <c r="AE7049" s="160">
        <v>7047</v>
      </c>
    </row>
    <row r="7050" spans="27:31" x14ac:dyDescent="0.25">
      <c r="AA7050" s="160"/>
      <c r="AB7050" s="162"/>
      <c r="AC7050" s="162"/>
      <c r="AD7050" s="162">
        <f t="shared" si="130"/>
        <v>0</v>
      </c>
      <c r="AE7050" s="160">
        <v>7048</v>
      </c>
    </row>
    <row r="7051" spans="27:31" x14ac:dyDescent="0.25">
      <c r="AA7051" s="160"/>
      <c r="AB7051" s="162"/>
      <c r="AC7051" s="162"/>
      <c r="AD7051" s="162">
        <f t="shared" si="130"/>
        <v>0</v>
      </c>
      <c r="AE7051" s="160">
        <v>7049</v>
      </c>
    </row>
    <row r="7052" spans="27:31" x14ac:dyDescent="0.25">
      <c r="AA7052" s="160"/>
      <c r="AB7052" s="162"/>
      <c r="AC7052" s="162"/>
      <c r="AD7052" s="162">
        <f t="shared" si="130"/>
        <v>0</v>
      </c>
      <c r="AE7052" s="160">
        <v>7050</v>
      </c>
    </row>
    <row r="7053" spans="27:31" x14ac:dyDescent="0.25">
      <c r="AA7053" s="160"/>
      <c r="AB7053" s="162"/>
      <c r="AC7053" s="162"/>
      <c r="AD7053" s="162">
        <f t="shared" si="130"/>
        <v>0</v>
      </c>
      <c r="AE7053" s="160">
        <v>7051</v>
      </c>
    </row>
    <row r="7054" spans="27:31" x14ac:dyDescent="0.25">
      <c r="AA7054" s="160"/>
      <c r="AB7054" s="162"/>
      <c r="AC7054" s="162"/>
      <c r="AD7054" s="162">
        <f t="shared" si="130"/>
        <v>0</v>
      </c>
      <c r="AE7054" s="160">
        <v>7052</v>
      </c>
    </row>
    <row r="7055" spans="27:31" x14ac:dyDescent="0.25">
      <c r="AA7055" s="160"/>
      <c r="AB7055" s="162"/>
      <c r="AC7055" s="162"/>
      <c r="AD7055" s="162">
        <f t="shared" si="130"/>
        <v>0</v>
      </c>
      <c r="AE7055" s="160">
        <v>7053</v>
      </c>
    </row>
    <row r="7056" spans="27:31" x14ac:dyDescent="0.25">
      <c r="AA7056" s="160"/>
      <c r="AB7056" s="162"/>
      <c r="AC7056" s="162"/>
      <c r="AD7056" s="162">
        <f t="shared" si="130"/>
        <v>0</v>
      </c>
      <c r="AE7056" s="160">
        <v>7054</v>
      </c>
    </row>
    <row r="7057" spans="27:31" x14ac:dyDescent="0.25">
      <c r="AA7057" s="160"/>
      <c r="AB7057" s="162"/>
      <c r="AC7057" s="162"/>
      <c r="AD7057" s="162">
        <f t="shared" si="130"/>
        <v>0</v>
      </c>
      <c r="AE7057" s="160">
        <v>7055</v>
      </c>
    </row>
    <row r="7058" spans="27:31" x14ac:dyDescent="0.25">
      <c r="AA7058" s="160"/>
      <c r="AB7058" s="162"/>
      <c r="AC7058" s="162"/>
      <c r="AD7058" s="162">
        <f t="shared" si="130"/>
        <v>0</v>
      </c>
      <c r="AE7058" s="160">
        <v>7056</v>
      </c>
    </row>
    <row r="7059" spans="27:31" x14ac:dyDescent="0.25">
      <c r="AA7059" s="160"/>
      <c r="AB7059" s="162"/>
      <c r="AC7059" s="162"/>
      <c r="AD7059" s="162">
        <f t="shared" si="130"/>
        <v>0</v>
      </c>
      <c r="AE7059" s="160">
        <v>7057</v>
      </c>
    </row>
    <row r="7060" spans="27:31" x14ac:dyDescent="0.25">
      <c r="AA7060" s="160"/>
      <c r="AB7060" s="162"/>
      <c r="AC7060" s="162"/>
      <c r="AD7060" s="162">
        <f t="shared" si="130"/>
        <v>0</v>
      </c>
      <c r="AE7060" s="160">
        <v>7058</v>
      </c>
    </row>
    <row r="7061" spans="27:31" x14ac:dyDescent="0.25">
      <c r="AA7061" s="160"/>
      <c r="AB7061" s="162"/>
      <c r="AC7061" s="162"/>
      <c r="AD7061" s="162">
        <f t="shared" si="130"/>
        <v>0</v>
      </c>
      <c r="AE7061" s="160">
        <v>7059</v>
      </c>
    </row>
    <row r="7062" spans="27:31" x14ac:dyDescent="0.25">
      <c r="AA7062" s="160"/>
      <c r="AB7062" s="162"/>
      <c r="AC7062" s="162"/>
      <c r="AD7062" s="162">
        <f t="shared" si="130"/>
        <v>0</v>
      </c>
      <c r="AE7062" s="160">
        <v>7060</v>
      </c>
    </row>
    <row r="7063" spans="27:31" x14ac:dyDescent="0.25">
      <c r="AA7063" s="160"/>
      <c r="AB7063" s="162"/>
      <c r="AC7063" s="162"/>
      <c r="AD7063" s="162">
        <f t="shared" si="130"/>
        <v>0</v>
      </c>
      <c r="AE7063" s="160">
        <v>7061</v>
      </c>
    </row>
    <row r="7064" spans="27:31" x14ac:dyDescent="0.25">
      <c r="AA7064" s="160"/>
      <c r="AB7064" s="162"/>
      <c r="AC7064" s="162"/>
      <c r="AD7064" s="162">
        <f t="shared" si="130"/>
        <v>0</v>
      </c>
      <c r="AE7064" s="160">
        <v>7062</v>
      </c>
    </row>
    <row r="7065" spans="27:31" x14ac:dyDescent="0.25">
      <c r="AA7065" s="160"/>
      <c r="AB7065" s="162"/>
      <c r="AC7065" s="162"/>
      <c r="AD7065" s="162">
        <f t="shared" si="130"/>
        <v>0</v>
      </c>
      <c r="AE7065" s="160">
        <v>7063</v>
      </c>
    </row>
    <row r="7066" spans="27:31" x14ac:dyDescent="0.25">
      <c r="AA7066" s="160"/>
      <c r="AB7066" s="162"/>
      <c r="AC7066" s="162"/>
      <c r="AD7066" s="162">
        <f t="shared" si="130"/>
        <v>0</v>
      </c>
      <c r="AE7066" s="160">
        <v>7064</v>
      </c>
    </row>
    <row r="7067" spans="27:31" x14ac:dyDescent="0.25">
      <c r="AA7067" s="160"/>
      <c r="AB7067" s="162"/>
      <c r="AC7067" s="162"/>
      <c r="AD7067" s="162">
        <f t="shared" si="130"/>
        <v>0</v>
      </c>
      <c r="AE7067" s="160">
        <v>7065</v>
      </c>
    </row>
    <row r="7068" spans="27:31" x14ac:dyDescent="0.25">
      <c r="AA7068" s="160"/>
      <c r="AB7068" s="162"/>
      <c r="AC7068" s="162"/>
      <c r="AD7068" s="162">
        <f t="shared" si="130"/>
        <v>0</v>
      </c>
      <c r="AE7068" s="160">
        <v>7066</v>
      </c>
    </row>
    <row r="7069" spans="27:31" x14ac:dyDescent="0.25">
      <c r="AA7069" s="160"/>
      <c r="AB7069" s="162"/>
      <c r="AC7069" s="162"/>
      <c r="AD7069" s="162">
        <f t="shared" si="130"/>
        <v>0</v>
      </c>
      <c r="AE7069" s="160">
        <v>7067</v>
      </c>
    </row>
    <row r="7070" spans="27:31" x14ac:dyDescent="0.25">
      <c r="AA7070" s="160"/>
      <c r="AB7070" s="162"/>
      <c r="AC7070" s="162"/>
      <c r="AD7070" s="162">
        <f t="shared" si="130"/>
        <v>0</v>
      </c>
      <c r="AE7070" s="160">
        <v>7068</v>
      </c>
    </row>
    <row r="7071" spans="27:31" x14ac:dyDescent="0.25">
      <c r="AA7071" s="160"/>
      <c r="AB7071" s="162"/>
      <c r="AC7071" s="162"/>
      <c r="AD7071" s="162">
        <f t="shared" si="130"/>
        <v>0</v>
      </c>
      <c r="AE7071" s="160">
        <v>7069</v>
      </c>
    </row>
    <row r="7072" spans="27:31" x14ac:dyDescent="0.25">
      <c r="AA7072" s="160"/>
      <c r="AB7072" s="162"/>
      <c r="AC7072" s="162"/>
      <c r="AD7072" s="162">
        <f t="shared" si="130"/>
        <v>0</v>
      </c>
      <c r="AE7072" s="160">
        <v>7070</v>
      </c>
    </row>
    <row r="7073" spans="27:31" x14ac:dyDescent="0.25">
      <c r="AA7073" s="160"/>
      <c r="AB7073" s="162"/>
      <c r="AC7073" s="162"/>
      <c r="AD7073" s="162">
        <f t="shared" si="130"/>
        <v>0</v>
      </c>
      <c r="AE7073" s="160">
        <v>7071</v>
      </c>
    </row>
    <row r="7074" spans="27:31" x14ac:dyDescent="0.25">
      <c r="AA7074" s="160"/>
      <c r="AB7074" s="162"/>
      <c r="AC7074" s="162"/>
      <c r="AD7074" s="162">
        <f t="shared" si="130"/>
        <v>0</v>
      </c>
      <c r="AE7074" s="160">
        <v>7072</v>
      </c>
    </row>
    <row r="7075" spans="27:31" x14ac:dyDescent="0.25">
      <c r="AA7075" s="160"/>
      <c r="AB7075" s="162"/>
      <c r="AC7075" s="162"/>
      <c r="AD7075" s="162">
        <f t="shared" si="130"/>
        <v>0</v>
      </c>
      <c r="AE7075" s="160">
        <v>7073</v>
      </c>
    </row>
    <row r="7076" spans="27:31" x14ac:dyDescent="0.25">
      <c r="AA7076" s="160"/>
      <c r="AB7076" s="162"/>
      <c r="AC7076" s="162"/>
      <c r="AD7076" s="162">
        <f t="shared" si="130"/>
        <v>0</v>
      </c>
      <c r="AE7076" s="160">
        <v>7074</v>
      </c>
    </row>
    <row r="7077" spans="27:31" x14ac:dyDescent="0.25">
      <c r="AA7077" s="160"/>
      <c r="AB7077" s="162"/>
      <c r="AC7077" s="162"/>
      <c r="AD7077" s="162">
        <f t="shared" si="130"/>
        <v>0</v>
      </c>
      <c r="AE7077" s="160">
        <v>7075</v>
      </c>
    </row>
    <row r="7078" spans="27:31" x14ac:dyDescent="0.25">
      <c r="AA7078" s="160"/>
      <c r="AB7078" s="162"/>
      <c r="AC7078" s="162"/>
      <c r="AD7078" s="162">
        <f t="shared" si="130"/>
        <v>0</v>
      </c>
      <c r="AE7078" s="160">
        <v>7076</v>
      </c>
    </row>
    <row r="7079" spans="27:31" x14ac:dyDescent="0.25">
      <c r="AA7079" s="160"/>
      <c r="AB7079" s="162"/>
      <c r="AC7079" s="162"/>
      <c r="AD7079" s="162">
        <f t="shared" si="130"/>
        <v>0</v>
      </c>
      <c r="AE7079" s="160">
        <v>7077</v>
      </c>
    </row>
    <row r="7080" spans="27:31" x14ac:dyDescent="0.25">
      <c r="AA7080" s="160"/>
      <c r="AB7080" s="162"/>
      <c r="AC7080" s="162"/>
      <c r="AD7080" s="162">
        <f t="shared" si="130"/>
        <v>0</v>
      </c>
      <c r="AE7080" s="160">
        <v>7078</v>
      </c>
    </row>
    <row r="7081" spans="27:31" x14ac:dyDescent="0.25">
      <c r="AA7081" s="160"/>
      <c r="AB7081" s="162"/>
      <c r="AC7081" s="162"/>
      <c r="AD7081" s="162">
        <f t="shared" si="130"/>
        <v>0</v>
      </c>
      <c r="AE7081" s="160">
        <v>7079</v>
      </c>
    </row>
    <row r="7082" spans="27:31" x14ac:dyDescent="0.25">
      <c r="AA7082" s="160"/>
      <c r="AB7082" s="162"/>
      <c r="AC7082" s="162"/>
      <c r="AD7082" s="162">
        <f t="shared" si="130"/>
        <v>0</v>
      </c>
      <c r="AE7082" s="160">
        <v>7080</v>
      </c>
    </row>
    <row r="7083" spans="27:31" x14ac:dyDescent="0.25">
      <c r="AA7083" s="160"/>
      <c r="AB7083" s="162"/>
      <c r="AC7083" s="162"/>
      <c r="AD7083" s="162">
        <f t="shared" si="130"/>
        <v>0</v>
      </c>
      <c r="AE7083" s="160">
        <v>7081</v>
      </c>
    </row>
    <row r="7084" spans="27:31" x14ac:dyDescent="0.25">
      <c r="AA7084" s="160"/>
      <c r="AB7084" s="162"/>
      <c r="AC7084" s="162"/>
      <c r="AD7084" s="162">
        <f t="shared" si="130"/>
        <v>0</v>
      </c>
      <c r="AE7084" s="160">
        <v>7082</v>
      </c>
    </row>
    <row r="7085" spans="27:31" x14ac:dyDescent="0.25">
      <c r="AA7085" s="160"/>
      <c r="AB7085" s="162"/>
      <c r="AC7085" s="162"/>
      <c r="AD7085" s="162">
        <f t="shared" si="130"/>
        <v>0</v>
      </c>
      <c r="AE7085" s="160">
        <v>7083</v>
      </c>
    </row>
    <row r="7086" spans="27:31" x14ac:dyDescent="0.25">
      <c r="AA7086" s="160"/>
      <c r="AB7086" s="162"/>
      <c r="AC7086" s="162"/>
      <c r="AD7086" s="162">
        <f t="shared" si="130"/>
        <v>0</v>
      </c>
      <c r="AE7086" s="160">
        <v>7084</v>
      </c>
    </row>
    <row r="7087" spans="27:31" x14ac:dyDescent="0.25">
      <c r="AA7087" s="160"/>
      <c r="AB7087" s="162"/>
      <c r="AC7087" s="162"/>
      <c r="AD7087" s="162">
        <f t="shared" si="130"/>
        <v>0</v>
      </c>
      <c r="AE7087" s="160">
        <v>7085</v>
      </c>
    </row>
    <row r="7088" spans="27:31" x14ac:dyDescent="0.25">
      <c r="AA7088" s="160"/>
      <c r="AB7088" s="162"/>
      <c r="AC7088" s="162"/>
      <c r="AD7088" s="162">
        <f t="shared" si="130"/>
        <v>0</v>
      </c>
      <c r="AE7088" s="160">
        <v>7086</v>
      </c>
    </row>
    <row r="7089" spans="27:31" x14ac:dyDescent="0.25">
      <c r="AA7089" s="160"/>
      <c r="AB7089" s="162"/>
      <c r="AC7089" s="162"/>
      <c r="AD7089" s="162">
        <f t="shared" si="130"/>
        <v>0</v>
      </c>
      <c r="AE7089" s="160">
        <v>7087</v>
      </c>
    </row>
    <row r="7090" spans="27:31" x14ac:dyDescent="0.25">
      <c r="AA7090" s="160"/>
      <c r="AB7090" s="162"/>
      <c r="AC7090" s="162"/>
      <c r="AD7090" s="162">
        <f t="shared" si="130"/>
        <v>0</v>
      </c>
      <c r="AE7090" s="160">
        <v>7088</v>
      </c>
    </row>
    <row r="7091" spans="27:31" x14ac:dyDescent="0.25">
      <c r="AA7091" s="160"/>
      <c r="AB7091" s="162"/>
      <c r="AC7091" s="162"/>
      <c r="AD7091" s="162">
        <f t="shared" si="130"/>
        <v>0</v>
      </c>
      <c r="AE7091" s="160">
        <v>7089</v>
      </c>
    </row>
    <row r="7092" spans="27:31" x14ac:dyDescent="0.25">
      <c r="AA7092" s="160"/>
      <c r="AB7092" s="162"/>
      <c r="AC7092" s="162"/>
      <c r="AD7092" s="162">
        <f t="shared" si="130"/>
        <v>0</v>
      </c>
      <c r="AE7092" s="160">
        <v>7090</v>
      </c>
    </row>
    <row r="7093" spans="27:31" x14ac:dyDescent="0.25">
      <c r="AA7093" s="160"/>
      <c r="AB7093" s="162"/>
      <c r="AC7093" s="162"/>
      <c r="AD7093" s="162">
        <f t="shared" si="130"/>
        <v>0</v>
      </c>
      <c r="AE7093" s="160">
        <v>7091</v>
      </c>
    </row>
    <row r="7094" spans="27:31" x14ac:dyDescent="0.25">
      <c r="AA7094" s="160"/>
      <c r="AB7094" s="162"/>
      <c r="AC7094" s="162"/>
      <c r="AD7094" s="162">
        <f t="shared" si="130"/>
        <v>0</v>
      </c>
      <c r="AE7094" s="160">
        <v>7092</v>
      </c>
    </row>
    <row r="7095" spans="27:31" x14ac:dyDescent="0.25">
      <c r="AA7095" s="160"/>
      <c r="AB7095" s="162"/>
      <c r="AC7095" s="162"/>
      <c r="AD7095" s="162">
        <f t="shared" si="130"/>
        <v>0</v>
      </c>
      <c r="AE7095" s="160">
        <v>7093</v>
      </c>
    </row>
    <row r="7096" spans="27:31" x14ac:dyDescent="0.25">
      <c r="AA7096" s="160"/>
      <c r="AB7096" s="162"/>
      <c r="AC7096" s="162"/>
      <c r="AD7096" s="162">
        <f t="shared" si="130"/>
        <v>0</v>
      </c>
      <c r="AE7096" s="160">
        <v>7094</v>
      </c>
    </row>
    <row r="7097" spans="27:31" x14ac:dyDescent="0.25">
      <c r="AA7097" s="160"/>
      <c r="AB7097" s="162"/>
      <c r="AC7097" s="162"/>
      <c r="AD7097" s="162">
        <f t="shared" si="130"/>
        <v>0</v>
      </c>
      <c r="AE7097" s="160">
        <v>7095</v>
      </c>
    </row>
    <row r="7098" spans="27:31" x14ac:dyDescent="0.25">
      <c r="AA7098" s="160"/>
      <c r="AB7098" s="162"/>
      <c r="AC7098" s="162"/>
      <c r="AD7098" s="162">
        <f t="shared" si="130"/>
        <v>0</v>
      </c>
      <c r="AE7098" s="160">
        <v>7096</v>
      </c>
    </row>
    <row r="7099" spans="27:31" x14ac:dyDescent="0.25">
      <c r="AA7099" s="160"/>
      <c r="AB7099" s="162"/>
      <c r="AC7099" s="162"/>
      <c r="AD7099" s="162">
        <f t="shared" si="130"/>
        <v>0</v>
      </c>
      <c r="AE7099" s="160">
        <v>7097</v>
      </c>
    </row>
    <row r="7100" spans="27:31" x14ac:dyDescent="0.25">
      <c r="AA7100" s="160"/>
      <c r="AB7100" s="162"/>
      <c r="AC7100" s="162"/>
      <c r="AD7100" s="162">
        <f t="shared" si="130"/>
        <v>0</v>
      </c>
      <c r="AE7100" s="160">
        <v>7098</v>
      </c>
    </row>
    <row r="7101" spans="27:31" x14ac:dyDescent="0.25">
      <c r="AA7101" s="160"/>
      <c r="AB7101" s="162"/>
      <c r="AC7101" s="162"/>
      <c r="AD7101" s="162">
        <f t="shared" si="130"/>
        <v>0</v>
      </c>
      <c r="AE7101" s="160">
        <v>7099</v>
      </c>
    </row>
    <row r="7102" spans="27:31" x14ac:dyDescent="0.25">
      <c r="AA7102" s="160"/>
      <c r="AB7102" s="162"/>
      <c r="AC7102" s="162"/>
      <c r="AD7102" s="162">
        <f t="shared" si="130"/>
        <v>0</v>
      </c>
      <c r="AE7102" s="160">
        <v>7100</v>
      </c>
    </row>
    <row r="7103" spans="27:31" x14ac:dyDescent="0.25">
      <c r="AA7103" s="160"/>
      <c r="AB7103" s="162"/>
      <c r="AC7103" s="162"/>
      <c r="AD7103" s="162">
        <f t="shared" si="130"/>
        <v>0</v>
      </c>
      <c r="AE7103" s="160">
        <v>7101</v>
      </c>
    </row>
    <row r="7104" spans="27:31" x14ac:dyDescent="0.25">
      <c r="AA7104" s="160"/>
      <c r="AB7104" s="162"/>
      <c r="AC7104" s="162"/>
      <c r="AD7104" s="162">
        <f t="shared" si="130"/>
        <v>0</v>
      </c>
      <c r="AE7104" s="160">
        <v>7102</v>
      </c>
    </row>
    <row r="7105" spans="27:31" x14ac:dyDescent="0.25">
      <c r="AA7105" s="160"/>
      <c r="AB7105" s="162"/>
      <c r="AC7105" s="162"/>
      <c r="AD7105" s="162">
        <f t="shared" si="130"/>
        <v>0</v>
      </c>
      <c r="AE7105" s="160">
        <v>7103</v>
      </c>
    </row>
    <row r="7106" spans="27:31" x14ac:dyDescent="0.25">
      <c r="AA7106" s="160"/>
      <c r="AB7106" s="162"/>
      <c r="AC7106" s="162"/>
      <c r="AD7106" s="162">
        <f t="shared" si="130"/>
        <v>0</v>
      </c>
      <c r="AE7106" s="160">
        <v>7104</v>
      </c>
    </row>
    <row r="7107" spans="27:31" x14ac:dyDescent="0.25">
      <c r="AA7107" s="160"/>
      <c r="AB7107" s="162"/>
      <c r="AC7107" s="162"/>
      <c r="AD7107" s="162">
        <f t="shared" si="130"/>
        <v>0</v>
      </c>
      <c r="AE7107" s="160">
        <v>7105</v>
      </c>
    </row>
    <row r="7108" spans="27:31" x14ac:dyDescent="0.25">
      <c r="AA7108" s="160"/>
      <c r="AB7108" s="162"/>
      <c r="AC7108" s="162"/>
      <c r="AD7108" s="162">
        <f t="shared" ref="AD7108:AD7171" si="131">AB7108+AC7108</f>
        <v>0</v>
      </c>
      <c r="AE7108" s="160">
        <v>7106</v>
      </c>
    </row>
    <row r="7109" spans="27:31" x14ac:dyDescent="0.25">
      <c r="AA7109" s="160"/>
      <c r="AB7109" s="162"/>
      <c r="AC7109" s="162"/>
      <c r="AD7109" s="162">
        <f t="shared" si="131"/>
        <v>0</v>
      </c>
      <c r="AE7109" s="160">
        <v>7107</v>
      </c>
    </row>
    <row r="7110" spans="27:31" x14ac:dyDescent="0.25">
      <c r="AA7110" s="160"/>
      <c r="AB7110" s="162"/>
      <c r="AC7110" s="162"/>
      <c r="AD7110" s="162">
        <f t="shared" si="131"/>
        <v>0</v>
      </c>
      <c r="AE7110" s="160">
        <v>7108</v>
      </c>
    </row>
    <row r="7111" spans="27:31" x14ac:dyDescent="0.25">
      <c r="AA7111" s="160"/>
      <c r="AB7111" s="162"/>
      <c r="AC7111" s="162"/>
      <c r="AD7111" s="162">
        <f t="shared" si="131"/>
        <v>0</v>
      </c>
      <c r="AE7111" s="160">
        <v>7109</v>
      </c>
    </row>
    <row r="7112" spans="27:31" x14ac:dyDescent="0.25">
      <c r="AA7112" s="160"/>
      <c r="AB7112" s="162"/>
      <c r="AC7112" s="162"/>
      <c r="AD7112" s="162">
        <f t="shared" si="131"/>
        <v>0</v>
      </c>
      <c r="AE7112" s="160">
        <v>7110</v>
      </c>
    </row>
    <row r="7113" spans="27:31" x14ac:dyDescent="0.25">
      <c r="AA7113" s="160"/>
      <c r="AB7113" s="162"/>
      <c r="AC7113" s="162"/>
      <c r="AD7113" s="162">
        <f t="shared" si="131"/>
        <v>0</v>
      </c>
      <c r="AE7113" s="160">
        <v>7111</v>
      </c>
    </row>
    <row r="7114" spans="27:31" x14ac:dyDescent="0.25">
      <c r="AA7114" s="160"/>
      <c r="AB7114" s="162"/>
      <c r="AC7114" s="162"/>
      <c r="AD7114" s="162">
        <f t="shared" si="131"/>
        <v>0</v>
      </c>
      <c r="AE7114" s="160">
        <v>7112</v>
      </c>
    </row>
    <row r="7115" spans="27:31" x14ac:dyDescent="0.25">
      <c r="AA7115" s="160"/>
      <c r="AB7115" s="162"/>
      <c r="AC7115" s="162"/>
      <c r="AD7115" s="162">
        <f t="shared" si="131"/>
        <v>0</v>
      </c>
      <c r="AE7115" s="160">
        <v>7113</v>
      </c>
    </row>
    <row r="7116" spans="27:31" x14ac:dyDescent="0.25">
      <c r="AA7116" s="160"/>
      <c r="AB7116" s="162"/>
      <c r="AC7116" s="162"/>
      <c r="AD7116" s="162">
        <f t="shared" si="131"/>
        <v>0</v>
      </c>
      <c r="AE7116" s="160">
        <v>7114</v>
      </c>
    </row>
    <row r="7117" spans="27:31" x14ac:dyDescent="0.25">
      <c r="AA7117" s="160"/>
      <c r="AB7117" s="162"/>
      <c r="AC7117" s="162"/>
      <c r="AD7117" s="162">
        <f t="shared" si="131"/>
        <v>0</v>
      </c>
      <c r="AE7117" s="160">
        <v>7115</v>
      </c>
    </row>
    <row r="7118" spans="27:31" x14ac:dyDescent="0.25">
      <c r="AA7118" s="160"/>
      <c r="AB7118" s="162"/>
      <c r="AC7118" s="162"/>
      <c r="AD7118" s="162">
        <f t="shared" si="131"/>
        <v>0</v>
      </c>
      <c r="AE7118" s="160">
        <v>7116</v>
      </c>
    </row>
    <row r="7119" spans="27:31" x14ac:dyDescent="0.25">
      <c r="AA7119" s="160"/>
      <c r="AB7119" s="162"/>
      <c r="AC7119" s="162"/>
      <c r="AD7119" s="162">
        <f t="shared" si="131"/>
        <v>0</v>
      </c>
      <c r="AE7119" s="160">
        <v>7117</v>
      </c>
    </row>
    <row r="7120" spans="27:31" x14ac:dyDescent="0.25">
      <c r="AA7120" s="160"/>
      <c r="AB7120" s="162"/>
      <c r="AC7120" s="162"/>
      <c r="AD7120" s="162">
        <f t="shared" si="131"/>
        <v>0</v>
      </c>
      <c r="AE7120" s="160">
        <v>7118</v>
      </c>
    </row>
    <row r="7121" spans="27:31" x14ac:dyDescent="0.25">
      <c r="AA7121" s="160"/>
      <c r="AB7121" s="162"/>
      <c r="AC7121" s="162"/>
      <c r="AD7121" s="162">
        <f t="shared" si="131"/>
        <v>0</v>
      </c>
      <c r="AE7121" s="160">
        <v>7119</v>
      </c>
    </row>
    <row r="7122" spans="27:31" x14ac:dyDescent="0.25">
      <c r="AA7122" s="160"/>
      <c r="AB7122" s="162"/>
      <c r="AC7122" s="162"/>
      <c r="AD7122" s="162">
        <f t="shared" si="131"/>
        <v>0</v>
      </c>
      <c r="AE7122" s="160">
        <v>7120</v>
      </c>
    </row>
    <row r="7123" spans="27:31" x14ac:dyDescent="0.25">
      <c r="AA7123" s="160"/>
      <c r="AB7123" s="162"/>
      <c r="AC7123" s="162"/>
      <c r="AD7123" s="162">
        <f t="shared" si="131"/>
        <v>0</v>
      </c>
      <c r="AE7123" s="160">
        <v>7121</v>
      </c>
    </row>
    <row r="7124" spans="27:31" x14ac:dyDescent="0.25">
      <c r="AA7124" s="160"/>
      <c r="AB7124" s="162"/>
      <c r="AC7124" s="162"/>
      <c r="AD7124" s="162">
        <f t="shared" si="131"/>
        <v>0</v>
      </c>
      <c r="AE7124" s="160">
        <v>7122</v>
      </c>
    </row>
    <row r="7125" spans="27:31" x14ac:dyDescent="0.25">
      <c r="AA7125" s="160"/>
      <c r="AB7125" s="162"/>
      <c r="AC7125" s="162"/>
      <c r="AD7125" s="162">
        <f t="shared" si="131"/>
        <v>0</v>
      </c>
      <c r="AE7125" s="160">
        <v>7123</v>
      </c>
    </row>
    <row r="7126" spans="27:31" x14ac:dyDescent="0.25">
      <c r="AA7126" s="160"/>
      <c r="AB7126" s="162"/>
      <c r="AC7126" s="162"/>
      <c r="AD7126" s="162">
        <f t="shared" si="131"/>
        <v>0</v>
      </c>
      <c r="AE7126" s="160">
        <v>7124</v>
      </c>
    </row>
    <row r="7127" spans="27:31" x14ac:dyDescent="0.25">
      <c r="AA7127" s="160"/>
      <c r="AB7127" s="162"/>
      <c r="AC7127" s="162"/>
      <c r="AD7127" s="162">
        <f t="shared" si="131"/>
        <v>0</v>
      </c>
      <c r="AE7127" s="160">
        <v>7125</v>
      </c>
    </row>
    <row r="7128" spans="27:31" x14ac:dyDescent="0.25">
      <c r="AA7128" s="160"/>
      <c r="AB7128" s="162"/>
      <c r="AC7128" s="162"/>
      <c r="AD7128" s="162">
        <f t="shared" si="131"/>
        <v>0</v>
      </c>
      <c r="AE7128" s="160">
        <v>7126</v>
      </c>
    </row>
    <row r="7129" spans="27:31" x14ac:dyDescent="0.25">
      <c r="AA7129" s="160"/>
      <c r="AB7129" s="162"/>
      <c r="AC7129" s="162"/>
      <c r="AD7129" s="162">
        <f t="shared" si="131"/>
        <v>0</v>
      </c>
      <c r="AE7129" s="160">
        <v>7127</v>
      </c>
    </row>
    <row r="7130" spans="27:31" x14ac:dyDescent="0.25">
      <c r="AA7130" s="160"/>
      <c r="AB7130" s="162"/>
      <c r="AC7130" s="162"/>
      <c r="AD7130" s="162">
        <f t="shared" si="131"/>
        <v>0</v>
      </c>
      <c r="AE7130" s="160">
        <v>7128</v>
      </c>
    </row>
    <row r="7131" spans="27:31" x14ac:dyDescent="0.25">
      <c r="AA7131" s="160"/>
      <c r="AB7131" s="162"/>
      <c r="AC7131" s="162"/>
      <c r="AD7131" s="162">
        <f t="shared" si="131"/>
        <v>0</v>
      </c>
      <c r="AE7131" s="160">
        <v>7129</v>
      </c>
    </row>
    <row r="7132" spans="27:31" x14ac:dyDescent="0.25">
      <c r="AA7132" s="160"/>
      <c r="AB7132" s="162"/>
      <c r="AC7132" s="162"/>
      <c r="AD7132" s="162">
        <f t="shared" si="131"/>
        <v>0</v>
      </c>
      <c r="AE7132" s="160">
        <v>7130</v>
      </c>
    </row>
    <row r="7133" spans="27:31" x14ac:dyDescent="0.25">
      <c r="AA7133" s="160"/>
      <c r="AB7133" s="162"/>
      <c r="AC7133" s="162"/>
      <c r="AD7133" s="162">
        <f t="shared" si="131"/>
        <v>0</v>
      </c>
      <c r="AE7133" s="160">
        <v>7131</v>
      </c>
    </row>
    <row r="7134" spans="27:31" x14ac:dyDescent="0.25">
      <c r="AA7134" s="160"/>
      <c r="AB7134" s="162"/>
      <c r="AC7134" s="162"/>
      <c r="AD7134" s="162">
        <f t="shared" si="131"/>
        <v>0</v>
      </c>
      <c r="AE7134" s="160">
        <v>7132</v>
      </c>
    </row>
    <row r="7135" spans="27:31" x14ac:dyDescent="0.25">
      <c r="AA7135" s="160"/>
      <c r="AB7135" s="162"/>
      <c r="AC7135" s="162"/>
      <c r="AD7135" s="162">
        <f t="shared" si="131"/>
        <v>0</v>
      </c>
      <c r="AE7135" s="160">
        <v>7133</v>
      </c>
    </row>
    <row r="7136" spans="27:31" x14ac:dyDescent="0.25">
      <c r="AA7136" s="160"/>
      <c r="AB7136" s="162"/>
      <c r="AC7136" s="162"/>
      <c r="AD7136" s="162">
        <f t="shared" si="131"/>
        <v>0</v>
      </c>
      <c r="AE7136" s="160">
        <v>7134</v>
      </c>
    </row>
    <row r="7137" spans="27:31" x14ac:dyDescent="0.25">
      <c r="AA7137" s="160"/>
      <c r="AB7137" s="162"/>
      <c r="AC7137" s="162"/>
      <c r="AD7137" s="162">
        <f t="shared" si="131"/>
        <v>0</v>
      </c>
      <c r="AE7137" s="160">
        <v>7135</v>
      </c>
    </row>
    <row r="7138" spans="27:31" x14ac:dyDescent="0.25">
      <c r="AA7138" s="160"/>
      <c r="AB7138" s="162"/>
      <c r="AC7138" s="162"/>
      <c r="AD7138" s="162">
        <f t="shared" si="131"/>
        <v>0</v>
      </c>
      <c r="AE7138" s="160">
        <v>7136</v>
      </c>
    </row>
    <row r="7139" spans="27:31" x14ac:dyDescent="0.25">
      <c r="AA7139" s="160"/>
      <c r="AB7139" s="162"/>
      <c r="AC7139" s="162"/>
      <c r="AD7139" s="162">
        <f t="shared" si="131"/>
        <v>0</v>
      </c>
      <c r="AE7139" s="160">
        <v>7137</v>
      </c>
    </row>
    <row r="7140" spans="27:31" x14ac:dyDescent="0.25">
      <c r="AA7140" s="160"/>
      <c r="AB7140" s="162"/>
      <c r="AC7140" s="162"/>
      <c r="AD7140" s="162">
        <f t="shared" si="131"/>
        <v>0</v>
      </c>
      <c r="AE7140" s="160">
        <v>7138</v>
      </c>
    </row>
    <row r="7141" spans="27:31" x14ac:dyDescent="0.25">
      <c r="AA7141" s="160"/>
      <c r="AB7141" s="162"/>
      <c r="AC7141" s="162"/>
      <c r="AD7141" s="162">
        <f t="shared" si="131"/>
        <v>0</v>
      </c>
      <c r="AE7141" s="160">
        <v>7139</v>
      </c>
    </row>
    <row r="7142" spans="27:31" x14ac:dyDescent="0.25">
      <c r="AA7142" s="160"/>
      <c r="AB7142" s="162"/>
      <c r="AC7142" s="162"/>
      <c r="AD7142" s="162">
        <f t="shared" si="131"/>
        <v>0</v>
      </c>
      <c r="AE7142" s="160">
        <v>7140</v>
      </c>
    </row>
    <row r="7143" spans="27:31" x14ac:dyDescent="0.25">
      <c r="AA7143" s="160"/>
      <c r="AB7143" s="162"/>
      <c r="AC7143" s="162"/>
      <c r="AD7143" s="162">
        <f t="shared" si="131"/>
        <v>0</v>
      </c>
      <c r="AE7143" s="160">
        <v>7141</v>
      </c>
    </row>
    <row r="7144" spans="27:31" x14ac:dyDescent="0.25">
      <c r="AA7144" s="160"/>
      <c r="AB7144" s="162"/>
      <c r="AC7144" s="162"/>
      <c r="AD7144" s="162">
        <f t="shared" si="131"/>
        <v>0</v>
      </c>
      <c r="AE7144" s="160">
        <v>7142</v>
      </c>
    </row>
    <row r="7145" spans="27:31" x14ac:dyDescent="0.25">
      <c r="AA7145" s="160"/>
      <c r="AB7145" s="162"/>
      <c r="AC7145" s="162"/>
      <c r="AD7145" s="162">
        <f t="shared" si="131"/>
        <v>0</v>
      </c>
      <c r="AE7145" s="160">
        <v>7143</v>
      </c>
    </row>
    <row r="7146" spans="27:31" x14ac:dyDescent="0.25">
      <c r="AA7146" s="160"/>
      <c r="AB7146" s="162"/>
      <c r="AC7146" s="162"/>
      <c r="AD7146" s="162">
        <f t="shared" si="131"/>
        <v>0</v>
      </c>
      <c r="AE7146" s="160">
        <v>7144</v>
      </c>
    </row>
    <row r="7147" spans="27:31" x14ac:dyDescent="0.25">
      <c r="AA7147" s="160"/>
      <c r="AB7147" s="162"/>
      <c r="AC7147" s="162"/>
      <c r="AD7147" s="162">
        <f t="shared" si="131"/>
        <v>0</v>
      </c>
      <c r="AE7147" s="160">
        <v>7145</v>
      </c>
    </row>
    <row r="7148" spans="27:31" x14ac:dyDescent="0.25">
      <c r="AA7148" s="160"/>
      <c r="AB7148" s="162"/>
      <c r="AC7148" s="162"/>
      <c r="AD7148" s="162">
        <f t="shared" si="131"/>
        <v>0</v>
      </c>
      <c r="AE7148" s="160">
        <v>7146</v>
      </c>
    </row>
    <row r="7149" spans="27:31" x14ac:dyDescent="0.25">
      <c r="AA7149" s="160"/>
      <c r="AB7149" s="162"/>
      <c r="AC7149" s="162"/>
      <c r="AD7149" s="162">
        <f t="shared" si="131"/>
        <v>0</v>
      </c>
      <c r="AE7149" s="160">
        <v>7147</v>
      </c>
    </row>
    <row r="7150" spans="27:31" x14ac:dyDescent="0.25">
      <c r="AA7150" s="160"/>
      <c r="AB7150" s="162"/>
      <c r="AC7150" s="162"/>
      <c r="AD7150" s="162">
        <f t="shared" si="131"/>
        <v>0</v>
      </c>
      <c r="AE7150" s="160">
        <v>7148</v>
      </c>
    </row>
    <row r="7151" spans="27:31" x14ac:dyDescent="0.25">
      <c r="AA7151" s="160"/>
      <c r="AB7151" s="162"/>
      <c r="AC7151" s="162"/>
      <c r="AD7151" s="162">
        <f t="shared" si="131"/>
        <v>0</v>
      </c>
      <c r="AE7151" s="160">
        <v>7149</v>
      </c>
    </row>
    <row r="7152" spans="27:31" x14ac:dyDescent="0.25">
      <c r="AA7152" s="160"/>
      <c r="AB7152" s="162"/>
      <c r="AC7152" s="162"/>
      <c r="AD7152" s="162">
        <f t="shared" si="131"/>
        <v>0</v>
      </c>
      <c r="AE7152" s="160">
        <v>7150</v>
      </c>
    </row>
    <row r="7153" spans="27:31" x14ac:dyDescent="0.25">
      <c r="AA7153" s="160"/>
      <c r="AB7153" s="162"/>
      <c r="AC7153" s="162"/>
      <c r="AD7153" s="162">
        <f t="shared" si="131"/>
        <v>0</v>
      </c>
      <c r="AE7153" s="160">
        <v>7151</v>
      </c>
    </row>
    <row r="7154" spans="27:31" x14ac:dyDescent="0.25">
      <c r="AA7154" s="160"/>
      <c r="AB7154" s="162"/>
      <c r="AC7154" s="162"/>
      <c r="AD7154" s="162">
        <f t="shared" si="131"/>
        <v>0</v>
      </c>
      <c r="AE7154" s="160">
        <v>7152</v>
      </c>
    </row>
    <row r="7155" spans="27:31" x14ac:dyDescent="0.25">
      <c r="AA7155" s="160"/>
      <c r="AB7155" s="162"/>
      <c r="AC7155" s="162"/>
      <c r="AD7155" s="162">
        <f t="shared" si="131"/>
        <v>0</v>
      </c>
      <c r="AE7155" s="160">
        <v>7153</v>
      </c>
    </row>
    <row r="7156" spans="27:31" x14ac:dyDescent="0.25">
      <c r="AA7156" s="160"/>
      <c r="AB7156" s="162"/>
      <c r="AC7156" s="162"/>
      <c r="AD7156" s="162">
        <f t="shared" si="131"/>
        <v>0</v>
      </c>
      <c r="AE7156" s="160">
        <v>7154</v>
      </c>
    </row>
    <row r="7157" spans="27:31" x14ac:dyDescent="0.25">
      <c r="AA7157" s="160"/>
      <c r="AB7157" s="162"/>
      <c r="AC7157" s="162"/>
      <c r="AD7157" s="162">
        <f t="shared" si="131"/>
        <v>0</v>
      </c>
      <c r="AE7157" s="160">
        <v>7155</v>
      </c>
    </row>
    <row r="7158" spans="27:31" x14ac:dyDescent="0.25">
      <c r="AA7158" s="160"/>
      <c r="AB7158" s="162"/>
      <c r="AC7158" s="162"/>
      <c r="AD7158" s="162">
        <f t="shared" si="131"/>
        <v>0</v>
      </c>
      <c r="AE7158" s="160">
        <v>7156</v>
      </c>
    </row>
    <row r="7159" spans="27:31" x14ac:dyDescent="0.25">
      <c r="AA7159" s="160"/>
      <c r="AB7159" s="162"/>
      <c r="AC7159" s="162"/>
      <c r="AD7159" s="162">
        <f t="shared" si="131"/>
        <v>0</v>
      </c>
      <c r="AE7159" s="160">
        <v>7157</v>
      </c>
    </row>
    <row r="7160" spans="27:31" x14ac:dyDescent="0.25">
      <c r="AA7160" s="160"/>
      <c r="AB7160" s="162"/>
      <c r="AC7160" s="162"/>
      <c r="AD7160" s="162">
        <f t="shared" si="131"/>
        <v>0</v>
      </c>
      <c r="AE7160" s="160">
        <v>7158</v>
      </c>
    </row>
    <row r="7161" spans="27:31" x14ac:dyDescent="0.25">
      <c r="AA7161" s="160"/>
      <c r="AB7161" s="162"/>
      <c r="AC7161" s="162"/>
      <c r="AD7161" s="162">
        <f t="shared" si="131"/>
        <v>0</v>
      </c>
      <c r="AE7161" s="160">
        <v>7159</v>
      </c>
    </row>
    <row r="7162" spans="27:31" x14ac:dyDescent="0.25">
      <c r="AA7162" s="160"/>
      <c r="AB7162" s="162"/>
      <c r="AC7162" s="162"/>
      <c r="AD7162" s="162">
        <f t="shared" si="131"/>
        <v>0</v>
      </c>
      <c r="AE7162" s="160">
        <v>7160</v>
      </c>
    </row>
    <row r="7163" spans="27:31" x14ac:dyDescent="0.25">
      <c r="AA7163" s="160"/>
      <c r="AB7163" s="162"/>
      <c r="AC7163" s="162"/>
      <c r="AD7163" s="162">
        <f t="shared" si="131"/>
        <v>0</v>
      </c>
      <c r="AE7163" s="160">
        <v>7161</v>
      </c>
    </row>
    <row r="7164" spans="27:31" x14ac:dyDescent="0.25">
      <c r="AA7164" s="160"/>
      <c r="AB7164" s="162"/>
      <c r="AC7164" s="162"/>
      <c r="AD7164" s="162">
        <f t="shared" si="131"/>
        <v>0</v>
      </c>
      <c r="AE7164" s="160">
        <v>7162</v>
      </c>
    </row>
    <row r="7165" spans="27:31" x14ac:dyDescent="0.25">
      <c r="AA7165" s="160"/>
      <c r="AB7165" s="162"/>
      <c r="AC7165" s="162"/>
      <c r="AD7165" s="162">
        <f t="shared" si="131"/>
        <v>0</v>
      </c>
      <c r="AE7165" s="160">
        <v>7163</v>
      </c>
    </row>
    <row r="7166" spans="27:31" x14ac:dyDescent="0.25">
      <c r="AA7166" s="160"/>
      <c r="AB7166" s="162"/>
      <c r="AC7166" s="162"/>
      <c r="AD7166" s="162">
        <f t="shared" si="131"/>
        <v>0</v>
      </c>
      <c r="AE7166" s="160">
        <v>7164</v>
      </c>
    </row>
    <row r="7167" spans="27:31" x14ac:dyDescent="0.25">
      <c r="AA7167" s="160"/>
      <c r="AB7167" s="162"/>
      <c r="AC7167" s="162"/>
      <c r="AD7167" s="162">
        <f t="shared" si="131"/>
        <v>0</v>
      </c>
      <c r="AE7167" s="160">
        <v>7165</v>
      </c>
    </row>
    <row r="7168" spans="27:31" x14ac:dyDescent="0.25">
      <c r="AA7168" s="160"/>
      <c r="AB7168" s="162"/>
      <c r="AC7168" s="162"/>
      <c r="AD7168" s="162">
        <f t="shared" si="131"/>
        <v>0</v>
      </c>
      <c r="AE7168" s="160">
        <v>7166</v>
      </c>
    </row>
    <row r="7169" spans="27:31" x14ac:dyDescent="0.25">
      <c r="AA7169" s="160"/>
      <c r="AB7169" s="162"/>
      <c r="AC7169" s="162"/>
      <c r="AD7169" s="162">
        <f t="shared" si="131"/>
        <v>0</v>
      </c>
      <c r="AE7169" s="160">
        <v>7167</v>
      </c>
    </row>
    <row r="7170" spans="27:31" x14ac:dyDescent="0.25">
      <c r="AA7170" s="160"/>
      <c r="AB7170" s="162"/>
      <c r="AC7170" s="162"/>
      <c r="AD7170" s="162">
        <f t="shared" si="131"/>
        <v>0</v>
      </c>
      <c r="AE7170" s="160">
        <v>7168</v>
      </c>
    </row>
    <row r="7171" spans="27:31" x14ac:dyDescent="0.25">
      <c r="AA7171" s="160"/>
      <c r="AB7171" s="162"/>
      <c r="AC7171" s="162"/>
      <c r="AD7171" s="162">
        <f t="shared" si="131"/>
        <v>0</v>
      </c>
      <c r="AE7171" s="160">
        <v>7169</v>
      </c>
    </row>
    <row r="7172" spans="27:31" x14ac:dyDescent="0.25">
      <c r="AA7172" s="160"/>
      <c r="AB7172" s="162"/>
      <c r="AC7172" s="162"/>
      <c r="AD7172" s="162">
        <f t="shared" ref="AD7172:AD7235" si="132">AB7172+AC7172</f>
        <v>0</v>
      </c>
      <c r="AE7172" s="160">
        <v>7170</v>
      </c>
    </row>
    <row r="7173" spans="27:31" x14ac:dyDescent="0.25">
      <c r="AA7173" s="160"/>
      <c r="AB7173" s="162"/>
      <c r="AC7173" s="162"/>
      <c r="AD7173" s="162">
        <f t="shared" si="132"/>
        <v>0</v>
      </c>
      <c r="AE7173" s="160">
        <v>7171</v>
      </c>
    </row>
    <row r="7174" spans="27:31" x14ac:dyDescent="0.25">
      <c r="AA7174" s="160"/>
      <c r="AB7174" s="162"/>
      <c r="AC7174" s="162"/>
      <c r="AD7174" s="162">
        <f t="shared" si="132"/>
        <v>0</v>
      </c>
      <c r="AE7174" s="160">
        <v>7172</v>
      </c>
    </row>
    <row r="7175" spans="27:31" x14ac:dyDescent="0.25">
      <c r="AA7175" s="160"/>
      <c r="AB7175" s="162"/>
      <c r="AC7175" s="162"/>
      <c r="AD7175" s="162">
        <f t="shared" si="132"/>
        <v>0</v>
      </c>
      <c r="AE7175" s="160">
        <v>7173</v>
      </c>
    </row>
    <row r="7176" spans="27:31" x14ac:dyDescent="0.25">
      <c r="AA7176" s="160"/>
      <c r="AB7176" s="162"/>
      <c r="AC7176" s="162"/>
      <c r="AD7176" s="162">
        <f t="shared" si="132"/>
        <v>0</v>
      </c>
      <c r="AE7176" s="160">
        <v>7174</v>
      </c>
    </row>
    <row r="7177" spans="27:31" x14ac:dyDescent="0.25">
      <c r="AA7177" s="160"/>
      <c r="AB7177" s="162"/>
      <c r="AC7177" s="162"/>
      <c r="AD7177" s="162">
        <f t="shared" si="132"/>
        <v>0</v>
      </c>
      <c r="AE7177" s="160">
        <v>7175</v>
      </c>
    </row>
    <row r="7178" spans="27:31" x14ac:dyDescent="0.25">
      <c r="AA7178" s="160"/>
      <c r="AB7178" s="162"/>
      <c r="AC7178" s="162"/>
      <c r="AD7178" s="162">
        <f t="shared" si="132"/>
        <v>0</v>
      </c>
      <c r="AE7178" s="160">
        <v>7176</v>
      </c>
    </row>
    <row r="7179" spans="27:31" x14ac:dyDescent="0.25">
      <c r="AA7179" s="160"/>
      <c r="AB7179" s="162"/>
      <c r="AC7179" s="162"/>
      <c r="AD7179" s="162">
        <f t="shared" si="132"/>
        <v>0</v>
      </c>
      <c r="AE7179" s="160">
        <v>7177</v>
      </c>
    </row>
    <row r="7180" spans="27:31" x14ac:dyDescent="0.25">
      <c r="AA7180" s="160"/>
      <c r="AB7180" s="162"/>
      <c r="AC7180" s="162"/>
      <c r="AD7180" s="162">
        <f t="shared" si="132"/>
        <v>0</v>
      </c>
      <c r="AE7180" s="160">
        <v>7178</v>
      </c>
    </row>
    <row r="7181" spans="27:31" x14ac:dyDescent="0.25">
      <c r="AA7181" s="160"/>
      <c r="AB7181" s="162"/>
      <c r="AC7181" s="162"/>
      <c r="AD7181" s="162">
        <f t="shared" si="132"/>
        <v>0</v>
      </c>
      <c r="AE7181" s="160">
        <v>7179</v>
      </c>
    </row>
    <row r="7182" spans="27:31" x14ac:dyDescent="0.25">
      <c r="AA7182" s="160"/>
      <c r="AB7182" s="162"/>
      <c r="AC7182" s="162"/>
      <c r="AD7182" s="162">
        <f t="shared" si="132"/>
        <v>0</v>
      </c>
      <c r="AE7182" s="160">
        <v>7180</v>
      </c>
    </row>
    <row r="7183" spans="27:31" x14ac:dyDescent="0.25">
      <c r="AA7183" s="160"/>
      <c r="AB7183" s="162"/>
      <c r="AC7183" s="162"/>
      <c r="AD7183" s="162">
        <f t="shared" si="132"/>
        <v>0</v>
      </c>
      <c r="AE7183" s="160">
        <v>7181</v>
      </c>
    </row>
    <row r="7184" spans="27:31" x14ac:dyDescent="0.25">
      <c r="AA7184" s="160"/>
      <c r="AB7184" s="162"/>
      <c r="AC7184" s="162"/>
      <c r="AD7184" s="162">
        <f t="shared" si="132"/>
        <v>0</v>
      </c>
      <c r="AE7184" s="160">
        <v>7182</v>
      </c>
    </row>
    <row r="7185" spans="27:31" x14ac:dyDescent="0.25">
      <c r="AA7185" s="160"/>
      <c r="AB7185" s="162"/>
      <c r="AC7185" s="162"/>
      <c r="AD7185" s="162">
        <f t="shared" si="132"/>
        <v>0</v>
      </c>
      <c r="AE7185" s="160">
        <v>7183</v>
      </c>
    </row>
    <row r="7186" spans="27:31" x14ac:dyDescent="0.25">
      <c r="AA7186" s="160"/>
      <c r="AB7186" s="162"/>
      <c r="AC7186" s="162"/>
      <c r="AD7186" s="162">
        <f t="shared" si="132"/>
        <v>0</v>
      </c>
      <c r="AE7186" s="160">
        <v>7184</v>
      </c>
    </row>
    <row r="7187" spans="27:31" x14ac:dyDescent="0.25">
      <c r="AA7187" s="160"/>
      <c r="AB7187" s="162"/>
      <c r="AC7187" s="162"/>
      <c r="AD7187" s="162">
        <f t="shared" si="132"/>
        <v>0</v>
      </c>
      <c r="AE7187" s="160">
        <v>7185</v>
      </c>
    </row>
    <row r="7188" spans="27:31" x14ac:dyDescent="0.25">
      <c r="AA7188" s="160"/>
      <c r="AB7188" s="162"/>
      <c r="AC7188" s="162"/>
      <c r="AD7188" s="162">
        <f t="shared" si="132"/>
        <v>0</v>
      </c>
      <c r="AE7188" s="160">
        <v>7186</v>
      </c>
    </row>
    <row r="7189" spans="27:31" x14ac:dyDescent="0.25">
      <c r="AA7189" s="160"/>
      <c r="AB7189" s="162"/>
      <c r="AC7189" s="162"/>
      <c r="AD7189" s="162">
        <f t="shared" si="132"/>
        <v>0</v>
      </c>
      <c r="AE7189" s="160">
        <v>7187</v>
      </c>
    </row>
    <row r="7190" spans="27:31" x14ac:dyDescent="0.25">
      <c r="AA7190" s="160"/>
      <c r="AB7190" s="162"/>
      <c r="AC7190" s="162"/>
      <c r="AD7190" s="162">
        <f t="shared" si="132"/>
        <v>0</v>
      </c>
      <c r="AE7190" s="160">
        <v>7188</v>
      </c>
    </row>
    <row r="7191" spans="27:31" x14ac:dyDescent="0.25">
      <c r="AA7191" s="160"/>
      <c r="AB7191" s="162"/>
      <c r="AC7191" s="162"/>
      <c r="AD7191" s="162">
        <f t="shared" si="132"/>
        <v>0</v>
      </c>
      <c r="AE7191" s="160">
        <v>7189</v>
      </c>
    </row>
    <row r="7192" spans="27:31" x14ac:dyDescent="0.25">
      <c r="AA7192" s="160"/>
      <c r="AB7192" s="162"/>
      <c r="AC7192" s="162"/>
      <c r="AD7192" s="162">
        <f t="shared" si="132"/>
        <v>0</v>
      </c>
      <c r="AE7192" s="160">
        <v>7190</v>
      </c>
    </row>
    <row r="7193" spans="27:31" x14ac:dyDescent="0.25">
      <c r="AA7193" s="160"/>
      <c r="AB7193" s="162"/>
      <c r="AC7193" s="162"/>
      <c r="AD7193" s="162">
        <f t="shared" si="132"/>
        <v>0</v>
      </c>
      <c r="AE7193" s="160">
        <v>7191</v>
      </c>
    </row>
    <row r="7194" spans="27:31" x14ac:dyDescent="0.25">
      <c r="AA7194" s="160"/>
      <c r="AB7194" s="162"/>
      <c r="AC7194" s="162"/>
      <c r="AD7194" s="162">
        <f t="shared" si="132"/>
        <v>0</v>
      </c>
      <c r="AE7194" s="160">
        <v>7192</v>
      </c>
    </row>
    <row r="7195" spans="27:31" x14ac:dyDescent="0.25">
      <c r="AA7195" s="160"/>
      <c r="AB7195" s="162"/>
      <c r="AC7195" s="162"/>
      <c r="AD7195" s="162">
        <f t="shared" si="132"/>
        <v>0</v>
      </c>
      <c r="AE7195" s="160">
        <v>7193</v>
      </c>
    </row>
    <row r="7196" spans="27:31" x14ac:dyDescent="0.25">
      <c r="AA7196" s="160"/>
      <c r="AB7196" s="162"/>
      <c r="AC7196" s="162"/>
      <c r="AD7196" s="162">
        <f t="shared" si="132"/>
        <v>0</v>
      </c>
      <c r="AE7196" s="160">
        <v>7194</v>
      </c>
    </row>
    <row r="7197" spans="27:31" x14ac:dyDescent="0.25">
      <c r="AA7197" s="160"/>
      <c r="AB7197" s="162"/>
      <c r="AC7197" s="162"/>
      <c r="AD7197" s="162">
        <f t="shared" si="132"/>
        <v>0</v>
      </c>
      <c r="AE7197" s="160">
        <v>7195</v>
      </c>
    </row>
    <row r="7198" spans="27:31" x14ac:dyDescent="0.25">
      <c r="AA7198" s="160"/>
      <c r="AB7198" s="162"/>
      <c r="AC7198" s="162"/>
      <c r="AD7198" s="162">
        <f t="shared" si="132"/>
        <v>0</v>
      </c>
      <c r="AE7198" s="160">
        <v>7196</v>
      </c>
    </row>
    <row r="7199" spans="27:31" x14ac:dyDescent="0.25">
      <c r="AA7199" s="160"/>
      <c r="AB7199" s="162"/>
      <c r="AC7199" s="162"/>
      <c r="AD7199" s="162">
        <f t="shared" si="132"/>
        <v>0</v>
      </c>
      <c r="AE7199" s="160">
        <v>7197</v>
      </c>
    </row>
    <row r="7200" spans="27:31" x14ac:dyDescent="0.25">
      <c r="AA7200" s="160"/>
      <c r="AB7200" s="162"/>
      <c r="AC7200" s="162"/>
      <c r="AD7200" s="162">
        <f t="shared" si="132"/>
        <v>0</v>
      </c>
      <c r="AE7200" s="160">
        <v>7198</v>
      </c>
    </row>
    <row r="7201" spans="27:31" x14ac:dyDescent="0.25">
      <c r="AA7201" s="160"/>
      <c r="AB7201" s="162"/>
      <c r="AC7201" s="162"/>
      <c r="AD7201" s="162">
        <f t="shared" si="132"/>
        <v>0</v>
      </c>
      <c r="AE7201" s="160">
        <v>7199</v>
      </c>
    </row>
    <row r="7202" spans="27:31" x14ac:dyDescent="0.25">
      <c r="AA7202" s="160"/>
      <c r="AB7202" s="162"/>
      <c r="AC7202" s="162"/>
      <c r="AD7202" s="162">
        <f t="shared" si="132"/>
        <v>0</v>
      </c>
      <c r="AE7202" s="160">
        <v>7200</v>
      </c>
    </row>
    <row r="7203" spans="27:31" x14ac:dyDescent="0.25">
      <c r="AA7203" s="160"/>
      <c r="AB7203" s="162"/>
      <c r="AC7203" s="162"/>
      <c r="AD7203" s="162">
        <f t="shared" si="132"/>
        <v>0</v>
      </c>
      <c r="AE7203" s="160">
        <v>7201</v>
      </c>
    </row>
    <row r="7204" spans="27:31" x14ac:dyDescent="0.25">
      <c r="AA7204" s="160"/>
      <c r="AB7204" s="162"/>
      <c r="AC7204" s="162"/>
      <c r="AD7204" s="162">
        <f t="shared" si="132"/>
        <v>0</v>
      </c>
      <c r="AE7204" s="160">
        <v>7202</v>
      </c>
    </row>
    <row r="7205" spans="27:31" x14ac:dyDescent="0.25">
      <c r="AA7205" s="160"/>
      <c r="AB7205" s="162"/>
      <c r="AC7205" s="162"/>
      <c r="AD7205" s="162">
        <f t="shared" si="132"/>
        <v>0</v>
      </c>
      <c r="AE7205" s="160">
        <v>7203</v>
      </c>
    </row>
    <row r="7206" spans="27:31" x14ac:dyDescent="0.25">
      <c r="AA7206" s="160"/>
      <c r="AB7206" s="162"/>
      <c r="AC7206" s="162"/>
      <c r="AD7206" s="162">
        <f t="shared" si="132"/>
        <v>0</v>
      </c>
      <c r="AE7206" s="160">
        <v>7204</v>
      </c>
    </row>
    <row r="7207" spans="27:31" x14ac:dyDescent="0.25">
      <c r="AA7207" s="160"/>
      <c r="AB7207" s="162"/>
      <c r="AC7207" s="162"/>
      <c r="AD7207" s="162">
        <f t="shared" si="132"/>
        <v>0</v>
      </c>
      <c r="AE7207" s="160">
        <v>7205</v>
      </c>
    </row>
    <row r="7208" spans="27:31" x14ac:dyDescent="0.25">
      <c r="AA7208" s="160"/>
      <c r="AB7208" s="162"/>
      <c r="AC7208" s="162"/>
      <c r="AD7208" s="162">
        <f t="shared" si="132"/>
        <v>0</v>
      </c>
      <c r="AE7208" s="160">
        <v>7206</v>
      </c>
    </row>
    <row r="7209" spans="27:31" x14ac:dyDescent="0.25">
      <c r="AA7209" s="160"/>
      <c r="AB7209" s="162"/>
      <c r="AC7209" s="162"/>
      <c r="AD7209" s="162">
        <f t="shared" si="132"/>
        <v>0</v>
      </c>
      <c r="AE7209" s="160">
        <v>7207</v>
      </c>
    </row>
    <row r="7210" spans="27:31" x14ac:dyDescent="0.25">
      <c r="AA7210" s="160"/>
      <c r="AB7210" s="162"/>
      <c r="AC7210" s="162"/>
      <c r="AD7210" s="162">
        <f t="shared" si="132"/>
        <v>0</v>
      </c>
      <c r="AE7210" s="160">
        <v>7208</v>
      </c>
    </row>
    <row r="7211" spans="27:31" x14ac:dyDescent="0.25">
      <c r="AA7211" s="160"/>
      <c r="AB7211" s="162"/>
      <c r="AC7211" s="162"/>
      <c r="AD7211" s="162">
        <f t="shared" si="132"/>
        <v>0</v>
      </c>
      <c r="AE7211" s="160">
        <v>7209</v>
      </c>
    </row>
    <row r="7212" spans="27:31" x14ac:dyDescent="0.25">
      <c r="AA7212" s="160"/>
      <c r="AB7212" s="162"/>
      <c r="AC7212" s="162"/>
      <c r="AD7212" s="162">
        <f t="shared" si="132"/>
        <v>0</v>
      </c>
      <c r="AE7212" s="160">
        <v>7210</v>
      </c>
    </row>
    <row r="7213" spans="27:31" x14ac:dyDescent="0.25">
      <c r="AA7213" s="160"/>
      <c r="AB7213" s="162"/>
      <c r="AC7213" s="162"/>
      <c r="AD7213" s="162">
        <f t="shared" si="132"/>
        <v>0</v>
      </c>
      <c r="AE7213" s="160">
        <v>7211</v>
      </c>
    </row>
    <row r="7214" spans="27:31" x14ac:dyDescent="0.25">
      <c r="AA7214" s="160"/>
      <c r="AB7214" s="162"/>
      <c r="AC7214" s="162"/>
      <c r="AD7214" s="162">
        <f t="shared" si="132"/>
        <v>0</v>
      </c>
      <c r="AE7214" s="160">
        <v>7212</v>
      </c>
    </row>
    <row r="7215" spans="27:31" x14ac:dyDescent="0.25">
      <c r="AA7215" s="160"/>
      <c r="AB7215" s="162"/>
      <c r="AC7215" s="162"/>
      <c r="AD7215" s="162">
        <f t="shared" si="132"/>
        <v>0</v>
      </c>
      <c r="AE7215" s="160">
        <v>7213</v>
      </c>
    </row>
    <row r="7216" spans="27:31" x14ac:dyDescent="0.25">
      <c r="AA7216" s="160"/>
      <c r="AB7216" s="162"/>
      <c r="AC7216" s="162"/>
      <c r="AD7216" s="162">
        <f t="shared" si="132"/>
        <v>0</v>
      </c>
      <c r="AE7216" s="160">
        <v>7214</v>
      </c>
    </row>
    <row r="7217" spans="27:31" x14ac:dyDescent="0.25">
      <c r="AA7217" s="160"/>
      <c r="AB7217" s="162"/>
      <c r="AC7217" s="162"/>
      <c r="AD7217" s="162">
        <f t="shared" si="132"/>
        <v>0</v>
      </c>
      <c r="AE7217" s="160">
        <v>7215</v>
      </c>
    </row>
    <row r="7218" spans="27:31" x14ac:dyDescent="0.25">
      <c r="AA7218" s="160"/>
      <c r="AB7218" s="162"/>
      <c r="AC7218" s="162"/>
      <c r="AD7218" s="162">
        <f t="shared" si="132"/>
        <v>0</v>
      </c>
      <c r="AE7218" s="160">
        <v>7216</v>
      </c>
    </row>
    <row r="7219" spans="27:31" x14ac:dyDescent="0.25">
      <c r="AA7219" s="160"/>
      <c r="AB7219" s="162"/>
      <c r="AC7219" s="162"/>
      <c r="AD7219" s="162">
        <f t="shared" si="132"/>
        <v>0</v>
      </c>
      <c r="AE7219" s="160">
        <v>7217</v>
      </c>
    </row>
    <row r="7220" spans="27:31" x14ac:dyDescent="0.25">
      <c r="AA7220" s="160"/>
      <c r="AB7220" s="162"/>
      <c r="AC7220" s="162"/>
      <c r="AD7220" s="162">
        <f t="shared" si="132"/>
        <v>0</v>
      </c>
      <c r="AE7220" s="160">
        <v>7218</v>
      </c>
    </row>
    <row r="7221" spans="27:31" x14ac:dyDescent="0.25">
      <c r="AA7221" s="160"/>
      <c r="AB7221" s="162"/>
      <c r="AC7221" s="162"/>
      <c r="AD7221" s="162">
        <f t="shared" si="132"/>
        <v>0</v>
      </c>
      <c r="AE7221" s="160">
        <v>7219</v>
      </c>
    </row>
    <row r="7222" spans="27:31" x14ac:dyDescent="0.25">
      <c r="AA7222" s="160"/>
      <c r="AB7222" s="162"/>
      <c r="AC7222" s="162"/>
      <c r="AD7222" s="162">
        <f t="shared" si="132"/>
        <v>0</v>
      </c>
      <c r="AE7222" s="160">
        <v>7220</v>
      </c>
    </row>
    <row r="7223" spans="27:31" x14ac:dyDescent="0.25">
      <c r="AA7223" s="160"/>
      <c r="AB7223" s="162"/>
      <c r="AC7223" s="162"/>
      <c r="AD7223" s="162">
        <f t="shared" si="132"/>
        <v>0</v>
      </c>
      <c r="AE7223" s="160">
        <v>7221</v>
      </c>
    </row>
    <row r="7224" spans="27:31" x14ac:dyDescent="0.25">
      <c r="AA7224" s="160"/>
      <c r="AB7224" s="162"/>
      <c r="AC7224" s="162"/>
      <c r="AD7224" s="162">
        <f t="shared" si="132"/>
        <v>0</v>
      </c>
      <c r="AE7224" s="160">
        <v>7222</v>
      </c>
    </row>
    <row r="7225" spans="27:31" x14ac:dyDescent="0.25">
      <c r="AA7225" s="160"/>
      <c r="AB7225" s="162"/>
      <c r="AC7225" s="162"/>
      <c r="AD7225" s="162">
        <f t="shared" si="132"/>
        <v>0</v>
      </c>
      <c r="AE7225" s="160">
        <v>7223</v>
      </c>
    </row>
    <row r="7226" spans="27:31" x14ac:dyDescent="0.25">
      <c r="AA7226" s="160"/>
      <c r="AB7226" s="162"/>
      <c r="AC7226" s="162"/>
      <c r="AD7226" s="162">
        <f t="shared" si="132"/>
        <v>0</v>
      </c>
      <c r="AE7226" s="160">
        <v>7224</v>
      </c>
    </row>
    <row r="7227" spans="27:31" x14ac:dyDescent="0.25">
      <c r="AA7227" s="160"/>
      <c r="AB7227" s="162"/>
      <c r="AC7227" s="162"/>
      <c r="AD7227" s="162">
        <f t="shared" si="132"/>
        <v>0</v>
      </c>
      <c r="AE7227" s="160">
        <v>7225</v>
      </c>
    </row>
    <row r="7228" spans="27:31" x14ac:dyDescent="0.25">
      <c r="AA7228" s="160"/>
      <c r="AB7228" s="162"/>
      <c r="AC7228" s="162"/>
      <c r="AD7228" s="162">
        <f t="shared" si="132"/>
        <v>0</v>
      </c>
      <c r="AE7228" s="160">
        <v>7226</v>
      </c>
    </row>
    <row r="7229" spans="27:31" x14ac:dyDescent="0.25">
      <c r="AA7229" s="160"/>
      <c r="AB7229" s="162"/>
      <c r="AC7229" s="162"/>
      <c r="AD7229" s="162">
        <f t="shared" si="132"/>
        <v>0</v>
      </c>
      <c r="AE7229" s="160">
        <v>7227</v>
      </c>
    </row>
    <row r="7230" spans="27:31" x14ac:dyDescent="0.25">
      <c r="AA7230" s="160"/>
      <c r="AB7230" s="162"/>
      <c r="AC7230" s="162"/>
      <c r="AD7230" s="162">
        <f t="shared" si="132"/>
        <v>0</v>
      </c>
      <c r="AE7230" s="160">
        <v>7228</v>
      </c>
    </row>
    <row r="7231" spans="27:31" x14ac:dyDescent="0.25">
      <c r="AA7231" s="160"/>
      <c r="AB7231" s="162"/>
      <c r="AC7231" s="162"/>
      <c r="AD7231" s="162">
        <f t="shared" si="132"/>
        <v>0</v>
      </c>
      <c r="AE7231" s="160">
        <v>7229</v>
      </c>
    </row>
    <row r="7232" spans="27:31" x14ac:dyDescent="0.25">
      <c r="AA7232" s="160"/>
      <c r="AB7232" s="162"/>
      <c r="AC7232" s="162"/>
      <c r="AD7232" s="162">
        <f t="shared" si="132"/>
        <v>0</v>
      </c>
      <c r="AE7232" s="160">
        <v>7230</v>
      </c>
    </row>
    <row r="7233" spans="27:31" x14ac:dyDescent="0.25">
      <c r="AA7233" s="160"/>
      <c r="AB7233" s="162"/>
      <c r="AC7233" s="162"/>
      <c r="AD7233" s="162">
        <f t="shared" si="132"/>
        <v>0</v>
      </c>
      <c r="AE7233" s="160">
        <v>7231</v>
      </c>
    </row>
    <row r="7234" spans="27:31" x14ac:dyDescent="0.25">
      <c r="AA7234" s="160"/>
      <c r="AB7234" s="162"/>
      <c r="AC7234" s="162"/>
      <c r="AD7234" s="162">
        <f t="shared" si="132"/>
        <v>0</v>
      </c>
      <c r="AE7234" s="160">
        <v>7232</v>
      </c>
    </row>
    <row r="7235" spans="27:31" x14ac:dyDescent="0.25">
      <c r="AA7235" s="160"/>
      <c r="AB7235" s="162"/>
      <c r="AC7235" s="162"/>
      <c r="AD7235" s="162">
        <f t="shared" si="132"/>
        <v>0</v>
      </c>
      <c r="AE7235" s="160">
        <v>7233</v>
      </c>
    </row>
    <row r="7236" spans="27:31" x14ac:dyDescent="0.25">
      <c r="AA7236" s="160"/>
      <c r="AB7236" s="162"/>
      <c r="AC7236" s="162"/>
      <c r="AD7236" s="162">
        <f t="shared" ref="AD7236:AD7299" si="133">AB7236+AC7236</f>
        <v>0</v>
      </c>
      <c r="AE7236" s="160">
        <v>7234</v>
      </c>
    </row>
    <row r="7237" spans="27:31" x14ac:dyDescent="0.25">
      <c r="AA7237" s="160"/>
      <c r="AB7237" s="162"/>
      <c r="AC7237" s="162"/>
      <c r="AD7237" s="162">
        <f t="shared" si="133"/>
        <v>0</v>
      </c>
      <c r="AE7237" s="160">
        <v>7235</v>
      </c>
    </row>
    <row r="7238" spans="27:31" x14ac:dyDescent="0.25">
      <c r="AA7238" s="160"/>
      <c r="AB7238" s="162"/>
      <c r="AC7238" s="162"/>
      <c r="AD7238" s="162">
        <f t="shared" si="133"/>
        <v>0</v>
      </c>
      <c r="AE7238" s="160">
        <v>7236</v>
      </c>
    </row>
    <row r="7239" spans="27:31" x14ac:dyDescent="0.25">
      <c r="AA7239" s="160"/>
      <c r="AB7239" s="162"/>
      <c r="AC7239" s="162"/>
      <c r="AD7239" s="162">
        <f t="shared" si="133"/>
        <v>0</v>
      </c>
      <c r="AE7239" s="160">
        <v>7237</v>
      </c>
    </row>
    <row r="7240" spans="27:31" x14ac:dyDescent="0.25">
      <c r="AA7240" s="160"/>
      <c r="AB7240" s="162"/>
      <c r="AC7240" s="162"/>
      <c r="AD7240" s="162">
        <f t="shared" si="133"/>
        <v>0</v>
      </c>
      <c r="AE7240" s="160">
        <v>7238</v>
      </c>
    </row>
    <row r="7241" spans="27:31" x14ac:dyDescent="0.25">
      <c r="AA7241" s="160"/>
      <c r="AB7241" s="162"/>
      <c r="AC7241" s="162"/>
      <c r="AD7241" s="162">
        <f t="shared" si="133"/>
        <v>0</v>
      </c>
      <c r="AE7241" s="160">
        <v>7239</v>
      </c>
    </row>
    <row r="7242" spans="27:31" x14ac:dyDescent="0.25">
      <c r="AA7242" s="160"/>
      <c r="AB7242" s="162"/>
      <c r="AC7242" s="162"/>
      <c r="AD7242" s="162">
        <f t="shared" si="133"/>
        <v>0</v>
      </c>
      <c r="AE7242" s="160">
        <v>7240</v>
      </c>
    </row>
    <row r="7243" spans="27:31" x14ac:dyDescent="0.25">
      <c r="AA7243" s="160"/>
      <c r="AB7243" s="162"/>
      <c r="AC7243" s="162"/>
      <c r="AD7243" s="162">
        <f t="shared" si="133"/>
        <v>0</v>
      </c>
      <c r="AE7243" s="160">
        <v>7241</v>
      </c>
    </row>
    <row r="7244" spans="27:31" x14ac:dyDescent="0.25">
      <c r="AA7244" s="160"/>
      <c r="AB7244" s="162"/>
      <c r="AC7244" s="162"/>
      <c r="AD7244" s="162">
        <f t="shared" si="133"/>
        <v>0</v>
      </c>
      <c r="AE7244" s="160">
        <v>7242</v>
      </c>
    </row>
    <row r="7245" spans="27:31" x14ac:dyDescent="0.25">
      <c r="AA7245" s="160"/>
      <c r="AB7245" s="162"/>
      <c r="AC7245" s="162"/>
      <c r="AD7245" s="162">
        <f t="shared" si="133"/>
        <v>0</v>
      </c>
      <c r="AE7245" s="160">
        <v>7243</v>
      </c>
    </row>
    <row r="7246" spans="27:31" x14ac:dyDescent="0.25">
      <c r="AA7246" s="160"/>
      <c r="AB7246" s="162"/>
      <c r="AC7246" s="162"/>
      <c r="AD7246" s="162">
        <f t="shared" si="133"/>
        <v>0</v>
      </c>
      <c r="AE7246" s="160">
        <v>7244</v>
      </c>
    </row>
    <row r="7247" spans="27:31" x14ac:dyDescent="0.25">
      <c r="AA7247" s="160"/>
      <c r="AB7247" s="162"/>
      <c r="AC7247" s="162"/>
      <c r="AD7247" s="162">
        <f t="shared" si="133"/>
        <v>0</v>
      </c>
      <c r="AE7247" s="160">
        <v>7245</v>
      </c>
    </row>
    <row r="7248" spans="27:31" x14ac:dyDescent="0.25">
      <c r="AA7248" s="160"/>
      <c r="AB7248" s="162"/>
      <c r="AC7248" s="162"/>
      <c r="AD7248" s="162">
        <f t="shared" si="133"/>
        <v>0</v>
      </c>
      <c r="AE7248" s="160">
        <v>7246</v>
      </c>
    </row>
    <row r="7249" spans="27:31" x14ac:dyDescent="0.25">
      <c r="AA7249" s="160"/>
      <c r="AB7249" s="162"/>
      <c r="AC7249" s="162"/>
      <c r="AD7249" s="162">
        <f t="shared" si="133"/>
        <v>0</v>
      </c>
      <c r="AE7249" s="160">
        <v>7247</v>
      </c>
    </row>
    <row r="7250" spans="27:31" x14ac:dyDescent="0.25">
      <c r="AA7250" s="160"/>
      <c r="AB7250" s="162"/>
      <c r="AC7250" s="162"/>
      <c r="AD7250" s="162">
        <f t="shared" si="133"/>
        <v>0</v>
      </c>
      <c r="AE7250" s="160">
        <v>7248</v>
      </c>
    </row>
    <row r="7251" spans="27:31" x14ac:dyDescent="0.25">
      <c r="AA7251" s="160"/>
      <c r="AB7251" s="162"/>
      <c r="AC7251" s="162"/>
      <c r="AD7251" s="162">
        <f t="shared" si="133"/>
        <v>0</v>
      </c>
      <c r="AE7251" s="160">
        <v>7249</v>
      </c>
    </row>
    <row r="7252" spans="27:31" x14ac:dyDescent="0.25">
      <c r="AA7252" s="160"/>
      <c r="AB7252" s="162"/>
      <c r="AC7252" s="162"/>
      <c r="AD7252" s="162">
        <f t="shared" si="133"/>
        <v>0</v>
      </c>
      <c r="AE7252" s="160">
        <v>7250</v>
      </c>
    </row>
    <row r="7253" spans="27:31" x14ac:dyDescent="0.25">
      <c r="AA7253" s="160"/>
      <c r="AB7253" s="162"/>
      <c r="AC7253" s="162"/>
      <c r="AD7253" s="162">
        <f t="shared" si="133"/>
        <v>0</v>
      </c>
      <c r="AE7253" s="160">
        <v>7251</v>
      </c>
    </row>
    <row r="7254" spans="27:31" x14ac:dyDescent="0.25">
      <c r="AA7254" s="160"/>
      <c r="AB7254" s="162"/>
      <c r="AC7254" s="162"/>
      <c r="AD7254" s="162">
        <f t="shared" si="133"/>
        <v>0</v>
      </c>
      <c r="AE7254" s="160">
        <v>7252</v>
      </c>
    </row>
    <row r="7255" spans="27:31" x14ac:dyDescent="0.25">
      <c r="AA7255" s="160"/>
      <c r="AB7255" s="162"/>
      <c r="AC7255" s="162"/>
      <c r="AD7255" s="162">
        <f t="shared" si="133"/>
        <v>0</v>
      </c>
      <c r="AE7255" s="160">
        <v>7253</v>
      </c>
    </row>
    <row r="7256" spans="27:31" x14ac:dyDescent="0.25">
      <c r="AA7256" s="160"/>
      <c r="AB7256" s="162"/>
      <c r="AC7256" s="162"/>
      <c r="AD7256" s="162">
        <f t="shared" si="133"/>
        <v>0</v>
      </c>
      <c r="AE7256" s="160">
        <v>7254</v>
      </c>
    </row>
    <row r="7257" spans="27:31" x14ac:dyDescent="0.25">
      <c r="AA7257" s="160"/>
      <c r="AB7257" s="162"/>
      <c r="AC7257" s="162"/>
      <c r="AD7257" s="162">
        <f t="shared" si="133"/>
        <v>0</v>
      </c>
      <c r="AE7257" s="160">
        <v>7255</v>
      </c>
    </row>
    <row r="7258" spans="27:31" x14ac:dyDescent="0.25">
      <c r="AA7258" s="160"/>
      <c r="AB7258" s="162"/>
      <c r="AC7258" s="162"/>
      <c r="AD7258" s="162">
        <f t="shared" si="133"/>
        <v>0</v>
      </c>
      <c r="AE7258" s="160">
        <v>7256</v>
      </c>
    </row>
    <row r="7259" spans="27:31" x14ac:dyDescent="0.25">
      <c r="AA7259" s="160"/>
      <c r="AB7259" s="162"/>
      <c r="AC7259" s="162"/>
      <c r="AD7259" s="162">
        <f t="shared" si="133"/>
        <v>0</v>
      </c>
      <c r="AE7259" s="160">
        <v>7257</v>
      </c>
    </row>
    <row r="7260" spans="27:31" x14ac:dyDescent="0.25">
      <c r="AA7260" s="160"/>
      <c r="AB7260" s="162"/>
      <c r="AC7260" s="162"/>
      <c r="AD7260" s="162">
        <f t="shared" si="133"/>
        <v>0</v>
      </c>
      <c r="AE7260" s="160">
        <v>7258</v>
      </c>
    </row>
    <row r="7261" spans="27:31" x14ac:dyDescent="0.25">
      <c r="AA7261" s="160"/>
      <c r="AB7261" s="162"/>
      <c r="AC7261" s="162"/>
      <c r="AD7261" s="162">
        <f t="shared" si="133"/>
        <v>0</v>
      </c>
      <c r="AE7261" s="160">
        <v>7259</v>
      </c>
    </row>
    <row r="7262" spans="27:31" x14ac:dyDescent="0.25">
      <c r="AA7262" s="160"/>
      <c r="AB7262" s="162"/>
      <c r="AC7262" s="162"/>
      <c r="AD7262" s="162">
        <f t="shared" si="133"/>
        <v>0</v>
      </c>
      <c r="AE7262" s="160">
        <v>7260</v>
      </c>
    </row>
    <row r="7263" spans="27:31" x14ac:dyDescent="0.25">
      <c r="AA7263" s="160"/>
      <c r="AB7263" s="162"/>
      <c r="AC7263" s="162"/>
      <c r="AD7263" s="162">
        <f t="shared" si="133"/>
        <v>0</v>
      </c>
      <c r="AE7263" s="160">
        <v>7261</v>
      </c>
    </row>
    <row r="7264" spans="27:31" x14ac:dyDescent="0.25">
      <c r="AA7264" s="160"/>
      <c r="AB7264" s="162"/>
      <c r="AC7264" s="162"/>
      <c r="AD7264" s="162">
        <f t="shared" si="133"/>
        <v>0</v>
      </c>
      <c r="AE7264" s="160">
        <v>7262</v>
      </c>
    </row>
    <row r="7265" spans="27:31" x14ac:dyDescent="0.25">
      <c r="AA7265" s="160"/>
      <c r="AB7265" s="162"/>
      <c r="AC7265" s="162"/>
      <c r="AD7265" s="162">
        <f t="shared" si="133"/>
        <v>0</v>
      </c>
      <c r="AE7265" s="160">
        <v>7263</v>
      </c>
    </row>
    <row r="7266" spans="27:31" x14ac:dyDescent="0.25">
      <c r="AA7266" s="160"/>
      <c r="AB7266" s="162"/>
      <c r="AC7266" s="162"/>
      <c r="AD7266" s="162">
        <f t="shared" si="133"/>
        <v>0</v>
      </c>
      <c r="AE7266" s="160">
        <v>7264</v>
      </c>
    </row>
    <row r="7267" spans="27:31" x14ac:dyDescent="0.25">
      <c r="AA7267" s="160"/>
      <c r="AB7267" s="162"/>
      <c r="AC7267" s="162"/>
      <c r="AD7267" s="162">
        <f t="shared" si="133"/>
        <v>0</v>
      </c>
      <c r="AE7267" s="160">
        <v>7265</v>
      </c>
    </row>
    <row r="7268" spans="27:31" x14ac:dyDescent="0.25">
      <c r="AA7268" s="160"/>
      <c r="AB7268" s="162"/>
      <c r="AC7268" s="162"/>
      <c r="AD7268" s="162">
        <f t="shared" si="133"/>
        <v>0</v>
      </c>
      <c r="AE7268" s="160">
        <v>7266</v>
      </c>
    </row>
    <row r="7269" spans="27:31" x14ac:dyDescent="0.25">
      <c r="AA7269" s="160"/>
      <c r="AB7269" s="162"/>
      <c r="AC7269" s="162"/>
      <c r="AD7269" s="162">
        <f t="shared" si="133"/>
        <v>0</v>
      </c>
      <c r="AE7269" s="160">
        <v>7267</v>
      </c>
    </row>
    <row r="7270" spans="27:31" x14ac:dyDescent="0.25">
      <c r="AA7270" s="160"/>
      <c r="AB7270" s="162"/>
      <c r="AC7270" s="162"/>
      <c r="AD7270" s="162">
        <f t="shared" si="133"/>
        <v>0</v>
      </c>
      <c r="AE7270" s="160">
        <v>7268</v>
      </c>
    </row>
    <row r="7271" spans="27:31" x14ac:dyDescent="0.25">
      <c r="AA7271" s="160"/>
      <c r="AB7271" s="162"/>
      <c r="AC7271" s="162"/>
      <c r="AD7271" s="162">
        <f t="shared" si="133"/>
        <v>0</v>
      </c>
      <c r="AE7271" s="160">
        <v>7269</v>
      </c>
    </row>
    <row r="7272" spans="27:31" x14ac:dyDescent="0.25">
      <c r="AA7272" s="160"/>
      <c r="AB7272" s="162"/>
      <c r="AC7272" s="162"/>
      <c r="AD7272" s="162">
        <f t="shared" si="133"/>
        <v>0</v>
      </c>
      <c r="AE7272" s="160">
        <v>7270</v>
      </c>
    </row>
    <row r="7273" spans="27:31" x14ac:dyDescent="0.25">
      <c r="AA7273" s="160"/>
      <c r="AB7273" s="162"/>
      <c r="AC7273" s="162"/>
      <c r="AD7273" s="162">
        <f t="shared" si="133"/>
        <v>0</v>
      </c>
      <c r="AE7273" s="160">
        <v>7271</v>
      </c>
    </row>
    <row r="7274" spans="27:31" x14ac:dyDescent="0.25">
      <c r="AA7274" s="160"/>
      <c r="AB7274" s="162"/>
      <c r="AC7274" s="162"/>
      <c r="AD7274" s="162">
        <f t="shared" si="133"/>
        <v>0</v>
      </c>
      <c r="AE7274" s="160">
        <v>7272</v>
      </c>
    </row>
    <row r="7275" spans="27:31" x14ac:dyDescent="0.25">
      <c r="AA7275" s="160"/>
      <c r="AB7275" s="162"/>
      <c r="AC7275" s="162"/>
      <c r="AD7275" s="162">
        <f t="shared" si="133"/>
        <v>0</v>
      </c>
      <c r="AE7275" s="160">
        <v>7273</v>
      </c>
    </row>
    <row r="7276" spans="27:31" x14ac:dyDescent="0.25">
      <c r="AA7276" s="160"/>
      <c r="AB7276" s="162"/>
      <c r="AC7276" s="162"/>
      <c r="AD7276" s="162">
        <f t="shared" si="133"/>
        <v>0</v>
      </c>
      <c r="AE7276" s="160">
        <v>7274</v>
      </c>
    </row>
    <row r="7277" spans="27:31" x14ac:dyDescent="0.25">
      <c r="AA7277" s="160"/>
      <c r="AB7277" s="162"/>
      <c r="AC7277" s="162"/>
      <c r="AD7277" s="162">
        <f t="shared" si="133"/>
        <v>0</v>
      </c>
      <c r="AE7277" s="160">
        <v>7275</v>
      </c>
    </row>
    <row r="7278" spans="27:31" x14ac:dyDescent="0.25">
      <c r="AA7278" s="160"/>
      <c r="AB7278" s="162"/>
      <c r="AC7278" s="162"/>
      <c r="AD7278" s="162">
        <f t="shared" si="133"/>
        <v>0</v>
      </c>
      <c r="AE7278" s="160">
        <v>7276</v>
      </c>
    </row>
    <row r="7279" spans="27:31" x14ac:dyDescent="0.25">
      <c r="AA7279" s="160"/>
      <c r="AB7279" s="162"/>
      <c r="AC7279" s="162"/>
      <c r="AD7279" s="162">
        <f t="shared" si="133"/>
        <v>0</v>
      </c>
      <c r="AE7279" s="160">
        <v>7277</v>
      </c>
    </row>
    <row r="7280" spans="27:31" x14ac:dyDescent="0.25">
      <c r="AA7280" s="160"/>
      <c r="AB7280" s="162"/>
      <c r="AC7280" s="162"/>
      <c r="AD7280" s="162">
        <f t="shared" si="133"/>
        <v>0</v>
      </c>
      <c r="AE7280" s="160">
        <v>7278</v>
      </c>
    </row>
    <row r="7281" spans="27:31" x14ac:dyDescent="0.25">
      <c r="AA7281" s="160"/>
      <c r="AB7281" s="162"/>
      <c r="AC7281" s="162"/>
      <c r="AD7281" s="162">
        <f t="shared" si="133"/>
        <v>0</v>
      </c>
      <c r="AE7281" s="160">
        <v>7279</v>
      </c>
    </row>
    <row r="7282" spans="27:31" x14ac:dyDescent="0.25">
      <c r="AA7282" s="160"/>
      <c r="AB7282" s="162"/>
      <c r="AC7282" s="162"/>
      <c r="AD7282" s="162">
        <f t="shared" si="133"/>
        <v>0</v>
      </c>
      <c r="AE7282" s="160">
        <v>7280</v>
      </c>
    </row>
    <row r="7283" spans="27:31" x14ac:dyDescent="0.25">
      <c r="AA7283" s="160"/>
      <c r="AB7283" s="162"/>
      <c r="AC7283" s="162"/>
      <c r="AD7283" s="162">
        <f t="shared" si="133"/>
        <v>0</v>
      </c>
      <c r="AE7283" s="160">
        <v>7281</v>
      </c>
    </row>
    <row r="7284" spans="27:31" x14ac:dyDescent="0.25">
      <c r="AA7284" s="160"/>
      <c r="AB7284" s="162"/>
      <c r="AC7284" s="162"/>
      <c r="AD7284" s="162">
        <f t="shared" si="133"/>
        <v>0</v>
      </c>
      <c r="AE7284" s="160">
        <v>7282</v>
      </c>
    </row>
    <row r="7285" spans="27:31" x14ac:dyDescent="0.25">
      <c r="AA7285" s="160"/>
      <c r="AB7285" s="162"/>
      <c r="AC7285" s="162"/>
      <c r="AD7285" s="162">
        <f t="shared" si="133"/>
        <v>0</v>
      </c>
      <c r="AE7285" s="160">
        <v>7283</v>
      </c>
    </row>
    <row r="7286" spans="27:31" x14ac:dyDescent="0.25">
      <c r="AA7286" s="160"/>
      <c r="AB7286" s="162"/>
      <c r="AC7286" s="162"/>
      <c r="AD7286" s="162">
        <f t="shared" si="133"/>
        <v>0</v>
      </c>
      <c r="AE7286" s="160">
        <v>7284</v>
      </c>
    </row>
    <row r="7287" spans="27:31" x14ac:dyDescent="0.25">
      <c r="AA7287" s="160"/>
      <c r="AB7287" s="162"/>
      <c r="AC7287" s="162"/>
      <c r="AD7287" s="162">
        <f t="shared" si="133"/>
        <v>0</v>
      </c>
      <c r="AE7287" s="160">
        <v>7285</v>
      </c>
    </row>
    <row r="7288" spans="27:31" x14ac:dyDescent="0.25">
      <c r="AA7288" s="160"/>
      <c r="AB7288" s="162"/>
      <c r="AC7288" s="162"/>
      <c r="AD7288" s="162">
        <f t="shared" si="133"/>
        <v>0</v>
      </c>
      <c r="AE7288" s="160">
        <v>7286</v>
      </c>
    </row>
    <row r="7289" spans="27:31" x14ac:dyDescent="0.25">
      <c r="AA7289" s="160"/>
      <c r="AB7289" s="162"/>
      <c r="AC7289" s="162"/>
      <c r="AD7289" s="162">
        <f t="shared" si="133"/>
        <v>0</v>
      </c>
      <c r="AE7289" s="160">
        <v>7287</v>
      </c>
    </row>
    <row r="7290" spans="27:31" x14ac:dyDescent="0.25">
      <c r="AA7290" s="160"/>
      <c r="AB7290" s="162"/>
      <c r="AC7290" s="162"/>
      <c r="AD7290" s="162">
        <f t="shared" si="133"/>
        <v>0</v>
      </c>
      <c r="AE7290" s="160">
        <v>7288</v>
      </c>
    </row>
    <row r="7291" spans="27:31" x14ac:dyDescent="0.25">
      <c r="AA7291" s="160"/>
      <c r="AB7291" s="162"/>
      <c r="AC7291" s="162"/>
      <c r="AD7291" s="162">
        <f t="shared" si="133"/>
        <v>0</v>
      </c>
      <c r="AE7291" s="160">
        <v>7289</v>
      </c>
    </row>
    <row r="7292" spans="27:31" x14ac:dyDescent="0.25">
      <c r="AA7292" s="160"/>
      <c r="AB7292" s="162"/>
      <c r="AC7292" s="162"/>
      <c r="AD7292" s="162">
        <f t="shared" si="133"/>
        <v>0</v>
      </c>
      <c r="AE7292" s="160">
        <v>7290</v>
      </c>
    </row>
    <row r="7293" spans="27:31" x14ac:dyDescent="0.25">
      <c r="AA7293" s="160"/>
      <c r="AB7293" s="162"/>
      <c r="AC7293" s="162"/>
      <c r="AD7293" s="162">
        <f t="shared" si="133"/>
        <v>0</v>
      </c>
      <c r="AE7293" s="160">
        <v>7291</v>
      </c>
    </row>
    <row r="7294" spans="27:31" x14ac:dyDescent="0.25">
      <c r="AA7294" s="160"/>
      <c r="AB7294" s="162"/>
      <c r="AC7294" s="162"/>
      <c r="AD7294" s="162">
        <f t="shared" si="133"/>
        <v>0</v>
      </c>
      <c r="AE7294" s="160">
        <v>7292</v>
      </c>
    </row>
    <row r="7295" spans="27:31" x14ac:dyDescent="0.25">
      <c r="AA7295" s="160"/>
      <c r="AB7295" s="162"/>
      <c r="AC7295" s="162"/>
      <c r="AD7295" s="162">
        <f t="shared" si="133"/>
        <v>0</v>
      </c>
      <c r="AE7295" s="160">
        <v>7293</v>
      </c>
    </row>
    <row r="7296" spans="27:31" x14ac:dyDescent="0.25">
      <c r="AA7296" s="160"/>
      <c r="AB7296" s="162"/>
      <c r="AC7296" s="162"/>
      <c r="AD7296" s="162">
        <f t="shared" si="133"/>
        <v>0</v>
      </c>
      <c r="AE7296" s="160">
        <v>7294</v>
      </c>
    </row>
    <row r="7297" spans="27:31" x14ac:dyDescent="0.25">
      <c r="AA7297" s="160"/>
      <c r="AB7297" s="162"/>
      <c r="AC7297" s="162"/>
      <c r="AD7297" s="162">
        <f t="shared" si="133"/>
        <v>0</v>
      </c>
      <c r="AE7297" s="160">
        <v>7295</v>
      </c>
    </row>
    <row r="7298" spans="27:31" x14ac:dyDescent="0.25">
      <c r="AA7298" s="160"/>
      <c r="AB7298" s="162"/>
      <c r="AC7298" s="162"/>
      <c r="AD7298" s="162">
        <f t="shared" si="133"/>
        <v>0</v>
      </c>
      <c r="AE7298" s="160">
        <v>7296</v>
      </c>
    </row>
    <row r="7299" spans="27:31" x14ac:dyDescent="0.25">
      <c r="AA7299" s="160"/>
      <c r="AB7299" s="162"/>
      <c r="AC7299" s="162"/>
      <c r="AD7299" s="162">
        <f t="shared" si="133"/>
        <v>0</v>
      </c>
      <c r="AE7299" s="160">
        <v>7297</v>
      </c>
    </row>
    <row r="7300" spans="27:31" x14ac:dyDescent="0.25">
      <c r="AA7300" s="160"/>
      <c r="AB7300" s="162"/>
      <c r="AC7300" s="162"/>
      <c r="AD7300" s="162">
        <f t="shared" ref="AD7300:AD7363" si="134">AB7300+AC7300</f>
        <v>0</v>
      </c>
      <c r="AE7300" s="160">
        <v>7298</v>
      </c>
    </row>
    <row r="7301" spans="27:31" x14ac:dyDescent="0.25">
      <c r="AA7301" s="160"/>
      <c r="AB7301" s="162"/>
      <c r="AC7301" s="162"/>
      <c r="AD7301" s="162">
        <f t="shared" si="134"/>
        <v>0</v>
      </c>
      <c r="AE7301" s="160">
        <v>7299</v>
      </c>
    </row>
    <row r="7302" spans="27:31" x14ac:dyDescent="0.25">
      <c r="AA7302" s="160"/>
      <c r="AB7302" s="162"/>
      <c r="AC7302" s="162"/>
      <c r="AD7302" s="162">
        <f t="shared" si="134"/>
        <v>0</v>
      </c>
      <c r="AE7302" s="160">
        <v>7300</v>
      </c>
    </row>
    <row r="7303" spans="27:31" x14ac:dyDescent="0.25">
      <c r="AA7303" s="160"/>
      <c r="AB7303" s="162"/>
      <c r="AC7303" s="162"/>
      <c r="AD7303" s="162">
        <f t="shared" si="134"/>
        <v>0</v>
      </c>
      <c r="AE7303" s="160">
        <v>7301</v>
      </c>
    </row>
    <row r="7304" spans="27:31" x14ac:dyDescent="0.25">
      <c r="AA7304" s="160"/>
      <c r="AB7304" s="162"/>
      <c r="AC7304" s="162"/>
      <c r="AD7304" s="162">
        <f t="shared" si="134"/>
        <v>0</v>
      </c>
      <c r="AE7304" s="160">
        <v>7302</v>
      </c>
    </row>
    <row r="7305" spans="27:31" x14ac:dyDescent="0.25">
      <c r="AA7305" s="160"/>
      <c r="AB7305" s="162"/>
      <c r="AC7305" s="162"/>
      <c r="AD7305" s="162">
        <f t="shared" si="134"/>
        <v>0</v>
      </c>
      <c r="AE7305" s="160">
        <v>7303</v>
      </c>
    </row>
    <row r="7306" spans="27:31" x14ac:dyDescent="0.25">
      <c r="AA7306" s="160"/>
      <c r="AB7306" s="162"/>
      <c r="AC7306" s="162"/>
      <c r="AD7306" s="162">
        <f t="shared" si="134"/>
        <v>0</v>
      </c>
      <c r="AE7306" s="160">
        <v>7304</v>
      </c>
    </row>
    <row r="7307" spans="27:31" x14ac:dyDescent="0.25">
      <c r="AA7307" s="160"/>
      <c r="AB7307" s="162"/>
      <c r="AC7307" s="162"/>
      <c r="AD7307" s="162">
        <f t="shared" si="134"/>
        <v>0</v>
      </c>
      <c r="AE7307" s="160">
        <v>7305</v>
      </c>
    </row>
    <row r="7308" spans="27:31" x14ac:dyDescent="0.25">
      <c r="AA7308" s="160"/>
      <c r="AB7308" s="162"/>
      <c r="AC7308" s="162"/>
      <c r="AD7308" s="162">
        <f t="shared" si="134"/>
        <v>0</v>
      </c>
      <c r="AE7308" s="160">
        <v>7306</v>
      </c>
    </row>
    <row r="7309" spans="27:31" x14ac:dyDescent="0.25">
      <c r="AA7309" s="160"/>
      <c r="AB7309" s="162"/>
      <c r="AC7309" s="162"/>
      <c r="AD7309" s="162">
        <f t="shared" si="134"/>
        <v>0</v>
      </c>
      <c r="AE7309" s="160">
        <v>7307</v>
      </c>
    </row>
    <row r="7310" spans="27:31" x14ac:dyDescent="0.25">
      <c r="AA7310" s="160"/>
      <c r="AB7310" s="162"/>
      <c r="AC7310" s="162"/>
      <c r="AD7310" s="162">
        <f t="shared" si="134"/>
        <v>0</v>
      </c>
      <c r="AE7310" s="160">
        <v>7308</v>
      </c>
    </row>
    <row r="7311" spans="27:31" x14ac:dyDescent="0.25">
      <c r="AA7311" s="160"/>
      <c r="AB7311" s="162"/>
      <c r="AC7311" s="162"/>
      <c r="AD7311" s="162">
        <f t="shared" si="134"/>
        <v>0</v>
      </c>
      <c r="AE7311" s="160">
        <v>7309</v>
      </c>
    </row>
    <row r="7312" spans="27:31" x14ac:dyDescent="0.25">
      <c r="AA7312" s="160"/>
      <c r="AB7312" s="162"/>
      <c r="AC7312" s="162"/>
      <c r="AD7312" s="162">
        <f t="shared" si="134"/>
        <v>0</v>
      </c>
      <c r="AE7312" s="160">
        <v>7310</v>
      </c>
    </row>
    <row r="7313" spans="27:31" x14ac:dyDescent="0.25">
      <c r="AA7313" s="160"/>
      <c r="AB7313" s="162"/>
      <c r="AC7313" s="162"/>
      <c r="AD7313" s="162">
        <f t="shared" si="134"/>
        <v>0</v>
      </c>
      <c r="AE7313" s="160">
        <v>7311</v>
      </c>
    </row>
    <row r="7314" spans="27:31" x14ac:dyDescent="0.25">
      <c r="AA7314" s="160"/>
      <c r="AB7314" s="162"/>
      <c r="AC7314" s="162"/>
      <c r="AD7314" s="162">
        <f t="shared" si="134"/>
        <v>0</v>
      </c>
      <c r="AE7314" s="160">
        <v>7312</v>
      </c>
    </row>
    <row r="7315" spans="27:31" x14ac:dyDescent="0.25">
      <c r="AA7315" s="160"/>
      <c r="AB7315" s="162"/>
      <c r="AC7315" s="162"/>
      <c r="AD7315" s="162">
        <f t="shared" si="134"/>
        <v>0</v>
      </c>
      <c r="AE7315" s="160">
        <v>7313</v>
      </c>
    </row>
    <row r="7316" spans="27:31" x14ac:dyDescent="0.25">
      <c r="AA7316" s="160"/>
      <c r="AB7316" s="162"/>
      <c r="AC7316" s="162"/>
      <c r="AD7316" s="162">
        <f t="shared" si="134"/>
        <v>0</v>
      </c>
      <c r="AE7316" s="160">
        <v>7314</v>
      </c>
    </row>
    <row r="7317" spans="27:31" x14ac:dyDescent="0.25">
      <c r="AA7317" s="160"/>
      <c r="AB7317" s="162"/>
      <c r="AC7317" s="162"/>
      <c r="AD7317" s="162">
        <f t="shared" si="134"/>
        <v>0</v>
      </c>
      <c r="AE7317" s="160">
        <v>7315</v>
      </c>
    </row>
    <row r="7318" spans="27:31" x14ac:dyDescent="0.25">
      <c r="AA7318" s="160"/>
      <c r="AB7318" s="162"/>
      <c r="AC7318" s="162"/>
      <c r="AD7318" s="162">
        <f t="shared" si="134"/>
        <v>0</v>
      </c>
      <c r="AE7318" s="160">
        <v>7316</v>
      </c>
    </row>
    <row r="7319" spans="27:31" x14ac:dyDescent="0.25">
      <c r="AA7319" s="160"/>
      <c r="AB7319" s="162"/>
      <c r="AC7319" s="162"/>
      <c r="AD7319" s="162">
        <f t="shared" si="134"/>
        <v>0</v>
      </c>
      <c r="AE7319" s="160">
        <v>7317</v>
      </c>
    </row>
    <row r="7320" spans="27:31" x14ac:dyDescent="0.25">
      <c r="AA7320" s="160"/>
      <c r="AB7320" s="162"/>
      <c r="AC7320" s="162"/>
      <c r="AD7320" s="162">
        <f t="shared" si="134"/>
        <v>0</v>
      </c>
      <c r="AE7320" s="160">
        <v>7318</v>
      </c>
    </row>
    <row r="7321" spans="27:31" x14ac:dyDescent="0.25">
      <c r="AA7321" s="160"/>
      <c r="AB7321" s="162"/>
      <c r="AC7321" s="162"/>
      <c r="AD7321" s="162">
        <f t="shared" si="134"/>
        <v>0</v>
      </c>
      <c r="AE7321" s="160">
        <v>7319</v>
      </c>
    </row>
    <row r="7322" spans="27:31" x14ac:dyDescent="0.25">
      <c r="AA7322" s="160"/>
      <c r="AB7322" s="162"/>
      <c r="AC7322" s="162"/>
      <c r="AD7322" s="162">
        <f t="shared" si="134"/>
        <v>0</v>
      </c>
      <c r="AE7322" s="160">
        <v>7320</v>
      </c>
    </row>
    <row r="7323" spans="27:31" x14ac:dyDescent="0.25">
      <c r="AA7323" s="160"/>
      <c r="AB7323" s="162"/>
      <c r="AC7323" s="162"/>
      <c r="AD7323" s="162">
        <f t="shared" si="134"/>
        <v>0</v>
      </c>
      <c r="AE7323" s="160">
        <v>7321</v>
      </c>
    </row>
    <row r="7324" spans="27:31" x14ac:dyDescent="0.25">
      <c r="AA7324" s="160"/>
      <c r="AB7324" s="162"/>
      <c r="AC7324" s="162"/>
      <c r="AD7324" s="162">
        <f t="shared" si="134"/>
        <v>0</v>
      </c>
      <c r="AE7324" s="160">
        <v>7322</v>
      </c>
    </row>
    <row r="7325" spans="27:31" x14ac:dyDescent="0.25">
      <c r="AA7325" s="160"/>
      <c r="AB7325" s="162"/>
      <c r="AC7325" s="162"/>
      <c r="AD7325" s="162">
        <f t="shared" si="134"/>
        <v>0</v>
      </c>
      <c r="AE7325" s="160">
        <v>7323</v>
      </c>
    </row>
    <row r="7326" spans="27:31" x14ac:dyDescent="0.25">
      <c r="AA7326" s="160"/>
      <c r="AB7326" s="162"/>
      <c r="AC7326" s="162"/>
      <c r="AD7326" s="162">
        <f t="shared" si="134"/>
        <v>0</v>
      </c>
      <c r="AE7326" s="160">
        <v>7324</v>
      </c>
    </row>
    <row r="7327" spans="27:31" x14ac:dyDescent="0.25">
      <c r="AA7327" s="160"/>
      <c r="AB7327" s="162"/>
      <c r="AC7327" s="162"/>
      <c r="AD7327" s="162">
        <f t="shared" si="134"/>
        <v>0</v>
      </c>
      <c r="AE7327" s="160">
        <v>7325</v>
      </c>
    </row>
    <row r="7328" spans="27:31" x14ac:dyDescent="0.25">
      <c r="AA7328" s="160"/>
      <c r="AB7328" s="162"/>
      <c r="AC7328" s="162"/>
      <c r="AD7328" s="162">
        <f t="shared" si="134"/>
        <v>0</v>
      </c>
      <c r="AE7328" s="160">
        <v>7326</v>
      </c>
    </row>
    <row r="7329" spans="27:31" x14ac:dyDescent="0.25">
      <c r="AA7329" s="160"/>
      <c r="AB7329" s="162"/>
      <c r="AC7329" s="162"/>
      <c r="AD7329" s="162">
        <f t="shared" si="134"/>
        <v>0</v>
      </c>
      <c r="AE7329" s="160">
        <v>7327</v>
      </c>
    </row>
    <row r="7330" spans="27:31" x14ac:dyDescent="0.25">
      <c r="AA7330" s="160"/>
      <c r="AB7330" s="162"/>
      <c r="AC7330" s="162"/>
      <c r="AD7330" s="162">
        <f t="shared" si="134"/>
        <v>0</v>
      </c>
      <c r="AE7330" s="160">
        <v>7328</v>
      </c>
    </row>
    <row r="7331" spans="27:31" x14ac:dyDescent="0.25">
      <c r="AA7331" s="160"/>
      <c r="AB7331" s="162"/>
      <c r="AC7331" s="162"/>
      <c r="AD7331" s="162">
        <f t="shared" si="134"/>
        <v>0</v>
      </c>
      <c r="AE7331" s="160">
        <v>7329</v>
      </c>
    </row>
    <row r="7332" spans="27:31" x14ac:dyDescent="0.25">
      <c r="AA7332" s="160"/>
      <c r="AB7332" s="162"/>
      <c r="AC7332" s="162"/>
      <c r="AD7332" s="162">
        <f t="shared" si="134"/>
        <v>0</v>
      </c>
      <c r="AE7332" s="160">
        <v>7330</v>
      </c>
    </row>
    <row r="7333" spans="27:31" x14ac:dyDescent="0.25">
      <c r="AA7333" s="160"/>
      <c r="AB7333" s="162"/>
      <c r="AC7333" s="162"/>
      <c r="AD7333" s="162">
        <f t="shared" si="134"/>
        <v>0</v>
      </c>
      <c r="AE7333" s="160">
        <v>7331</v>
      </c>
    </row>
    <row r="7334" spans="27:31" x14ac:dyDescent="0.25">
      <c r="AA7334" s="160"/>
      <c r="AB7334" s="162"/>
      <c r="AC7334" s="162"/>
      <c r="AD7334" s="162">
        <f t="shared" si="134"/>
        <v>0</v>
      </c>
      <c r="AE7334" s="160">
        <v>7332</v>
      </c>
    </row>
    <row r="7335" spans="27:31" x14ac:dyDescent="0.25">
      <c r="AA7335" s="160"/>
      <c r="AB7335" s="162"/>
      <c r="AC7335" s="162"/>
      <c r="AD7335" s="162">
        <f t="shared" si="134"/>
        <v>0</v>
      </c>
      <c r="AE7335" s="160">
        <v>7333</v>
      </c>
    </row>
    <row r="7336" spans="27:31" x14ac:dyDescent="0.25">
      <c r="AA7336" s="160"/>
      <c r="AB7336" s="162"/>
      <c r="AC7336" s="162"/>
      <c r="AD7336" s="162">
        <f t="shared" si="134"/>
        <v>0</v>
      </c>
      <c r="AE7336" s="160">
        <v>7334</v>
      </c>
    </row>
    <row r="7337" spans="27:31" x14ac:dyDescent="0.25">
      <c r="AA7337" s="160"/>
      <c r="AB7337" s="162"/>
      <c r="AC7337" s="162"/>
      <c r="AD7337" s="162">
        <f t="shared" si="134"/>
        <v>0</v>
      </c>
      <c r="AE7337" s="160">
        <v>7335</v>
      </c>
    </row>
    <row r="7338" spans="27:31" x14ac:dyDescent="0.25">
      <c r="AA7338" s="160"/>
      <c r="AB7338" s="162"/>
      <c r="AC7338" s="162"/>
      <c r="AD7338" s="162">
        <f t="shared" si="134"/>
        <v>0</v>
      </c>
      <c r="AE7338" s="160">
        <v>7336</v>
      </c>
    </row>
    <row r="7339" spans="27:31" x14ac:dyDescent="0.25">
      <c r="AA7339" s="160"/>
      <c r="AB7339" s="162"/>
      <c r="AC7339" s="162"/>
      <c r="AD7339" s="162">
        <f t="shared" si="134"/>
        <v>0</v>
      </c>
      <c r="AE7339" s="160">
        <v>7337</v>
      </c>
    </row>
    <row r="7340" spans="27:31" x14ac:dyDescent="0.25">
      <c r="AA7340" s="160"/>
      <c r="AB7340" s="162"/>
      <c r="AC7340" s="162"/>
      <c r="AD7340" s="162">
        <f t="shared" si="134"/>
        <v>0</v>
      </c>
      <c r="AE7340" s="160">
        <v>7338</v>
      </c>
    </row>
    <row r="7341" spans="27:31" x14ac:dyDescent="0.25">
      <c r="AA7341" s="160"/>
      <c r="AB7341" s="162"/>
      <c r="AC7341" s="162"/>
      <c r="AD7341" s="162">
        <f t="shared" si="134"/>
        <v>0</v>
      </c>
      <c r="AE7341" s="160">
        <v>7339</v>
      </c>
    </row>
    <row r="7342" spans="27:31" x14ac:dyDescent="0.25">
      <c r="AA7342" s="160"/>
      <c r="AB7342" s="162"/>
      <c r="AC7342" s="162"/>
      <c r="AD7342" s="162">
        <f t="shared" si="134"/>
        <v>0</v>
      </c>
      <c r="AE7342" s="160">
        <v>7340</v>
      </c>
    </row>
    <row r="7343" spans="27:31" x14ac:dyDescent="0.25">
      <c r="AA7343" s="160"/>
      <c r="AB7343" s="162"/>
      <c r="AC7343" s="162"/>
      <c r="AD7343" s="162">
        <f t="shared" si="134"/>
        <v>0</v>
      </c>
      <c r="AE7343" s="160">
        <v>7341</v>
      </c>
    </row>
    <row r="7344" spans="27:31" x14ac:dyDescent="0.25">
      <c r="AA7344" s="160"/>
      <c r="AB7344" s="162"/>
      <c r="AC7344" s="162"/>
      <c r="AD7344" s="162">
        <f t="shared" si="134"/>
        <v>0</v>
      </c>
      <c r="AE7344" s="160">
        <v>7342</v>
      </c>
    </row>
    <row r="7345" spans="27:31" x14ac:dyDescent="0.25">
      <c r="AA7345" s="160"/>
      <c r="AB7345" s="162"/>
      <c r="AC7345" s="162"/>
      <c r="AD7345" s="162">
        <f t="shared" si="134"/>
        <v>0</v>
      </c>
      <c r="AE7345" s="160">
        <v>7343</v>
      </c>
    </row>
    <row r="7346" spans="27:31" x14ac:dyDescent="0.25">
      <c r="AA7346" s="160"/>
      <c r="AB7346" s="162"/>
      <c r="AC7346" s="162"/>
      <c r="AD7346" s="162">
        <f t="shared" si="134"/>
        <v>0</v>
      </c>
      <c r="AE7346" s="160">
        <v>7344</v>
      </c>
    </row>
    <row r="7347" spans="27:31" x14ac:dyDescent="0.25">
      <c r="AA7347" s="160"/>
      <c r="AB7347" s="162"/>
      <c r="AC7347" s="162"/>
      <c r="AD7347" s="162">
        <f t="shared" si="134"/>
        <v>0</v>
      </c>
      <c r="AE7347" s="160">
        <v>7345</v>
      </c>
    </row>
    <row r="7348" spans="27:31" x14ac:dyDescent="0.25">
      <c r="AA7348" s="160"/>
      <c r="AB7348" s="162"/>
      <c r="AC7348" s="162"/>
      <c r="AD7348" s="162">
        <f t="shared" si="134"/>
        <v>0</v>
      </c>
      <c r="AE7348" s="160">
        <v>7346</v>
      </c>
    </row>
    <row r="7349" spans="27:31" x14ac:dyDescent="0.25">
      <c r="AA7349" s="160"/>
      <c r="AB7349" s="162"/>
      <c r="AC7349" s="162"/>
      <c r="AD7349" s="162">
        <f t="shared" si="134"/>
        <v>0</v>
      </c>
      <c r="AE7349" s="160">
        <v>7347</v>
      </c>
    </row>
    <row r="7350" spans="27:31" x14ac:dyDescent="0.25">
      <c r="AA7350" s="160"/>
      <c r="AB7350" s="162"/>
      <c r="AC7350" s="162"/>
      <c r="AD7350" s="162">
        <f t="shared" si="134"/>
        <v>0</v>
      </c>
      <c r="AE7350" s="160">
        <v>7348</v>
      </c>
    </row>
    <row r="7351" spans="27:31" x14ac:dyDescent="0.25">
      <c r="AA7351" s="160"/>
      <c r="AB7351" s="162"/>
      <c r="AC7351" s="162"/>
      <c r="AD7351" s="162">
        <f t="shared" si="134"/>
        <v>0</v>
      </c>
      <c r="AE7351" s="160">
        <v>7349</v>
      </c>
    </row>
    <row r="7352" spans="27:31" x14ac:dyDescent="0.25">
      <c r="AA7352" s="160"/>
      <c r="AB7352" s="162"/>
      <c r="AC7352" s="162"/>
      <c r="AD7352" s="162">
        <f t="shared" si="134"/>
        <v>0</v>
      </c>
      <c r="AE7352" s="160">
        <v>7350</v>
      </c>
    </row>
    <row r="7353" spans="27:31" x14ac:dyDescent="0.25">
      <c r="AA7353" s="160"/>
      <c r="AB7353" s="162"/>
      <c r="AC7353" s="162"/>
      <c r="AD7353" s="162">
        <f t="shared" si="134"/>
        <v>0</v>
      </c>
      <c r="AE7353" s="160">
        <v>7351</v>
      </c>
    </row>
    <row r="7354" spans="27:31" x14ac:dyDescent="0.25">
      <c r="AA7354" s="160"/>
      <c r="AB7354" s="162"/>
      <c r="AC7354" s="162"/>
      <c r="AD7354" s="162">
        <f t="shared" si="134"/>
        <v>0</v>
      </c>
      <c r="AE7354" s="160">
        <v>7352</v>
      </c>
    </row>
    <row r="7355" spans="27:31" x14ac:dyDescent="0.25">
      <c r="AA7355" s="160"/>
      <c r="AB7355" s="162"/>
      <c r="AC7355" s="162"/>
      <c r="AD7355" s="162">
        <f t="shared" si="134"/>
        <v>0</v>
      </c>
      <c r="AE7355" s="160">
        <v>7353</v>
      </c>
    </row>
    <row r="7356" spans="27:31" x14ac:dyDescent="0.25">
      <c r="AA7356" s="160"/>
      <c r="AB7356" s="162"/>
      <c r="AC7356" s="162"/>
      <c r="AD7356" s="162">
        <f t="shared" si="134"/>
        <v>0</v>
      </c>
      <c r="AE7356" s="160">
        <v>7354</v>
      </c>
    </row>
    <row r="7357" spans="27:31" x14ac:dyDescent="0.25">
      <c r="AA7357" s="160"/>
      <c r="AB7357" s="162"/>
      <c r="AC7357" s="162"/>
      <c r="AD7357" s="162">
        <f t="shared" si="134"/>
        <v>0</v>
      </c>
      <c r="AE7357" s="160">
        <v>7355</v>
      </c>
    </row>
    <row r="7358" spans="27:31" x14ac:dyDescent="0.25">
      <c r="AA7358" s="160"/>
      <c r="AB7358" s="162"/>
      <c r="AC7358" s="162"/>
      <c r="AD7358" s="162">
        <f t="shared" si="134"/>
        <v>0</v>
      </c>
      <c r="AE7358" s="160">
        <v>7356</v>
      </c>
    </row>
    <row r="7359" spans="27:31" x14ac:dyDescent="0.25">
      <c r="AA7359" s="160"/>
      <c r="AB7359" s="162"/>
      <c r="AC7359" s="162"/>
      <c r="AD7359" s="162">
        <f t="shared" si="134"/>
        <v>0</v>
      </c>
      <c r="AE7359" s="160">
        <v>7357</v>
      </c>
    </row>
    <row r="7360" spans="27:31" x14ac:dyDescent="0.25">
      <c r="AA7360" s="160"/>
      <c r="AB7360" s="162"/>
      <c r="AC7360" s="162"/>
      <c r="AD7360" s="162">
        <f t="shared" si="134"/>
        <v>0</v>
      </c>
      <c r="AE7360" s="160">
        <v>7358</v>
      </c>
    </row>
    <row r="7361" spans="27:31" x14ac:dyDescent="0.25">
      <c r="AA7361" s="160"/>
      <c r="AB7361" s="162"/>
      <c r="AC7361" s="162"/>
      <c r="AD7361" s="162">
        <f t="shared" si="134"/>
        <v>0</v>
      </c>
      <c r="AE7361" s="160">
        <v>7359</v>
      </c>
    </row>
    <row r="7362" spans="27:31" x14ac:dyDescent="0.25">
      <c r="AA7362" s="160"/>
      <c r="AB7362" s="162"/>
      <c r="AC7362" s="162"/>
      <c r="AD7362" s="162">
        <f t="shared" si="134"/>
        <v>0</v>
      </c>
      <c r="AE7362" s="160">
        <v>7360</v>
      </c>
    </row>
    <row r="7363" spans="27:31" x14ac:dyDescent="0.25">
      <c r="AA7363" s="160"/>
      <c r="AB7363" s="162"/>
      <c r="AC7363" s="162"/>
      <c r="AD7363" s="162">
        <f t="shared" si="134"/>
        <v>0</v>
      </c>
      <c r="AE7363" s="160">
        <v>7361</v>
      </c>
    </row>
    <row r="7364" spans="27:31" x14ac:dyDescent="0.25">
      <c r="AA7364" s="160"/>
      <c r="AB7364" s="162"/>
      <c r="AC7364" s="162"/>
      <c r="AD7364" s="162">
        <f t="shared" ref="AD7364:AD7427" si="135">AB7364+AC7364</f>
        <v>0</v>
      </c>
      <c r="AE7364" s="160">
        <v>7362</v>
      </c>
    </row>
    <row r="7365" spans="27:31" x14ac:dyDescent="0.25">
      <c r="AA7365" s="160"/>
      <c r="AB7365" s="162"/>
      <c r="AC7365" s="162"/>
      <c r="AD7365" s="162">
        <f t="shared" si="135"/>
        <v>0</v>
      </c>
      <c r="AE7365" s="160">
        <v>7363</v>
      </c>
    </row>
    <row r="7366" spans="27:31" x14ac:dyDescent="0.25">
      <c r="AA7366" s="160"/>
      <c r="AB7366" s="162"/>
      <c r="AC7366" s="162"/>
      <c r="AD7366" s="162">
        <f t="shared" si="135"/>
        <v>0</v>
      </c>
      <c r="AE7366" s="160">
        <v>7364</v>
      </c>
    </row>
    <row r="7367" spans="27:31" x14ac:dyDescent="0.25">
      <c r="AA7367" s="160"/>
      <c r="AB7367" s="162"/>
      <c r="AC7367" s="162"/>
      <c r="AD7367" s="162">
        <f t="shared" si="135"/>
        <v>0</v>
      </c>
      <c r="AE7367" s="160">
        <v>7365</v>
      </c>
    </row>
    <row r="7368" spans="27:31" x14ac:dyDescent="0.25">
      <c r="AA7368" s="160"/>
      <c r="AB7368" s="162"/>
      <c r="AC7368" s="162"/>
      <c r="AD7368" s="162">
        <f t="shared" si="135"/>
        <v>0</v>
      </c>
      <c r="AE7368" s="160">
        <v>7366</v>
      </c>
    </row>
    <row r="7369" spans="27:31" x14ac:dyDescent="0.25">
      <c r="AA7369" s="160"/>
      <c r="AB7369" s="162"/>
      <c r="AC7369" s="162"/>
      <c r="AD7369" s="162">
        <f t="shared" si="135"/>
        <v>0</v>
      </c>
      <c r="AE7369" s="160">
        <v>7367</v>
      </c>
    </row>
    <row r="7370" spans="27:31" x14ac:dyDescent="0.25">
      <c r="AA7370" s="160"/>
      <c r="AB7370" s="162"/>
      <c r="AC7370" s="162"/>
      <c r="AD7370" s="162">
        <f t="shared" si="135"/>
        <v>0</v>
      </c>
      <c r="AE7370" s="160">
        <v>7368</v>
      </c>
    </row>
    <row r="7371" spans="27:31" x14ac:dyDescent="0.25">
      <c r="AA7371" s="160"/>
      <c r="AB7371" s="162"/>
      <c r="AC7371" s="162"/>
      <c r="AD7371" s="162">
        <f t="shared" si="135"/>
        <v>0</v>
      </c>
      <c r="AE7371" s="160">
        <v>7369</v>
      </c>
    </row>
    <row r="7372" spans="27:31" x14ac:dyDescent="0.25">
      <c r="AA7372" s="160"/>
      <c r="AB7372" s="162"/>
      <c r="AC7372" s="162"/>
      <c r="AD7372" s="162">
        <f t="shared" si="135"/>
        <v>0</v>
      </c>
      <c r="AE7372" s="160">
        <v>7370</v>
      </c>
    </row>
    <row r="7373" spans="27:31" x14ac:dyDescent="0.25">
      <c r="AA7373" s="160"/>
      <c r="AB7373" s="162"/>
      <c r="AC7373" s="162"/>
      <c r="AD7373" s="162">
        <f t="shared" si="135"/>
        <v>0</v>
      </c>
      <c r="AE7373" s="160">
        <v>7371</v>
      </c>
    </row>
    <row r="7374" spans="27:31" x14ac:dyDescent="0.25">
      <c r="AA7374" s="160"/>
      <c r="AB7374" s="162"/>
      <c r="AC7374" s="162"/>
      <c r="AD7374" s="162">
        <f t="shared" si="135"/>
        <v>0</v>
      </c>
      <c r="AE7374" s="160">
        <v>7372</v>
      </c>
    </row>
    <row r="7375" spans="27:31" x14ac:dyDescent="0.25">
      <c r="AA7375" s="160"/>
      <c r="AB7375" s="162"/>
      <c r="AC7375" s="162"/>
      <c r="AD7375" s="162">
        <f t="shared" si="135"/>
        <v>0</v>
      </c>
      <c r="AE7375" s="160">
        <v>7373</v>
      </c>
    </row>
    <row r="7376" spans="27:31" x14ac:dyDescent="0.25">
      <c r="AA7376" s="160"/>
      <c r="AB7376" s="162"/>
      <c r="AC7376" s="162"/>
      <c r="AD7376" s="162">
        <f t="shared" si="135"/>
        <v>0</v>
      </c>
      <c r="AE7376" s="160">
        <v>7374</v>
      </c>
    </row>
    <row r="7377" spans="27:31" x14ac:dyDescent="0.25">
      <c r="AA7377" s="160"/>
      <c r="AB7377" s="162"/>
      <c r="AC7377" s="162"/>
      <c r="AD7377" s="162">
        <f t="shared" si="135"/>
        <v>0</v>
      </c>
      <c r="AE7377" s="160">
        <v>7375</v>
      </c>
    </row>
    <row r="7378" spans="27:31" x14ac:dyDescent="0.25">
      <c r="AA7378" s="160"/>
      <c r="AB7378" s="162"/>
      <c r="AC7378" s="162"/>
      <c r="AD7378" s="162">
        <f t="shared" si="135"/>
        <v>0</v>
      </c>
      <c r="AE7378" s="160">
        <v>7376</v>
      </c>
    </row>
    <row r="7379" spans="27:31" x14ac:dyDescent="0.25">
      <c r="AA7379" s="160"/>
      <c r="AB7379" s="162"/>
      <c r="AC7379" s="162"/>
      <c r="AD7379" s="162">
        <f t="shared" si="135"/>
        <v>0</v>
      </c>
      <c r="AE7379" s="160">
        <v>7377</v>
      </c>
    </row>
    <row r="7380" spans="27:31" x14ac:dyDescent="0.25">
      <c r="AA7380" s="160"/>
      <c r="AB7380" s="162"/>
      <c r="AC7380" s="162"/>
      <c r="AD7380" s="162">
        <f t="shared" si="135"/>
        <v>0</v>
      </c>
      <c r="AE7380" s="160">
        <v>7378</v>
      </c>
    </row>
    <row r="7381" spans="27:31" x14ac:dyDescent="0.25">
      <c r="AA7381" s="160"/>
      <c r="AB7381" s="162"/>
      <c r="AC7381" s="162"/>
      <c r="AD7381" s="162">
        <f t="shared" si="135"/>
        <v>0</v>
      </c>
      <c r="AE7381" s="160">
        <v>7379</v>
      </c>
    </row>
    <row r="7382" spans="27:31" x14ac:dyDescent="0.25">
      <c r="AA7382" s="160"/>
      <c r="AB7382" s="162"/>
      <c r="AC7382" s="162"/>
      <c r="AD7382" s="162">
        <f t="shared" si="135"/>
        <v>0</v>
      </c>
      <c r="AE7382" s="160">
        <v>7380</v>
      </c>
    </row>
    <row r="7383" spans="27:31" x14ac:dyDescent="0.25">
      <c r="AA7383" s="160"/>
      <c r="AB7383" s="162"/>
      <c r="AC7383" s="162"/>
      <c r="AD7383" s="162">
        <f t="shared" si="135"/>
        <v>0</v>
      </c>
      <c r="AE7383" s="160">
        <v>7381</v>
      </c>
    </row>
    <row r="7384" spans="27:31" x14ac:dyDescent="0.25">
      <c r="AA7384" s="160"/>
      <c r="AB7384" s="162"/>
      <c r="AC7384" s="162"/>
      <c r="AD7384" s="162">
        <f t="shared" si="135"/>
        <v>0</v>
      </c>
      <c r="AE7384" s="160">
        <v>7382</v>
      </c>
    </row>
    <row r="7385" spans="27:31" x14ac:dyDescent="0.25">
      <c r="AA7385" s="160"/>
      <c r="AB7385" s="162"/>
      <c r="AC7385" s="162"/>
      <c r="AD7385" s="162">
        <f t="shared" si="135"/>
        <v>0</v>
      </c>
      <c r="AE7385" s="160">
        <v>7383</v>
      </c>
    </row>
    <row r="7386" spans="27:31" x14ac:dyDescent="0.25">
      <c r="AA7386" s="160"/>
      <c r="AB7386" s="162"/>
      <c r="AC7386" s="162"/>
      <c r="AD7386" s="162">
        <f t="shared" si="135"/>
        <v>0</v>
      </c>
      <c r="AE7386" s="160">
        <v>7384</v>
      </c>
    </row>
    <row r="7387" spans="27:31" x14ac:dyDescent="0.25">
      <c r="AA7387" s="160"/>
      <c r="AB7387" s="162"/>
      <c r="AC7387" s="162"/>
      <c r="AD7387" s="162">
        <f t="shared" si="135"/>
        <v>0</v>
      </c>
      <c r="AE7387" s="160">
        <v>7385</v>
      </c>
    </row>
    <row r="7388" spans="27:31" x14ac:dyDescent="0.25">
      <c r="AA7388" s="160"/>
      <c r="AB7388" s="162"/>
      <c r="AC7388" s="162"/>
      <c r="AD7388" s="162">
        <f t="shared" si="135"/>
        <v>0</v>
      </c>
      <c r="AE7388" s="160">
        <v>7386</v>
      </c>
    </row>
    <row r="7389" spans="27:31" x14ac:dyDescent="0.25">
      <c r="AA7389" s="160"/>
      <c r="AB7389" s="162"/>
      <c r="AC7389" s="162"/>
      <c r="AD7389" s="162">
        <f t="shared" si="135"/>
        <v>0</v>
      </c>
      <c r="AE7389" s="160">
        <v>7387</v>
      </c>
    </row>
    <row r="7390" spans="27:31" x14ac:dyDescent="0.25">
      <c r="AA7390" s="160"/>
      <c r="AB7390" s="162"/>
      <c r="AC7390" s="162"/>
      <c r="AD7390" s="162">
        <f t="shared" si="135"/>
        <v>0</v>
      </c>
      <c r="AE7390" s="160">
        <v>7388</v>
      </c>
    </row>
    <row r="7391" spans="27:31" x14ac:dyDescent="0.25">
      <c r="AA7391" s="160"/>
      <c r="AB7391" s="162"/>
      <c r="AC7391" s="162"/>
      <c r="AD7391" s="162">
        <f t="shared" si="135"/>
        <v>0</v>
      </c>
      <c r="AE7391" s="160">
        <v>7389</v>
      </c>
    </row>
    <row r="7392" spans="27:31" x14ac:dyDescent="0.25">
      <c r="AA7392" s="160"/>
      <c r="AB7392" s="162"/>
      <c r="AC7392" s="162"/>
      <c r="AD7392" s="162">
        <f t="shared" si="135"/>
        <v>0</v>
      </c>
      <c r="AE7392" s="160">
        <v>7390</v>
      </c>
    </row>
    <row r="7393" spans="27:31" x14ac:dyDescent="0.25">
      <c r="AA7393" s="160"/>
      <c r="AB7393" s="162"/>
      <c r="AC7393" s="162"/>
      <c r="AD7393" s="162">
        <f t="shared" si="135"/>
        <v>0</v>
      </c>
      <c r="AE7393" s="160">
        <v>7391</v>
      </c>
    </row>
    <row r="7394" spans="27:31" x14ac:dyDescent="0.25">
      <c r="AA7394" s="160"/>
      <c r="AB7394" s="162"/>
      <c r="AC7394" s="162"/>
      <c r="AD7394" s="162">
        <f t="shared" si="135"/>
        <v>0</v>
      </c>
      <c r="AE7394" s="160">
        <v>7392</v>
      </c>
    </row>
    <row r="7395" spans="27:31" x14ac:dyDescent="0.25">
      <c r="AA7395" s="160"/>
      <c r="AB7395" s="162"/>
      <c r="AC7395" s="162"/>
      <c r="AD7395" s="162">
        <f t="shared" si="135"/>
        <v>0</v>
      </c>
      <c r="AE7395" s="160">
        <v>7393</v>
      </c>
    </row>
    <row r="7396" spans="27:31" x14ac:dyDescent="0.25">
      <c r="AA7396" s="160"/>
      <c r="AB7396" s="162"/>
      <c r="AC7396" s="162"/>
      <c r="AD7396" s="162">
        <f t="shared" si="135"/>
        <v>0</v>
      </c>
      <c r="AE7396" s="160">
        <v>7394</v>
      </c>
    </row>
    <row r="7397" spans="27:31" x14ac:dyDescent="0.25">
      <c r="AA7397" s="160"/>
      <c r="AB7397" s="162"/>
      <c r="AC7397" s="162"/>
      <c r="AD7397" s="162">
        <f t="shared" si="135"/>
        <v>0</v>
      </c>
      <c r="AE7397" s="160">
        <v>7395</v>
      </c>
    </row>
    <row r="7398" spans="27:31" x14ac:dyDescent="0.25">
      <c r="AA7398" s="160"/>
      <c r="AB7398" s="162"/>
      <c r="AC7398" s="162"/>
      <c r="AD7398" s="162">
        <f t="shared" si="135"/>
        <v>0</v>
      </c>
      <c r="AE7398" s="160">
        <v>7396</v>
      </c>
    </row>
    <row r="7399" spans="27:31" x14ac:dyDescent="0.25">
      <c r="AA7399" s="160"/>
      <c r="AB7399" s="162"/>
      <c r="AC7399" s="162"/>
      <c r="AD7399" s="162">
        <f t="shared" si="135"/>
        <v>0</v>
      </c>
      <c r="AE7399" s="160">
        <v>7397</v>
      </c>
    </row>
    <row r="7400" spans="27:31" x14ac:dyDescent="0.25">
      <c r="AA7400" s="160"/>
      <c r="AB7400" s="162"/>
      <c r="AC7400" s="162"/>
      <c r="AD7400" s="162">
        <f t="shared" si="135"/>
        <v>0</v>
      </c>
      <c r="AE7400" s="160">
        <v>7398</v>
      </c>
    </row>
    <row r="7401" spans="27:31" x14ac:dyDescent="0.25">
      <c r="AA7401" s="160"/>
      <c r="AB7401" s="162"/>
      <c r="AC7401" s="162"/>
      <c r="AD7401" s="162">
        <f t="shared" si="135"/>
        <v>0</v>
      </c>
      <c r="AE7401" s="160">
        <v>7399</v>
      </c>
    </row>
    <row r="7402" spans="27:31" x14ac:dyDescent="0.25">
      <c r="AA7402" s="160"/>
      <c r="AB7402" s="162"/>
      <c r="AC7402" s="162"/>
      <c r="AD7402" s="162">
        <f t="shared" si="135"/>
        <v>0</v>
      </c>
      <c r="AE7402" s="160">
        <v>7400</v>
      </c>
    </row>
    <row r="7403" spans="27:31" x14ac:dyDescent="0.25">
      <c r="AA7403" s="160"/>
      <c r="AB7403" s="162"/>
      <c r="AC7403" s="162"/>
      <c r="AD7403" s="162">
        <f t="shared" si="135"/>
        <v>0</v>
      </c>
      <c r="AE7403" s="160">
        <v>7401</v>
      </c>
    </row>
    <row r="7404" spans="27:31" x14ac:dyDescent="0.25">
      <c r="AA7404" s="160"/>
      <c r="AB7404" s="162"/>
      <c r="AC7404" s="162"/>
      <c r="AD7404" s="162">
        <f t="shared" si="135"/>
        <v>0</v>
      </c>
      <c r="AE7404" s="160">
        <v>7402</v>
      </c>
    </row>
    <row r="7405" spans="27:31" x14ac:dyDescent="0.25">
      <c r="AA7405" s="160"/>
      <c r="AB7405" s="162"/>
      <c r="AC7405" s="162"/>
      <c r="AD7405" s="162">
        <f t="shared" si="135"/>
        <v>0</v>
      </c>
      <c r="AE7405" s="160">
        <v>7403</v>
      </c>
    </row>
    <row r="7406" spans="27:31" x14ac:dyDescent="0.25">
      <c r="AA7406" s="160"/>
      <c r="AB7406" s="162"/>
      <c r="AC7406" s="162"/>
      <c r="AD7406" s="162">
        <f t="shared" si="135"/>
        <v>0</v>
      </c>
      <c r="AE7406" s="160">
        <v>7404</v>
      </c>
    </row>
    <row r="7407" spans="27:31" x14ac:dyDescent="0.25">
      <c r="AA7407" s="160"/>
      <c r="AB7407" s="162"/>
      <c r="AC7407" s="162"/>
      <c r="AD7407" s="162">
        <f t="shared" si="135"/>
        <v>0</v>
      </c>
      <c r="AE7407" s="160">
        <v>7405</v>
      </c>
    </row>
    <row r="7408" spans="27:31" x14ac:dyDescent="0.25">
      <c r="AA7408" s="160"/>
      <c r="AB7408" s="162"/>
      <c r="AC7408" s="162"/>
      <c r="AD7408" s="162">
        <f t="shared" si="135"/>
        <v>0</v>
      </c>
      <c r="AE7408" s="160">
        <v>7406</v>
      </c>
    </row>
    <row r="7409" spans="27:31" x14ac:dyDescent="0.25">
      <c r="AA7409" s="160"/>
      <c r="AB7409" s="162"/>
      <c r="AC7409" s="162"/>
      <c r="AD7409" s="162">
        <f t="shared" si="135"/>
        <v>0</v>
      </c>
      <c r="AE7409" s="160">
        <v>7407</v>
      </c>
    </row>
    <row r="7410" spans="27:31" x14ac:dyDescent="0.25">
      <c r="AA7410" s="160"/>
      <c r="AB7410" s="162"/>
      <c r="AC7410" s="162"/>
      <c r="AD7410" s="162">
        <f t="shared" si="135"/>
        <v>0</v>
      </c>
      <c r="AE7410" s="160">
        <v>7408</v>
      </c>
    </row>
    <row r="7411" spans="27:31" x14ac:dyDescent="0.25">
      <c r="AA7411" s="160"/>
      <c r="AB7411" s="162"/>
      <c r="AC7411" s="162"/>
      <c r="AD7411" s="162">
        <f t="shared" si="135"/>
        <v>0</v>
      </c>
      <c r="AE7411" s="160">
        <v>7409</v>
      </c>
    </row>
    <row r="7412" spans="27:31" x14ac:dyDescent="0.25">
      <c r="AA7412" s="160"/>
      <c r="AB7412" s="162"/>
      <c r="AC7412" s="162"/>
      <c r="AD7412" s="162">
        <f t="shared" si="135"/>
        <v>0</v>
      </c>
      <c r="AE7412" s="160">
        <v>7410</v>
      </c>
    </row>
    <row r="7413" spans="27:31" x14ac:dyDescent="0.25">
      <c r="AA7413" s="160"/>
      <c r="AB7413" s="162"/>
      <c r="AC7413" s="162"/>
      <c r="AD7413" s="162">
        <f t="shared" si="135"/>
        <v>0</v>
      </c>
      <c r="AE7413" s="160">
        <v>7411</v>
      </c>
    </row>
    <row r="7414" spans="27:31" x14ac:dyDescent="0.25">
      <c r="AA7414" s="160"/>
      <c r="AB7414" s="162"/>
      <c r="AC7414" s="162"/>
      <c r="AD7414" s="162">
        <f t="shared" si="135"/>
        <v>0</v>
      </c>
      <c r="AE7414" s="160">
        <v>7412</v>
      </c>
    </row>
    <row r="7415" spans="27:31" x14ac:dyDescent="0.25">
      <c r="AA7415" s="160"/>
      <c r="AB7415" s="162"/>
      <c r="AC7415" s="162"/>
      <c r="AD7415" s="162">
        <f t="shared" si="135"/>
        <v>0</v>
      </c>
      <c r="AE7415" s="160">
        <v>7413</v>
      </c>
    </row>
    <row r="7416" spans="27:31" x14ac:dyDescent="0.25">
      <c r="AA7416" s="160"/>
      <c r="AB7416" s="162"/>
      <c r="AC7416" s="162"/>
      <c r="AD7416" s="162">
        <f t="shared" si="135"/>
        <v>0</v>
      </c>
      <c r="AE7416" s="160">
        <v>7414</v>
      </c>
    </row>
    <row r="7417" spans="27:31" x14ac:dyDescent="0.25">
      <c r="AA7417" s="160"/>
      <c r="AB7417" s="162"/>
      <c r="AC7417" s="162"/>
      <c r="AD7417" s="162">
        <f t="shared" si="135"/>
        <v>0</v>
      </c>
      <c r="AE7417" s="160">
        <v>7415</v>
      </c>
    </row>
    <row r="7418" spans="27:31" x14ac:dyDescent="0.25">
      <c r="AA7418" s="160"/>
      <c r="AB7418" s="162"/>
      <c r="AC7418" s="162"/>
      <c r="AD7418" s="162">
        <f t="shared" si="135"/>
        <v>0</v>
      </c>
      <c r="AE7418" s="160">
        <v>7416</v>
      </c>
    </row>
    <row r="7419" spans="27:31" x14ac:dyDescent="0.25">
      <c r="AA7419" s="160"/>
      <c r="AB7419" s="162"/>
      <c r="AC7419" s="162"/>
      <c r="AD7419" s="162">
        <f t="shared" si="135"/>
        <v>0</v>
      </c>
      <c r="AE7419" s="160">
        <v>7417</v>
      </c>
    </row>
    <row r="7420" spans="27:31" x14ac:dyDescent="0.25">
      <c r="AA7420" s="160"/>
      <c r="AB7420" s="162"/>
      <c r="AC7420" s="162"/>
      <c r="AD7420" s="162">
        <f t="shared" si="135"/>
        <v>0</v>
      </c>
      <c r="AE7420" s="160">
        <v>7418</v>
      </c>
    </row>
    <row r="7421" spans="27:31" x14ac:dyDescent="0.25">
      <c r="AA7421" s="160"/>
      <c r="AB7421" s="162"/>
      <c r="AC7421" s="162"/>
      <c r="AD7421" s="162">
        <f t="shared" si="135"/>
        <v>0</v>
      </c>
      <c r="AE7421" s="160">
        <v>7419</v>
      </c>
    </row>
    <row r="7422" spans="27:31" x14ac:dyDescent="0.25">
      <c r="AA7422" s="160"/>
      <c r="AB7422" s="162"/>
      <c r="AC7422" s="162"/>
      <c r="AD7422" s="162">
        <f t="shared" si="135"/>
        <v>0</v>
      </c>
      <c r="AE7422" s="160">
        <v>7420</v>
      </c>
    </row>
    <row r="7423" spans="27:31" x14ac:dyDescent="0.25">
      <c r="AA7423" s="160"/>
      <c r="AB7423" s="162"/>
      <c r="AC7423" s="162"/>
      <c r="AD7423" s="162">
        <f t="shared" si="135"/>
        <v>0</v>
      </c>
      <c r="AE7423" s="160">
        <v>7421</v>
      </c>
    </row>
    <row r="7424" spans="27:31" x14ac:dyDescent="0.25">
      <c r="AA7424" s="160"/>
      <c r="AB7424" s="162"/>
      <c r="AC7424" s="162"/>
      <c r="AD7424" s="162">
        <f t="shared" si="135"/>
        <v>0</v>
      </c>
      <c r="AE7424" s="160">
        <v>7422</v>
      </c>
    </row>
    <row r="7425" spans="27:31" x14ac:dyDescent="0.25">
      <c r="AA7425" s="160"/>
      <c r="AB7425" s="162"/>
      <c r="AC7425" s="162"/>
      <c r="AD7425" s="162">
        <f t="shared" si="135"/>
        <v>0</v>
      </c>
      <c r="AE7425" s="160">
        <v>7423</v>
      </c>
    </row>
    <row r="7426" spans="27:31" x14ac:dyDescent="0.25">
      <c r="AA7426" s="160"/>
      <c r="AB7426" s="162"/>
      <c r="AC7426" s="162"/>
      <c r="AD7426" s="162">
        <f t="shared" si="135"/>
        <v>0</v>
      </c>
      <c r="AE7426" s="160">
        <v>7424</v>
      </c>
    </row>
    <row r="7427" spans="27:31" x14ac:dyDescent="0.25">
      <c r="AA7427" s="160"/>
      <c r="AB7427" s="162"/>
      <c r="AC7427" s="162"/>
      <c r="AD7427" s="162">
        <f t="shared" si="135"/>
        <v>0</v>
      </c>
      <c r="AE7427" s="160">
        <v>7425</v>
      </c>
    </row>
    <row r="7428" spans="27:31" x14ac:dyDescent="0.25">
      <c r="AA7428" s="160"/>
      <c r="AB7428" s="162"/>
      <c r="AC7428" s="162"/>
      <c r="AD7428" s="162">
        <f t="shared" ref="AD7428:AD7491" si="136">AB7428+AC7428</f>
        <v>0</v>
      </c>
      <c r="AE7428" s="160">
        <v>7426</v>
      </c>
    </row>
    <row r="7429" spans="27:31" x14ac:dyDescent="0.25">
      <c r="AA7429" s="160"/>
      <c r="AB7429" s="162"/>
      <c r="AC7429" s="162"/>
      <c r="AD7429" s="162">
        <f t="shared" si="136"/>
        <v>0</v>
      </c>
      <c r="AE7429" s="160">
        <v>7427</v>
      </c>
    </row>
    <row r="7430" spans="27:31" x14ac:dyDescent="0.25">
      <c r="AA7430" s="160"/>
      <c r="AB7430" s="162"/>
      <c r="AC7430" s="162"/>
      <c r="AD7430" s="162">
        <f t="shared" si="136"/>
        <v>0</v>
      </c>
      <c r="AE7430" s="160">
        <v>7428</v>
      </c>
    </row>
    <row r="7431" spans="27:31" x14ac:dyDescent="0.25">
      <c r="AA7431" s="160"/>
      <c r="AB7431" s="162"/>
      <c r="AC7431" s="162"/>
      <c r="AD7431" s="162">
        <f t="shared" si="136"/>
        <v>0</v>
      </c>
      <c r="AE7431" s="160">
        <v>7429</v>
      </c>
    </row>
    <row r="7432" spans="27:31" x14ac:dyDescent="0.25">
      <c r="AA7432" s="160"/>
      <c r="AB7432" s="162"/>
      <c r="AC7432" s="162"/>
      <c r="AD7432" s="162">
        <f t="shared" si="136"/>
        <v>0</v>
      </c>
      <c r="AE7432" s="160">
        <v>7430</v>
      </c>
    </row>
    <row r="7433" spans="27:31" x14ac:dyDescent="0.25">
      <c r="AA7433" s="160"/>
      <c r="AB7433" s="162"/>
      <c r="AC7433" s="162"/>
      <c r="AD7433" s="162">
        <f t="shared" si="136"/>
        <v>0</v>
      </c>
      <c r="AE7433" s="160">
        <v>7431</v>
      </c>
    </row>
    <row r="7434" spans="27:31" x14ac:dyDescent="0.25">
      <c r="AA7434" s="160"/>
      <c r="AB7434" s="162"/>
      <c r="AC7434" s="162"/>
      <c r="AD7434" s="162">
        <f t="shared" si="136"/>
        <v>0</v>
      </c>
      <c r="AE7434" s="160">
        <v>7432</v>
      </c>
    </row>
    <row r="7435" spans="27:31" x14ac:dyDescent="0.25">
      <c r="AA7435" s="160"/>
      <c r="AB7435" s="162"/>
      <c r="AC7435" s="162"/>
      <c r="AD7435" s="162">
        <f t="shared" si="136"/>
        <v>0</v>
      </c>
      <c r="AE7435" s="160">
        <v>7433</v>
      </c>
    </row>
    <row r="7436" spans="27:31" x14ac:dyDescent="0.25">
      <c r="AA7436" s="160"/>
      <c r="AB7436" s="162"/>
      <c r="AC7436" s="162"/>
      <c r="AD7436" s="162">
        <f t="shared" si="136"/>
        <v>0</v>
      </c>
      <c r="AE7436" s="160">
        <v>7434</v>
      </c>
    </row>
    <row r="7437" spans="27:31" x14ac:dyDescent="0.25">
      <c r="AA7437" s="160"/>
      <c r="AB7437" s="162"/>
      <c r="AC7437" s="162"/>
      <c r="AD7437" s="162">
        <f t="shared" si="136"/>
        <v>0</v>
      </c>
      <c r="AE7437" s="160">
        <v>7435</v>
      </c>
    </row>
    <row r="7438" spans="27:31" x14ac:dyDescent="0.25">
      <c r="AA7438" s="160"/>
      <c r="AB7438" s="162"/>
      <c r="AC7438" s="162"/>
      <c r="AD7438" s="162">
        <f t="shared" si="136"/>
        <v>0</v>
      </c>
      <c r="AE7438" s="160">
        <v>7436</v>
      </c>
    </row>
    <row r="7439" spans="27:31" x14ac:dyDescent="0.25">
      <c r="AA7439" s="160"/>
      <c r="AB7439" s="162"/>
      <c r="AC7439" s="162"/>
      <c r="AD7439" s="162">
        <f t="shared" si="136"/>
        <v>0</v>
      </c>
      <c r="AE7439" s="160">
        <v>7437</v>
      </c>
    </row>
    <row r="7440" spans="27:31" x14ac:dyDescent="0.25">
      <c r="AA7440" s="160"/>
      <c r="AB7440" s="162"/>
      <c r="AC7440" s="162"/>
      <c r="AD7440" s="162">
        <f t="shared" si="136"/>
        <v>0</v>
      </c>
      <c r="AE7440" s="160">
        <v>7438</v>
      </c>
    </row>
    <row r="7441" spans="27:31" x14ac:dyDescent="0.25">
      <c r="AA7441" s="160"/>
      <c r="AB7441" s="162"/>
      <c r="AC7441" s="162"/>
      <c r="AD7441" s="162">
        <f t="shared" si="136"/>
        <v>0</v>
      </c>
      <c r="AE7441" s="160">
        <v>7439</v>
      </c>
    </row>
    <row r="7442" spans="27:31" x14ac:dyDescent="0.25">
      <c r="AA7442" s="160"/>
      <c r="AB7442" s="162"/>
      <c r="AC7442" s="162"/>
      <c r="AD7442" s="162">
        <f t="shared" si="136"/>
        <v>0</v>
      </c>
      <c r="AE7442" s="160">
        <v>7440</v>
      </c>
    </row>
    <row r="7443" spans="27:31" x14ac:dyDescent="0.25">
      <c r="AA7443" s="160"/>
      <c r="AB7443" s="162"/>
      <c r="AC7443" s="162"/>
      <c r="AD7443" s="162">
        <f t="shared" si="136"/>
        <v>0</v>
      </c>
      <c r="AE7443" s="160">
        <v>7441</v>
      </c>
    </row>
    <row r="7444" spans="27:31" x14ac:dyDescent="0.25">
      <c r="AA7444" s="160"/>
      <c r="AB7444" s="162"/>
      <c r="AC7444" s="162"/>
      <c r="AD7444" s="162">
        <f t="shared" si="136"/>
        <v>0</v>
      </c>
      <c r="AE7444" s="160">
        <v>7442</v>
      </c>
    </row>
    <row r="7445" spans="27:31" x14ac:dyDescent="0.25">
      <c r="AA7445" s="160"/>
      <c r="AB7445" s="162"/>
      <c r="AC7445" s="162"/>
      <c r="AD7445" s="162">
        <f t="shared" si="136"/>
        <v>0</v>
      </c>
      <c r="AE7445" s="160">
        <v>7443</v>
      </c>
    </row>
    <row r="7446" spans="27:31" x14ac:dyDescent="0.25">
      <c r="AA7446" s="160"/>
      <c r="AB7446" s="162"/>
      <c r="AC7446" s="162"/>
      <c r="AD7446" s="162">
        <f t="shared" si="136"/>
        <v>0</v>
      </c>
      <c r="AE7446" s="160">
        <v>7444</v>
      </c>
    </row>
    <row r="7447" spans="27:31" x14ac:dyDescent="0.25">
      <c r="AA7447" s="160"/>
      <c r="AB7447" s="162"/>
      <c r="AC7447" s="162"/>
      <c r="AD7447" s="162">
        <f t="shared" si="136"/>
        <v>0</v>
      </c>
      <c r="AE7447" s="160">
        <v>7445</v>
      </c>
    </row>
    <row r="7448" spans="27:31" x14ac:dyDescent="0.25">
      <c r="AA7448" s="160"/>
      <c r="AB7448" s="162"/>
      <c r="AC7448" s="162"/>
      <c r="AD7448" s="162">
        <f t="shared" si="136"/>
        <v>0</v>
      </c>
      <c r="AE7448" s="160">
        <v>7446</v>
      </c>
    </row>
    <row r="7449" spans="27:31" x14ac:dyDescent="0.25">
      <c r="AA7449" s="160"/>
      <c r="AB7449" s="162"/>
      <c r="AC7449" s="162"/>
      <c r="AD7449" s="162">
        <f t="shared" si="136"/>
        <v>0</v>
      </c>
      <c r="AE7449" s="160">
        <v>7447</v>
      </c>
    </row>
    <row r="7450" spans="27:31" x14ac:dyDescent="0.25">
      <c r="AA7450" s="160"/>
      <c r="AB7450" s="162"/>
      <c r="AC7450" s="162"/>
      <c r="AD7450" s="162">
        <f t="shared" si="136"/>
        <v>0</v>
      </c>
      <c r="AE7450" s="160">
        <v>7448</v>
      </c>
    </row>
    <row r="7451" spans="27:31" x14ac:dyDescent="0.25">
      <c r="AA7451" s="160"/>
      <c r="AB7451" s="162"/>
      <c r="AC7451" s="162"/>
      <c r="AD7451" s="162">
        <f t="shared" si="136"/>
        <v>0</v>
      </c>
      <c r="AE7451" s="160">
        <v>7449</v>
      </c>
    </row>
    <row r="7452" spans="27:31" x14ac:dyDescent="0.25">
      <c r="AA7452" s="160"/>
      <c r="AB7452" s="162"/>
      <c r="AC7452" s="162"/>
      <c r="AD7452" s="162">
        <f t="shared" si="136"/>
        <v>0</v>
      </c>
      <c r="AE7452" s="160">
        <v>7450</v>
      </c>
    </row>
    <row r="7453" spans="27:31" x14ac:dyDescent="0.25">
      <c r="AA7453" s="160"/>
      <c r="AB7453" s="162"/>
      <c r="AC7453" s="162"/>
      <c r="AD7453" s="162">
        <f t="shared" si="136"/>
        <v>0</v>
      </c>
      <c r="AE7453" s="160">
        <v>7451</v>
      </c>
    </row>
    <row r="7454" spans="27:31" x14ac:dyDescent="0.25">
      <c r="AA7454" s="160"/>
      <c r="AB7454" s="162"/>
      <c r="AC7454" s="162"/>
      <c r="AD7454" s="162">
        <f t="shared" si="136"/>
        <v>0</v>
      </c>
      <c r="AE7454" s="160">
        <v>7452</v>
      </c>
    </row>
    <row r="7455" spans="27:31" x14ac:dyDescent="0.25">
      <c r="AA7455" s="160"/>
      <c r="AB7455" s="162"/>
      <c r="AC7455" s="162"/>
      <c r="AD7455" s="162">
        <f t="shared" si="136"/>
        <v>0</v>
      </c>
      <c r="AE7455" s="160">
        <v>7453</v>
      </c>
    </row>
    <row r="7456" spans="27:31" x14ac:dyDescent="0.25">
      <c r="AA7456" s="160"/>
      <c r="AB7456" s="162"/>
      <c r="AC7456" s="162"/>
      <c r="AD7456" s="162">
        <f t="shared" si="136"/>
        <v>0</v>
      </c>
      <c r="AE7456" s="160">
        <v>7454</v>
      </c>
    </row>
    <row r="7457" spans="27:31" x14ac:dyDescent="0.25">
      <c r="AA7457" s="160"/>
      <c r="AB7457" s="162"/>
      <c r="AC7457" s="162"/>
      <c r="AD7457" s="162">
        <f t="shared" si="136"/>
        <v>0</v>
      </c>
      <c r="AE7457" s="160">
        <v>7455</v>
      </c>
    </row>
    <row r="7458" spans="27:31" x14ac:dyDescent="0.25">
      <c r="AA7458" s="160"/>
      <c r="AB7458" s="162"/>
      <c r="AC7458" s="162"/>
      <c r="AD7458" s="162">
        <f t="shared" si="136"/>
        <v>0</v>
      </c>
      <c r="AE7458" s="160">
        <v>7456</v>
      </c>
    </row>
    <row r="7459" spans="27:31" x14ac:dyDescent="0.25">
      <c r="AA7459" s="160"/>
      <c r="AB7459" s="162"/>
      <c r="AC7459" s="162"/>
      <c r="AD7459" s="162">
        <f t="shared" si="136"/>
        <v>0</v>
      </c>
      <c r="AE7459" s="160">
        <v>7457</v>
      </c>
    </row>
    <row r="7460" spans="27:31" x14ac:dyDescent="0.25">
      <c r="AA7460" s="160"/>
      <c r="AB7460" s="162"/>
      <c r="AC7460" s="162"/>
      <c r="AD7460" s="162">
        <f t="shared" si="136"/>
        <v>0</v>
      </c>
      <c r="AE7460" s="160">
        <v>7458</v>
      </c>
    </row>
    <row r="7461" spans="27:31" x14ac:dyDescent="0.25">
      <c r="AA7461" s="160"/>
      <c r="AB7461" s="162"/>
      <c r="AC7461" s="162"/>
      <c r="AD7461" s="162">
        <f t="shared" si="136"/>
        <v>0</v>
      </c>
      <c r="AE7461" s="160">
        <v>7459</v>
      </c>
    </row>
    <row r="7462" spans="27:31" x14ac:dyDescent="0.25">
      <c r="AA7462" s="160"/>
      <c r="AB7462" s="162"/>
      <c r="AC7462" s="162"/>
      <c r="AD7462" s="162">
        <f t="shared" si="136"/>
        <v>0</v>
      </c>
      <c r="AE7462" s="160">
        <v>7460</v>
      </c>
    </row>
    <row r="7463" spans="27:31" x14ac:dyDescent="0.25">
      <c r="AA7463" s="160"/>
      <c r="AB7463" s="162"/>
      <c r="AC7463" s="162"/>
      <c r="AD7463" s="162">
        <f t="shared" si="136"/>
        <v>0</v>
      </c>
      <c r="AE7463" s="160">
        <v>7461</v>
      </c>
    </row>
    <row r="7464" spans="27:31" x14ac:dyDescent="0.25">
      <c r="AA7464" s="160"/>
      <c r="AB7464" s="162"/>
      <c r="AC7464" s="162"/>
      <c r="AD7464" s="162">
        <f t="shared" si="136"/>
        <v>0</v>
      </c>
      <c r="AE7464" s="160">
        <v>7462</v>
      </c>
    </row>
    <row r="7465" spans="27:31" x14ac:dyDescent="0.25">
      <c r="AA7465" s="160"/>
      <c r="AB7465" s="162"/>
      <c r="AC7465" s="162"/>
      <c r="AD7465" s="162">
        <f t="shared" si="136"/>
        <v>0</v>
      </c>
      <c r="AE7465" s="160">
        <v>7463</v>
      </c>
    </row>
    <row r="7466" spans="27:31" x14ac:dyDescent="0.25">
      <c r="AA7466" s="160"/>
      <c r="AB7466" s="162"/>
      <c r="AC7466" s="162"/>
      <c r="AD7466" s="162">
        <f t="shared" si="136"/>
        <v>0</v>
      </c>
      <c r="AE7466" s="160">
        <v>7464</v>
      </c>
    </row>
    <row r="7467" spans="27:31" x14ac:dyDescent="0.25">
      <c r="AA7467" s="160"/>
      <c r="AB7467" s="162"/>
      <c r="AC7467" s="162"/>
      <c r="AD7467" s="162">
        <f t="shared" si="136"/>
        <v>0</v>
      </c>
      <c r="AE7467" s="160">
        <v>7465</v>
      </c>
    </row>
    <row r="7468" spans="27:31" x14ac:dyDescent="0.25">
      <c r="AA7468" s="160"/>
      <c r="AB7468" s="162"/>
      <c r="AC7468" s="162"/>
      <c r="AD7468" s="162">
        <f t="shared" si="136"/>
        <v>0</v>
      </c>
      <c r="AE7468" s="160">
        <v>7466</v>
      </c>
    </row>
    <row r="7469" spans="27:31" x14ac:dyDescent="0.25">
      <c r="AA7469" s="160"/>
      <c r="AB7469" s="162"/>
      <c r="AC7469" s="162"/>
      <c r="AD7469" s="162">
        <f t="shared" si="136"/>
        <v>0</v>
      </c>
      <c r="AE7469" s="160">
        <v>7467</v>
      </c>
    </row>
    <row r="7470" spans="27:31" x14ac:dyDescent="0.25">
      <c r="AA7470" s="160"/>
      <c r="AB7470" s="162"/>
      <c r="AC7470" s="162"/>
      <c r="AD7470" s="162">
        <f t="shared" si="136"/>
        <v>0</v>
      </c>
      <c r="AE7470" s="160">
        <v>7468</v>
      </c>
    </row>
    <row r="7471" spans="27:31" x14ac:dyDescent="0.25">
      <c r="AA7471" s="160"/>
      <c r="AB7471" s="162"/>
      <c r="AC7471" s="162"/>
      <c r="AD7471" s="162">
        <f t="shared" si="136"/>
        <v>0</v>
      </c>
      <c r="AE7471" s="160">
        <v>7469</v>
      </c>
    </row>
    <row r="7472" spans="27:31" x14ac:dyDescent="0.25">
      <c r="AA7472" s="160"/>
      <c r="AB7472" s="162"/>
      <c r="AC7472" s="162"/>
      <c r="AD7472" s="162">
        <f t="shared" si="136"/>
        <v>0</v>
      </c>
      <c r="AE7472" s="160">
        <v>7470</v>
      </c>
    </row>
    <row r="7473" spans="27:31" x14ac:dyDescent="0.25">
      <c r="AA7473" s="160"/>
      <c r="AB7473" s="162"/>
      <c r="AC7473" s="162"/>
      <c r="AD7473" s="162">
        <f t="shared" si="136"/>
        <v>0</v>
      </c>
      <c r="AE7473" s="160">
        <v>7471</v>
      </c>
    </row>
    <row r="7474" spans="27:31" x14ac:dyDescent="0.25">
      <c r="AA7474" s="160"/>
      <c r="AB7474" s="162"/>
      <c r="AC7474" s="162"/>
      <c r="AD7474" s="162">
        <f t="shared" si="136"/>
        <v>0</v>
      </c>
      <c r="AE7474" s="160">
        <v>7472</v>
      </c>
    </row>
    <row r="7475" spans="27:31" x14ac:dyDescent="0.25">
      <c r="AA7475" s="160"/>
      <c r="AB7475" s="162"/>
      <c r="AC7475" s="162"/>
      <c r="AD7475" s="162">
        <f t="shared" si="136"/>
        <v>0</v>
      </c>
      <c r="AE7475" s="160">
        <v>7473</v>
      </c>
    </row>
    <row r="7476" spans="27:31" x14ac:dyDescent="0.25">
      <c r="AA7476" s="160"/>
      <c r="AB7476" s="162"/>
      <c r="AC7476" s="162"/>
      <c r="AD7476" s="162">
        <f t="shared" si="136"/>
        <v>0</v>
      </c>
      <c r="AE7476" s="160">
        <v>7474</v>
      </c>
    </row>
    <row r="7477" spans="27:31" x14ac:dyDescent="0.25">
      <c r="AA7477" s="160"/>
      <c r="AB7477" s="162"/>
      <c r="AC7477" s="162"/>
      <c r="AD7477" s="162">
        <f t="shared" si="136"/>
        <v>0</v>
      </c>
      <c r="AE7477" s="160">
        <v>7475</v>
      </c>
    </row>
    <row r="7478" spans="27:31" x14ac:dyDescent="0.25">
      <c r="AA7478" s="160"/>
      <c r="AB7478" s="162"/>
      <c r="AC7478" s="162"/>
      <c r="AD7478" s="162">
        <f t="shared" si="136"/>
        <v>0</v>
      </c>
      <c r="AE7478" s="160">
        <v>7476</v>
      </c>
    </row>
    <row r="7479" spans="27:31" x14ac:dyDescent="0.25">
      <c r="AA7479" s="160"/>
      <c r="AB7479" s="162"/>
      <c r="AC7479" s="162"/>
      <c r="AD7479" s="162">
        <f t="shared" si="136"/>
        <v>0</v>
      </c>
      <c r="AE7479" s="160">
        <v>7477</v>
      </c>
    </row>
    <row r="7480" spans="27:31" x14ac:dyDescent="0.25">
      <c r="AA7480" s="160"/>
      <c r="AB7480" s="162"/>
      <c r="AC7480" s="162"/>
      <c r="AD7480" s="162">
        <f t="shared" si="136"/>
        <v>0</v>
      </c>
      <c r="AE7480" s="160">
        <v>7478</v>
      </c>
    </row>
    <row r="7481" spans="27:31" x14ac:dyDescent="0.25">
      <c r="AA7481" s="160"/>
      <c r="AB7481" s="162"/>
      <c r="AC7481" s="162"/>
      <c r="AD7481" s="162">
        <f t="shared" si="136"/>
        <v>0</v>
      </c>
      <c r="AE7481" s="160">
        <v>7479</v>
      </c>
    </row>
    <row r="7482" spans="27:31" x14ac:dyDescent="0.25">
      <c r="AA7482" s="160"/>
      <c r="AB7482" s="162"/>
      <c r="AC7482" s="162"/>
      <c r="AD7482" s="162">
        <f t="shared" si="136"/>
        <v>0</v>
      </c>
      <c r="AE7482" s="160">
        <v>7480</v>
      </c>
    </row>
    <row r="7483" spans="27:31" x14ac:dyDescent="0.25">
      <c r="AA7483" s="160"/>
      <c r="AB7483" s="162"/>
      <c r="AC7483" s="162"/>
      <c r="AD7483" s="162">
        <f t="shared" si="136"/>
        <v>0</v>
      </c>
      <c r="AE7483" s="160">
        <v>7481</v>
      </c>
    </row>
    <row r="7484" spans="27:31" x14ac:dyDescent="0.25">
      <c r="AA7484" s="160"/>
      <c r="AB7484" s="162"/>
      <c r="AC7484" s="162"/>
      <c r="AD7484" s="162">
        <f t="shared" si="136"/>
        <v>0</v>
      </c>
      <c r="AE7484" s="160">
        <v>7482</v>
      </c>
    </row>
    <row r="7485" spans="27:31" x14ac:dyDescent="0.25">
      <c r="AA7485" s="160"/>
      <c r="AB7485" s="162"/>
      <c r="AC7485" s="162"/>
      <c r="AD7485" s="162">
        <f t="shared" si="136"/>
        <v>0</v>
      </c>
      <c r="AE7485" s="160">
        <v>7483</v>
      </c>
    </row>
    <row r="7486" spans="27:31" x14ac:dyDescent="0.25">
      <c r="AA7486" s="160"/>
      <c r="AB7486" s="162"/>
      <c r="AC7486" s="162"/>
      <c r="AD7486" s="162">
        <f t="shared" si="136"/>
        <v>0</v>
      </c>
      <c r="AE7486" s="160">
        <v>7484</v>
      </c>
    </row>
    <row r="7487" spans="27:31" x14ac:dyDescent="0.25">
      <c r="AA7487" s="160"/>
      <c r="AB7487" s="162"/>
      <c r="AC7487" s="162"/>
      <c r="AD7487" s="162">
        <f t="shared" si="136"/>
        <v>0</v>
      </c>
      <c r="AE7487" s="160">
        <v>7485</v>
      </c>
    </row>
    <row r="7488" spans="27:31" x14ac:dyDescent="0.25">
      <c r="AA7488" s="160"/>
      <c r="AB7488" s="162"/>
      <c r="AC7488" s="162"/>
      <c r="AD7488" s="162">
        <f t="shared" si="136"/>
        <v>0</v>
      </c>
      <c r="AE7488" s="160">
        <v>7486</v>
      </c>
    </row>
    <row r="7489" spans="27:31" x14ac:dyDescent="0.25">
      <c r="AA7489" s="160"/>
      <c r="AB7489" s="162"/>
      <c r="AC7489" s="162"/>
      <c r="AD7489" s="162">
        <f t="shared" si="136"/>
        <v>0</v>
      </c>
      <c r="AE7489" s="160">
        <v>7487</v>
      </c>
    </row>
    <row r="7490" spans="27:31" x14ac:dyDescent="0.25">
      <c r="AA7490" s="160"/>
      <c r="AB7490" s="162"/>
      <c r="AC7490" s="162"/>
      <c r="AD7490" s="162">
        <f t="shared" si="136"/>
        <v>0</v>
      </c>
      <c r="AE7490" s="160">
        <v>7488</v>
      </c>
    </row>
    <row r="7491" spans="27:31" x14ac:dyDescent="0.25">
      <c r="AA7491" s="160"/>
      <c r="AB7491" s="162"/>
      <c r="AC7491" s="162"/>
      <c r="AD7491" s="162">
        <f t="shared" si="136"/>
        <v>0</v>
      </c>
      <c r="AE7491" s="160">
        <v>7489</v>
      </c>
    </row>
    <row r="7492" spans="27:31" x14ac:dyDescent="0.25">
      <c r="AA7492" s="160"/>
      <c r="AB7492" s="162"/>
      <c r="AC7492" s="162"/>
      <c r="AD7492" s="162">
        <f t="shared" ref="AD7492:AD7555" si="137">AB7492+AC7492</f>
        <v>0</v>
      </c>
      <c r="AE7492" s="160">
        <v>7490</v>
      </c>
    </row>
    <row r="7493" spans="27:31" x14ac:dyDescent="0.25">
      <c r="AA7493" s="160"/>
      <c r="AB7493" s="162"/>
      <c r="AC7493" s="162"/>
      <c r="AD7493" s="162">
        <f t="shared" si="137"/>
        <v>0</v>
      </c>
      <c r="AE7493" s="160">
        <v>7491</v>
      </c>
    </row>
    <row r="7494" spans="27:31" x14ac:dyDescent="0.25">
      <c r="AA7494" s="160"/>
      <c r="AB7494" s="162"/>
      <c r="AC7494" s="162"/>
      <c r="AD7494" s="162">
        <f t="shared" si="137"/>
        <v>0</v>
      </c>
      <c r="AE7494" s="160">
        <v>7492</v>
      </c>
    </row>
    <row r="7495" spans="27:31" x14ac:dyDescent="0.25">
      <c r="AA7495" s="160"/>
      <c r="AB7495" s="162"/>
      <c r="AC7495" s="162"/>
      <c r="AD7495" s="162">
        <f t="shared" si="137"/>
        <v>0</v>
      </c>
      <c r="AE7495" s="160">
        <v>7493</v>
      </c>
    </row>
    <row r="7496" spans="27:31" x14ac:dyDescent="0.25">
      <c r="AA7496" s="160"/>
      <c r="AB7496" s="162"/>
      <c r="AC7496" s="162"/>
      <c r="AD7496" s="162">
        <f t="shared" si="137"/>
        <v>0</v>
      </c>
      <c r="AE7496" s="160">
        <v>7494</v>
      </c>
    </row>
    <row r="7497" spans="27:31" x14ac:dyDescent="0.25">
      <c r="AA7497" s="160"/>
      <c r="AB7497" s="162"/>
      <c r="AC7497" s="162"/>
      <c r="AD7497" s="162">
        <f t="shared" si="137"/>
        <v>0</v>
      </c>
      <c r="AE7497" s="160">
        <v>7495</v>
      </c>
    </row>
    <row r="7498" spans="27:31" x14ac:dyDescent="0.25">
      <c r="AA7498" s="160"/>
      <c r="AB7498" s="162"/>
      <c r="AC7498" s="162"/>
      <c r="AD7498" s="162">
        <f t="shared" si="137"/>
        <v>0</v>
      </c>
      <c r="AE7498" s="160">
        <v>7496</v>
      </c>
    </row>
    <row r="7499" spans="27:31" x14ac:dyDescent="0.25">
      <c r="AA7499" s="160"/>
      <c r="AB7499" s="162"/>
      <c r="AC7499" s="162"/>
      <c r="AD7499" s="162">
        <f t="shared" si="137"/>
        <v>0</v>
      </c>
      <c r="AE7499" s="160">
        <v>7497</v>
      </c>
    </row>
    <row r="7500" spans="27:31" x14ac:dyDescent="0.25">
      <c r="AA7500" s="160"/>
      <c r="AB7500" s="162"/>
      <c r="AC7500" s="162"/>
      <c r="AD7500" s="162">
        <f t="shared" si="137"/>
        <v>0</v>
      </c>
      <c r="AE7500" s="160">
        <v>7498</v>
      </c>
    </row>
    <row r="7501" spans="27:31" x14ac:dyDescent="0.25">
      <c r="AA7501" s="160"/>
      <c r="AB7501" s="162"/>
      <c r="AC7501" s="162"/>
      <c r="AD7501" s="162">
        <f t="shared" si="137"/>
        <v>0</v>
      </c>
      <c r="AE7501" s="160">
        <v>7499</v>
      </c>
    </row>
    <row r="7502" spans="27:31" x14ac:dyDescent="0.25">
      <c r="AA7502" s="160"/>
      <c r="AB7502" s="162"/>
      <c r="AC7502" s="162"/>
      <c r="AD7502" s="162">
        <f t="shared" si="137"/>
        <v>0</v>
      </c>
      <c r="AE7502" s="160">
        <v>7500</v>
      </c>
    </row>
    <row r="7503" spans="27:31" x14ac:dyDescent="0.25">
      <c r="AA7503" s="160"/>
      <c r="AB7503" s="162"/>
      <c r="AC7503" s="162"/>
      <c r="AD7503" s="162">
        <f t="shared" si="137"/>
        <v>0</v>
      </c>
      <c r="AE7503" s="160">
        <v>7501</v>
      </c>
    </row>
    <row r="7504" spans="27:31" x14ac:dyDescent="0.25">
      <c r="AA7504" s="160"/>
      <c r="AB7504" s="162"/>
      <c r="AC7504" s="162"/>
      <c r="AD7504" s="162">
        <f t="shared" si="137"/>
        <v>0</v>
      </c>
      <c r="AE7504" s="160">
        <v>7502</v>
      </c>
    </row>
    <row r="7505" spans="27:31" x14ac:dyDescent="0.25">
      <c r="AA7505" s="160"/>
      <c r="AB7505" s="162"/>
      <c r="AC7505" s="162"/>
      <c r="AD7505" s="162">
        <f t="shared" si="137"/>
        <v>0</v>
      </c>
      <c r="AE7505" s="160">
        <v>7503</v>
      </c>
    </row>
    <row r="7506" spans="27:31" x14ac:dyDescent="0.25">
      <c r="AA7506" s="160"/>
      <c r="AB7506" s="162"/>
      <c r="AC7506" s="162"/>
      <c r="AD7506" s="162">
        <f t="shared" si="137"/>
        <v>0</v>
      </c>
      <c r="AE7506" s="160">
        <v>7504</v>
      </c>
    </row>
    <row r="7507" spans="27:31" x14ac:dyDescent="0.25">
      <c r="AA7507" s="160"/>
      <c r="AB7507" s="162"/>
      <c r="AC7507" s="162"/>
      <c r="AD7507" s="162">
        <f t="shared" si="137"/>
        <v>0</v>
      </c>
      <c r="AE7507" s="160">
        <v>7505</v>
      </c>
    </row>
    <row r="7508" spans="27:31" x14ac:dyDescent="0.25">
      <c r="AA7508" s="160"/>
      <c r="AB7508" s="162"/>
      <c r="AC7508" s="162"/>
      <c r="AD7508" s="162">
        <f t="shared" si="137"/>
        <v>0</v>
      </c>
      <c r="AE7508" s="160">
        <v>7506</v>
      </c>
    </row>
    <row r="7509" spans="27:31" x14ac:dyDescent="0.25">
      <c r="AA7509" s="160"/>
      <c r="AB7509" s="162"/>
      <c r="AC7509" s="162"/>
      <c r="AD7509" s="162">
        <f t="shared" si="137"/>
        <v>0</v>
      </c>
      <c r="AE7509" s="160">
        <v>7507</v>
      </c>
    </row>
    <row r="7510" spans="27:31" x14ac:dyDescent="0.25">
      <c r="AA7510" s="160"/>
      <c r="AB7510" s="162"/>
      <c r="AC7510" s="162"/>
      <c r="AD7510" s="162">
        <f t="shared" si="137"/>
        <v>0</v>
      </c>
      <c r="AE7510" s="160">
        <v>7508</v>
      </c>
    </row>
    <row r="7511" spans="27:31" x14ac:dyDescent="0.25">
      <c r="AA7511" s="160"/>
      <c r="AB7511" s="162"/>
      <c r="AC7511" s="162"/>
      <c r="AD7511" s="162">
        <f t="shared" si="137"/>
        <v>0</v>
      </c>
      <c r="AE7511" s="160">
        <v>7509</v>
      </c>
    </row>
    <row r="7512" spans="27:31" x14ac:dyDescent="0.25">
      <c r="AA7512" s="160"/>
      <c r="AB7512" s="162"/>
      <c r="AC7512" s="162"/>
      <c r="AD7512" s="162">
        <f t="shared" si="137"/>
        <v>0</v>
      </c>
      <c r="AE7512" s="160">
        <v>7510</v>
      </c>
    </row>
    <row r="7513" spans="27:31" x14ac:dyDescent="0.25">
      <c r="AA7513" s="160"/>
      <c r="AB7513" s="162"/>
      <c r="AC7513" s="162"/>
      <c r="AD7513" s="162">
        <f t="shared" si="137"/>
        <v>0</v>
      </c>
      <c r="AE7513" s="160">
        <v>7511</v>
      </c>
    </row>
    <row r="7514" spans="27:31" x14ac:dyDescent="0.25">
      <c r="AA7514" s="160"/>
      <c r="AB7514" s="162"/>
      <c r="AC7514" s="162"/>
      <c r="AD7514" s="162">
        <f t="shared" si="137"/>
        <v>0</v>
      </c>
      <c r="AE7514" s="160">
        <v>7512</v>
      </c>
    </row>
    <row r="7515" spans="27:31" x14ac:dyDescent="0.25">
      <c r="AA7515" s="160"/>
      <c r="AB7515" s="162"/>
      <c r="AC7515" s="162"/>
      <c r="AD7515" s="162">
        <f t="shared" si="137"/>
        <v>0</v>
      </c>
      <c r="AE7515" s="160">
        <v>7513</v>
      </c>
    </row>
    <row r="7516" spans="27:31" x14ac:dyDescent="0.25">
      <c r="AA7516" s="160"/>
      <c r="AB7516" s="162"/>
      <c r="AC7516" s="162"/>
      <c r="AD7516" s="162">
        <f t="shared" si="137"/>
        <v>0</v>
      </c>
      <c r="AE7516" s="160">
        <v>7514</v>
      </c>
    </row>
    <row r="7517" spans="27:31" x14ac:dyDescent="0.25">
      <c r="AA7517" s="160"/>
      <c r="AB7517" s="162"/>
      <c r="AC7517" s="162"/>
      <c r="AD7517" s="162">
        <f t="shared" si="137"/>
        <v>0</v>
      </c>
      <c r="AE7517" s="160">
        <v>7515</v>
      </c>
    </row>
    <row r="7518" spans="27:31" x14ac:dyDescent="0.25">
      <c r="AA7518" s="160"/>
      <c r="AB7518" s="162"/>
      <c r="AC7518" s="162"/>
      <c r="AD7518" s="162">
        <f t="shared" si="137"/>
        <v>0</v>
      </c>
      <c r="AE7518" s="160">
        <v>7516</v>
      </c>
    </row>
    <row r="7519" spans="27:31" x14ac:dyDescent="0.25">
      <c r="AA7519" s="160"/>
      <c r="AB7519" s="162"/>
      <c r="AC7519" s="162"/>
      <c r="AD7519" s="162">
        <f t="shared" si="137"/>
        <v>0</v>
      </c>
      <c r="AE7519" s="160">
        <v>7517</v>
      </c>
    </row>
    <row r="7520" spans="27:31" x14ac:dyDescent="0.25">
      <c r="AA7520" s="160"/>
      <c r="AB7520" s="162"/>
      <c r="AC7520" s="162"/>
      <c r="AD7520" s="162">
        <f t="shared" si="137"/>
        <v>0</v>
      </c>
      <c r="AE7520" s="160">
        <v>7518</v>
      </c>
    </row>
    <row r="7521" spans="27:31" x14ac:dyDescent="0.25">
      <c r="AA7521" s="160"/>
      <c r="AB7521" s="162"/>
      <c r="AC7521" s="162"/>
      <c r="AD7521" s="162">
        <f t="shared" si="137"/>
        <v>0</v>
      </c>
      <c r="AE7521" s="160">
        <v>7519</v>
      </c>
    </row>
    <row r="7522" spans="27:31" x14ac:dyDescent="0.25">
      <c r="AA7522" s="160"/>
      <c r="AB7522" s="162"/>
      <c r="AC7522" s="162"/>
      <c r="AD7522" s="162">
        <f t="shared" si="137"/>
        <v>0</v>
      </c>
      <c r="AE7522" s="160">
        <v>7520</v>
      </c>
    </row>
    <row r="7523" spans="27:31" x14ac:dyDescent="0.25">
      <c r="AA7523" s="160"/>
      <c r="AB7523" s="162"/>
      <c r="AC7523" s="162"/>
      <c r="AD7523" s="162">
        <f t="shared" si="137"/>
        <v>0</v>
      </c>
      <c r="AE7523" s="160">
        <v>7521</v>
      </c>
    </row>
    <row r="7524" spans="27:31" x14ac:dyDescent="0.25">
      <c r="AA7524" s="160"/>
      <c r="AB7524" s="162"/>
      <c r="AC7524" s="162"/>
      <c r="AD7524" s="162">
        <f t="shared" si="137"/>
        <v>0</v>
      </c>
      <c r="AE7524" s="160">
        <v>7522</v>
      </c>
    </row>
    <row r="7525" spans="27:31" x14ac:dyDescent="0.25">
      <c r="AA7525" s="160"/>
      <c r="AB7525" s="162"/>
      <c r="AC7525" s="162"/>
      <c r="AD7525" s="162">
        <f t="shared" si="137"/>
        <v>0</v>
      </c>
      <c r="AE7525" s="160">
        <v>7523</v>
      </c>
    </row>
    <row r="7526" spans="27:31" x14ac:dyDescent="0.25">
      <c r="AA7526" s="160"/>
      <c r="AB7526" s="162"/>
      <c r="AC7526" s="162"/>
      <c r="AD7526" s="162">
        <f t="shared" si="137"/>
        <v>0</v>
      </c>
      <c r="AE7526" s="160">
        <v>7524</v>
      </c>
    </row>
    <row r="7527" spans="27:31" x14ac:dyDescent="0.25">
      <c r="AA7527" s="160"/>
      <c r="AB7527" s="162"/>
      <c r="AC7527" s="162"/>
      <c r="AD7527" s="162">
        <f t="shared" si="137"/>
        <v>0</v>
      </c>
      <c r="AE7527" s="160">
        <v>7525</v>
      </c>
    </row>
    <row r="7528" spans="27:31" x14ac:dyDescent="0.25">
      <c r="AA7528" s="160"/>
      <c r="AB7528" s="162"/>
      <c r="AC7528" s="162"/>
      <c r="AD7528" s="162">
        <f t="shared" si="137"/>
        <v>0</v>
      </c>
      <c r="AE7528" s="160">
        <v>7526</v>
      </c>
    </row>
    <row r="7529" spans="27:31" x14ac:dyDescent="0.25">
      <c r="AA7529" s="160"/>
      <c r="AB7529" s="162"/>
      <c r="AC7529" s="162"/>
      <c r="AD7529" s="162">
        <f t="shared" si="137"/>
        <v>0</v>
      </c>
      <c r="AE7529" s="160">
        <v>7527</v>
      </c>
    </row>
    <row r="7530" spans="27:31" x14ac:dyDescent="0.25">
      <c r="AA7530" s="160"/>
      <c r="AB7530" s="162"/>
      <c r="AC7530" s="162"/>
      <c r="AD7530" s="162">
        <f t="shared" si="137"/>
        <v>0</v>
      </c>
      <c r="AE7530" s="160">
        <v>7528</v>
      </c>
    </row>
    <row r="7531" spans="27:31" x14ac:dyDescent="0.25">
      <c r="AA7531" s="160"/>
      <c r="AB7531" s="162"/>
      <c r="AC7531" s="162"/>
      <c r="AD7531" s="162">
        <f t="shared" si="137"/>
        <v>0</v>
      </c>
      <c r="AE7531" s="160">
        <v>7529</v>
      </c>
    </row>
    <row r="7532" spans="27:31" x14ac:dyDescent="0.25">
      <c r="AA7532" s="160"/>
      <c r="AB7532" s="162"/>
      <c r="AC7532" s="162"/>
      <c r="AD7532" s="162">
        <f t="shared" si="137"/>
        <v>0</v>
      </c>
      <c r="AE7532" s="160">
        <v>7530</v>
      </c>
    </row>
    <row r="7533" spans="27:31" x14ac:dyDescent="0.25">
      <c r="AA7533" s="160"/>
      <c r="AB7533" s="162"/>
      <c r="AC7533" s="162"/>
      <c r="AD7533" s="162">
        <f t="shared" si="137"/>
        <v>0</v>
      </c>
      <c r="AE7533" s="160">
        <v>7531</v>
      </c>
    </row>
    <row r="7534" spans="27:31" x14ac:dyDescent="0.25">
      <c r="AA7534" s="160"/>
      <c r="AB7534" s="162"/>
      <c r="AC7534" s="162"/>
      <c r="AD7534" s="162">
        <f t="shared" si="137"/>
        <v>0</v>
      </c>
      <c r="AE7534" s="160">
        <v>7532</v>
      </c>
    </row>
    <row r="7535" spans="27:31" x14ac:dyDescent="0.25">
      <c r="AA7535" s="160"/>
      <c r="AB7535" s="162"/>
      <c r="AC7535" s="162"/>
      <c r="AD7535" s="162">
        <f t="shared" si="137"/>
        <v>0</v>
      </c>
      <c r="AE7535" s="160">
        <v>7533</v>
      </c>
    </row>
    <row r="7536" spans="27:31" x14ac:dyDescent="0.25">
      <c r="AA7536" s="160"/>
      <c r="AB7536" s="162"/>
      <c r="AC7536" s="162"/>
      <c r="AD7536" s="162">
        <f t="shared" si="137"/>
        <v>0</v>
      </c>
      <c r="AE7536" s="160">
        <v>7534</v>
      </c>
    </row>
    <row r="7537" spans="27:31" x14ac:dyDescent="0.25">
      <c r="AA7537" s="160"/>
      <c r="AB7537" s="162"/>
      <c r="AC7537" s="162"/>
      <c r="AD7537" s="162">
        <f t="shared" si="137"/>
        <v>0</v>
      </c>
      <c r="AE7537" s="160">
        <v>7535</v>
      </c>
    </row>
    <row r="7538" spans="27:31" x14ac:dyDescent="0.25">
      <c r="AA7538" s="160"/>
      <c r="AB7538" s="162"/>
      <c r="AC7538" s="162"/>
      <c r="AD7538" s="162">
        <f t="shared" si="137"/>
        <v>0</v>
      </c>
      <c r="AE7538" s="160">
        <v>7536</v>
      </c>
    </row>
    <row r="7539" spans="27:31" x14ac:dyDescent="0.25">
      <c r="AA7539" s="160"/>
      <c r="AB7539" s="162"/>
      <c r="AC7539" s="162"/>
      <c r="AD7539" s="162">
        <f t="shared" si="137"/>
        <v>0</v>
      </c>
      <c r="AE7539" s="160">
        <v>7537</v>
      </c>
    </row>
    <row r="7540" spans="27:31" x14ac:dyDescent="0.25">
      <c r="AA7540" s="160"/>
      <c r="AB7540" s="162"/>
      <c r="AC7540" s="162"/>
      <c r="AD7540" s="162">
        <f t="shared" si="137"/>
        <v>0</v>
      </c>
      <c r="AE7540" s="160">
        <v>7538</v>
      </c>
    </row>
    <row r="7541" spans="27:31" x14ac:dyDescent="0.25">
      <c r="AA7541" s="160"/>
      <c r="AB7541" s="162"/>
      <c r="AC7541" s="162"/>
      <c r="AD7541" s="162">
        <f t="shared" si="137"/>
        <v>0</v>
      </c>
      <c r="AE7541" s="160">
        <v>7539</v>
      </c>
    </row>
    <row r="7542" spans="27:31" x14ac:dyDescent="0.25">
      <c r="AA7542" s="160"/>
      <c r="AB7542" s="162"/>
      <c r="AC7542" s="162"/>
      <c r="AD7542" s="162">
        <f t="shared" si="137"/>
        <v>0</v>
      </c>
      <c r="AE7542" s="160">
        <v>7540</v>
      </c>
    </row>
    <row r="7543" spans="27:31" x14ac:dyDescent="0.25">
      <c r="AA7543" s="160"/>
      <c r="AB7543" s="162"/>
      <c r="AC7543" s="162"/>
      <c r="AD7543" s="162">
        <f t="shared" si="137"/>
        <v>0</v>
      </c>
      <c r="AE7543" s="160">
        <v>7541</v>
      </c>
    </row>
    <row r="7544" spans="27:31" x14ac:dyDescent="0.25">
      <c r="AA7544" s="160"/>
      <c r="AB7544" s="162"/>
      <c r="AC7544" s="162"/>
      <c r="AD7544" s="162">
        <f t="shared" si="137"/>
        <v>0</v>
      </c>
      <c r="AE7544" s="160">
        <v>7542</v>
      </c>
    </row>
    <row r="7545" spans="27:31" x14ac:dyDescent="0.25">
      <c r="AA7545" s="160"/>
      <c r="AB7545" s="162"/>
      <c r="AC7545" s="162"/>
      <c r="AD7545" s="162">
        <f t="shared" si="137"/>
        <v>0</v>
      </c>
      <c r="AE7545" s="160">
        <v>7543</v>
      </c>
    </row>
    <row r="7546" spans="27:31" x14ac:dyDescent="0.25">
      <c r="AA7546" s="160"/>
      <c r="AB7546" s="162"/>
      <c r="AC7546" s="162"/>
      <c r="AD7546" s="162">
        <f t="shared" si="137"/>
        <v>0</v>
      </c>
      <c r="AE7546" s="160">
        <v>7544</v>
      </c>
    </row>
    <row r="7547" spans="27:31" x14ac:dyDescent="0.25">
      <c r="AA7547" s="160"/>
      <c r="AB7547" s="162"/>
      <c r="AC7547" s="162"/>
      <c r="AD7547" s="162">
        <f t="shared" si="137"/>
        <v>0</v>
      </c>
      <c r="AE7547" s="160">
        <v>7545</v>
      </c>
    </row>
    <row r="7548" spans="27:31" x14ac:dyDescent="0.25">
      <c r="AA7548" s="160"/>
      <c r="AB7548" s="162"/>
      <c r="AC7548" s="162"/>
      <c r="AD7548" s="162">
        <f t="shared" si="137"/>
        <v>0</v>
      </c>
      <c r="AE7548" s="160">
        <v>7546</v>
      </c>
    </row>
    <row r="7549" spans="27:31" x14ac:dyDescent="0.25">
      <c r="AA7549" s="160"/>
      <c r="AB7549" s="162"/>
      <c r="AC7549" s="162"/>
      <c r="AD7549" s="162">
        <f t="shared" si="137"/>
        <v>0</v>
      </c>
      <c r="AE7549" s="160">
        <v>7547</v>
      </c>
    </row>
    <row r="7550" spans="27:31" x14ac:dyDescent="0.25">
      <c r="AA7550" s="160"/>
      <c r="AB7550" s="162"/>
      <c r="AC7550" s="162"/>
      <c r="AD7550" s="162">
        <f t="shared" si="137"/>
        <v>0</v>
      </c>
      <c r="AE7550" s="160">
        <v>7548</v>
      </c>
    </row>
    <row r="7551" spans="27:31" x14ac:dyDescent="0.25">
      <c r="AA7551" s="160"/>
      <c r="AB7551" s="162"/>
      <c r="AC7551" s="162"/>
      <c r="AD7551" s="162">
        <f t="shared" si="137"/>
        <v>0</v>
      </c>
      <c r="AE7551" s="160">
        <v>7549</v>
      </c>
    </row>
    <row r="7552" spans="27:31" x14ac:dyDescent="0.25">
      <c r="AA7552" s="160"/>
      <c r="AB7552" s="162"/>
      <c r="AC7552" s="162"/>
      <c r="AD7552" s="162">
        <f t="shared" si="137"/>
        <v>0</v>
      </c>
      <c r="AE7552" s="160">
        <v>7550</v>
      </c>
    </row>
    <row r="7553" spans="27:31" x14ac:dyDescent="0.25">
      <c r="AA7553" s="160"/>
      <c r="AB7553" s="162"/>
      <c r="AC7553" s="162"/>
      <c r="AD7553" s="162">
        <f t="shared" si="137"/>
        <v>0</v>
      </c>
      <c r="AE7553" s="160">
        <v>7551</v>
      </c>
    </row>
    <row r="7554" spans="27:31" x14ac:dyDescent="0.25">
      <c r="AA7554" s="160"/>
      <c r="AB7554" s="162"/>
      <c r="AC7554" s="162"/>
      <c r="AD7554" s="162">
        <f t="shared" si="137"/>
        <v>0</v>
      </c>
      <c r="AE7554" s="160">
        <v>7552</v>
      </c>
    </row>
    <row r="7555" spans="27:31" x14ac:dyDescent="0.25">
      <c r="AA7555" s="160"/>
      <c r="AB7555" s="162"/>
      <c r="AC7555" s="162"/>
      <c r="AD7555" s="162">
        <f t="shared" si="137"/>
        <v>0</v>
      </c>
      <c r="AE7555" s="160">
        <v>7553</v>
      </c>
    </row>
    <row r="7556" spans="27:31" x14ac:dyDescent="0.25">
      <c r="AA7556" s="160"/>
      <c r="AB7556" s="162"/>
      <c r="AC7556" s="162"/>
      <c r="AD7556" s="162">
        <f t="shared" ref="AD7556:AD7619" si="138">AB7556+AC7556</f>
        <v>0</v>
      </c>
      <c r="AE7556" s="160">
        <v>7554</v>
      </c>
    </row>
    <row r="7557" spans="27:31" x14ac:dyDescent="0.25">
      <c r="AA7557" s="160"/>
      <c r="AB7557" s="162"/>
      <c r="AC7557" s="162"/>
      <c r="AD7557" s="162">
        <f t="shared" si="138"/>
        <v>0</v>
      </c>
      <c r="AE7557" s="160">
        <v>7555</v>
      </c>
    </row>
    <row r="7558" spans="27:31" x14ac:dyDescent="0.25">
      <c r="AA7558" s="160"/>
      <c r="AB7558" s="162"/>
      <c r="AC7558" s="162"/>
      <c r="AD7558" s="162">
        <f t="shared" si="138"/>
        <v>0</v>
      </c>
      <c r="AE7558" s="160">
        <v>7556</v>
      </c>
    </row>
    <row r="7559" spans="27:31" x14ac:dyDescent="0.25">
      <c r="AA7559" s="160"/>
      <c r="AB7559" s="162"/>
      <c r="AC7559" s="162"/>
      <c r="AD7559" s="162">
        <f t="shared" si="138"/>
        <v>0</v>
      </c>
      <c r="AE7559" s="160">
        <v>7557</v>
      </c>
    </row>
    <row r="7560" spans="27:31" x14ac:dyDescent="0.25">
      <c r="AA7560" s="160"/>
      <c r="AB7560" s="162"/>
      <c r="AC7560" s="162"/>
      <c r="AD7560" s="162">
        <f t="shared" si="138"/>
        <v>0</v>
      </c>
      <c r="AE7560" s="160">
        <v>7558</v>
      </c>
    </row>
    <row r="7561" spans="27:31" x14ac:dyDescent="0.25">
      <c r="AA7561" s="160"/>
      <c r="AB7561" s="162"/>
      <c r="AC7561" s="162"/>
      <c r="AD7561" s="162">
        <f t="shared" si="138"/>
        <v>0</v>
      </c>
      <c r="AE7561" s="160">
        <v>7559</v>
      </c>
    </row>
    <row r="7562" spans="27:31" x14ac:dyDescent="0.25">
      <c r="AA7562" s="160"/>
      <c r="AB7562" s="162"/>
      <c r="AC7562" s="162"/>
      <c r="AD7562" s="162">
        <f t="shared" si="138"/>
        <v>0</v>
      </c>
      <c r="AE7562" s="160">
        <v>7560</v>
      </c>
    </row>
    <row r="7563" spans="27:31" x14ac:dyDescent="0.25">
      <c r="AA7563" s="160"/>
      <c r="AB7563" s="162"/>
      <c r="AC7563" s="162"/>
      <c r="AD7563" s="162">
        <f t="shared" si="138"/>
        <v>0</v>
      </c>
      <c r="AE7563" s="160">
        <v>7561</v>
      </c>
    </row>
    <row r="7564" spans="27:31" x14ac:dyDescent="0.25">
      <c r="AA7564" s="160"/>
      <c r="AB7564" s="162"/>
      <c r="AC7564" s="162"/>
      <c r="AD7564" s="162">
        <f t="shared" si="138"/>
        <v>0</v>
      </c>
      <c r="AE7564" s="160">
        <v>7562</v>
      </c>
    </row>
    <row r="7565" spans="27:31" x14ac:dyDescent="0.25">
      <c r="AA7565" s="160"/>
      <c r="AB7565" s="162"/>
      <c r="AC7565" s="162"/>
      <c r="AD7565" s="162">
        <f t="shared" si="138"/>
        <v>0</v>
      </c>
      <c r="AE7565" s="160">
        <v>7563</v>
      </c>
    </row>
    <row r="7566" spans="27:31" x14ac:dyDescent="0.25">
      <c r="AA7566" s="160"/>
      <c r="AB7566" s="162"/>
      <c r="AC7566" s="162"/>
      <c r="AD7566" s="162">
        <f t="shared" si="138"/>
        <v>0</v>
      </c>
      <c r="AE7566" s="160">
        <v>7564</v>
      </c>
    </row>
    <row r="7567" spans="27:31" x14ac:dyDescent="0.25">
      <c r="AA7567" s="160"/>
      <c r="AB7567" s="162"/>
      <c r="AC7567" s="162"/>
      <c r="AD7567" s="162">
        <f t="shared" si="138"/>
        <v>0</v>
      </c>
      <c r="AE7567" s="160">
        <v>7565</v>
      </c>
    </row>
    <row r="7568" spans="27:31" x14ac:dyDescent="0.25">
      <c r="AA7568" s="160"/>
      <c r="AB7568" s="162"/>
      <c r="AC7568" s="162"/>
      <c r="AD7568" s="162">
        <f t="shared" si="138"/>
        <v>0</v>
      </c>
      <c r="AE7568" s="160">
        <v>7566</v>
      </c>
    </row>
    <row r="7569" spans="27:31" x14ac:dyDescent="0.25">
      <c r="AA7569" s="160"/>
      <c r="AB7569" s="162"/>
      <c r="AC7569" s="162"/>
      <c r="AD7569" s="162">
        <f t="shared" si="138"/>
        <v>0</v>
      </c>
      <c r="AE7569" s="160">
        <v>7567</v>
      </c>
    </row>
    <row r="7570" spans="27:31" x14ac:dyDescent="0.25">
      <c r="AA7570" s="160"/>
      <c r="AB7570" s="162"/>
      <c r="AC7570" s="162"/>
      <c r="AD7570" s="162">
        <f t="shared" si="138"/>
        <v>0</v>
      </c>
      <c r="AE7570" s="160">
        <v>7568</v>
      </c>
    </row>
    <row r="7571" spans="27:31" x14ac:dyDescent="0.25">
      <c r="AA7571" s="160"/>
      <c r="AB7571" s="162"/>
      <c r="AC7571" s="162"/>
      <c r="AD7571" s="162">
        <f t="shared" si="138"/>
        <v>0</v>
      </c>
      <c r="AE7571" s="160">
        <v>7569</v>
      </c>
    </row>
    <row r="7572" spans="27:31" x14ac:dyDescent="0.25">
      <c r="AA7572" s="160"/>
      <c r="AB7572" s="162"/>
      <c r="AC7572" s="162"/>
      <c r="AD7572" s="162">
        <f t="shared" si="138"/>
        <v>0</v>
      </c>
      <c r="AE7572" s="160">
        <v>7570</v>
      </c>
    </row>
    <row r="7573" spans="27:31" x14ac:dyDescent="0.25">
      <c r="AA7573" s="160"/>
      <c r="AB7573" s="162"/>
      <c r="AC7573" s="162"/>
      <c r="AD7573" s="162">
        <f t="shared" si="138"/>
        <v>0</v>
      </c>
      <c r="AE7573" s="160">
        <v>7571</v>
      </c>
    </row>
    <row r="7574" spans="27:31" x14ac:dyDescent="0.25">
      <c r="AA7574" s="160"/>
      <c r="AB7574" s="162"/>
      <c r="AC7574" s="162"/>
      <c r="AD7574" s="162">
        <f t="shared" si="138"/>
        <v>0</v>
      </c>
      <c r="AE7574" s="160">
        <v>7572</v>
      </c>
    </row>
    <row r="7575" spans="27:31" x14ac:dyDescent="0.25">
      <c r="AA7575" s="160"/>
      <c r="AB7575" s="162"/>
      <c r="AC7575" s="162"/>
      <c r="AD7575" s="162">
        <f t="shared" si="138"/>
        <v>0</v>
      </c>
      <c r="AE7575" s="160">
        <v>7573</v>
      </c>
    </row>
    <row r="7576" spans="27:31" x14ac:dyDescent="0.25">
      <c r="AA7576" s="160"/>
      <c r="AB7576" s="162"/>
      <c r="AC7576" s="162"/>
      <c r="AD7576" s="162">
        <f t="shared" si="138"/>
        <v>0</v>
      </c>
      <c r="AE7576" s="160">
        <v>7574</v>
      </c>
    </row>
    <row r="7577" spans="27:31" x14ac:dyDescent="0.25">
      <c r="AA7577" s="160"/>
      <c r="AB7577" s="162"/>
      <c r="AC7577" s="162"/>
      <c r="AD7577" s="162">
        <f t="shared" si="138"/>
        <v>0</v>
      </c>
      <c r="AE7577" s="160">
        <v>7575</v>
      </c>
    </row>
    <row r="7578" spans="27:31" x14ac:dyDescent="0.25">
      <c r="AA7578" s="160"/>
      <c r="AB7578" s="162"/>
      <c r="AC7578" s="162"/>
      <c r="AD7578" s="162">
        <f t="shared" si="138"/>
        <v>0</v>
      </c>
      <c r="AE7578" s="160">
        <v>7576</v>
      </c>
    </row>
    <row r="7579" spans="27:31" x14ac:dyDescent="0.25">
      <c r="AA7579" s="160"/>
      <c r="AB7579" s="162"/>
      <c r="AC7579" s="162"/>
      <c r="AD7579" s="162">
        <f t="shared" si="138"/>
        <v>0</v>
      </c>
      <c r="AE7579" s="160">
        <v>7577</v>
      </c>
    </row>
    <row r="7580" spans="27:31" x14ac:dyDescent="0.25">
      <c r="AA7580" s="160"/>
      <c r="AB7580" s="162"/>
      <c r="AC7580" s="162"/>
      <c r="AD7580" s="162">
        <f t="shared" si="138"/>
        <v>0</v>
      </c>
      <c r="AE7580" s="160">
        <v>7578</v>
      </c>
    </row>
    <row r="7581" spans="27:31" x14ac:dyDescent="0.25">
      <c r="AA7581" s="160"/>
      <c r="AB7581" s="162"/>
      <c r="AC7581" s="162"/>
      <c r="AD7581" s="162">
        <f t="shared" si="138"/>
        <v>0</v>
      </c>
      <c r="AE7581" s="160">
        <v>7579</v>
      </c>
    </row>
    <row r="7582" spans="27:31" x14ac:dyDescent="0.25">
      <c r="AA7582" s="160"/>
      <c r="AB7582" s="162"/>
      <c r="AC7582" s="162"/>
      <c r="AD7582" s="162">
        <f t="shared" si="138"/>
        <v>0</v>
      </c>
      <c r="AE7582" s="160">
        <v>7580</v>
      </c>
    </row>
    <row r="7583" spans="27:31" x14ac:dyDescent="0.25">
      <c r="AA7583" s="160"/>
      <c r="AB7583" s="162"/>
      <c r="AC7583" s="162"/>
      <c r="AD7583" s="162">
        <f t="shared" si="138"/>
        <v>0</v>
      </c>
      <c r="AE7583" s="160">
        <v>7581</v>
      </c>
    </row>
    <row r="7584" spans="27:31" x14ac:dyDescent="0.25">
      <c r="AA7584" s="160"/>
      <c r="AB7584" s="162"/>
      <c r="AC7584" s="162"/>
      <c r="AD7584" s="162">
        <f t="shared" si="138"/>
        <v>0</v>
      </c>
      <c r="AE7584" s="160">
        <v>7582</v>
      </c>
    </row>
    <row r="7585" spans="27:31" x14ac:dyDescent="0.25">
      <c r="AA7585" s="160"/>
      <c r="AB7585" s="162"/>
      <c r="AC7585" s="162"/>
      <c r="AD7585" s="162">
        <f t="shared" si="138"/>
        <v>0</v>
      </c>
      <c r="AE7585" s="160">
        <v>7583</v>
      </c>
    </row>
    <row r="7586" spans="27:31" x14ac:dyDescent="0.25">
      <c r="AA7586" s="160"/>
      <c r="AB7586" s="162"/>
      <c r="AC7586" s="162"/>
      <c r="AD7586" s="162">
        <f t="shared" si="138"/>
        <v>0</v>
      </c>
      <c r="AE7586" s="160">
        <v>7584</v>
      </c>
    </row>
    <row r="7587" spans="27:31" x14ac:dyDescent="0.25">
      <c r="AA7587" s="160"/>
      <c r="AB7587" s="162"/>
      <c r="AC7587" s="162"/>
      <c r="AD7587" s="162">
        <f t="shared" si="138"/>
        <v>0</v>
      </c>
      <c r="AE7587" s="160">
        <v>7585</v>
      </c>
    </row>
    <row r="7588" spans="27:31" x14ac:dyDescent="0.25">
      <c r="AA7588" s="160"/>
      <c r="AB7588" s="162"/>
      <c r="AC7588" s="162"/>
      <c r="AD7588" s="162">
        <f t="shared" si="138"/>
        <v>0</v>
      </c>
      <c r="AE7588" s="160">
        <v>7586</v>
      </c>
    </row>
    <row r="7589" spans="27:31" x14ac:dyDescent="0.25">
      <c r="AA7589" s="160"/>
      <c r="AB7589" s="162"/>
      <c r="AC7589" s="162"/>
      <c r="AD7589" s="162">
        <f t="shared" si="138"/>
        <v>0</v>
      </c>
      <c r="AE7589" s="160">
        <v>7587</v>
      </c>
    </row>
    <row r="7590" spans="27:31" x14ac:dyDescent="0.25">
      <c r="AA7590" s="160"/>
      <c r="AB7590" s="162"/>
      <c r="AC7590" s="162"/>
      <c r="AD7590" s="162">
        <f t="shared" si="138"/>
        <v>0</v>
      </c>
      <c r="AE7590" s="160">
        <v>7588</v>
      </c>
    </row>
    <row r="7591" spans="27:31" x14ac:dyDescent="0.25">
      <c r="AA7591" s="160"/>
      <c r="AB7591" s="162"/>
      <c r="AC7591" s="162"/>
      <c r="AD7591" s="162">
        <f t="shared" si="138"/>
        <v>0</v>
      </c>
      <c r="AE7591" s="160">
        <v>7589</v>
      </c>
    </row>
    <row r="7592" spans="27:31" x14ac:dyDescent="0.25">
      <c r="AA7592" s="160"/>
      <c r="AB7592" s="162"/>
      <c r="AC7592" s="162"/>
      <c r="AD7592" s="162">
        <f t="shared" si="138"/>
        <v>0</v>
      </c>
      <c r="AE7592" s="160">
        <v>7590</v>
      </c>
    </row>
    <row r="7593" spans="27:31" x14ac:dyDescent="0.25">
      <c r="AA7593" s="160"/>
      <c r="AB7593" s="162"/>
      <c r="AC7593" s="162"/>
      <c r="AD7593" s="162">
        <f t="shared" si="138"/>
        <v>0</v>
      </c>
      <c r="AE7593" s="160">
        <v>7591</v>
      </c>
    </row>
    <row r="7594" spans="27:31" x14ac:dyDescent="0.25">
      <c r="AA7594" s="160"/>
      <c r="AB7594" s="162"/>
      <c r="AC7594" s="162"/>
      <c r="AD7594" s="162">
        <f t="shared" si="138"/>
        <v>0</v>
      </c>
      <c r="AE7594" s="160">
        <v>7592</v>
      </c>
    </row>
    <row r="7595" spans="27:31" x14ac:dyDescent="0.25">
      <c r="AA7595" s="160"/>
      <c r="AB7595" s="162"/>
      <c r="AC7595" s="162"/>
      <c r="AD7595" s="162">
        <f t="shared" si="138"/>
        <v>0</v>
      </c>
      <c r="AE7595" s="160">
        <v>7593</v>
      </c>
    </row>
    <row r="7596" spans="27:31" x14ac:dyDescent="0.25">
      <c r="AA7596" s="160"/>
      <c r="AB7596" s="162"/>
      <c r="AC7596" s="162"/>
      <c r="AD7596" s="162">
        <f t="shared" si="138"/>
        <v>0</v>
      </c>
      <c r="AE7596" s="160">
        <v>7594</v>
      </c>
    </row>
    <row r="7597" spans="27:31" x14ac:dyDescent="0.25">
      <c r="AA7597" s="160"/>
      <c r="AB7597" s="162"/>
      <c r="AC7597" s="162"/>
      <c r="AD7597" s="162">
        <f t="shared" si="138"/>
        <v>0</v>
      </c>
      <c r="AE7597" s="160">
        <v>7595</v>
      </c>
    </row>
    <row r="7598" spans="27:31" x14ac:dyDescent="0.25">
      <c r="AA7598" s="160"/>
      <c r="AB7598" s="162"/>
      <c r="AC7598" s="162"/>
      <c r="AD7598" s="162">
        <f t="shared" si="138"/>
        <v>0</v>
      </c>
      <c r="AE7598" s="160">
        <v>7596</v>
      </c>
    </row>
    <row r="7599" spans="27:31" x14ac:dyDescent="0.25">
      <c r="AA7599" s="160"/>
      <c r="AB7599" s="162"/>
      <c r="AC7599" s="162"/>
      <c r="AD7599" s="162">
        <f t="shared" si="138"/>
        <v>0</v>
      </c>
      <c r="AE7599" s="160">
        <v>7597</v>
      </c>
    </row>
    <row r="7600" spans="27:31" x14ac:dyDescent="0.25">
      <c r="AA7600" s="160"/>
      <c r="AB7600" s="162"/>
      <c r="AC7600" s="162"/>
      <c r="AD7600" s="162">
        <f t="shared" si="138"/>
        <v>0</v>
      </c>
      <c r="AE7600" s="160">
        <v>7598</v>
      </c>
    </row>
    <row r="7601" spans="27:31" x14ac:dyDescent="0.25">
      <c r="AA7601" s="160"/>
      <c r="AB7601" s="162"/>
      <c r="AC7601" s="162"/>
      <c r="AD7601" s="162">
        <f t="shared" si="138"/>
        <v>0</v>
      </c>
      <c r="AE7601" s="160">
        <v>7599</v>
      </c>
    </row>
    <row r="7602" spans="27:31" x14ac:dyDescent="0.25">
      <c r="AA7602" s="160"/>
      <c r="AB7602" s="162"/>
      <c r="AC7602" s="162"/>
      <c r="AD7602" s="162">
        <f t="shared" si="138"/>
        <v>0</v>
      </c>
      <c r="AE7602" s="160">
        <v>7600</v>
      </c>
    </row>
    <row r="7603" spans="27:31" x14ac:dyDescent="0.25">
      <c r="AA7603" s="160"/>
      <c r="AB7603" s="162"/>
      <c r="AC7603" s="162"/>
      <c r="AD7603" s="162">
        <f t="shared" si="138"/>
        <v>0</v>
      </c>
      <c r="AE7603" s="160">
        <v>7601</v>
      </c>
    </row>
    <row r="7604" spans="27:31" x14ac:dyDescent="0.25">
      <c r="AA7604" s="160"/>
      <c r="AB7604" s="162"/>
      <c r="AC7604" s="162"/>
      <c r="AD7604" s="162">
        <f t="shared" si="138"/>
        <v>0</v>
      </c>
      <c r="AE7604" s="160">
        <v>7602</v>
      </c>
    </row>
    <row r="7605" spans="27:31" x14ac:dyDescent="0.25">
      <c r="AA7605" s="160"/>
      <c r="AB7605" s="162"/>
      <c r="AC7605" s="162"/>
      <c r="AD7605" s="162">
        <f t="shared" si="138"/>
        <v>0</v>
      </c>
      <c r="AE7605" s="160">
        <v>7603</v>
      </c>
    </row>
    <row r="7606" spans="27:31" x14ac:dyDescent="0.25">
      <c r="AA7606" s="160"/>
      <c r="AB7606" s="162"/>
      <c r="AC7606" s="162"/>
      <c r="AD7606" s="162">
        <f t="shared" si="138"/>
        <v>0</v>
      </c>
      <c r="AE7606" s="160">
        <v>7604</v>
      </c>
    </row>
    <row r="7607" spans="27:31" x14ac:dyDescent="0.25">
      <c r="AA7607" s="160"/>
      <c r="AB7607" s="162"/>
      <c r="AC7607" s="162"/>
      <c r="AD7607" s="162">
        <f t="shared" si="138"/>
        <v>0</v>
      </c>
      <c r="AE7607" s="160">
        <v>7605</v>
      </c>
    </row>
    <row r="7608" spans="27:31" x14ac:dyDescent="0.25">
      <c r="AA7608" s="160"/>
      <c r="AB7608" s="162"/>
      <c r="AC7608" s="162"/>
      <c r="AD7608" s="162">
        <f t="shared" si="138"/>
        <v>0</v>
      </c>
      <c r="AE7608" s="160">
        <v>7606</v>
      </c>
    </row>
    <row r="7609" spans="27:31" x14ac:dyDescent="0.25">
      <c r="AA7609" s="160"/>
      <c r="AB7609" s="162"/>
      <c r="AC7609" s="162"/>
      <c r="AD7609" s="162">
        <f t="shared" si="138"/>
        <v>0</v>
      </c>
      <c r="AE7609" s="160">
        <v>7607</v>
      </c>
    </row>
    <row r="7610" spans="27:31" x14ac:dyDescent="0.25">
      <c r="AA7610" s="160"/>
      <c r="AB7610" s="162"/>
      <c r="AC7610" s="162"/>
      <c r="AD7610" s="162">
        <f t="shared" si="138"/>
        <v>0</v>
      </c>
      <c r="AE7610" s="160">
        <v>7608</v>
      </c>
    </row>
    <row r="7611" spans="27:31" x14ac:dyDescent="0.25">
      <c r="AA7611" s="160"/>
      <c r="AB7611" s="162"/>
      <c r="AC7611" s="162"/>
      <c r="AD7611" s="162">
        <f t="shared" si="138"/>
        <v>0</v>
      </c>
      <c r="AE7611" s="160">
        <v>7609</v>
      </c>
    </row>
    <row r="7612" spans="27:31" x14ac:dyDescent="0.25">
      <c r="AA7612" s="160"/>
      <c r="AB7612" s="162"/>
      <c r="AC7612" s="162"/>
      <c r="AD7612" s="162">
        <f t="shared" si="138"/>
        <v>0</v>
      </c>
      <c r="AE7612" s="160">
        <v>7610</v>
      </c>
    </row>
    <row r="7613" spans="27:31" x14ac:dyDescent="0.25">
      <c r="AA7613" s="160"/>
      <c r="AB7613" s="162"/>
      <c r="AC7613" s="162"/>
      <c r="AD7613" s="162">
        <f t="shared" si="138"/>
        <v>0</v>
      </c>
      <c r="AE7613" s="160">
        <v>7611</v>
      </c>
    </row>
    <row r="7614" spans="27:31" x14ac:dyDescent="0.25">
      <c r="AA7614" s="160"/>
      <c r="AB7614" s="162"/>
      <c r="AC7614" s="162"/>
      <c r="AD7614" s="162">
        <f t="shared" si="138"/>
        <v>0</v>
      </c>
      <c r="AE7614" s="160">
        <v>7612</v>
      </c>
    </row>
    <row r="7615" spans="27:31" x14ac:dyDescent="0.25">
      <c r="AA7615" s="160"/>
      <c r="AB7615" s="162"/>
      <c r="AC7615" s="162"/>
      <c r="AD7615" s="162">
        <f t="shared" si="138"/>
        <v>0</v>
      </c>
      <c r="AE7615" s="160">
        <v>7613</v>
      </c>
    </row>
    <row r="7616" spans="27:31" x14ac:dyDescent="0.25">
      <c r="AA7616" s="160"/>
      <c r="AB7616" s="162"/>
      <c r="AC7616" s="162"/>
      <c r="AD7616" s="162">
        <f t="shared" si="138"/>
        <v>0</v>
      </c>
      <c r="AE7616" s="160">
        <v>7614</v>
      </c>
    </row>
    <row r="7617" spans="27:31" x14ac:dyDescent="0.25">
      <c r="AA7617" s="160"/>
      <c r="AB7617" s="162"/>
      <c r="AC7617" s="162"/>
      <c r="AD7617" s="162">
        <f t="shared" si="138"/>
        <v>0</v>
      </c>
      <c r="AE7617" s="160">
        <v>7615</v>
      </c>
    </row>
    <row r="7618" spans="27:31" x14ac:dyDescent="0.25">
      <c r="AA7618" s="160"/>
      <c r="AB7618" s="162"/>
      <c r="AC7618" s="162"/>
      <c r="AD7618" s="162">
        <f t="shared" si="138"/>
        <v>0</v>
      </c>
      <c r="AE7618" s="160">
        <v>7616</v>
      </c>
    </row>
    <row r="7619" spans="27:31" x14ac:dyDescent="0.25">
      <c r="AA7619" s="160"/>
      <c r="AB7619" s="162"/>
      <c r="AC7619" s="162"/>
      <c r="AD7619" s="162">
        <f t="shared" si="138"/>
        <v>0</v>
      </c>
      <c r="AE7619" s="160">
        <v>7617</v>
      </c>
    </row>
    <row r="7620" spans="27:31" x14ac:dyDescent="0.25">
      <c r="AA7620" s="160"/>
      <c r="AB7620" s="162"/>
      <c r="AC7620" s="162"/>
      <c r="AD7620" s="162">
        <f t="shared" ref="AD7620:AD7683" si="139">AB7620+AC7620</f>
        <v>0</v>
      </c>
      <c r="AE7620" s="160">
        <v>7618</v>
      </c>
    </row>
    <row r="7621" spans="27:31" x14ac:dyDescent="0.25">
      <c r="AA7621" s="160"/>
      <c r="AB7621" s="162"/>
      <c r="AC7621" s="162"/>
      <c r="AD7621" s="162">
        <f t="shared" si="139"/>
        <v>0</v>
      </c>
      <c r="AE7621" s="160">
        <v>7619</v>
      </c>
    </row>
    <row r="7622" spans="27:31" x14ac:dyDescent="0.25">
      <c r="AA7622" s="160"/>
      <c r="AB7622" s="162"/>
      <c r="AC7622" s="162"/>
      <c r="AD7622" s="162">
        <f t="shared" si="139"/>
        <v>0</v>
      </c>
      <c r="AE7622" s="160">
        <v>7620</v>
      </c>
    </row>
    <row r="7623" spans="27:31" x14ac:dyDescent="0.25">
      <c r="AA7623" s="160"/>
      <c r="AB7623" s="162"/>
      <c r="AC7623" s="162"/>
      <c r="AD7623" s="162">
        <f t="shared" si="139"/>
        <v>0</v>
      </c>
      <c r="AE7623" s="160">
        <v>7621</v>
      </c>
    </row>
    <row r="7624" spans="27:31" x14ac:dyDescent="0.25">
      <c r="AA7624" s="160"/>
      <c r="AB7624" s="162"/>
      <c r="AC7624" s="162"/>
      <c r="AD7624" s="162">
        <f t="shared" si="139"/>
        <v>0</v>
      </c>
      <c r="AE7624" s="160">
        <v>7622</v>
      </c>
    </row>
    <row r="7625" spans="27:31" x14ac:dyDescent="0.25">
      <c r="AA7625" s="160"/>
      <c r="AB7625" s="162"/>
      <c r="AC7625" s="162"/>
      <c r="AD7625" s="162">
        <f t="shared" si="139"/>
        <v>0</v>
      </c>
      <c r="AE7625" s="160">
        <v>7623</v>
      </c>
    </row>
    <row r="7626" spans="27:31" x14ac:dyDescent="0.25">
      <c r="AA7626" s="160"/>
      <c r="AB7626" s="162"/>
      <c r="AC7626" s="162"/>
      <c r="AD7626" s="162">
        <f t="shared" si="139"/>
        <v>0</v>
      </c>
      <c r="AE7626" s="160">
        <v>7624</v>
      </c>
    </row>
    <row r="7627" spans="27:31" x14ac:dyDescent="0.25">
      <c r="AA7627" s="160"/>
      <c r="AB7627" s="162"/>
      <c r="AC7627" s="162"/>
      <c r="AD7627" s="162">
        <f t="shared" si="139"/>
        <v>0</v>
      </c>
      <c r="AE7627" s="160">
        <v>7625</v>
      </c>
    </row>
    <row r="7628" spans="27:31" x14ac:dyDescent="0.25">
      <c r="AA7628" s="160"/>
      <c r="AB7628" s="162"/>
      <c r="AC7628" s="162"/>
      <c r="AD7628" s="162">
        <f t="shared" si="139"/>
        <v>0</v>
      </c>
      <c r="AE7628" s="160">
        <v>7626</v>
      </c>
    </row>
    <row r="7629" spans="27:31" x14ac:dyDescent="0.25">
      <c r="AA7629" s="160"/>
      <c r="AB7629" s="162"/>
      <c r="AC7629" s="162"/>
      <c r="AD7629" s="162">
        <f t="shared" si="139"/>
        <v>0</v>
      </c>
      <c r="AE7629" s="160">
        <v>7627</v>
      </c>
    </row>
    <row r="7630" spans="27:31" x14ac:dyDescent="0.25">
      <c r="AA7630" s="160"/>
      <c r="AB7630" s="162"/>
      <c r="AC7630" s="162"/>
      <c r="AD7630" s="162">
        <f t="shared" si="139"/>
        <v>0</v>
      </c>
      <c r="AE7630" s="160">
        <v>7628</v>
      </c>
    </row>
    <row r="7631" spans="27:31" x14ac:dyDescent="0.25">
      <c r="AA7631" s="160"/>
      <c r="AB7631" s="162"/>
      <c r="AC7631" s="162"/>
      <c r="AD7631" s="162">
        <f t="shared" si="139"/>
        <v>0</v>
      </c>
      <c r="AE7631" s="160">
        <v>7629</v>
      </c>
    </row>
    <row r="7632" spans="27:31" x14ac:dyDescent="0.25">
      <c r="AA7632" s="160"/>
      <c r="AB7632" s="162"/>
      <c r="AC7632" s="162"/>
      <c r="AD7632" s="162">
        <f t="shared" si="139"/>
        <v>0</v>
      </c>
      <c r="AE7632" s="160">
        <v>7630</v>
      </c>
    </row>
    <row r="7633" spans="27:31" x14ac:dyDescent="0.25">
      <c r="AA7633" s="160"/>
      <c r="AB7633" s="162"/>
      <c r="AC7633" s="162"/>
      <c r="AD7633" s="162">
        <f t="shared" si="139"/>
        <v>0</v>
      </c>
      <c r="AE7633" s="160">
        <v>7631</v>
      </c>
    </row>
    <row r="7634" spans="27:31" x14ac:dyDescent="0.25">
      <c r="AA7634" s="160"/>
      <c r="AB7634" s="162"/>
      <c r="AC7634" s="162"/>
      <c r="AD7634" s="162">
        <f t="shared" si="139"/>
        <v>0</v>
      </c>
      <c r="AE7634" s="160">
        <v>7632</v>
      </c>
    </row>
    <row r="7635" spans="27:31" x14ac:dyDescent="0.25">
      <c r="AA7635" s="160"/>
      <c r="AB7635" s="162"/>
      <c r="AC7635" s="162"/>
      <c r="AD7635" s="162">
        <f t="shared" si="139"/>
        <v>0</v>
      </c>
      <c r="AE7635" s="160">
        <v>7633</v>
      </c>
    </row>
    <row r="7636" spans="27:31" x14ac:dyDescent="0.25">
      <c r="AA7636" s="160"/>
      <c r="AB7636" s="162"/>
      <c r="AC7636" s="162"/>
      <c r="AD7636" s="162">
        <f t="shared" si="139"/>
        <v>0</v>
      </c>
      <c r="AE7636" s="160">
        <v>7634</v>
      </c>
    </row>
    <row r="7637" spans="27:31" x14ac:dyDescent="0.25">
      <c r="AA7637" s="160"/>
      <c r="AB7637" s="162"/>
      <c r="AC7637" s="162"/>
      <c r="AD7637" s="162">
        <f t="shared" si="139"/>
        <v>0</v>
      </c>
      <c r="AE7637" s="160">
        <v>7635</v>
      </c>
    </row>
    <row r="7638" spans="27:31" x14ac:dyDescent="0.25">
      <c r="AA7638" s="160"/>
      <c r="AB7638" s="162"/>
      <c r="AC7638" s="162"/>
      <c r="AD7638" s="162">
        <f t="shared" si="139"/>
        <v>0</v>
      </c>
      <c r="AE7638" s="160">
        <v>7636</v>
      </c>
    </row>
    <row r="7639" spans="27:31" x14ac:dyDescent="0.25">
      <c r="AA7639" s="160"/>
      <c r="AB7639" s="162"/>
      <c r="AC7639" s="162"/>
      <c r="AD7639" s="162">
        <f t="shared" si="139"/>
        <v>0</v>
      </c>
      <c r="AE7639" s="160">
        <v>7637</v>
      </c>
    </row>
    <row r="7640" spans="27:31" x14ac:dyDescent="0.25">
      <c r="AA7640" s="160"/>
      <c r="AB7640" s="162"/>
      <c r="AC7640" s="162"/>
      <c r="AD7640" s="162">
        <f t="shared" si="139"/>
        <v>0</v>
      </c>
      <c r="AE7640" s="160">
        <v>7638</v>
      </c>
    </row>
    <row r="7641" spans="27:31" x14ac:dyDescent="0.25">
      <c r="AA7641" s="160"/>
      <c r="AB7641" s="162"/>
      <c r="AC7641" s="162"/>
      <c r="AD7641" s="162">
        <f t="shared" si="139"/>
        <v>0</v>
      </c>
      <c r="AE7641" s="160">
        <v>7639</v>
      </c>
    </row>
    <row r="7642" spans="27:31" x14ac:dyDescent="0.25">
      <c r="AA7642" s="160"/>
      <c r="AB7642" s="162"/>
      <c r="AC7642" s="162"/>
      <c r="AD7642" s="162">
        <f t="shared" si="139"/>
        <v>0</v>
      </c>
      <c r="AE7642" s="160">
        <v>7640</v>
      </c>
    </row>
    <row r="7643" spans="27:31" x14ac:dyDescent="0.25">
      <c r="AA7643" s="160"/>
      <c r="AB7643" s="162"/>
      <c r="AC7643" s="162"/>
      <c r="AD7643" s="162">
        <f t="shared" si="139"/>
        <v>0</v>
      </c>
      <c r="AE7643" s="160">
        <v>7641</v>
      </c>
    </row>
    <row r="7644" spans="27:31" x14ac:dyDescent="0.25">
      <c r="AA7644" s="160"/>
      <c r="AB7644" s="162"/>
      <c r="AC7644" s="162"/>
      <c r="AD7644" s="162">
        <f t="shared" si="139"/>
        <v>0</v>
      </c>
      <c r="AE7644" s="160">
        <v>7642</v>
      </c>
    </row>
    <row r="7645" spans="27:31" x14ac:dyDescent="0.25">
      <c r="AA7645" s="160"/>
      <c r="AB7645" s="162"/>
      <c r="AC7645" s="162"/>
      <c r="AD7645" s="162">
        <f t="shared" si="139"/>
        <v>0</v>
      </c>
      <c r="AE7645" s="160">
        <v>7643</v>
      </c>
    </row>
    <row r="7646" spans="27:31" x14ac:dyDescent="0.25">
      <c r="AA7646" s="160"/>
      <c r="AB7646" s="162"/>
      <c r="AC7646" s="162"/>
      <c r="AD7646" s="162">
        <f t="shared" si="139"/>
        <v>0</v>
      </c>
      <c r="AE7646" s="160">
        <v>7644</v>
      </c>
    </row>
    <row r="7647" spans="27:31" x14ac:dyDescent="0.25">
      <c r="AA7647" s="160"/>
      <c r="AB7647" s="162"/>
      <c r="AC7647" s="162"/>
      <c r="AD7647" s="162">
        <f t="shared" si="139"/>
        <v>0</v>
      </c>
      <c r="AE7647" s="160">
        <v>7645</v>
      </c>
    </row>
    <row r="7648" spans="27:31" x14ac:dyDescent="0.25">
      <c r="AA7648" s="160"/>
      <c r="AB7648" s="162"/>
      <c r="AC7648" s="162"/>
      <c r="AD7648" s="162">
        <f t="shared" si="139"/>
        <v>0</v>
      </c>
      <c r="AE7648" s="160">
        <v>7646</v>
      </c>
    </row>
    <row r="7649" spans="27:31" x14ac:dyDescent="0.25">
      <c r="AA7649" s="160"/>
      <c r="AB7649" s="162"/>
      <c r="AC7649" s="162"/>
      <c r="AD7649" s="162">
        <f t="shared" si="139"/>
        <v>0</v>
      </c>
      <c r="AE7649" s="160">
        <v>7647</v>
      </c>
    </row>
    <row r="7650" spans="27:31" x14ac:dyDescent="0.25">
      <c r="AA7650" s="160"/>
      <c r="AB7650" s="162"/>
      <c r="AC7650" s="162"/>
      <c r="AD7650" s="162">
        <f t="shared" si="139"/>
        <v>0</v>
      </c>
      <c r="AE7650" s="160">
        <v>7648</v>
      </c>
    </row>
    <row r="7651" spans="27:31" x14ac:dyDescent="0.25">
      <c r="AA7651" s="160"/>
      <c r="AB7651" s="162"/>
      <c r="AC7651" s="162"/>
      <c r="AD7651" s="162">
        <f t="shared" si="139"/>
        <v>0</v>
      </c>
      <c r="AE7651" s="160">
        <v>7649</v>
      </c>
    </row>
    <row r="7652" spans="27:31" x14ac:dyDescent="0.25">
      <c r="AA7652" s="160"/>
      <c r="AB7652" s="162"/>
      <c r="AC7652" s="162"/>
      <c r="AD7652" s="162">
        <f t="shared" si="139"/>
        <v>0</v>
      </c>
      <c r="AE7652" s="160">
        <v>7650</v>
      </c>
    </row>
    <row r="7653" spans="27:31" x14ac:dyDescent="0.25">
      <c r="AA7653" s="160"/>
      <c r="AB7653" s="162"/>
      <c r="AC7653" s="162"/>
      <c r="AD7653" s="162">
        <f t="shared" si="139"/>
        <v>0</v>
      </c>
      <c r="AE7653" s="160">
        <v>7651</v>
      </c>
    </row>
    <row r="7654" spans="27:31" x14ac:dyDescent="0.25">
      <c r="AA7654" s="160"/>
      <c r="AB7654" s="162"/>
      <c r="AC7654" s="162"/>
      <c r="AD7654" s="162">
        <f t="shared" si="139"/>
        <v>0</v>
      </c>
      <c r="AE7654" s="160">
        <v>7652</v>
      </c>
    </row>
    <row r="7655" spans="27:31" x14ac:dyDescent="0.25">
      <c r="AA7655" s="160"/>
      <c r="AB7655" s="162"/>
      <c r="AC7655" s="162"/>
      <c r="AD7655" s="162">
        <f t="shared" si="139"/>
        <v>0</v>
      </c>
      <c r="AE7655" s="160">
        <v>7653</v>
      </c>
    </row>
    <row r="7656" spans="27:31" x14ac:dyDescent="0.25">
      <c r="AA7656" s="160"/>
      <c r="AB7656" s="162"/>
      <c r="AC7656" s="162"/>
      <c r="AD7656" s="162">
        <f t="shared" si="139"/>
        <v>0</v>
      </c>
      <c r="AE7656" s="160">
        <v>7654</v>
      </c>
    </row>
    <row r="7657" spans="27:31" x14ac:dyDescent="0.25">
      <c r="AA7657" s="160"/>
      <c r="AB7657" s="162"/>
      <c r="AC7657" s="162"/>
      <c r="AD7657" s="162">
        <f t="shared" si="139"/>
        <v>0</v>
      </c>
      <c r="AE7657" s="160">
        <v>7655</v>
      </c>
    </row>
    <row r="7658" spans="27:31" x14ac:dyDescent="0.25">
      <c r="AA7658" s="160"/>
      <c r="AB7658" s="162"/>
      <c r="AC7658" s="162"/>
      <c r="AD7658" s="162">
        <f t="shared" si="139"/>
        <v>0</v>
      </c>
      <c r="AE7658" s="160">
        <v>7656</v>
      </c>
    </row>
    <row r="7659" spans="27:31" x14ac:dyDescent="0.25">
      <c r="AA7659" s="160"/>
      <c r="AB7659" s="162"/>
      <c r="AC7659" s="162"/>
      <c r="AD7659" s="162">
        <f t="shared" si="139"/>
        <v>0</v>
      </c>
      <c r="AE7659" s="160">
        <v>7657</v>
      </c>
    </row>
    <row r="7660" spans="27:31" x14ac:dyDescent="0.25">
      <c r="AA7660" s="160"/>
      <c r="AB7660" s="162"/>
      <c r="AC7660" s="162"/>
      <c r="AD7660" s="162">
        <f t="shared" si="139"/>
        <v>0</v>
      </c>
      <c r="AE7660" s="160">
        <v>7658</v>
      </c>
    </row>
    <row r="7661" spans="27:31" x14ac:dyDescent="0.25">
      <c r="AA7661" s="160"/>
      <c r="AB7661" s="162"/>
      <c r="AC7661" s="162"/>
      <c r="AD7661" s="162">
        <f t="shared" si="139"/>
        <v>0</v>
      </c>
      <c r="AE7661" s="160">
        <v>7659</v>
      </c>
    </row>
    <row r="7662" spans="27:31" x14ac:dyDescent="0.25">
      <c r="AA7662" s="160"/>
      <c r="AB7662" s="162"/>
      <c r="AC7662" s="162"/>
      <c r="AD7662" s="162">
        <f t="shared" si="139"/>
        <v>0</v>
      </c>
      <c r="AE7662" s="160">
        <v>7660</v>
      </c>
    </row>
    <row r="7663" spans="27:31" x14ac:dyDescent="0.25">
      <c r="AA7663" s="160"/>
      <c r="AB7663" s="162"/>
      <c r="AC7663" s="162"/>
      <c r="AD7663" s="162">
        <f t="shared" si="139"/>
        <v>0</v>
      </c>
      <c r="AE7663" s="160">
        <v>7661</v>
      </c>
    </row>
    <row r="7664" spans="27:31" x14ac:dyDescent="0.25">
      <c r="AA7664" s="160"/>
      <c r="AB7664" s="162"/>
      <c r="AC7664" s="162"/>
      <c r="AD7664" s="162">
        <f t="shared" si="139"/>
        <v>0</v>
      </c>
      <c r="AE7664" s="160">
        <v>7662</v>
      </c>
    </row>
    <row r="7665" spans="27:31" x14ac:dyDescent="0.25">
      <c r="AA7665" s="160"/>
      <c r="AB7665" s="162"/>
      <c r="AC7665" s="162"/>
      <c r="AD7665" s="162">
        <f t="shared" si="139"/>
        <v>0</v>
      </c>
      <c r="AE7665" s="160">
        <v>7663</v>
      </c>
    </row>
    <row r="7666" spans="27:31" x14ac:dyDescent="0.25">
      <c r="AA7666" s="160"/>
      <c r="AB7666" s="162"/>
      <c r="AC7666" s="162"/>
      <c r="AD7666" s="162">
        <f t="shared" si="139"/>
        <v>0</v>
      </c>
      <c r="AE7666" s="160">
        <v>7664</v>
      </c>
    </row>
    <row r="7667" spans="27:31" x14ac:dyDescent="0.25">
      <c r="AA7667" s="160"/>
      <c r="AB7667" s="162"/>
      <c r="AC7667" s="162"/>
      <c r="AD7667" s="162">
        <f t="shared" si="139"/>
        <v>0</v>
      </c>
      <c r="AE7667" s="160">
        <v>7665</v>
      </c>
    </row>
    <row r="7668" spans="27:31" x14ac:dyDescent="0.25">
      <c r="AA7668" s="160"/>
      <c r="AB7668" s="162"/>
      <c r="AC7668" s="162"/>
      <c r="AD7668" s="162">
        <f t="shared" si="139"/>
        <v>0</v>
      </c>
      <c r="AE7668" s="160">
        <v>7666</v>
      </c>
    </row>
    <row r="7669" spans="27:31" x14ac:dyDescent="0.25">
      <c r="AA7669" s="160"/>
      <c r="AB7669" s="162"/>
      <c r="AC7669" s="162"/>
      <c r="AD7669" s="162">
        <f t="shared" si="139"/>
        <v>0</v>
      </c>
      <c r="AE7669" s="160">
        <v>7667</v>
      </c>
    </row>
    <row r="7670" spans="27:31" x14ac:dyDescent="0.25">
      <c r="AA7670" s="160"/>
      <c r="AB7670" s="162"/>
      <c r="AC7670" s="162"/>
      <c r="AD7670" s="162">
        <f t="shared" si="139"/>
        <v>0</v>
      </c>
      <c r="AE7670" s="160">
        <v>7668</v>
      </c>
    </row>
    <row r="7671" spans="27:31" x14ac:dyDescent="0.25">
      <c r="AA7671" s="160"/>
      <c r="AB7671" s="162"/>
      <c r="AC7671" s="162"/>
      <c r="AD7671" s="162">
        <f t="shared" si="139"/>
        <v>0</v>
      </c>
      <c r="AE7671" s="160">
        <v>7669</v>
      </c>
    </row>
    <row r="7672" spans="27:31" x14ac:dyDescent="0.25">
      <c r="AA7672" s="160"/>
      <c r="AB7672" s="162"/>
      <c r="AC7672" s="162"/>
      <c r="AD7672" s="162">
        <f t="shared" si="139"/>
        <v>0</v>
      </c>
      <c r="AE7672" s="160">
        <v>7670</v>
      </c>
    </row>
    <row r="7673" spans="27:31" x14ac:dyDescent="0.25">
      <c r="AA7673" s="160"/>
      <c r="AB7673" s="162"/>
      <c r="AC7673" s="162"/>
      <c r="AD7673" s="162">
        <f t="shared" si="139"/>
        <v>0</v>
      </c>
      <c r="AE7673" s="160">
        <v>7671</v>
      </c>
    </row>
    <row r="7674" spans="27:31" x14ac:dyDescent="0.25">
      <c r="AA7674" s="160"/>
      <c r="AB7674" s="162"/>
      <c r="AC7674" s="162"/>
      <c r="AD7674" s="162">
        <f t="shared" si="139"/>
        <v>0</v>
      </c>
      <c r="AE7674" s="160">
        <v>7672</v>
      </c>
    </row>
    <row r="7675" spans="27:31" x14ac:dyDescent="0.25">
      <c r="AA7675" s="160"/>
      <c r="AB7675" s="162"/>
      <c r="AC7675" s="162"/>
      <c r="AD7675" s="162">
        <f t="shared" si="139"/>
        <v>0</v>
      </c>
      <c r="AE7675" s="160">
        <v>7673</v>
      </c>
    </row>
    <row r="7676" spans="27:31" x14ac:dyDescent="0.25">
      <c r="AA7676" s="160"/>
      <c r="AB7676" s="162"/>
      <c r="AC7676" s="162"/>
      <c r="AD7676" s="162">
        <f t="shared" si="139"/>
        <v>0</v>
      </c>
      <c r="AE7676" s="160">
        <v>7674</v>
      </c>
    </row>
    <row r="7677" spans="27:31" x14ac:dyDescent="0.25">
      <c r="AA7677" s="160"/>
      <c r="AB7677" s="162"/>
      <c r="AC7677" s="162"/>
      <c r="AD7677" s="162">
        <f t="shared" si="139"/>
        <v>0</v>
      </c>
      <c r="AE7677" s="160">
        <v>7675</v>
      </c>
    </row>
    <row r="7678" spans="27:31" x14ac:dyDescent="0.25">
      <c r="AA7678" s="160"/>
      <c r="AB7678" s="162"/>
      <c r="AC7678" s="162"/>
      <c r="AD7678" s="162">
        <f t="shared" si="139"/>
        <v>0</v>
      </c>
      <c r="AE7678" s="160">
        <v>7676</v>
      </c>
    </row>
    <row r="7679" spans="27:31" x14ac:dyDescent="0.25">
      <c r="AA7679" s="160"/>
      <c r="AB7679" s="162"/>
      <c r="AC7679" s="162"/>
      <c r="AD7679" s="162">
        <f t="shared" si="139"/>
        <v>0</v>
      </c>
      <c r="AE7679" s="160">
        <v>7677</v>
      </c>
    </row>
    <row r="7680" spans="27:31" x14ac:dyDescent="0.25">
      <c r="AA7680" s="160"/>
      <c r="AB7680" s="162"/>
      <c r="AC7680" s="162"/>
      <c r="AD7680" s="162">
        <f t="shared" si="139"/>
        <v>0</v>
      </c>
      <c r="AE7680" s="160">
        <v>7678</v>
      </c>
    </row>
    <row r="7681" spans="27:31" x14ac:dyDescent="0.25">
      <c r="AA7681" s="160"/>
      <c r="AB7681" s="162"/>
      <c r="AC7681" s="162"/>
      <c r="AD7681" s="162">
        <f t="shared" si="139"/>
        <v>0</v>
      </c>
      <c r="AE7681" s="160">
        <v>7679</v>
      </c>
    </row>
    <row r="7682" spans="27:31" x14ac:dyDescent="0.25">
      <c r="AA7682" s="160"/>
      <c r="AB7682" s="162"/>
      <c r="AC7682" s="162"/>
      <c r="AD7682" s="162">
        <f t="shared" si="139"/>
        <v>0</v>
      </c>
      <c r="AE7682" s="160">
        <v>7680</v>
      </c>
    </row>
    <row r="7683" spans="27:31" x14ac:dyDescent="0.25">
      <c r="AA7683" s="160"/>
      <c r="AB7683" s="162"/>
      <c r="AC7683" s="162"/>
      <c r="AD7683" s="162">
        <f t="shared" si="139"/>
        <v>0</v>
      </c>
      <c r="AE7683" s="160">
        <v>7681</v>
      </c>
    </row>
    <row r="7684" spans="27:31" x14ac:dyDescent="0.25">
      <c r="AA7684" s="160"/>
      <c r="AB7684" s="162"/>
      <c r="AC7684" s="162"/>
      <c r="AD7684" s="162">
        <f t="shared" ref="AD7684:AD7747" si="140">AB7684+AC7684</f>
        <v>0</v>
      </c>
      <c r="AE7684" s="160">
        <v>7682</v>
      </c>
    </row>
    <row r="7685" spans="27:31" x14ac:dyDescent="0.25">
      <c r="AA7685" s="160"/>
      <c r="AB7685" s="162"/>
      <c r="AC7685" s="162"/>
      <c r="AD7685" s="162">
        <f t="shared" si="140"/>
        <v>0</v>
      </c>
      <c r="AE7685" s="160">
        <v>7683</v>
      </c>
    </row>
    <row r="7686" spans="27:31" x14ac:dyDescent="0.25">
      <c r="AA7686" s="160"/>
      <c r="AB7686" s="162"/>
      <c r="AC7686" s="162"/>
      <c r="AD7686" s="162">
        <f t="shared" si="140"/>
        <v>0</v>
      </c>
      <c r="AE7686" s="160">
        <v>7684</v>
      </c>
    </row>
    <row r="7687" spans="27:31" x14ac:dyDescent="0.25">
      <c r="AA7687" s="160"/>
      <c r="AB7687" s="162"/>
      <c r="AC7687" s="162"/>
      <c r="AD7687" s="162">
        <f t="shared" si="140"/>
        <v>0</v>
      </c>
      <c r="AE7687" s="160">
        <v>7685</v>
      </c>
    </row>
    <row r="7688" spans="27:31" x14ac:dyDescent="0.25">
      <c r="AA7688" s="160"/>
      <c r="AB7688" s="162"/>
      <c r="AC7688" s="162"/>
      <c r="AD7688" s="162">
        <f t="shared" si="140"/>
        <v>0</v>
      </c>
      <c r="AE7688" s="160">
        <v>7686</v>
      </c>
    </row>
    <row r="7689" spans="27:31" x14ac:dyDescent="0.25">
      <c r="AA7689" s="160"/>
      <c r="AB7689" s="162"/>
      <c r="AC7689" s="162"/>
      <c r="AD7689" s="162">
        <f t="shared" si="140"/>
        <v>0</v>
      </c>
      <c r="AE7689" s="160">
        <v>7687</v>
      </c>
    </row>
    <row r="7690" spans="27:31" x14ac:dyDescent="0.25">
      <c r="AA7690" s="160"/>
      <c r="AB7690" s="162"/>
      <c r="AC7690" s="162"/>
      <c r="AD7690" s="162">
        <f t="shared" si="140"/>
        <v>0</v>
      </c>
      <c r="AE7690" s="160">
        <v>7688</v>
      </c>
    </row>
    <row r="7691" spans="27:31" x14ac:dyDescent="0.25">
      <c r="AA7691" s="160"/>
      <c r="AB7691" s="162"/>
      <c r="AC7691" s="162"/>
      <c r="AD7691" s="162">
        <f t="shared" si="140"/>
        <v>0</v>
      </c>
      <c r="AE7691" s="160">
        <v>7689</v>
      </c>
    </row>
    <row r="7692" spans="27:31" x14ac:dyDescent="0.25">
      <c r="AA7692" s="160"/>
      <c r="AB7692" s="162"/>
      <c r="AC7692" s="162"/>
      <c r="AD7692" s="162">
        <f t="shared" si="140"/>
        <v>0</v>
      </c>
      <c r="AE7692" s="160">
        <v>7690</v>
      </c>
    </row>
    <row r="7693" spans="27:31" x14ac:dyDescent="0.25">
      <c r="AA7693" s="160"/>
      <c r="AB7693" s="162"/>
      <c r="AC7693" s="162"/>
      <c r="AD7693" s="162">
        <f t="shared" si="140"/>
        <v>0</v>
      </c>
      <c r="AE7693" s="160">
        <v>7691</v>
      </c>
    </row>
    <row r="7694" spans="27:31" x14ac:dyDescent="0.25">
      <c r="AA7694" s="160"/>
      <c r="AB7694" s="162"/>
      <c r="AC7694" s="162"/>
      <c r="AD7694" s="162">
        <f t="shared" si="140"/>
        <v>0</v>
      </c>
      <c r="AE7694" s="160">
        <v>7692</v>
      </c>
    </row>
    <row r="7695" spans="27:31" x14ac:dyDescent="0.25">
      <c r="AA7695" s="160"/>
      <c r="AB7695" s="162"/>
      <c r="AC7695" s="162"/>
      <c r="AD7695" s="162">
        <f t="shared" si="140"/>
        <v>0</v>
      </c>
      <c r="AE7695" s="160">
        <v>7693</v>
      </c>
    </row>
    <row r="7696" spans="27:31" x14ac:dyDescent="0.25">
      <c r="AA7696" s="160"/>
      <c r="AB7696" s="162"/>
      <c r="AC7696" s="162"/>
      <c r="AD7696" s="162">
        <f t="shared" si="140"/>
        <v>0</v>
      </c>
      <c r="AE7696" s="160">
        <v>7694</v>
      </c>
    </row>
    <row r="7697" spans="27:31" x14ac:dyDescent="0.25">
      <c r="AA7697" s="160"/>
      <c r="AB7697" s="162"/>
      <c r="AC7697" s="162"/>
      <c r="AD7697" s="162">
        <f t="shared" si="140"/>
        <v>0</v>
      </c>
      <c r="AE7697" s="160">
        <v>7695</v>
      </c>
    </row>
    <row r="7698" spans="27:31" x14ac:dyDescent="0.25">
      <c r="AA7698" s="160"/>
      <c r="AB7698" s="162"/>
      <c r="AC7698" s="162"/>
      <c r="AD7698" s="162">
        <f t="shared" si="140"/>
        <v>0</v>
      </c>
      <c r="AE7698" s="160">
        <v>7696</v>
      </c>
    </row>
    <row r="7699" spans="27:31" x14ac:dyDescent="0.25">
      <c r="AA7699" s="160"/>
      <c r="AB7699" s="162"/>
      <c r="AC7699" s="162"/>
      <c r="AD7699" s="162">
        <f t="shared" si="140"/>
        <v>0</v>
      </c>
      <c r="AE7699" s="160">
        <v>7697</v>
      </c>
    </row>
    <row r="7700" spans="27:31" x14ac:dyDescent="0.25">
      <c r="AA7700" s="160"/>
      <c r="AB7700" s="162"/>
      <c r="AC7700" s="162"/>
      <c r="AD7700" s="162">
        <f t="shared" si="140"/>
        <v>0</v>
      </c>
      <c r="AE7700" s="160">
        <v>7698</v>
      </c>
    </row>
    <row r="7701" spans="27:31" x14ac:dyDescent="0.25">
      <c r="AA7701" s="160"/>
      <c r="AB7701" s="162"/>
      <c r="AC7701" s="162"/>
      <c r="AD7701" s="162">
        <f t="shared" si="140"/>
        <v>0</v>
      </c>
      <c r="AE7701" s="160">
        <v>7699</v>
      </c>
    </row>
    <row r="7702" spans="27:31" x14ac:dyDescent="0.25">
      <c r="AA7702" s="160"/>
      <c r="AB7702" s="162"/>
      <c r="AC7702" s="162"/>
      <c r="AD7702" s="162">
        <f t="shared" si="140"/>
        <v>0</v>
      </c>
      <c r="AE7702" s="160">
        <v>7700</v>
      </c>
    </row>
    <row r="7703" spans="27:31" x14ac:dyDescent="0.25">
      <c r="AA7703" s="160"/>
      <c r="AB7703" s="162"/>
      <c r="AC7703" s="162"/>
      <c r="AD7703" s="162">
        <f t="shared" si="140"/>
        <v>0</v>
      </c>
      <c r="AE7703" s="160">
        <v>7701</v>
      </c>
    </row>
    <row r="7704" spans="27:31" x14ac:dyDescent="0.25">
      <c r="AA7704" s="160"/>
      <c r="AB7704" s="162"/>
      <c r="AC7704" s="162"/>
      <c r="AD7704" s="162">
        <f t="shared" si="140"/>
        <v>0</v>
      </c>
      <c r="AE7704" s="160">
        <v>7702</v>
      </c>
    </row>
    <row r="7705" spans="27:31" x14ac:dyDescent="0.25">
      <c r="AA7705" s="160"/>
      <c r="AB7705" s="162"/>
      <c r="AC7705" s="162"/>
      <c r="AD7705" s="162">
        <f t="shared" si="140"/>
        <v>0</v>
      </c>
      <c r="AE7705" s="160">
        <v>7703</v>
      </c>
    </row>
    <row r="7706" spans="27:31" x14ac:dyDescent="0.25">
      <c r="AA7706" s="160"/>
      <c r="AB7706" s="162"/>
      <c r="AC7706" s="162"/>
      <c r="AD7706" s="162">
        <f t="shared" si="140"/>
        <v>0</v>
      </c>
      <c r="AE7706" s="160">
        <v>7704</v>
      </c>
    </row>
    <row r="7707" spans="27:31" x14ac:dyDescent="0.25">
      <c r="AA7707" s="160"/>
      <c r="AB7707" s="162"/>
      <c r="AC7707" s="162"/>
      <c r="AD7707" s="162">
        <f t="shared" si="140"/>
        <v>0</v>
      </c>
      <c r="AE7707" s="160">
        <v>7705</v>
      </c>
    </row>
    <row r="7708" spans="27:31" x14ac:dyDescent="0.25">
      <c r="AA7708" s="160"/>
      <c r="AB7708" s="162"/>
      <c r="AC7708" s="162"/>
      <c r="AD7708" s="162">
        <f t="shared" si="140"/>
        <v>0</v>
      </c>
      <c r="AE7708" s="160">
        <v>7706</v>
      </c>
    </row>
    <row r="7709" spans="27:31" x14ac:dyDescent="0.25">
      <c r="AA7709" s="160"/>
      <c r="AB7709" s="162"/>
      <c r="AC7709" s="162"/>
      <c r="AD7709" s="162">
        <f t="shared" si="140"/>
        <v>0</v>
      </c>
      <c r="AE7709" s="160">
        <v>7707</v>
      </c>
    </row>
    <row r="7710" spans="27:31" x14ac:dyDescent="0.25">
      <c r="AA7710" s="160"/>
      <c r="AB7710" s="162"/>
      <c r="AC7710" s="162"/>
      <c r="AD7710" s="162">
        <f t="shared" si="140"/>
        <v>0</v>
      </c>
      <c r="AE7710" s="160">
        <v>7708</v>
      </c>
    </row>
    <row r="7711" spans="27:31" x14ac:dyDescent="0.25">
      <c r="AA7711" s="160"/>
      <c r="AB7711" s="162"/>
      <c r="AC7711" s="162"/>
      <c r="AD7711" s="162">
        <f t="shared" si="140"/>
        <v>0</v>
      </c>
      <c r="AE7711" s="160">
        <v>7709</v>
      </c>
    </row>
    <row r="7712" spans="27:31" x14ac:dyDescent="0.25">
      <c r="AA7712" s="160"/>
      <c r="AB7712" s="162"/>
      <c r="AC7712" s="162"/>
      <c r="AD7712" s="162">
        <f t="shared" si="140"/>
        <v>0</v>
      </c>
      <c r="AE7712" s="160">
        <v>7710</v>
      </c>
    </row>
    <row r="7713" spans="27:31" x14ac:dyDescent="0.25">
      <c r="AA7713" s="160"/>
      <c r="AB7713" s="162"/>
      <c r="AC7713" s="162"/>
      <c r="AD7713" s="162">
        <f t="shared" si="140"/>
        <v>0</v>
      </c>
      <c r="AE7713" s="160">
        <v>7711</v>
      </c>
    </row>
    <row r="7714" spans="27:31" x14ac:dyDescent="0.25">
      <c r="AA7714" s="160"/>
      <c r="AB7714" s="162"/>
      <c r="AC7714" s="162"/>
      <c r="AD7714" s="162">
        <f t="shared" si="140"/>
        <v>0</v>
      </c>
      <c r="AE7714" s="160">
        <v>7712</v>
      </c>
    </row>
    <row r="7715" spans="27:31" x14ac:dyDescent="0.25">
      <c r="AA7715" s="160"/>
      <c r="AB7715" s="162"/>
      <c r="AC7715" s="162"/>
      <c r="AD7715" s="162">
        <f t="shared" si="140"/>
        <v>0</v>
      </c>
      <c r="AE7715" s="160">
        <v>7713</v>
      </c>
    </row>
    <row r="7716" spans="27:31" x14ac:dyDescent="0.25">
      <c r="AA7716" s="160"/>
      <c r="AB7716" s="162"/>
      <c r="AC7716" s="162"/>
      <c r="AD7716" s="162">
        <f t="shared" si="140"/>
        <v>0</v>
      </c>
      <c r="AE7716" s="160">
        <v>7714</v>
      </c>
    </row>
    <row r="7717" spans="27:31" x14ac:dyDescent="0.25">
      <c r="AA7717" s="160"/>
      <c r="AB7717" s="162"/>
      <c r="AC7717" s="162"/>
      <c r="AD7717" s="162">
        <f t="shared" si="140"/>
        <v>0</v>
      </c>
      <c r="AE7717" s="160">
        <v>7715</v>
      </c>
    </row>
    <row r="7718" spans="27:31" x14ac:dyDescent="0.25">
      <c r="AA7718" s="160"/>
      <c r="AB7718" s="162"/>
      <c r="AC7718" s="162"/>
      <c r="AD7718" s="162">
        <f t="shared" si="140"/>
        <v>0</v>
      </c>
      <c r="AE7718" s="160">
        <v>7716</v>
      </c>
    </row>
    <row r="7719" spans="27:31" x14ac:dyDescent="0.25">
      <c r="AA7719" s="160"/>
      <c r="AB7719" s="162"/>
      <c r="AC7719" s="162"/>
      <c r="AD7719" s="162">
        <f t="shared" si="140"/>
        <v>0</v>
      </c>
      <c r="AE7719" s="160">
        <v>7717</v>
      </c>
    </row>
    <row r="7720" spans="27:31" x14ac:dyDescent="0.25">
      <c r="AA7720" s="160"/>
      <c r="AB7720" s="162"/>
      <c r="AC7720" s="162"/>
      <c r="AD7720" s="162">
        <f t="shared" si="140"/>
        <v>0</v>
      </c>
      <c r="AE7720" s="160">
        <v>7718</v>
      </c>
    </row>
    <row r="7721" spans="27:31" x14ac:dyDescent="0.25">
      <c r="AA7721" s="160"/>
      <c r="AB7721" s="162"/>
      <c r="AC7721" s="162"/>
      <c r="AD7721" s="162">
        <f t="shared" si="140"/>
        <v>0</v>
      </c>
      <c r="AE7721" s="160">
        <v>7719</v>
      </c>
    </row>
    <row r="7722" spans="27:31" x14ac:dyDescent="0.25">
      <c r="AA7722" s="160"/>
      <c r="AB7722" s="162"/>
      <c r="AC7722" s="162"/>
      <c r="AD7722" s="162">
        <f t="shared" si="140"/>
        <v>0</v>
      </c>
      <c r="AE7722" s="160">
        <v>7720</v>
      </c>
    </row>
    <row r="7723" spans="27:31" x14ac:dyDescent="0.25">
      <c r="AA7723" s="160"/>
      <c r="AB7723" s="162"/>
      <c r="AC7723" s="162"/>
      <c r="AD7723" s="162">
        <f t="shared" si="140"/>
        <v>0</v>
      </c>
      <c r="AE7723" s="160">
        <v>7721</v>
      </c>
    </row>
    <row r="7724" spans="27:31" x14ac:dyDescent="0.25">
      <c r="AA7724" s="160"/>
      <c r="AB7724" s="162"/>
      <c r="AC7724" s="162"/>
      <c r="AD7724" s="162">
        <f t="shared" si="140"/>
        <v>0</v>
      </c>
      <c r="AE7724" s="160">
        <v>7722</v>
      </c>
    </row>
    <row r="7725" spans="27:31" x14ac:dyDescent="0.25">
      <c r="AA7725" s="160"/>
      <c r="AB7725" s="162"/>
      <c r="AC7725" s="162"/>
      <c r="AD7725" s="162">
        <f t="shared" si="140"/>
        <v>0</v>
      </c>
      <c r="AE7725" s="160">
        <v>7723</v>
      </c>
    </row>
    <row r="7726" spans="27:31" x14ac:dyDescent="0.25">
      <c r="AA7726" s="160"/>
      <c r="AB7726" s="162"/>
      <c r="AC7726" s="162"/>
      <c r="AD7726" s="162">
        <f t="shared" si="140"/>
        <v>0</v>
      </c>
      <c r="AE7726" s="160">
        <v>7724</v>
      </c>
    </row>
    <row r="7727" spans="27:31" x14ac:dyDescent="0.25">
      <c r="AA7727" s="160"/>
      <c r="AB7727" s="162"/>
      <c r="AC7727" s="162"/>
      <c r="AD7727" s="162">
        <f t="shared" si="140"/>
        <v>0</v>
      </c>
      <c r="AE7727" s="160">
        <v>7725</v>
      </c>
    </row>
    <row r="7728" spans="27:31" x14ac:dyDescent="0.25">
      <c r="AA7728" s="160"/>
      <c r="AB7728" s="162"/>
      <c r="AC7728" s="162"/>
      <c r="AD7728" s="162">
        <f t="shared" si="140"/>
        <v>0</v>
      </c>
      <c r="AE7728" s="160">
        <v>7726</v>
      </c>
    </row>
    <row r="7729" spans="27:31" x14ac:dyDescent="0.25">
      <c r="AA7729" s="160"/>
      <c r="AB7729" s="162"/>
      <c r="AC7729" s="162"/>
      <c r="AD7729" s="162">
        <f t="shared" si="140"/>
        <v>0</v>
      </c>
      <c r="AE7729" s="160">
        <v>7727</v>
      </c>
    </row>
    <row r="7730" spans="27:31" x14ac:dyDescent="0.25">
      <c r="AA7730" s="160"/>
      <c r="AB7730" s="162"/>
      <c r="AC7730" s="162"/>
      <c r="AD7730" s="162">
        <f t="shared" si="140"/>
        <v>0</v>
      </c>
      <c r="AE7730" s="160">
        <v>7728</v>
      </c>
    </row>
    <row r="7731" spans="27:31" x14ac:dyDescent="0.25">
      <c r="AA7731" s="160"/>
      <c r="AB7731" s="162"/>
      <c r="AC7731" s="162"/>
      <c r="AD7731" s="162">
        <f t="shared" si="140"/>
        <v>0</v>
      </c>
      <c r="AE7731" s="160">
        <v>7729</v>
      </c>
    </row>
    <row r="7732" spans="27:31" x14ac:dyDescent="0.25">
      <c r="AA7732" s="160"/>
      <c r="AB7732" s="162"/>
      <c r="AC7732" s="162"/>
      <c r="AD7732" s="162">
        <f t="shared" si="140"/>
        <v>0</v>
      </c>
      <c r="AE7732" s="160">
        <v>7730</v>
      </c>
    </row>
    <row r="7733" spans="27:31" x14ac:dyDescent="0.25">
      <c r="AA7733" s="160"/>
      <c r="AB7733" s="162"/>
      <c r="AC7733" s="162"/>
      <c r="AD7733" s="162">
        <f t="shared" si="140"/>
        <v>0</v>
      </c>
      <c r="AE7733" s="160">
        <v>7731</v>
      </c>
    </row>
    <row r="7734" spans="27:31" x14ac:dyDescent="0.25">
      <c r="AA7734" s="160"/>
      <c r="AB7734" s="162"/>
      <c r="AC7734" s="162"/>
      <c r="AD7734" s="162">
        <f t="shared" si="140"/>
        <v>0</v>
      </c>
      <c r="AE7734" s="160">
        <v>7732</v>
      </c>
    </row>
    <row r="7735" spans="27:31" x14ac:dyDescent="0.25">
      <c r="AA7735" s="160"/>
      <c r="AB7735" s="162"/>
      <c r="AC7735" s="162"/>
      <c r="AD7735" s="162">
        <f t="shared" si="140"/>
        <v>0</v>
      </c>
      <c r="AE7735" s="160">
        <v>7733</v>
      </c>
    </row>
    <row r="7736" spans="27:31" x14ac:dyDescent="0.25">
      <c r="AA7736" s="160"/>
      <c r="AB7736" s="162"/>
      <c r="AC7736" s="162"/>
      <c r="AD7736" s="162">
        <f t="shared" si="140"/>
        <v>0</v>
      </c>
      <c r="AE7736" s="160">
        <v>7734</v>
      </c>
    </row>
    <row r="7737" spans="27:31" x14ac:dyDescent="0.25">
      <c r="AA7737" s="160"/>
      <c r="AB7737" s="162"/>
      <c r="AC7737" s="162"/>
      <c r="AD7737" s="162">
        <f t="shared" si="140"/>
        <v>0</v>
      </c>
      <c r="AE7737" s="160">
        <v>7735</v>
      </c>
    </row>
    <row r="7738" spans="27:31" x14ac:dyDescent="0.25">
      <c r="AA7738" s="160"/>
      <c r="AB7738" s="162"/>
      <c r="AC7738" s="162"/>
      <c r="AD7738" s="162">
        <f t="shared" si="140"/>
        <v>0</v>
      </c>
      <c r="AE7738" s="160">
        <v>7736</v>
      </c>
    </row>
    <row r="7739" spans="27:31" x14ac:dyDescent="0.25">
      <c r="AA7739" s="160"/>
      <c r="AB7739" s="162"/>
      <c r="AC7739" s="162"/>
      <c r="AD7739" s="162">
        <f t="shared" si="140"/>
        <v>0</v>
      </c>
      <c r="AE7739" s="160">
        <v>7737</v>
      </c>
    </row>
    <row r="7740" spans="27:31" x14ac:dyDescent="0.25">
      <c r="AA7740" s="160"/>
      <c r="AB7740" s="162"/>
      <c r="AC7740" s="162"/>
      <c r="AD7740" s="162">
        <f t="shared" si="140"/>
        <v>0</v>
      </c>
      <c r="AE7740" s="160">
        <v>7738</v>
      </c>
    </row>
    <row r="7741" spans="27:31" x14ac:dyDescent="0.25">
      <c r="AA7741" s="160"/>
      <c r="AB7741" s="162"/>
      <c r="AC7741" s="162"/>
      <c r="AD7741" s="162">
        <f t="shared" si="140"/>
        <v>0</v>
      </c>
      <c r="AE7741" s="160">
        <v>7739</v>
      </c>
    </row>
    <row r="7742" spans="27:31" x14ac:dyDescent="0.25">
      <c r="AA7742" s="160"/>
      <c r="AB7742" s="162"/>
      <c r="AC7742" s="162"/>
      <c r="AD7742" s="162">
        <f t="shared" si="140"/>
        <v>0</v>
      </c>
      <c r="AE7742" s="160">
        <v>7740</v>
      </c>
    </row>
    <row r="7743" spans="27:31" x14ac:dyDescent="0.25">
      <c r="AA7743" s="160"/>
      <c r="AB7743" s="162"/>
      <c r="AC7743" s="162"/>
      <c r="AD7743" s="162">
        <f t="shared" si="140"/>
        <v>0</v>
      </c>
      <c r="AE7743" s="160">
        <v>7741</v>
      </c>
    </row>
    <row r="7744" spans="27:31" x14ac:dyDescent="0.25">
      <c r="AA7744" s="160"/>
      <c r="AB7744" s="162"/>
      <c r="AC7744" s="162"/>
      <c r="AD7744" s="162">
        <f t="shared" si="140"/>
        <v>0</v>
      </c>
      <c r="AE7744" s="160">
        <v>7742</v>
      </c>
    </row>
    <row r="7745" spans="27:31" x14ac:dyDescent="0.25">
      <c r="AA7745" s="160"/>
      <c r="AB7745" s="162"/>
      <c r="AC7745" s="162"/>
      <c r="AD7745" s="162">
        <f t="shared" si="140"/>
        <v>0</v>
      </c>
      <c r="AE7745" s="160">
        <v>7743</v>
      </c>
    </row>
    <row r="7746" spans="27:31" x14ac:dyDescent="0.25">
      <c r="AA7746" s="160"/>
      <c r="AB7746" s="162"/>
      <c r="AC7746" s="162"/>
      <c r="AD7746" s="162">
        <f t="shared" si="140"/>
        <v>0</v>
      </c>
      <c r="AE7746" s="160">
        <v>7744</v>
      </c>
    </row>
    <row r="7747" spans="27:31" x14ac:dyDescent="0.25">
      <c r="AA7747" s="160"/>
      <c r="AB7747" s="162"/>
      <c r="AC7747" s="162"/>
      <c r="AD7747" s="162">
        <f t="shared" si="140"/>
        <v>0</v>
      </c>
      <c r="AE7747" s="160">
        <v>7745</v>
      </c>
    </row>
    <row r="7748" spans="27:31" x14ac:dyDescent="0.25">
      <c r="AA7748" s="160"/>
      <c r="AB7748" s="162"/>
      <c r="AC7748" s="162"/>
      <c r="AD7748" s="162">
        <f t="shared" ref="AD7748:AD7811" si="141">AB7748+AC7748</f>
        <v>0</v>
      </c>
      <c r="AE7748" s="160">
        <v>7746</v>
      </c>
    </row>
    <row r="7749" spans="27:31" x14ac:dyDescent="0.25">
      <c r="AA7749" s="160"/>
      <c r="AB7749" s="162"/>
      <c r="AC7749" s="162"/>
      <c r="AD7749" s="162">
        <f t="shared" si="141"/>
        <v>0</v>
      </c>
      <c r="AE7749" s="160">
        <v>7747</v>
      </c>
    </row>
    <row r="7750" spans="27:31" x14ac:dyDescent="0.25">
      <c r="AA7750" s="160"/>
      <c r="AB7750" s="162"/>
      <c r="AC7750" s="162"/>
      <c r="AD7750" s="162">
        <f t="shared" si="141"/>
        <v>0</v>
      </c>
      <c r="AE7750" s="160">
        <v>7748</v>
      </c>
    </row>
    <row r="7751" spans="27:31" x14ac:dyDescent="0.25">
      <c r="AA7751" s="160"/>
      <c r="AB7751" s="162"/>
      <c r="AC7751" s="162"/>
      <c r="AD7751" s="162">
        <f t="shared" si="141"/>
        <v>0</v>
      </c>
      <c r="AE7751" s="160">
        <v>7749</v>
      </c>
    </row>
    <row r="7752" spans="27:31" x14ac:dyDescent="0.25">
      <c r="AA7752" s="160"/>
      <c r="AB7752" s="162"/>
      <c r="AC7752" s="162"/>
      <c r="AD7752" s="162">
        <f t="shared" si="141"/>
        <v>0</v>
      </c>
      <c r="AE7752" s="160">
        <v>7750</v>
      </c>
    </row>
    <row r="7753" spans="27:31" x14ac:dyDescent="0.25">
      <c r="AA7753" s="160"/>
      <c r="AB7753" s="162"/>
      <c r="AC7753" s="162"/>
      <c r="AD7753" s="162">
        <f t="shared" si="141"/>
        <v>0</v>
      </c>
      <c r="AE7753" s="160">
        <v>7751</v>
      </c>
    </row>
    <row r="7754" spans="27:31" x14ac:dyDescent="0.25">
      <c r="AA7754" s="160"/>
      <c r="AB7754" s="162"/>
      <c r="AC7754" s="162"/>
      <c r="AD7754" s="162">
        <f t="shared" si="141"/>
        <v>0</v>
      </c>
      <c r="AE7754" s="160">
        <v>7752</v>
      </c>
    </row>
    <row r="7755" spans="27:31" x14ac:dyDescent="0.25">
      <c r="AA7755" s="160"/>
      <c r="AB7755" s="162"/>
      <c r="AC7755" s="162"/>
      <c r="AD7755" s="162">
        <f t="shared" si="141"/>
        <v>0</v>
      </c>
      <c r="AE7755" s="160">
        <v>7753</v>
      </c>
    </row>
    <row r="7756" spans="27:31" x14ac:dyDescent="0.25">
      <c r="AA7756" s="160"/>
      <c r="AB7756" s="162"/>
      <c r="AC7756" s="162"/>
      <c r="AD7756" s="162">
        <f t="shared" si="141"/>
        <v>0</v>
      </c>
      <c r="AE7756" s="160">
        <v>7754</v>
      </c>
    </row>
    <row r="7757" spans="27:31" x14ac:dyDescent="0.25">
      <c r="AA7757" s="160"/>
      <c r="AB7757" s="162"/>
      <c r="AC7757" s="162"/>
      <c r="AD7757" s="162">
        <f t="shared" si="141"/>
        <v>0</v>
      </c>
      <c r="AE7757" s="160">
        <v>7755</v>
      </c>
    </row>
    <row r="7758" spans="27:31" x14ac:dyDescent="0.25">
      <c r="AA7758" s="160"/>
      <c r="AB7758" s="162"/>
      <c r="AC7758" s="162"/>
      <c r="AD7758" s="162">
        <f t="shared" si="141"/>
        <v>0</v>
      </c>
      <c r="AE7758" s="160">
        <v>7756</v>
      </c>
    </row>
    <row r="7759" spans="27:31" x14ac:dyDescent="0.25">
      <c r="AA7759" s="160"/>
      <c r="AB7759" s="162"/>
      <c r="AC7759" s="162"/>
      <c r="AD7759" s="162">
        <f t="shared" si="141"/>
        <v>0</v>
      </c>
      <c r="AE7759" s="160">
        <v>7757</v>
      </c>
    </row>
    <row r="7760" spans="27:31" x14ac:dyDescent="0.25">
      <c r="AA7760" s="160"/>
      <c r="AB7760" s="162"/>
      <c r="AC7760" s="162"/>
      <c r="AD7760" s="162">
        <f t="shared" si="141"/>
        <v>0</v>
      </c>
      <c r="AE7760" s="160">
        <v>7758</v>
      </c>
    </row>
    <row r="7761" spans="27:31" x14ac:dyDescent="0.25">
      <c r="AA7761" s="160"/>
      <c r="AB7761" s="162"/>
      <c r="AC7761" s="162"/>
      <c r="AD7761" s="162">
        <f t="shared" si="141"/>
        <v>0</v>
      </c>
      <c r="AE7761" s="160">
        <v>7759</v>
      </c>
    </row>
    <row r="7762" spans="27:31" x14ac:dyDescent="0.25">
      <c r="AA7762" s="160"/>
      <c r="AB7762" s="162"/>
      <c r="AC7762" s="162"/>
      <c r="AD7762" s="162">
        <f t="shared" si="141"/>
        <v>0</v>
      </c>
      <c r="AE7762" s="160">
        <v>7760</v>
      </c>
    </row>
    <row r="7763" spans="27:31" x14ac:dyDescent="0.25">
      <c r="AA7763" s="160"/>
      <c r="AB7763" s="162"/>
      <c r="AC7763" s="162"/>
      <c r="AD7763" s="162">
        <f t="shared" si="141"/>
        <v>0</v>
      </c>
      <c r="AE7763" s="160">
        <v>7761</v>
      </c>
    </row>
    <row r="7764" spans="27:31" x14ac:dyDescent="0.25">
      <c r="AA7764" s="160"/>
      <c r="AB7764" s="162"/>
      <c r="AC7764" s="162"/>
      <c r="AD7764" s="162">
        <f t="shared" si="141"/>
        <v>0</v>
      </c>
      <c r="AE7764" s="160">
        <v>7762</v>
      </c>
    </row>
    <row r="7765" spans="27:31" x14ac:dyDescent="0.25">
      <c r="AA7765" s="160"/>
      <c r="AB7765" s="162"/>
      <c r="AC7765" s="162"/>
      <c r="AD7765" s="162">
        <f t="shared" si="141"/>
        <v>0</v>
      </c>
      <c r="AE7765" s="160">
        <v>7763</v>
      </c>
    </row>
    <row r="7766" spans="27:31" x14ac:dyDescent="0.25">
      <c r="AA7766" s="160"/>
      <c r="AB7766" s="162"/>
      <c r="AC7766" s="162"/>
      <c r="AD7766" s="162">
        <f t="shared" si="141"/>
        <v>0</v>
      </c>
      <c r="AE7766" s="160">
        <v>7764</v>
      </c>
    </row>
    <row r="7767" spans="27:31" x14ac:dyDescent="0.25">
      <c r="AA7767" s="160"/>
      <c r="AB7767" s="162"/>
      <c r="AC7767" s="162"/>
      <c r="AD7767" s="162">
        <f t="shared" si="141"/>
        <v>0</v>
      </c>
      <c r="AE7767" s="160">
        <v>7765</v>
      </c>
    </row>
    <row r="7768" spans="27:31" x14ac:dyDescent="0.25">
      <c r="AA7768" s="160"/>
      <c r="AB7768" s="162"/>
      <c r="AC7768" s="162"/>
      <c r="AD7768" s="162">
        <f t="shared" si="141"/>
        <v>0</v>
      </c>
      <c r="AE7768" s="160">
        <v>7766</v>
      </c>
    </row>
    <row r="7769" spans="27:31" x14ac:dyDescent="0.25">
      <c r="AA7769" s="160"/>
      <c r="AB7769" s="162"/>
      <c r="AC7769" s="162"/>
      <c r="AD7769" s="162">
        <f t="shared" si="141"/>
        <v>0</v>
      </c>
      <c r="AE7769" s="160">
        <v>7767</v>
      </c>
    </row>
    <row r="7770" spans="27:31" x14ac:dyDescent="0.25">
      <c r="AA7770" s="160"/>
      <c r="AB7770" s="162"/>
      <c r="AC7770" s="162"/>
      <c r="AD7770" s="162">
        <f t="shared" si="141"/>
        <v>0</v>
      </c>
      <c r="AE7770" s="160">
        <v>7768</v>
      </c>
    </row>
    <row r="7771" spans="27:31" x14ac:dyDescent="0.25">
      <c r="AA7771" s="160"/>
      <c r="AB7771" s="162"/>
      <c r="AC7771" s="162"/>
      <c r="AD7771" s="162">
        <f t="shared" si="141"/>
        <v>0</v>
      </c>
      <c r="AE7771" s="160">
        <v>7769</v>
      </c>
    </row>
    <row r="7772" spans="27:31" x14ac:dyDescent="0.25">
      <c r="AA7772" s="160"/>
      <c r="AB7772" s="162"/>
      <c r="AC7772" s="162"/>
      <c r="AD7772" s="162">
        <f t="shared" si="141"/>
        <v>0</v>
      </c>
      <c r="AE7772" s="160">
        <v>7770</v>
      </c>
    </row>
    <row r="7773" spans="27:31" x14ac:dyDescent="0.25">
      <c r="AA7773" s="160"/>
      <c r="AB7773" s="162"/>
      <c r="AC7773" s="162"/>
      <c r="AD7773" s="162">
        <f t="shared" si="141"/>
        <v>0</v>
      </c>
      <c r="AE7773" s="160">
        <v>7771</v>
      </c>
    </row>
    <row r="7774" spans="27:31" x14ac:dyDescent="0.25">
      <c r="AA7774" s="160"/>
      <c r="AB7774" s="162"/>
      <c r="AC7774" s="162"/>
      <c r="AD7774" s="162">
        <f t="shared" si="141"/>
        <v>0</v>
      </c>
      <c r="AE7774" s="160">
        <v>7772</v>
      </c>
    </row>
    <row r="7775" spans="27:31" x14ac:dyDescent="0.25">
      <c r="AA7775" s="160"/>
      <c r="AB7775" s="162"/>
      <c r="AC7775" s="162"/>
      <c r="AD7775" s="162">
        <f t="shared" si="141"/>
        <v>0</v>
      </c>
      <c r="AE7775" s="160">
        <v>7773</v>
      </c>
    </row>
    <row r="7776" spans="27:31" x14ac:dyDescent="0.25">
      <c r="AA7776" s="160"/>
      <c r="AB7776" s="162"/>
      <c r="AC7776" s="162"/>
      <c r="AD7776" s="162">
        <f t="shared" si="141"/>
        <v>0</v>
      </c>
      <c r="AE7776" s="160">
        <v>7774</v>
      </c>
    </row>
    <row r="7777" spans="27:31" x14ac:dyDescent="0.25">
      <c r="AA7777" s="160"/>
      <c r="AB7777" s="162"/>
      <c r="AC7777" s="162"/>
      <c r="AD7777" s="162">
        <f t="shared" si="141"/>
        <v>0</v>
      </c>
      <c r="AE7777" s="160">
        <v>7775</v>
      </c>
    </row>
    <row r="7778" spans="27:31" x14ac:dyDescent="0.25">
      <c r="AA7778" s="160"/>
      <c r="AB7778" s="162"/>
      <c r="AC7778" s="162"/>
      <c r="AD7778" s="162">
        <f t="shared" si="141"/>
        <v>0</v>
      </c>
      <c r="AE7778" s="160">
        <v>7776</v>
      </c>
    </row>
    <row r="7779" spans="27:31" x14ac:dyDescent="0.25">
      <c r="AA7779" s="160"/>
      <c r="AB7779" s="162"/>
      <c r="AC7779" s="162"/>
      <c r="AD7779" s="162">
        <f t="shared" si="141"/>
        <v>0</v>
      </c>
      <c r="AE7779" s="160">
        <v>7777</v>
      </c>
    </row>
    <row r="7780" spans="27:31" x14ac:dyDescent="0.25">
      <c r="AA7780" s="160"/>
      <c r="AB7780" s="162"/>
      <c r="AC7780" s="162"/>
      <c r="AD7780" s="162">
        <f t="shared" si="141"/>
        <v>0</v>
      </c>
      <c r="AE7780" s="160">
        <v>7778</v>
      </c>
    </row>
    <row r="7781" spans="27:31" x14ac:dyDescent="0.25">
      <c r="AA7781" s="160"/>
      <c r="AB7781" s="162"/>
      <c r="AC7781" s="162"/>
      <c r="AD7781" s="162">
        <f t="shared" si="141"/>
        <v>0</v>
      </c>
      <c r="AE7781" s="160">
        <v>7779</v>
      </c>
    </row>
    <row r="7782" spans="27:31" x14ac:dyDescent="0.25">
      <c r="AA7782" s="160"/>
      <c r="AB7782" s="162"/>
      <c r="AC7782" s="162"/>
      <c r="AD7782" s="162">
        <f t="shared" si="141"/>
        <v>0</v>
      </c>
      <c r="AE7782" s="160">
        <v>7780</v>
      </c>
    </row>
    <row r="7783" spans="27:31" x14ac:dyDescent="0.25">
      <c r="AA7783" s="160"/>
      <c r="AB7783" s="162"/>
      <c r="AC7783" s="162"/>
      <c r="AD7783" s="162">
        <f t="shared" si="141"/>
        <v>0</v>
      </c>
      <c r="AE7783" s="160">
        <v>7781</v>
      </c>
    </row>
    <row r="7784" spans="27:31" x14ac:dyDescent="0.25">
      <c r="AA7784" s="160"/>
      <c r="AB7784" s="162"/>
      <c r="AC7784" s="162"/>
      <c r="AD7784" s="162">
        <f t="shared" si="141"/>
        <v>0</v>
      </c>
      <c r="AE7784" s="160">
        <v>7782</v>
      </c>
    </row>
    <row r="7785" spans="27:31" x14ac:dyDescent="0.25">
      <c r="AA7785" s="160"/>
      <c r="AB7785" s="162"/>
      <c r="AC7785" s="162"/>
      <c r="AD7785" s="162">
        <f t="shared" si="141"/>
        <v>0</v>
      </c>
      <c r="AE7785" s="160">
        <v>7783</v>
      </c>
    </row>
    <row r="7786" spans="27:31" x14ac:dyDescent="0.25">
      <c r="AA7786" s="160"/>
      <c r="AB7786" s="162"/>
      <c r="AC7786" s="162"/>
      <c r="AD7786" s="162">
        <f t="shared" si="141"/>
        <v>0</v>
      </c>
      <c r="AE7786" s="160">
        <v>7784</v>
      </c>
    </row>
    <row r="7787" spans="27:31" x14ac:dyDescent="0.25">
      <c r="AA7787" s="160"/>
      <c r="AB7787" s="162"/>
      <c r="AC7787" s="162"/>
      <c r="AD7787" s="162">
        <f t="shared" si="141"/>
        <v>0</v>
      </c>
      <c r="AE7787" s="160">
        <v>7785</v>
      </c>
    </row>
    <row r="7788" spans="27:31" x14ac:dyDescent="0.25">
      <c r="AA7788" s="160"/>
      <c r="AB7788" s="162"/>
      <c r="AC7788" s="162"/>
      <c r="AD7788" s="162">
        <f t="shared" si="141"/>
        <v>0</v>
      </c>
      <c r="AE7788" s="160">
        <v>7786</v>
      </c>
    </row>
    <row r="7789" spans="27:31" x14ac:dyDescent="0.25">
      <c r="AA7789" s="160"/>
      <c r="AB7789" s="162"/>
      <c r="AC7789" s="162"/>
      <c r="AD7789" s="162">
        <f t="shared" si="141"/>
        <v>0</v>
      </c>
      <c r="AE7789" s="160">
        <v>7787</v>
      </c>
    </row>
    <row r="7790" spans="27:31" x14ac:dyDescent="0.25">
      <c r="AA7790" s="160"/>
      <c r="AB7790" s="162"/>
      <c r="AC7790" s="162"/>
      <c r="AD7790" s="162">
        <f t="shared" si="141"/>
        <v>0</v>
      </c>
      <c r="AE7790" s="160">
        <v>7788</v>
      </c>
    </row>
    <row r="7791" spans="27:31" x14ac:dyDescent="0.25">
      <c r="AA7791" s="160"/>
      <c r="AB7791" s="162"/>
      <c r="AC7791" s="162"/>
      <c r="AD7791" s="162">
        <f t="shared" si="141"/>
        <v>0</v>
      </c>
      <c r="AE7791" s="160">
        <v>7789</v>
      </c>
    </row>
    <row r="7792" spans="27:31" x14ac:dyDescent="0.25">
      <c r="AA7792" s="160"/>
      <c r="AB7792" s="162"/>
      <c r="AC7792" s="162"/>
      <c r="AD7792" s="162">
        <f t="shared" si="141"/>
        <v>0</v>
      </c>
      <c r="AE7792" s="160">
        <v>7790</v>
      </c>
    </row>
    <row r="7793" spans="27:31" x14ac:dyDescent="0.25">
      <c r="AA7793" s="160"/>
      <c r="AB7793" s="162"/>
      <c r="AC7793" s="162"/>
      <c r="AD7793" s="162">
        <f t="shared" si="141"/>
        <v>0</v>
      </c>
      <c r="AE7793" s="160">
        <v>7791</v>
      </c>
    </row>
    <row r="7794" spans="27:31" x14ac:dyDescent="0.25">
      <c r="AA7794" s="160"/>
      <c r="AB7794" s="162"/>
      <c r="AC7794" s="162"/>
      <c r="AD7794" s="162">
        <f t="shared" si="141"/>
        <v>0</v>
      </c>
      <c r="AE7794" s="160">
        <v>7792</v>
      </c>
    </row>
    <row r="7795" spans="27:31" x14ac:dyDescent="0.25">
      <c r="AA7795" s="160"/>
      <c r="AB7795" s="162"/>
      <c r="AC7795" s="162"/>
      <c r="AD7795" s="162">
        <f t="shared" si="141"/>
        <v>0</v>
      </c>
      <c r="AE7795" s="160">
        <v>7793</v>
      </c>
    </row>
    <row r="7796" spans="27:31" x14ac:dyDescent="0.25">
      <c r="AA7796" s="160"/>
      <c r="AB7796" s="162"/>
      <c r="AC7796" s="162"/>
      <c r="AD7796" s="162">
        <f t="shared" si="141"/>
        <v>0</v>
      </c>
      <c r="AE7796" s="160">
        <v>7794</v>
      </c>
    </row>
    <row r="7797" spans="27:31" x14ac:dyDescent="0.25">
      <c r="AA7797" s="160"/>
      <c r="AB7797" s="162"/>
      <c r="AC7797" s="162"/>
      <c r="AD7797" s="162">
        <f t="shared" si="141"/>
        <v>0</v>
      </c>
      <c r="AE7797" s="160">
        <v>7795</v>
      </c>
    </row>
    <row r="7798" spans="27:31" x14ac:dyDescent="0.25">
      <c r="AA7798" s="160"/>
      <c r="AB7798" s="162"/>
      <c r="AC7798" s="162"/>
      <c r="AD7798" s="162">
        <f t="shared" si="141"/>
        <v>0</v>
      </c>
      <c r="AE7798" s="160">
        <v>7796</v>
      </c>
    </row>
    <row r="7799" spans="27:31" x14ac:dyDescent="0.25">
      <c r="AA7799" s="160"/>
      <c r="AB7799" s="162"/>
      <c r="AC7799" s="162"/>
      <c r="AD7799" s="162">
        <f t="shared" si="141"/>
        <v>0</v>
      </c>
      <c r="AE7799" s="160">
        <v>7797</v>
      </c>
    </row>
    <row r="7800" spans="27:31" x14ac:dyDescent="0.25">
      <c r="AA7800" s="160"/>
      <c r="AB7800" s="162"/>
      <c r="AC7800" s="162"/>
      <c r="AD7800" s="162">
        <f t="shared" si="141"/>
        <v>0</v>
      </c>
      <c r="AE7800" s="160">
        <v>7798</v>
      </c>
    </row>
    <row r="7801" spans="27:31" x14ac:dyDescent="0.25">
      <c r="AA7801" s="160"/>
      <c r="AB7801" s="162"/>
      <c r="AC7801" s="162"/>
      <c r="AD7801" s="162">
        <f t="shared" si="141"/>
        <v>0</v>
      </c>
      <c r="AE7801" s="160">
        <v>7799</v>
      </c>
    </row>
    <row r="7802" spans="27:31" x14ac:dyDescent="0.25">
      <c r="AA7802" s="160"/>
      <c r="AB7802" s="162"/>
      <c r="AC7802" s="162"/>
      <c r="AD7802" s="162">
        <f t="shared" si="141"/>
        <v>0</v>
      </c>
      <c r="AE7802" s="160">
        <v>7800</v>
      </c>
    </row>
    <row r="7803" spans="27:31" x14ac:dyDescent="0.25">
      <c r="AA7803" s="160"/>
      <c r="AB7803" s="162"/>
      <c r="AC7803" s="162"/>
      <c r="AD7803" s="162">
        <f t="shared" si="141"/>
        <v>0</v>
      </c>
      <c r="AE7803" s="160">
        <v>7801</v>
      </c>
    </row>
    <row r="7804" spans="27:31" x14ac:dyDescent="0.25">
      <c r="AA7804" s="160"/>
      <c r="AB7804" s="162"/>
      <c r="AC7804" s="162"/>
      <c r="AD7804" s="162">
        <f t="shared" si="141"/>
        <v>0</v>
      </c>
      <c r="AE7804" s="160">
        <v>7802</v>
      </c>
    </row>
    <row r="7805" spans="27:31" x14ac:dyDescent="0.25">
      <c r="AA7805" s="160"/>
      <c r="AB7805" s="162"/>
      <c r="AC7805" s="162"/>
      <c r="AD7805" s="162">
        <f t="shared" si="141"/>
        <v>0</v>
      </c>
      <c r="AE7805" s="160">
        <v>7803</v>
      </c>
    </row>
    <row r="7806" spans="27:31" x14ac:dyDescent="0.25">
      <c r="AA7806" s="160"/>
      <c r="AB7806" s="162"/>
      <c r="AC7806" s="162"/>
      <c r="AD7806" s="162">
        <f t="shared" si="141"/>
        <v>0</v>
      </c>
      <c r="AE7806" s="160">
        <v>7804</v>
      </c>
    </row>
    <row r="7807" spans="27:31" x14ac:dyDescent="0.25">
      <c r="AA7807" s="160"/>
      <c r="AB7807" s="162"/>
      <c r="AC7807" s="162"/>
      <c r="AD7807" s="162">
        <f t="shared" si="141"/>
        <v>0</v>
      </c>
      <c r="AE7807" s="160">
        <v>7805</v>
      </c>
    </row>
    <row r="7808" spans="27:31" x14ac:dyDescent="0.25">
      <c r="AA7808" s="160"/>
      <c r="AB7808" s="162"/>
      <c r="AC7808" s="162"/>
      <c r="AD7808" s="162">
        <f t="shared" si="141"/>
        <v>0</v>
      </c>
      <c r="AE7808" s="160">
        <v>7806</v>
      </c>
    </row>
    <row r="7809" spans="27:31" x14ac:dyDescent="0.25">
      <c r="AA7809" s="160"/>
      <c r="AB7809" s="162"/>
      <c r="AC7809" s="162"/>
      <c r="AD7809" s="162">
        <f t="shared" si="141"/>
        <v>0</v>
      </c>
      <c r="AE7809" s="160">
        <v>7807</v>
      </c>
    </row>
    <row r="7810" spans="27:31" x14ac:dyDescent="0.25">
      <c r="AA7810" s="160"/>
      <c r="AB7810" s="162"/>
      <c r="AC7810" s="162"/>
      <c r="AD7810" s="162">
        <f t="shared" si="141"/>
        <v>0</v>
      </c>
      <c r="AE7810" s="160">
        <v>7808</v>
      </c>
    </row>
    <row r="7811" spans="27:31" x14ac:dyDescent="0.25">
      <c r="AA7811" s="160"/>
      <c r="AB7811" s="162"/>
      <c r="AC7811" s="162"/>
      <c r="AD7811" s="162">
        <f t="shared" si="141"/>
        <v>0</v>
      </c>
      <c r="AE7811" s="160">
        <v>7809</v>
      </c>
    </row>
    <row r="7812" spans="27:31" x14ac:dyDescent="0.25">
      <c r="AA7812" s="160"/>
      <c r="AB7812" s="162"/>
      <c r="AC7812" s="162"/>
      <c r="AD7812" s="162">
        <f t="shared" ref="AD7812:AD7875" si="142">AB7812+AC7812</f>
        <v>0</v>
      </c>
      <c r="AE7812" s="160">
        <v>7810</v>
      </c>
    </row>
    <row r="7813" spans="27:31" x14ac:dyDescent="0.25">
      <c r="AA7813" s="160"/>
      <c r="AB7813" s="162"/>
      <c r="AC7813" s="162"/>
      <c r="AD7813" s="162">
        <f t="shared" si="142"/>
        <v>0</v>
      </c>
      <c r="AE7813" s="160">
        <v>7811</v>
      </c>
    </row>
    <row r="7814" spans="27:31" x14ac:dyDescent="0.25">
      <c r="AA7814" s="160"/>
      <c r="AB7814" s="162"/>
      <c r="AC7814" s="162"/>
      <c r="AD7814" s="162">
        <f t="shared" si="142"/>
        <v>0</v>
      </c>
      <c r="AE7814" s="160">
        <v>7812</v>
      </c>
    </row>
    <row r="7815" spans="27:31" x14ac:dyDescent="0.25">
      <c r="AA7815" s="160"/>
      <c r="AB7815" s="162"/>
      <c r="AC7815" s="162"/>
      <c r="AD7815" s="162">
        <f t="shared" si="142"/>
        <v>0</v>
      </c>
      <c r="AE7815" s="160">
        <v>7813</v>
      </c>
    </row>
    <row r="7816" spans="27:31" x14ac:dyDescent="0.25">
      <c r="AA7816" s="160"/>
      <c r="AB7816" s="162"/>
      <c r="AC7816" s="162"/>
      <c r="AD7816" s="162">
        <f t="shared" si="142"/>
        <v>0</v>
      </c>
      <c r="AE7816" s="160">
        <v>7814</v>
      </c>
    </row>
    <row r="7817" spans="27:31" x14ac:dyDescent="0.25">
      <c r="AA7817" s="160"/>
      <c r="AB7817" s="162"/>
      <c r="AC7817" s="162"/>
      <c r="AD7817" s="162">
        <f t="shared" si="142"/>
        <v>0</v>
      </c>
      <c r="AE7817" s="160">
        <v>7815</v>
      </c>
    </row>
    <row r="7818" spans="27:31" x14ac:dyDescent="0.25">
      <c r="AA7818" s="160"/>
      <c r="AB7818" s="162"/>
      <c r="AC7818" s="162"/>
      <c r="AD7818" s="162">
        <f t="shared" si="142"/>
        <v>0</v>
      </c>
      <c r="AE7818" s="160">
        <v>7816</v>
      </c>
    </row>
    <row r="7819" spans="27:31" x14ac:dyDescent="0.25">
      <c r="AA7819" s="160"/>
      <c r="AB7819" s="162"/>
      <c r="AC7819" s="162"/>
      <c r="AD7819" s="162">
        <f t="shared" si="142"/>
        <v>0</v>
      </c>
      <c r="AE7819" s="160">
        <v>7817</v>
      </c>
    </row>
    <row r="7820" spans="27:31" x14ac:dyDescent="0.25">
      <c r="AA7820" s="160"/>
      <c r="AB7820" s="162"/>
      <c r="AC7820" s="162"/>
      <c r="AD7820" s="162">
        <f t="shared" si="142"/>
        <v>0</v>
      </c>
      <c r="AE7820" s="160">
        <v>7818</v>
      </c>
    </row>
    <row r="7821" spans="27:31" x14ac:dyDescent="0.25">
      <c r="AA7821" s="160"/>
      <c r="AB7821" s="162"/>
      <c r="AC7821" s="162"/>
      <c r="AD7821" s="162">
        <f t="shared" si="142"/>
        <v>0</v>
      </c>
      <c r="AE7821" s="160">
        <v>7819</v>
      </c>
    </row>
    <row r="7822" spans="27:31" x14ac:dyDescent="0.25">
      <c r="AA7822" s="160"/>
      <c r="AB7822" s="162"/>
      <c r="AC7822" s="162"/>
      <c r="AD7822" s="162">
        <f t="shared" si="142"/>
        <v>0</v>
      </c>
      <c r="AE7822" s="160">
        <v>7820</v>
      </c>
    </row>
    <row r="7823" spans="27:31" x14ac:dyDescent="0.25">
      <c r="AA7823" s="160"/>
      <c r="AB7823" s="162"/>
      <c r="AC7823" s="162"/>
      <c r="AD7823" s="162">
        <f t="shared" si="142"/>
        <v>0</v>
      </c>
      <c r="AE7823" s="160">
        <v>7821</v>
      </c>
    </row>
    <row r="7824" spans="27:31" x14ac:dyDescent="0.25">
      <c r="AA7824" s="160"/>
      <c r="AB7824" s="162"/>
      <c r="AC7824" s="162"/>
      <c r="AD7824" s="162">
        <f t="shared" si="142"/>
        <v>0</v>
      </c>
      <c r="AE7824" s="160">
        <v>7822</v>
      </c>
    </row>
    <row r="7825" spans="27:31" x14ac:dyDescent="0.25">
      <c r="AA7825" s="160"/>
      <c r="AB7825" s="162"/>
      <c r="AC7825" s="162"/>
      <c r="AD7825" s="162">
        <f t="shared" si="142"/>
        <v>0</v>
      </c>
      <c r="AE7825" s="160">
        <v>7823</v>
      </c>
    </row>
    <row r="7826" spans="27:31" x14ac:dyDescent="0.25">
      <c r="AA7826" s="160"/>
      <c r="AB7826" s="162"/>
      <c r="AC7826" s="162"/>
      <c r="AD7826" s="162">
        <f t="shared" si="142"/>
        <v>0</v>
      </c>
      <c r="AE7826" s="160">
        <v>7824</v>
      </c>
    </row>
    <row r="7827" spans="27:31" x14ac:dyDescent="0.25">
      <c r="AA7827" s="160"/>
      <c r="AB7827" s="162"/>
      <c r="AC7827" s="162"/>
      <c r="AD7827" s="162">
        <f t="shared" si="142"/>
        <v>0</v>
      </c>
      <c r="AE7827" s="160">
        <v>7825</v>
      </c>
    </row>
    <row r="7828" spans="27:31" x14ac:dyDescent="0.25">
      <c r="AA7828" s="160"/>
      <c r="AB7828" s="162"/>
      <c r="AC7828" s="162"/>
      <c r="AD7828" s="162">
        <f t="shared" si="142"/>
        <v>0</v>
      </c>
      <c r="AE7828" s="160">
        <v>7826</v>
      </c>
    </row>
    <row r="7829" spans="27:31" x14ac:dyDescent="0.25">
      <c r="AA7829" s="160"/>
      <c r="AB7829" s="162"/>
      <c r="AC7829" s="162"/>
      <c r="AD7829" s="162">
        <f t="shared" si="142"/>
        <v>0</v>
      </c>
      <c r="AE7829" s="160">
        <v>7827</v>
      </c>
    </row>
    <row r="7830" spans="27:31" x14ac:dyDescent="0.25">
      <c r="AA7830" s="160"/>
      <c r="AB7830" s="162"/>
      <c r="AC7830" s="162"/>
      <c r="AD7830" s="162">
        <f t="shared" si="142"/>
        <v>0</v>
      </c>
      <c r="AE7830" s="160">
        <v>7828</v>
      </c>
    </row>
    <row r="7831" spans="27:31" x14ac:dyDescent="0.25">
      <c r="AA7831" s="160"/>
      <c r="AB7831" s="162"/>
      <c r="AC7831" s="162"/>
      <c r="AD7831" s="162">
        <f t="shared" si="142"/>
        <v>0</v>
      </c>
      <c r="AE7831" s="160">
        <v>7829</v>
      </c>
    </row>
    <row r="7832" spans="27:31" x14ac:dyDescent="0.25">
      <c r="AA7832" s="160"/>
      <c r="AB7832" s="162"/>
      <c r="AC7832" s="162"/>
      <c r="AD7832" s="162">
        <f t="shared" si="142"/>
        <v>0</v>
      </c>
      <c r="AE7832" s="160">
        <v>7830</v>
      </c>
    </row>
    <row r="7833" spans="27:31" x14ac:dyDescent="0.25">
      <c r="AA7833" s="160"/>
      <c r="AB7833" s="162"/>
      <c r="AC7833" s="162"/>
      <c r="AD7833" s="162">
        <f t="shared" si="142"/>
        <v>0</v>
      </c>
      <c r="AE7833" s="160">
        <v>7831</v>
      </c>
    </row>
    <row r="7834" spans="27:31" x14ac:dyDescent="0.25">
      <c r="AA7834" s="160"/>
      <c r="AB7834" s="162"/>
      <c r="AC7834" s="162"/>
      <c r="AD7834" s="162">
        <f t="shared" si="142"/>
        <v>0</v>
      </c>
      <c r="AE7834" s="160">
        <v>7832</v>
      </c>
    </row>
    <row r="7835" spans="27:31" x14ac:dyDescent="0.25">
      <c r="AA7835" s="160"/>
      <c r="AB7835" s="162"/>
      <c r="AC7835" s="162"/>
      <c r="AD7835" s="162">
        <f t="shared" si="142"/>
        <v>0</v>
      </c>
      <c r="AE7835" s="160">
        <v>7833</v>
      </c>
    </row>
    <row r="7836" spans="27:31" x14ac:dyDescent="0.25">
      <c r="AA7836" s="160"/>
      <c r="AB7836" s="162"/>
      <c r="AC7836" s="162"/>
      <c r="AD7836" s="162">
        <f t="shared" si="142"/>
        <v>0</v>
      </c>
      <c r="AE7836" s="160">
        <v>7834</v>
      </c>
    </row>
    <row r="7837" spans="27:31" x14ac:dyDescent="0.25">
      <c r="AA7837" s="160"/>
      <c r="AB7837" s="162"/>
      <c r="AC7837" s="162"/>
      <c r="AD7837" s="162">
        <f t="shared" si="142"/>
        <v>0</v>
      </c>
      <c r="AE7837" s="160">
        <v>7835</v>
      </c>
    </row>
    <row r="7838" spans="27:31" x14ac:dyDescent="0.25">
      <c r="AA7838" s="160"/>
      <c r="AB7838" s="162"/>
      <c r="AC7838" s="162"/>
      <c r="AD7838" s="162">
        <f t="shared" si="142"/>
        <v>0</v>
      </c>
      <c r="AE7838" s="160">
        <v>7836</v>
      </c>
    </row>
    <row r="7839" spans="27:31" x14ac:dyDescent="0.25">
      <c r="AA7839" s="160"/>
      <c r="AB7839" s="162"/>
      <c r="AC7839" s="162"/>
      <c r="AD7839" s="162">
        <f t="shared" si="142"/>
        <v>0</v>
      </c>
      <c r="AE7839" s="160">
        <v>7837</v>
      </c>
    </row>
    <row r="7840" spans="27:31" x14ac:dyDescent="0.25">
      <c r="AA7840" s="160"/>
      <c r="AB7840" s="162"/>
      <c r="AC7840" s="162"/>
      <c r="AD7840" s="162">
        <f t="shared" si="142"/>
        <v>0</v>
      </c>
      <c r="AE7840" s="160">
        <v>7838</v>
      </c>
    </row>
    <row r="7841" spans="27:31" x14ac:dyDescent="0.25">
      <c r="AA7841" s="160"/>
      <c r="AB7841" s="162"/>
      <c r="AC7841" s="162"/>
      <c r="AD7841" s="162">
        <f t="shared" si="142"/>
        <v>0</v>
      </c>
      <c r="AE7841" s="160">
        <v>7839</v>
      </c>
    </row>
    <row r="7842" spans="27:31" x14ac:dyDescent="0.25">
      <c r="AA7842" s="160"/>
      <c r="AB7842" s="162"/>
      <c r="AC7842" s="162"/>
      <c r="AD7842" s="162">
        <f t="shared" si="142"/>
        <v>0</v>
      </c>
      <c r="AE7842" s="160">
        <v>7840</v>
      </c>
    </row>
    <row r="7843" spans="27:31" x14ac:dyDescent="0.25">
      <c r="AA7843" s="160"/>
      <c r="AB7843" s="162"/>
      <c r="AC7843" s="162"/>
      <c r="AD7843" s="162">
        <f t="shared" si="142"/>
        <v>0</v>
      </c>
      <c r="AE7843" s="160">
        <v>7841</v>
      </c>
    </row>
    <row r="7844" spans="27:31" x14ac:dyDescent="0.25">
      <c r="AA7844" s="160"/>
      <c r="AB7844" s="162"/>
      <c r="AC7844" s="162"/>
      <c r="AD7844" s="162">
        <f t="shared" si="142"/>
        <v>0</v>
      </c>
      <c r="AE7844" s="160">
        <v>7842</v>
      </c>
    </row>
    <row r="7845" spans="27:31" x14ac:dyDescent="0.25">
      <c r="AA7845" s="160"/>
      <c r="AB7845" s="162"/>
      <c r="AC7845" s="162"/>
      <c r="AD7845" s="162">
        <f t="shared" si="142"/>
        <v>0</v>
      </c>
      <c r="AE7845" s="160">
        <v>7843</v>
      </c>
    </row>
    <row r="7846" spans="27:31" x14ac:dyDescent="0.25">
      <c r="AA7846" s="160"/>
      <c r="AB7846" s="162"/>
      <c r="AC7846" s="162"/>
      <c r="AD7846" s="162">
        <f t="shared" si="142"/>
        <v>0</v>
      </c>
      <c r="AE7846" s="160">
        <v>7844</v>
      </c>
    </row>
    <row r="7847" spans="27:31" x14ac:dyDescent="0.25">
      <c r="AA7847" s="160"/>
      <c r="AB7847" s="162"/>
      <c r="AC7847" s="162"/>
      <c r="AD7847" s="162">
        <f t="shared" si="142"/>
        <v>0</v>
      </c>
      <c r="AE7847" s="160">
        <v>7845</v>
      </c>
    </row>
    <row r="7848" spans="27:31" x14ac:dyDescent="0.25">
      <c r="AA7848" s="160"/>
      <c r="AB7848" s="162"/>
      <c r="AC7848" s="162"/>
      <c r="AD7848" s="162">
        <f t="shared" si="142"/>
        <v>0</v>
      </c>
      <c r="AE7848" s="160">
        <v>7846</v>
      </c>
    </row>
    <row r="7849" spans="27:31" x14ac:dyDescent="0.25">
      <c r="AA7849" s="160"/>
      <c r="AB7849" s="162"/>
      <c r="AC7849" s="162"/>
      <c r="AD7849" s="162">
        <f t="shared" si="142"/>
        <v>0</v>
      </c>
      <c r="AE7849" s="160">
        <v>7847</v>
      </c>
    </row>
    <row r="7850" spans="27:31" x14ac:dyDescent="0.25">
      <c r="AA7850" s="160"/>
      <c r="AB7850" s="162"/>
      <c r="AC7850" s="162"/>
      <c r="AD7850" s="162">
        <f t="shared" si="142"/>
        <v>0</v>
      </c>
      <c r="AE7850" s="160">
        <v>7848</v>
      </c>
    </row>
    <row r="7851" spans="27:31" x14ac:dyDescent="0.25">
      <c r="AA7851" s="160"/>
      <c r="AB7851" s="162"/>
      <c r="AC7851" s="162"/>
      <c r="AD7851" s="162">
        <f t="shared" si="142"/>
        <v>0</v>
      </c>
      <c r="AE7851" s="160">
        <v>7849</v>
      </c>
    </row>
    <row r="7852" spans="27:31" x14ac:dyDescent="0.25">
      <c r="AA7852" s="160"/>
      <c r="AB7852" s="162"/>
      <c r="AC7852" s="162"/>
      <c r="AD7852" s="162">
        <f t="shared" si="142"/>
        <v>0</v>
      </c>
      <c r="AE7852" s="160">
        <v>7850</v>
      </c>
    </row>
    <row r="7853" spans="27:31" x14ac:dyDescent="0.25">
      <c r="AA7853" s="160"/>
      <c r="AB7853" s="162"/>
      <c r="AC7853" s="162"/>
      <c r="AD7853" s="162">
        <f t="shared" si="142"/>
        <v>0</v>
      </c>
      <c r="AE7853" s="160">
        <v>7851</v>
      </c>
    </row>
    <row r="7854" spans="27:31" x14ac:dyDescent="0.25">
      <c r="AA7854" s="160"/>
      <c r="AB7854" s="162"/>
      <c r="AC7854" s="162"/>
      <c r="AD7854" s="162">
        <f t="shared" si="142"/>
        <v>0</v>
      </c>
      <c r="AE7854" s="160">
        <v>7852</v>
      </c>
    </row>
    <row r="7855" spans="27:31" x14ac:dyDescent="0.25">
      <c r="AA7855" s="160"/>
      <c r="AB7855" s="162"/>
      <c r="AC7855" s="162"/>
      <c r="AD7855" s="162">
        <f t="shared" si="142"/>
        <v>0</v>
      </c>
      <c r="AE7855" s="160">
        <v>7853</v>
      </c>
    </row>
    <row r="7856" spans="27:31" x14ac:dyDescent="0.25">
      <c r="AA7856" s="160"/>
      <c r="AB7856" s="162"/>
      <c r="AC7856" s="162"/>
      <c r="AD7856" s="162">
        <f t="shared" si="142"/>
        <v>0</v>
      </c>
      <c r="AE7856" s="160">
        <v>7854</v>
      </c>
    </row>
    <row r="7857" spans="27:31" x14ac:dyDescent="0.25">
      <c r="AA7857" s="160"/>
      <c r="AB7857" s="162"/>
      <c r="AC7857" s="162"/>
      <c r="AD7857" s="162">
        <f t="shared" si="142"/>
        <v>0</v>
      </c>
      <c r="AE7857" s="160">
        <v>7855</v>
      </c>
    </row>
    <row r="7858" spans="27:31" x14ac:dyDescent="0.25">
      <c r="AA7858" s="160"/>
      <c r="AB7858" s="162"/>
      <c r="AC7858" s="162"/>
      <c r="AD7858" s="162">
        <f t="shared" si="142"/>
        <v>0</v>
      </c>
      <c r="AE7858" s="160">
        <v>7856</v>
      </c>
    </row>
    <row r="7859" spans="27:31" x14ac:dyDescent="0.25">
      <c r="AA7859" s="160"/>
      <c r="AB7859" s="162"/>
      <c r="AC7859" s="162"/>
      <c r="AD7859" s="162">
        <f t="shared" si="142"/>
        <v>0</v>
      </c>
      <c r="AE7859" s="160">
        <v>7857</v>
      </c>
    </row>
    <row r="7860" spans="27:31" x14ac:dyDescent="0.25">
      <c r="AA7860" s="160"/>
      <c r="AB7860" s="162"/>
      <c r="AC7860" s="162"/>
      <c r="AD7860" s="162">
        <f t="shared" si="142"/>
        <v>0</v>
      </c>
      <c r="AE7860" s="160">
        <v>7858</v>
      </c>
    </row>
    <row r="7861" spans="27:31" x14ac:dyDescent="0.25">
      <c r="AA7861" s="160"/>
      <c r="AB7861" s="162"/>
      <c r="AC7861" s="162"/>
      <c r="AD7861" s="162">
        <f t="shared" si="142"/>
        <v>0</v>
      </c>
      <c r="AE7861" s="160">
        <v>7859</v>
      </c>
    </row>
    <row r="7862" spans="27:31" x14ac:dyDescent="0.25">
      <c r="AA7862" s="160"/>
      <c r="AB7862" s="162"/>
      <c r="AC7862" s="162"/>
      <c r="AD7862" s="162">
        <f t="shared" si="142"/>
        <v>0</v>
      </c>
      <c r="AE7862" s="160">
        <v>7860</v>
      </c>
    </row>
    <row r="7863" spans="27:31" x14ac:dyDescent="0.25">
      <c r="AA7863" s="160"/>
      <c r="AB7863" s="162"/>
      <c r="AC7863" s="162"/>
      <c r="AD7863" s="162">
        <f t="shared" si="142"/>
        <v>0</v>
      </c>
      <c r="AE7863" s="160">
        <v>7861</v>
      </c>
    </row>
    <row r="7864" spans="27:31" x14ac:dyDescent="0.25">
      <c r="AA7864" s="160"/>
      <c r="AB7864" s="162"/>
      <c r="AC7864" s="162"/>
      <c r="AD7864" s="162">
        <f t="shared" si="142"/>
        <v>0</v>
      </c>
      <c r="AE7864" s="160">
        <v>7862</v>
      </c>
    </row>
    <row r="7865" spans="27:31" x14ac:dyDescent="0.25">
      <c r="AA7865" s="160"/>
      <c r="AB7865" s="162"/>
      <c r="AC7865" s="162"/>
      <c r="AD7865" s="162">
        <f t="shared" si="142"/>
        <v>0</v>
      </c>
      <c r="AE7865" s="160">
        <v>7863</v>
      </c>
    </row>
    <row r="7866" spans="27:31" x14ac:dyDescent="0.25">
      <c r="AA7866" s="160"/>
      <c r="AB7866" s="162"/>
      <c r="AC7866" s="162"/>
      <c r="AD7866" s="162">
        <f t="shared" si="142"/>
        <v>0</v>
      </c>
      <c r="AE7866" s="160">
        <v>7864</v>
      </c>
    </row>
    <row r="7867" spans="27:31" x14ac:dyDescent="0.25">
      <c r="AA7867" s="160"/>
      <c r="AB7867" s="162"/>
      <c r="AC7867" s="162"/>
      <c r="AD7867" s="162">
        <f t="shared" si="142"/>
        <v>0</v>
      </c>
      <c r="AE7867" s="160">
        <v>7865</v>
      </c>
    </row>
    <row r="7868" spans="27:31" x14ac:dyDescent="0.25">
      <c r="AA7868" s="160"/>
      <c r="AB7868" s="162"/>
      <c r="AC7868" s="162"/>
      <c r="AD7868" s="162">
        <f t="shared" si="142"/>
        <v>0</v>
      </c>
      <c r="AE7868" s="160">
        <v>7866</v>
      </c>
    </row>
    <row r="7869" spans="27:31" x14ac:dyDescent="0.25">
      <c r="AA7869" s="160"/>
      <c r="AB7869" s="162"/>
      <c r="AC7869" s="162"/>
      <c r="AD7869" s="162">
        <f t="shared" si="142"/>
        <v>0</v>
      </c>
      <c r="AE7869" s="160">
        <v>7867</v>
      </c>
    </row>
    <row r="7870" spans="27:31" x14ac:dyDescent="0.25">
      <c r="AA7870" s="160"/>
      <c r="AB7870" s="162"/>
      <c r="AC7870" s="162"/>
      <c r="AD7870" s="162">
        <f t="shared" si="142"/>
        <v>0</v>
      </c>
      <c r="AE7870" s="160">
        <v>7868</v>
      </c>
    </row>
    <row r="7871" spans="27:31" x14ac:dyDescent="0.25">
      <c r="AA7871" s="160"/>
      <c r="AB7871" s="162"/>
      <c r="AC7871" s="162"/>
      <c r="AD7871" s="162">
        <f t="shared" si="142"/>
        <v>0</v>
      </c>
      <c r="AE7871" s="160">
        <v>7869</v>
      </c>
    </row>
    <row r="7872" spans="27:31" x14ac:dyDescent="0.25">
      <c r="AA7872" s="160"/>
      <c r="AB7872" s="162"/>
      <c r="AC7872" s="162"/>
      <c r="AD7872" s="162">
        <f t="shared" si="142"/>
        <v>0</v>
      </c>
      <c r="AE7872" s="160">
        <v>7870</v>
      </c>
    </row>
    <row r="7873" spans="27:31" x14ac:dyDescent="0.25">
      <c r="AA7873" s="160"/>
      <c r="AB7873" s="162"/>
      <c r="AC7873" s="162"/>
      <c r="AD7873" s="162">
        <f t="shared" si="142"/>
        <v>0</v>
      </c>
      <c r="AE7873" s="160">
        <v>7871</v>
      </c>
    </row>
    <row r="7874" spans="27:31" x14ac:dyDescent="0.25">
      <c r="AA7874" s="160"/>
      <c r="AB7874" s="162"/>
      <c r="AC7874" s="162"/>
      <c r="AD7874" s="162">
        <f t="shared" si="142"/>
        <v>0</v>
      </c>
      <c r="AE7874" s="160">
        <v>7872</v>
      </c>
    </row>
    <row r="7875" spans="27:31" x14ac:dyDescent="0.25">
      <c r="AA7875" s="160"/>
      <c r="AB7875" s="162"/>
      <c r="AC7875" s="162"/>
      <c r="AD7875" s="162">
        <f t="shared" si="142"/>
        <v>0</v>
      </c>
      <c r="AE7875" s="160">
        <v>7873</v>
      </c>
    </row>
    <row r="7876" spans="27:31" x14ac:dyDescent="0.25">
      <c r="AA7876" s="160"/>
      <c r="AB7876" s="162"/>
      <c r="AC7876" s="162"/>
      <c r="AD7876" s="162">
        <f t="shared" ref="AD7876:AD7939" si="143">AB7876+AC7876</f>
        <v>0</v>
      </c>
      <c r="AE7876" s="160">
        <v>7874</v>
      </c>
    </row>
    <row r="7877" spans="27:31" x14ac:dyDescent="0.25">
      <c r="AA7877" s="160"/>
      <c r="AB7877" s="162"/>
      <c r="AC7877" s="162"/>
      <c r="AD7877" s="162">
        <f t="shared" si="143"/>
        <v>0</v>
      </c>
      <c r="AE7877" s="160">
        <v>7875</v>
      </c>
    </row>
    <row r="7878" spans="27:31" x14ac:dyDescent="0.25">
      <c r="AA7878" s="160"/>
      <c r="AB7878" s="162"/>
      <c r="AC7878" s="162"/>
      <c r="AD7878" s="162">
        <f t="shared" si="143"/>
        <v>0</v>
      </c>
      <c r="AE7878" s="160">
        <v>7876</v>
      </c>
    </row>
    <row r="7879" spans="27:31" x14ac:dyDescent="0.25">
      <c r="AA7879" s="160"/>
      <c r="AB7879" s="162"/>
      <c r="AC7879" s="162"/>
      <c r="AD7879" s="162">
        <f t="shared" si="143"/>
        <v>0</v>
      </c>
      <c r="AE7879" s="160">
        <v>7877</v>
      </c>
    </row>
    <row r="7880" spans="27:31" x14ac:dyDescent="0.25">
      <c r="AA7880" s="160"/>
      <c r="AB7880" s="162"/>
      <c r="AC7880" s="162"/>
      <c r="AD7880" s="162">
        <f t="shared" si="143"/>
        <v>0</v>
      </c>
      <c r="AE7880" s="160">
        <v>7878</v>
      </c>
    </row>
    <row r="7881" spans="27:31" x14ac:dyDescent="0.25">
      <c r="AA7881" s="160"/>
      <c r="AB7881" s="162"/>
      <c r="AC7881" s="162"/>
      <c r="AD7881" s="162">
        <f t="shared" si="143"/>
        <v>0</v>
      </c>
      <c r="AE7881" s="160">
        <v>7879</v>
      </c>
    </row>
    <row r="7882" spans="27:31" x14ac:dyDescent="0.25">
      <c r="AA7882" s="160"/>
      <c r="AB7882" s="162"/>
      <c r="AC7882" s="162"/>
      <c r="AD7882" s="162">
        <f t="shared" si="143"/>
        <v>0</v>
      </c>
      <c r="AE7882" s="160">
        <v>7880</v>
      </c>
    </row>
    <row r="7883" spans="27:31" x14ac:dyDescent="0.25">
      <c r="AA7883" s="160"/>
      <c r="AB7883" s="162"/>
      <c r="AC7883" s="162"/>
      <c r="AD7883" s="162">
        <f t="shared" si="143"/>
        <v>0</v>
      </c>
      <c r="AE7883" s="160">
        <v>7881</v>
      </c>
    </row>
    <row r="7884" spans="27:31" x14ac:dyDescent="0.25">
      <c r="AA7884" s="160"/>
      <c r="AB7884" s="162"/>
      <c r="AC7884" s="162"/>
      <c r="AD7884" s="162">
        <f t="shared" si="143"/>
        <v>0</v>
      </c>
      <c r="AE7884" s="160">
        <v>7882</v>
      </c>
    </row>
    <row r="7885" spans="27:31" x14ac:dyDescent="0.25">
      <c r="AA7885" s="160"/>
      <c r="AB7885" s="162"/>
      <c r="AC7885" s="162"/>
      <c r="AD7885" s="162">
        <f t="shared" si="143"/>
        <v>0</v>
      </c>
      <c r="AE7885" s="160">
        <v>7883</v>
      </c>
    </row>
    <row r="7886" spans="27:31" x14ac:dyDescent="0.25">
      <c r="AA7886" s="160"/>
      <c r="AB7886" s="162"/>
      <c r="AC7886" s="162"/>
      <c r="AD7886" s="162">
        <f t="shared" si="143"/>
        <v>0</v>
      </c>
      <c r="AE7886" s="160">
        <v>7884</v>
      </c>
    </row>
    <row r="7887" spans="27:31" x14ac:dyDescent="0.25">
      <c r="AA7887" s="160"/>
      <c r="AB7887" s="162"/>
      <c r="AC7887" s="162"/>
      <c r="AD7887" s="162">
        <f t="shared" si="143"/>
        <v>0</v>
      </c>
      <c r="AE7887" s="160">
        <v>7885</v>
      </c>
    </row>
    <row r="7888" spans="27:31" x14ac:dyDescent="0.25">
      <c r="AA7888" s="160"/>
      <c r="AB7888" s="162"/>
      <c r="AC7888" s="162"/>
      <c r="AD7888" s="162">
        <f t="shared" si="143"/>
        <v>0</v>
      </c>
      <c r="AE7888" s="160">
        <v>7886</v>
      </c>
    </row>
    <row r="7889" spans="27:31" x14ac:dyDescent="0.25">
      <c r="AA7889" s="160"/>
      <c r="AB7889" s="162"/>
      <c r="AC7889" s="162"/>
      <c r="AD7889" s="162">
        <f t="shared" si="143"/>
        <v>0</v>
      </c>
      <c r="AE7889" s="160">
        <v>7887</v>
      </c>
    </row>
    <row r="7890" spans="27:31" x14ac:dyDescent="0.25">
      <c r="AA7890" s="160"/>
      <c r="AB7890" s="162"/>
      <c r="AC7890" s="162"/>
      <c r="AD7890" s="162">
        <f t="shared" si="143"/>
        <v>0</v>
      </c>
      <c r="AE7890" s="160">
        <v>7888</v>
      </c>
    </row>
    <row r="7891" spans="27:31" x14ac:dyDescent="0.25">
      <c r="AA7891" s="160"/>
      <c r="AB7891" s="162"/>
      <c r="AC7891" s="162"/>
      <c r="AD7891" s="162">
        <f t="shared" si="143"/>
        <v>0</v>
      </c>
      <c r="AE7891" s="160">
        <v>7889</v>
      </c>
    </row>
    <row r="7892" spans="27:31" x14ac:dyDescent="0.25">
      <c r="AA7892" s="160"/>
      <c r="AB7892" s="162"/>
      <c r="AC7892" s="162"/>
      <c r="AD7892" s="162">
        <f t="shared" si="143"/>
        <v>0</v>
      </c>
      <c r="AE7892" s="160">
        <v>7890</v>
      </c>
    </row>
    <row r="7893" spans="27:31" x14ac:dyDescent="0.25">
      <c r="AA7893" s="160"/>
      <c r="AB7893" s="162"/>
      <c r="AC7893" s="162"/>
      <c r="AD7893" s="162">
        <f t="shared" si="143"/>
        <v>0</v>
      </c>
      <c r="AE7893" s="160">
        <v>7891</v>
      </c>
    </row>
    <row r="7894" spans="27:31" x14ac:dyDescent="0.25">
      <c r="AA7894" s="160"/>
      <c r="AB7894" s="162"/>
      <c r="AC7894" s="162"/>
      <c r="AD7894" s="162">
        <f t="shared" si="143"/>
        <v>0</v>
      </c>
      <c r="AE7894" s="160">
        <v>7892</v>
      </c>
    </row>
    <row r="7895" spans="27:31" x14ac:dyDescent="0.25">
      <c r="AA7895" s="160"/>
      <c r="AB7895" s="162"/>
      <c r="AC7895" s="162"/>
      <c r="AD7895" s="162">
        <f t="shared" si="143"/>
        <v>0</v>
      </c>
      <c r="AE7895" s="160">
        <v>7893</v>
      </c>
    </row>
    <row r="7896" spans="27:31" x14ac:dyDescent="0.25">
      <c r="AA7896" s="160"/>
      <c r="AB7896" s="162"/>
      <c r="AC7896" s="162"/>
      <c r="AD7896" s="162">
        <f t="shared" si="143"/>
        <v>0</v>
      </c>
      <c r="AE7896" s="160">
        <v>7894</v>
      </c>
    </row>
    <row r="7897" spans="27:31" x14ac:dyDescent="0.25">
      <c r="AA7897" s="160"/>
      <c r="AB7897" s="162"/>
      <c r="AC7897" s="162"/>
      <c r="AD7897" s="162">
        <f t="shared" si="143"/>
        <v>0</v>
      </c>
      <c r="AE7897" s="160">
        <v>7895</v>
      </c>
    </row>
    <row r="7898" spans="27:31" x14ac:dyDescent="0.25">
      <c r="AA7898" s="160"/>
      <c r="AB7898" s="162"/>
      <c r="AC7898" s="162"/>
      <c r="AD7898" s="162">
        <f t="shared" si="143"/>
        <v>0</v>
      </c>
      <c r="AE7898" s="160">
        <v>7896</v>
      </c>
    </row>
    <row r="7899" spans="27:31" x14ac:dyDescent="0.25">
      <c r="AA7899" s="160"/>
      <c r="AB7899" s="162"/>
      <c r="AC7899" s="162"/>
      <c r="AD7899" s="162">
        <f t="shared" si="143"/>
        <v>0</v>
      </c>
      <c r="AE7899" s="160">
        <v>7897</v>
      </c>
    </row>
    <row r="7900" spans="27:31" x14ac:dyDescent="0.25">
      <c r="AA7900" s="160"/>
      <c r="AB7900" s="162"/>
      <c r="AC7900" s="162"/>
      <c r="AD7900" s="162">
        <f t="shared" si="143"/>
        <v>0</v>
      </c>
      <c r="AE7900" s="160">
        <v>7898</v>
      </c>
    </row>
    <row r="7901" spans="27:31" x14ac:dyDescent="0.25">
      <c r="AA7901" s="160"/>
      <c r="AB7901" s="162"/>
      <c r="AC7901" s="162"/>
      <c r="AD7901" s="162">
        <f t="shared" si="143"/>
        <v>0</v>
      </c>
      <c r="AE7901" s="160">
        <v>7899</v>
      </c>
    </row>
    <row r="7902" spans="27:31" x14ac:dyDescent="0.25">
      <c r="AA7902" s="160"/>
      <c r="AB7902" s="162"/>
      <c r="AC7902" s="162"/>
      <c r="AD7902" s="162">
        <f t="shared" si="143"/>
        <v>0</v>
      </c>
      <c r="AE7902" s="160">
        <v>7900</v>
      </c>
    </row>
    <row r="7903" spans="27:31" x14ac:dyDescent="0.25">
      <c r="AA7903" s="160"/>
      <c r="AB7903" s="162"/>
      <c r="AC7903" s="162"/>
      <c r="AD7903" s="162">
        <f t="shared" si="143"/>
        <v>0</v>
      </c>
      <c r="AE7903" s="160">
        <v>7901</v>
      </c>
    </row>
    <row r="7904" spans="27:31" x14ac:dyDescent="0.25">
      <c r="AA7904" s="160"/>
      <c r="AB7904" s="162"/>
      <c r="AC7904" s="162"/>
      <c r="AD7904" s="162">
        <f t="shared" si="143"/>
        <v>0</v>
      </c>
      <c r="AE7904" s="160">
        <v>7902</v>
      </c>
    </row>
    <row r="7905" spans="27:31" x14ac:dyDescent="0.25">
      <c r="AA7905" s="160"/>
      <c r="AB7905" s="162"/>
      <c r="AC7905" s="162"/>
      <c r="AD7905" s="162">
        <f t="shared" si="143"/>
        <v>0</v>
      </c>
      <c r="AE7905" s="160">
        <v>7903</v>
      </c>
    </row>
    <row r="7906" spans="27:31" x14ac:dyDescent="0.25">
      <c r="AA7906" s="160"/>
      <c r="AB7906" s="162"/>
      <c r="AC7906" s="162"/>
      <c r="AD7906" s="162">
        <f t="shared" si="143"/>
        <v>0</v>
      </c>
      <c r="AE7906" s="160">
        <v>7904</v>
      </c>
    </row>
    <row r="7907" spans="27:31" x14ac:dyDescent="0.25">
      <c r="AA7907" s="160"/>
      <c r="AB7907" s="162"/>
      <c r="AC7907" s="162"/>
      <c r="AD7907" s="162">
        <f t="shared" si="143"/>
        <v>0</v>
      </c>
      <c r="AE7907" s="160">
        <v>7905</v>
      </c>
    </row>
    <row r="7908" spans="27:31" x14ac:dyDescent="0.25">
      <c r="AA7908" s="160"/>
      <c r="AB7908" s="162"/>
      <c r="AC7908" s="162"/>
      <c r="AD7908" s="162">
        <f t="shared" si="143"/>
        <v>0</v>
      </c>
      <c r="AE7908" s="160">
        <v>7906</v>
      </c>
    </row>
    <row r="7909" spans="27:31" x14ac:dyDescent="0.25">
      <c r="AA7909" s="160"/>
      <c r="AB7909" s="162"/>
      <c r="AC7909" s="162"/>
      <c r="AD7909" s="162">
        <f t="shared" si="143"/>
        <v>0</v>
      </c>
      <c r="AE7909" s="160">
        <v>7907</v>
      </c>
    </row>
    <row r="7910" spans="27:31" x14ac:dyDescent="0.25">
      <c r="AA7910" s="160"/>
      <c r="AB7910" s="162"/>
      <c r="AC7910" s="162"/>
      <c r="AD7910" s="162">
        <f t="shared" si="143"/>
        <v>0</v>
      </c>
      <c r="AE7910" s="160">
        <v>7908</v>
      </c>
    </row>
    <row r="7911" spans="27:31" x14ac:dyDescent="0.25">
      <c r="AA7911" s="160"/>
      <c r="AB7911" s="162"/>
      <c r="AC7911" s="162"/>
      <c r="AD7911" s="162">
        <f t="shared" si="143"/>
        <v>0</v>
      </c>
      <c r="AE7911" s="160">
        <v>7909</v>
      </c>
    </row>
    <row r="7912" spans="27:31" x14ac:dyDescent="0.25">
      <c r="AA7912" s="160"/>
      <c r="AB7912" s="162"/>
      <c r="AC7912" s="162"/>
      <c r="AD7912" s="162">
        <f t="shared" si="143"/>
        <v>0</v>
      </c>
      <c r="AE7912" s="160">
        <v>7910</v>
      </c>
    </row>
    <row r="7913" spans="27:31" x14ac:dyDescent="0.25">
      <c r="AA7913" s="160"/>
      <c r="AB7913" s="162"/>
      <c r="AC7913" s="162"/>
      <c r="AD7913" s="162">
        <f t="shared" si="143"/>
        <v>0</v>
      </c>
      <c r="AE7913" s="160">
        <v>7911</v>
      </c>
    </row>
    <row r="7914" spans="27:31" x14ac:dyDescent="0.25">
      <c r="AA7914" s="160"/>
      <c r="AB7914" s="162"/>
      <c r="AC7914" s="162"/>
      <c r="AD7914" s="162">
        <f t="shared" si="143"/>
        <v>0</v>
      </c>
      <c r="AE7914" s="160">
        <v>7912</v>
      </c>
    </row>
    <row r="7915" spans="27:31" x14ac:dyDescent="0.25">
      <c r="AA7915" s="160"/>
      <c r="AB7915" s="162"/>
      <c r="AC7915" s="162"/>
      <c r="AD7915" s="162">
        <f t="shared" si="143"/>
        <v>0</v>
      </c>
      <c r="AE7915" s="160">
        <v>7913</v>
      </c>
    </row>
    <row r="7916" spans="27:31" x14ac:dyDescent="0.25">
      <c r="AA7916" s="160"/>
      <c r="AB7916" s="162"/>
      <c r="AC7916" s="162"/>
      <c r="AD7916" s="162">
        <f t="shared" si="143"/>
        <v>0</v>
      </c>
      <c r="AE7916" s="160">
        <v>7914</v>
      </c>
    </row>
    <row r="7917" spans="27:31" x14ac:dyDescent="0.25">
      <c r="AA7917" s="160"/>
      <c r="AB7917" s="162"/>
      <c r="AC7917" s="162"/>
      <c r="AD7917" s="162">
        <f t="shared" si="143"/>
        <v>0</v>
      </c>
      <c r="AE7917" s="160">
        <v>7915</v>
      </c>
    </row>
    <row r="7918" spans="27:31" x14ac:dyDescent="0.25">
      <c r="AA7918" s="160"/>
      <c r="AB7918" s="162"/>
      <c r="AC7918" s="162"/>
      <c r="AD7918" s="162">
        <f t="shared" si="143"/>
        <v>0</v>
      </c>
      <c r="AE7918" s="160">
        <v>7916</v>
      </c>
    </row>
    <row r="7919" spans="27:31" x14ac:dyDescent="0.25">
      <c r="AA7919" s="160"/>
      <c r="AB7919" s="162"/>
      <c r="AC7919" s="162"/>
      <c r="AD7919" s="162">
        <f t="shared" si="143"/>
        <v>0</v>
      </c>
      <c r="AE7919" s="160">
        <v>7917</v>
      </c>
    </row>
    <row r="7920" spans="27:31" x14ac:dyDescent="0.25">
      <c r="AA7920" s="160"/>
      <c r="AB7920" s="162"/>
      <c r="AC7920" s="162"/>
      <c r="AD7920" s="162">
        <f t="shared" si="143"/>
        <v>0</v>
      </c>
      <c r="AE7920" s="160">
        <v>7918</v>
      </c>
    </row>
    <row r="7921" spans="27:31" x14ac:dyDescent="0.25">
      <c r="AA7921" s="160"/>
      <c r="AB7921" s="162"/>
      <c r="AC7921" s="162"/>
      <c r="AD7921" s="162">
        <f t="shared" si="143"/>
        <v>0</v>
      </c>
      <c r="AE7921" s="160">
        <v>7919</v>
      </c>
    </row>
    <row r="7922" spans="27:31" x14ac:dyDescent="0.25">
      <c r="AA7922" s="160"/>
      <c r="AB7922" s="162"/>
      <c r="AC7922" s="162"/>
      <c r="AD7922" s="162">
        <f t="shared" si="143"/>
        <v>0</v>
      </c>
      <c r="AE7922" s="160">
        <v>7920</v>
      </c>
    </row>
    <row r="7923" spans="27:31" x14ac:dyDescent="0.25">
      <c r="AA7923" s="160"/>
      <c r="AB7923" s="162"/>
      <c r="AC7923" s="162"/>
      <c r="AD7923" s="162">
        <f t="shared" si="143"/>
        <v>0</v>
      </c>
      <c r="AE7923" s="160">
        <v>7921</v>
      </c>
    </row>
    <row r="7924" spans="27:31" x14ac:dyDescent="0.25">
      <c r="AA7924" s="160"/>
      <c r="AB7924" s="162"/>
      <c r="AC7924" s="162"/>
      <c r="AD7924" s="162">
        <f t="shared" si="143"/>
        <v>0</v>
      </c>
      <c r="AE7924" s="160">
        <v>7922</v>
      </c>
    </row>
    <row r="7925" spans="27:31" x14ac:dyDescent="0.25">
      <c r="AA7925" s="160"/>
      <c r="AB7925" s="162"/>
      <c r="AC7925" s="162"/>
      <c r="AD7925" s="162">
        <f t="shared" si="143"/>
        <v>0</v>
      </c>
      <c r="AE7925" s="160">
        <v>7923</v>
      </c>
    </row>
    <row r="7926" spans="27:31" x14ac:dyDescent="0.25">
      <c r="AA7926" s="160"/>
      <c r="AB7926" s="162"/>
      <c r="AC7926" s="162"/>
      <c r="AD7926" s="162">
        <f t="shared" si="143"/>
        <v>0</v>
      </c>
      <c r="AE7926" s="160">
        <v>7924</v>
      </c>
    </row>
    <row r="7927" spans="27:31" x14ac:dyDescent="0.25">
      <c r="AA7927" s="160"/>
      <c r="AB7927" s="162"/>
      <c r="AC7927" s="162"/>
      <c r="AD7927" s="162">
        <f t="shared" si="143"/>
        <v>0</v>
      </c>
      <c r="AE7927" s="160">
        <v>7925</v>
      </c>
    </row>
    <row r="7928" spans="27:31" x14ac:dyDescent="0.25">
      <c r="AA7928" s="160"/>
      <c r="AB7928" s="162"/>
      <c r="AC7928" s="162"/>
      <c r="AD7928" s="162">
        <f t="shared" si="143"/>
        <v>0</v>
      </c>
      <c r="AE7928" s="160">
        <v>7926</v>
      </c>
    </row>
    <row r="7929" spans="27:31" x14ac:dyDescent="0.25">
      <c r="AA7929" s="160"/>
      <c r="AB7929" s="162"/>
      <c r="AC7929" s="162"/>
      <c r="AD7929" s="162">
        <f t="shared" si="143"/>
        <v>0</v>
      </c>
      <c r="AE7929" s="160">
        <v>7927</v>
      </c>
    </row>
    <row r="7930" spans="27:31" x14ac:dyDescent="0.25">
      <c r="AA7930" s="160"/>
      <c r="AB7930" s="162"/>
      <c r="AC7930" s="162"/>
      <c r="AD7930" s="162">
        <f t="shared" si="143"/>
        <v>0</v>
      </c>
      <c r="AE7930" s="160">
        <v>7928</v>
      </c>
    </row>
    <row r="7931" spans="27:31" x14ac:dyDescent="0.25">
      <c r="AA7931" s="160"/>
      <c r="AB7931" s="162"/>
      <c r="AC7931" s="162"/>
      <c r="AD7931" s="162">
        <f t="shared" si="143"/>
        <v>0</v>
      </c>
      <c r="AE7931" s="160">
        <v>7929</v>
      </c>
    </row>
    <row r="7932" spans="27:31" x14ac:dyDescent="0.25">
      <c r="AA7932" s="160"/>
      <c r="AB7932" s="162"/>
      <c r="AC7932" s="162"/>
      <c r="AD7932" s="162">
        <f t="shared" si="143"/>
        <v>0</v>
      </c>
      <c r="AE7932" s="160">
        <v>7930</v>
      </c>
    </row>
    <row r="7933" spans="27:31" x14ac:dyDescent="0.25">
      <c r="AA7933" s="160"/>
      <c r="AB7933" s="162"/>
      <c r="AC7933" s="162"/>
      <c r="AD7933" s="162">
        <f t="shared" si="143"/>
        <v>0</v>
      </c>
      <c r="AE7933" s="160">
        <v>7931</v>
      </c>
    </row>
    <row r="7934" spans="27:31" x14ac:dyDescent="0.25">
      <c r="AA7934" s="160"/>
      <c r="AB7934" s="162"/>
      <c r="AC7934" s="162"/>
      <c r="AD7934" s="162">
        <f t="shared" si="143"/>
        <v>0</v>
      </c>
      <c r="AE7934" s="160">
        <v>7932</v>
      </c>
    </row>
    <row r="7935" spans="27:31" x14ac:dyDescent="0.25">
      <c r="AA7935" s="160"/>
      <c r="AB7935" s="162"/>
      <c r="AC7935" s="162"/>
      <c r="AD7935" s="162">
        <f t="shared" si="143"/>
        <v>0</v>
      </c>
      <c r="AE7935" s="160">
        <v>7933</v>
      </c>
    </row>
    <row r="7936" spans="27:31" x14ac:dyDescent="0.25">
      <c r="AA7936" s="160"/>
      <c r="AB7936" s="162"/>
      <c r="AC7936" s="162"/>
      <c r="AD7936" s="162">
        <f t="shared" si="143"/>
        <v>0</v>
      </c>
      <c r="AE7936" s="160">
        <v>7934</v>
      </c>
    </row>
    <row r="7937" spans="27:31" x14ac:dyDescent="0.25">
      <c r="AA7937" s="160"/>
      <c r="AB7937" s="162"/>
      <c r="AC7937" s="162"/>
      <c r="AD7937" s="162">
        <f t="shared" si="143"/>
        <v>0</v>
      </c>
      <c r="AE7937" s="160">
        <v>7935</v>
      </c>
    </row>
    <row r="7938" spans="27:31" x14ac:dyDescent="0.25">
      <c r="AA7938" s="160"/>
      <c r="AB7938" s="162"/>
      <c r="AC7938" s="162"/>
      <c r="AD7938" s="162">
        <f t="shared" si="143"/>
        <v>0</v>
      </c>
      <c r="AE7938" s="160">
        <v>7936</v>
      </c>
    </row>
    <row r="7939" spans="27:31" x14ac:dyDescent="0.25">
      <c r="AA7939" s="160"/>
      <c r="AB7939" s="162"/>
      <c r="AC7939" s="162"/>
      <c r="AD7939" s="162">
        <f t="shared" si="143"/>
        <v>0</v>
      </c>
      <c r="AE7939" s="160">
        <v>7937</v>
      </c>
    </row>
    <row r="7940" spans="27:31" x14ac:dyDescent="0.25">
      <c r="AA7940" s="160"/>
      <c r="AB7940" s="162"/>
      <c r="AC7940" s="162"/>
      <c r="AD7940" s="162">
        <f t="shared" ref="AD7940:AD8003" si="144">AB7940+AC7940</f>
        <v>0</v>
      </c>
      <c r="AE7940" s="160">
        <v>7938</v>
      </c>
    </row>
    <row r="7941" spans="27:31" x14ac:dyDescent="0.25">
      <c r="AA7941" s="160"/>
      <c r="AB7941" s="162"/>
      <c r="AC7941" s="162"/>
      <c r="AD7941" s="162">
        <f t="shared" si="144"/>
        <v>0</v>
      </c>
      <c r="AE7941" s="160">
        <v>7939</v>
      </c>
    </row>
    <row r="7942" spans="27:31" x14ac:dyDescent="0.25">
      <c r="AA7942" s="160"/>
      <c r="AB7942" s="162"/>
      <c r="AC7942" s="162"/>
      <c r="AD7942" s="162">
        <f t="shared" si="144"/>
        <v>0</v>
      </c>
      <c r="AE7942" s="160">
        <v>7940</v>
      </c>
    </row>
    <row r="7943" spans="27:31" x14ac:dyDescent="0.25">
      <c r="AA7943" s="160"/>
      <c r="AB7943" s="162"/>
      <c r="AC7943" s="162"/>
      <c r="AD7943" s="162">
        <f t="shared" si="144"/>
        <v>0</v>
      </c>
      <c r="AE7943" s="160">
        <v>7941</v>
      </c>
    </row>
    <row r="7944" spans="27:31" x14ac:dyDescent="0.25">
      <c r="AA7944" s="160"/>
      <c r="AB7944" s="162"/>
      <c r="AC7944" s="162"/>
      <c r="AD7944" s="162">
        <f t="shared" si="144"/>
        <v>0</v>
      </c>
      <c r="AE7944" s="160">
        <v>7942</v>
      </c>
    </row>
    <row r="7945" spans="27:31" x14ac:dyDescent="0.25">
      <c r="AA7945" s="160"/>
      <c r="AB7945" s="162"/>
      <c r="AC7945" s="162"/>
      <c r="AD7945" s="162">
        <f t="shared" si="144"/>
        <v>0</v>
      </c>
      <c r="AE7945" s="160">
        <v>7943</v>
      </c>
    </row>
    <row r="7946" spans="27:31" x14ac:dyDescent="0.25">
      <c r="AA7946" s="160"/>
      <c r="AB7946" s="162"/>
      <c r="AC7946" s="162"/>
      <c r="AD7946" s="162">
        <f t="shared" si="144"/>
        <v>0</v>
      </c>
      <c r="AE7946" s="160">
        <v>7944</v>
      </c>
    </row>
    <row r="7947" spans="27:31" x14ac:dyDescent="0.25">
      <c r="AA7947" s="160"/>
      <c r="AB7947" s="162"/>
      <c r="AC7947" s="162"/>
      <c r="AD7947" s="162">
        <f t="shared" si="144"/>
        <v>0</v>
      </c>
      <c r="AE7947" s="160">
        <v>7945</v>
      </c>
    </row>
    <row r="7948" spans="27:31" x14ac:dyDescent="0.25">
      <c r="AA7948" s="160"/>
      <c r="AB7948" s="162"/>
      <c r="AC7948" s="162"/>
      <c r="AD7948" s="162">
        <f t="shared" si="144"/>
        <v>0</v>
      </c>
      <c r="AE7948" s="160">
        <v>7946</v>
      </c>
    </row>
    <row r="7949" spans="27:31" x14ac:dyDescent="0.25">
      <c r="AA7949" s="160"/>
      <c r="AB7949" s="162"/>
      <c r="AC7949" s="162"/>
      <c r="AD7949" s="162">
        <f t="shared" si="144"/>
        <v>0</v>
      </c>
      <c r="AE7949" s="160">
        <v>7947</v>
      </c>
    </row>
    <row r="7950" spans="27:31" x14ac:dyDescent="0.25">
      <c r="AA7950" s="160"/>
      <c r="AB7950" s="162"/>
      <c r="AC7950" s="162"/>
      <c r="AD7950" s="162">
        <f t="shared" si="144"/>
        <v>0</v>
      </c>
      <c r="AE7950" s="160">
        <v>7948</v>
      </c>
    </row>
    <row r="7951" spans="27:31" x14ac:dyDescent="0.25">
      <c r="AA7951" s="160"/>
      <c r="AB7951" s="162"/>
      <c r="AC7951" s="162"/>
      <c r="AD7951" s="162">
        <f t="shared" si="144"/>
        <v>0</v>
      </c>
      <c r="AE7951" s="160">
        <v>7949</v>
      </c>
    </row>
    <row r="7952" spans="27:31" x14ac:dyDescent="0.25">
      <c r="AA7952" s="160"/>
      <c r="AB7952" s="162"/>
      <c r="AC7952" s="162"/>
      <c r="AD7952" s="162">
        <f t="shared" si="144"/>
        <v>0</v>
      </c>
      <c r="AE7952" s="160">
        <v>7950</v>
      </c>
    </row>
    <row r="7953" spans="27:31" x14ac:dyDescent="0.25">
      <c r="AA7953" s="160"/>
      <c r="AB7953" s="162"/>
      <c r="AC7953" s="162"/>
      <c r="AD7953" s="162">
        <f t="shared" si="144"/>
        <v>0</v>
      </c>
      <c r="AE7953" s="160">
        <v>7951</v>
      </c>
    </row>
    <row r="7954" spans="27:31" x14ac:dyDescent="0.25">
      <c r="AA7954" s="160"/>
      <c r="AB7954" s="162"/>
      <c r="AC7954" s="162"/>
      <c r="AD7954" s="162">
        <f t="shared" si="144"/>
        <v>0</v>
      </c>
      <c r="AE7954" s="160">
        <v>7952</v>
      </c>
    </row>
    <row r="7955" spans="27:31" x14ac:dyDescent="0.25">
      <c r="AA7955" s="160"/>
      <c r="AB7955" s="162"/>
      <c r="AC7955" s="162"/>
      <c r="AD7955" s="162">
        <f t="shared" si="144"/>
        <v>0</v>
      </c>
      <c r="AE7955" s="160">
        <v>7953</v>
      </c>
    </row>
    <row r="7956" spans="27:31" x14ac:dyDescent="0.25">
      <c r="AA7956" s="160"/>
      <c r="AB7956" s="162"/>
      <c r="AC7956" s="162"/>
      <c r="AD7956" s="162">
        <f t="shared" si="144"/>
        <v>0</v>
      </c>
      <c r="AE7956" s="160">
        <v>7954</v>
      </c>
    </row>
    <row r="7957" spans="27:31" x14ac:dyDescent="0.25">
      <c r="AA7957" s="160"/>
      <c r="AB7957" s="162"/>
      <c r="AC7957" s="162"/>
      <c r="AD7957" s="162">
        <f t="shared" si="144"/>
        <v>0</v>
      </c>
      <c r="AE7957" s="160">
        <v>7955</v>
      </c>
    </row>
    <row r="7958" spans="27:31" x14ac:dyDescent="0.25">
      <c r="AA7958" s="160"/>
      <c r="AB7958" s="162"/>
      <c r="AC7958" s="162"/>
      <c r="AD7958" s="162">
        <f t="shared" si="144"/>
        <v>0</v>
      </c>
      <c r="AE7958" s="160">
        <v>7956</v>
      </c>
    </row>
    <row r="7959" spans="27:31" x14ac:dyDescent="0.25">
      <c r="AA7959" s="160"/>
      <c r="AB7959" s="162"/>
      <c r="AC7959" s="162"/>
      <c r="AD7959" s="162">
        <f t="shared" si="144"/>
        <v>0</v>
      </c>
      <c r="AE7959" s="160">
        <v>7957</v>
      </c>
    </row>
    <row r="7960" spans="27:31" x14ac:dyDescent="0.25">
      <c r="AA7960" s="160"/>
      <c r="AB7960" s="162"/>
      <c r="AC7960" s="162"/>
      <c r="AD7960" s="162">
        <f t="shared" si="144"/>
        <v>0</v>
      </c>
      <c r="AE7960" s="160">
        <v>7958</v>
      </c>
    </row>
    <row r="7961" spans="27:31" x14ac:dyDescent="0.25">
      <c r="AA7961" s="160"/>
      <c r="AB7961" s="162"/>
      <c r="AC7961" s="162"/>
      <c r="AD7961" s="162">
        <f t="shared" si="144"/>
        <v>0</v>
      </c>
      <c r="AE7961" s="160">
        <v>7959</v>
      </c>
    </row>
    <row r="7962" spans="27:31" x14ac:dyDescent="0.25">
      <c r="AA7962" s="160"/>
      <c r="AB7962" s="162"/>
      <c r="AC7962" s="162"/>
      <c r="AD7962" s="162">
        <f t="shared" si="144"/>
        <v>0</v>
      </c>
      <c r="AE7962" s="160">
        <v>7960</v>
      </c>
    </row>
    <row r="7963" spans="27:31" x14ac:dyDescent="0.25">
      <c r="AA7963" s="160"/>
      <c r="AB7963" s="162"/>
      <c r="AC7963" s="162"/>
      <c r="AD7963" s="162">
        <f t="shared" si="144"/>
        <v>0</v>
      </c>
      <c r="AE7963" s="160">
        <v>7961</v>
      </c>
    </row>
    <row r="7964" spans="27:31" x14ac:dyDescent="0.25">
      <c r="AA7964" s="160"/>
      <c r="AB7964" s="162"/>
      <c r="AC7964" s="162"/>
      <c r="AD7964" s="162">
        <f t="shared" si="144"/>
        <v>0</v>
      </c>
      <c r="AE7964" s="160">
        <v>7962</v>
      </c>
    </row>
    <row r="7965" spans="27:31" x14ac:dyDescent="0.25">
      <c r="AA7965" s="160"/>
      <c r="AB7965" s="162"/>
      <c r="AC7965" s="162"/>
      <c r="AD7965" s="162">
        <f t="shared" si="144"/>
        <v>0</v>
      </c>
      <c r="AE7965" s="160">
        <v>7963</v>
      </c>
    </row>
    <row r="7966" spans="27:31" x14ac:dyDescent="0.25">
      <c r="AA7966" s="160"/>
      <c r="AB7966" s="162"/>
      <c r="AC7966" s="162"/>
      <c r="AD7966" s="162">
        <f t="shared" si="144"/>
        <v>0</v>
      </c>
      <c r="AE7966" s="160">
        <v>7964</v>
      </c>
    </row>
    <row r="7967" spans="27:31" x14ac:dyDescent="0.25">
      <c r="AA7967" s="160"/>
      <c r="AB7967" s="162"/>
      <c r="AC7967" s="162"/>
      <c r="AD7967" s="162">
        <f t="shared" si="144"/>
        <v>0</v>
      </c>
      <c r="AE7967" s="160">
        <v>7965</v>
      </c>
    </row>
    <row r="7968" spans="27:31" x14ac:dyDescent="0.25">
      <c r="AA7968" s="160"/>
      <c r="AB7968" s="162"/>
      <c r="AC7968" s="162"/>
      <c r="AD7968" s="162">
        <f t="shared" si="144"/>
        <v>0</v>
      </c>
      <c r="AE7968" s="160">
        <v>7966</v>
      </c>
    </row>
    <row r="7969" spans="27:31" x14ac:dyDescent="0.25">
      <c r="AA7969" s="160"/>
      <c r="AB7969" s="162"/>
      <c r="AC7969" s="162"/>
      <c r="AD7969" s="162">
        <f t="shared" si="144"/>
        <v>0</v>
      </c>
      <c r="AE7969" s="160">
        <v>7967</v>
      </c>
    </row>
    <row r="7970" spans="27:31" x14ac:dyDescent="0.25">
      <c r="AA7970" s="160"/>
      <c r="AB7970" s="162"/>
      <c r="AC7970" s="162"/>
      <c r="AD7970" s="162">
        <f t="shared" si="144"/>
        <v>0</v>
      </c>
      <c r="AE7970" s="160">
        <v>7968</v>
      </c>
    </row>
    <row r="7971" spans="27:31" x14ac:dyDescent="0.25">
      <c r="AA7971" s="160"/>
      <c r="AB7971" s="162"/>
      <c r="AC7971" s="162"/>
      <c r="AD7971" s="162">
        <f t="shared" si="144"/>
        <v>0</v>
      </c>
      <c r="AE7971" s="160">
        <v>7969</v>
      </c>
    </row>
    <row r="7972" spans="27:31" x14ac:dyDescent="0.25">
      <c r="AA7972" s="160"/>
      <c r="AB7972" s="162"/>
      <c r="AC7972" s="162"/>
      <c r="AD7972" s="162">
        <f t="shared" si="144"/>
        <v>0</v>
      </c>
      <c r="AE7972" s="160">
        <v>7970</v>
      </c>
    </row>
    <row r="7973" spans="27:31" x14ac:dyDescent="0.25">
      <c r="AA7973" s="160"/>
      <c r="AB7973" s="162"/>
      <c r="AC7973" s="162"/>
      <c r="AD7973" s="162">
        <f t="shared" si="144"/>
        <v>0</v>
      </c>
      <c r="AE7973" s="160">
        <v>7971</v>
      </c>
    </row>
    <row r="7974" spans="27:31" x14ac:dyDescent="0.25">
      <c r="AA7974" s="160"/>
      <c r="AB7974" s="162"/>
      <c r="AC7974" s="162"/>
      <c r="AD7974" s="162">
        <f t="shared" si="144"/>
        <v>0</v>
      </c>
      <c r="AE7974" s="160">
        <v>7972</v>
      </c>
    </row>
    <row r="7975" spans="27:31" x14ac:dyDescent="0.25">
      <c r="AA7975" s="160"/>
      <c r="AB7975" s="162"/>
      <c r="AC7975" s="162"/>
      <c r="AD7975" s="162">
        <f t="shared" si="144"/>
        <v>0</v>
      </c>
      <c r="AE7975" s="160">
        <v>7973</v>
      </c>
    </row>
    <row r="7976" spans="27:31" x14ac:dyDescent="0.25">
      <c r="AA7976" s="160"/>
      <c r="AB7976" s="162"/>
      <c r="AC7976" s="162"/>
      <c r="AD7976" s="162">
        <f t="shared" si="144"/>
        <v>0</v>
      </c>
      <c r="AE7976" s="160">
        <v>7974</v>
      </c>
    </row>
    <row r="7977" spans="27:31" x14ac:dyDescent="0.25">
      <c r="AA7977" s="160"/>
      <c r="AB7977" s="162"/>
      <c r="AC7977" s="162"/>
      <c r="AD7977" s="162">
        <f t="shared" si="144"/>
        <v>0</v>
      </c>
      <c r="AE7977" s="160">
        <v>7975</v>
      </c>
    </row>
    <row r="7978" spans="27:31" x14ac:dyDescent="0.25">
      <c r="AA7978" s="160"/>
      <c r="AB7978" s="162"/>
      <c r="AC7978" s="162"/>
      <c r="AD7978" s="162">
        <f t="shared" si="144"/>
        <v>0</v>
      </c>
      <c r="AE7978" s="160">
        <v>7976</v>
      </c>
    </row>
    <row r="7979" spans="27:31" x14ac:dyDescent="0.25">
      <c r="AA7979" s="160"/>
      <c r="AB7979" s="162"/>
      <c r="AC7979" s="162"/>
      <c r="AD7979" s="162">
        <f t="shared" si="144"/>
        <v>0</v>
      </c>
      <c r="AE7979" s="160">
        <v>7977</v>
      </c>
    </row>
    <row r="7980" spans="27:31" x14ac:dyDescent="0.25">
      <c r="AA7980" s="160"/>
      <c r="AB7980" s="162"/>
      <c r="AC7980" s="162"/>
      <c r="AD7980" s="162">
        <f t="shared" si="144"/>
        <v>0</v>
      </c>
      <c r="AE7980" s="160">
        <v>7978</v>
      </c>
    </row>
    <row r="7981" spans="27:31" x14ac:dyDescent="0.25">
      <c r="AA7981" s="160"/>
      <c r="AB7981" s="162"/>
      <c r="AC7981" s="162"/>
      <c r="AD7981" s="162">
        <f t="shared" si="144"/>
        <v>0</v>
      </c>
      <c r="AE7981" s="160">
        <v>7979</v>
      </c>
    </row>
    <row r="7982" spans="27:31" x14ac:dyDescent="0.25">
      <c r="AA7982" s="160"/>
      <c r="AB7982" s="162"/>
      <c r="AC7982" s="162"/>
      <c r="AD7982" s="162">
        <f t="shared" si="144"/>
        <v>0</v>
      </c>
      <c r="AE7982" s="160">
        <v>7980</v>
      </c>
    </row>
    <row r="7983" spans="27:31" x14ac:dyDescent="0.25">
      <c r="AA7983" s="160"/>
      <c r="AB7983" s="162"/>
      <c r="AC7983" s="162"/>
      <c r="AD7983" s="162">
        <f t="shared" si="144"/>
        <v>0</v>
      </c>
      <c r="AE7983" s="160">
        <v>7981</v>
      </c>
    </row>
    <row r="7984" spans="27:31" x14ac:dyDescent="0.25">
      <c r="AA7984" s="160"/>
      <c r="AB7984" s="162"/>
      <c r="AC7984" s="162"/>
      <c r="AD7984" s="162">
        <f t="shared" si="144"/>
        <v>0</v>
      </c>
      <c r="AE7984" s="160">
        <v>7982</v>
      </c>
    </row>
    <row r="7985" spans="27:31" x14ac:dyDescent="0.25">
      <c r="AA7985" s="160"/>
      <c r="AB7985" s="162"/>
      <c r="AC7985" s="162"/>
      <c r="AD7985" s="162">
        <f t="shared" si="144"/>
        <v>0</v>
      </c>
      <c r="AE7985" s="160">
        <v>7983</v>
      </c>
    </row>
    <row r="7986" spans="27:31" x14ac:dyDescent="0.25">
      <c r="AA7986" s="160"/>
      <c r="AB7986" s="162"/>
      <c r="AC7986" s="162"/>
      <c r="AD7986" s="162">
        <f t="shared" si="144"/>
        <v>0</v>
      </c>
      <c r="AE7986" s="160">
        <v>7984</v>
      </c>
    </row>
    <row r="7987" spans="27:31" x14ac:dyDescent="0.25">
      <c r="AA7987" s="160"/>
      <c r="AB7987" s="162"/>
      <c r="AC7987" s="162"/>
      <c r="AD7987" s="162">
        <f t="shared" si="144"/>
        <v>0</v>
      </c>
      <c r="AE7987" s="160">
        <v>7985</v>
      </c>
    </row>
    <row r="7988" spans="27:31" x14ac:dyDescent="0.25">
      <c r="AA7988" s="160"/>
      <c r="AB7988" s="162"/>
      <c r="AC7988" s="162"/>
      <c r="AD7988" s="162">
        <f t="shared" si="144"/>
        <v>0</v>
      </c>
      <c r="AE7988" s="160">
        <v>7986</v>
      </c>
    </row>
    <row r="7989" spans="27:31" x14ac:dyDescent="0.25">
      <c r="AA7989" s="160"/>
      <c r="AB7989" s="162"/>
      <c r="AC7989" s="162"/>
      <c r="AD7989" s="162">
        <f t="shared" si="144"/>
        <v>0</v>
      </c>
      <c r="AE7989" s="160">
        <v>7987</v>
      </c>
    </row>
    <row r="7990" spans="27:31" x14ac:dyDescent="0.25">
      <c r="AA7990" s="160"/>
      <c r="AB7990" s="162"/>
      <c r="AC7990" s="162"/>
      <c r="AD7990" s="162">
        <f t="shared" si="144"/>
        <v>0</v>
      </c>
      <c r="AE7990" s="160">
        <v>7988</v>
      </c>
    </row>
    <row r="7991" spans="27:31" x14ac:dyDescent="0.25">
      <c r="AA7991" s="160"/>
      <c r="AB7991" s="162"/>
      <c r="AC7991" s="162"/>
      <c r="AD7991" s="162">
        <f t="shared" si="144"/>
        <v>0</v>
      </c>
      <c r="AE7991" s="160">
        <v>7989</v>
      </c>
    </row>
    <row r="7992" spans="27:31" x14ac:dyDescent="0.25">
      <c r="AA7992" s="160"/>
      <c r="AB7992" s="162"/>
      <c r="AC7992" s="162"/>
      <c r="AD7992" s="162">
        <f t="shared" si="144"/>
        <v>0</v>
      </c>
      <c r="AE7992" s="160">
        <v>7990</v>
      </c>
    </row>
    <row r="7993" spans="27:31" x14ac:dyDescent="0.25">
      <c r="AA7993" s="160"/>
      <c r="AB7993" s="162"/>
      <c r="AC7993" s="162"/>
      <c r="AD7993" s="162">
        <f t="shared" si="144"/>
        <v>0</v>
      </c>
      <c r="AE7993" s="160">
        <v>7991</v>
      </c>
    </row>
    <row r="7994" spans="27:31" x14ac:dyDescent="0.25">
      <c r="AA7994" s="160"/>
      <c r="AB7994" s="162"/>
      <c r="AC7994" s="162"/>
      <c r="AD7994" s="162">
        <f t="shared" si="144"/>
        <v>0</v>
      </c>
      <c r="AE7994" s="160">
        <v>7992</v>
      </c>
    </row>
    <row r="7995" spans="27:31" x14ac:dyDescent="0.25">
      <c r="AA7995" s="160"/>
      <c r="AB7995" s="162"/>
      <c r="AC7995" s="162"/>
      <c r="AD7995" s="162">
        <f t="shared" si="144"/>
        <v>0</v>
      </c>
      <c r="AE7995" s="160">
        <v>7993</v>
      </c>
    </row>
    <row r="7996" spans="27:31" x14ac:dyDescent="0.25">
      <c r="AA7996" s="160"/>
      <c r="AB7996" s="162"/>
      <c r="AC7996" s="162"/>
      <c r="AD7996" s="162">
        <f t="shared" si="144"/>
        <v>0</v>
      </c>
      <c r="AE7996" s="160">
        <v>7994</v>
      </c>
    </row>
    <row r="7997" spans="27:31" x14ac:dyDescent="0.25">
      <c r="AA7997" s="160"/>
      <c r="AB7997" s="162"/>
      <c r="AC7997" s="162"/>
      <c r="AD7997" s="162">
        <f t="shared" si="144"/>
        <v>0</v>
      </c>
      <c r="AE7997" s="160">
        <v>7995</v>
      </c>
    </row>
    <row r="7998" spans="27:31" x14ac:dyDescent="0.25">
      <c r="AA7998" s="160"/>
      <c r="AB7998" s="162"/>
      <c r="AC7998" s="162"/>
      <c r="AD7998" s="162">
        <f t="shared" si="144"/>
        <v>0</v>
      </c>
      <c r="AE7998" s="160">
        <v>7996</v>
      </c>
    </row>
    <row r="7999" spans="27:31" x14ac:dyDescent="0.25">
      <c r="AA7999" s="160"/>
      <c r="AB7999" s="162"/>
      <c r="AC7999" s="162"/>
      <c r="AD7999" s="162">
        <f t="shared" si="144"/>
        <v>0</v>
      </c>
      <c r="AE7999" s="160">
        <v>7997</v>
      </c>
    </row>
    <row r="8000" spans="27:31" x14ac:dyDescent="0.25">
      <c r="AA8000" s="160"/>
      <c r="AB8000" s="162"/>
      <c r="AC8000" s="162"/>
      <c r="AD8000" s="162">
        <f t="shared" si="144"/>
        <v>0</v>
      </c>
      <c r="AE8000" s="160">
        <v>7998</v>
      </c>
    </row>
    <row r="8001" spans="27:31" x14ac:dyDescent="0.25">
      <c r="AA8001" s="160"/>
      <c r="AB8001" s="162"/>
      <c r="AC8001" s="162"/>
      <c r="AD8001" s="162">
        <f t="shared" si="144"/>
        <v>0</v>
      </c>
      <c r="AE8001" s="160">
        <v>7999</v>
      </c>
    </row>
    <row r="8002" spans="27:31" x14ac:dyDescent="0.25">
      <c r="AA8002" s="160"/>
      <c r="AB8002" s="162"/>
      <c r="AC8002" s="162"/>
      <c r="AD8002" s="162">
        <f t="shared" si="144"/>
        <v>0</v>
      </c>
      <c r="AE8002" s="160">
        <v>8000</v>
      </c>
    </row>
    <row r="8003" spans="27:31" x14ac:dyDescent="0.25">
      <c r="AA8003" s="160"/>
      <c r="AB8003" s="162"/>
      <c r="AC8003" s="162"/>
      <c r="AD8003" s="162">
        <f t="shared" si="144"/>
        <v>0</v>
      </c>
      <c r="AE8003" s="160">
        <v>8001</v>
      </c>
    </row>
    <row r="8004" spans="27:31" x14ac:dyDescent="0.25">
      <c r="AA8004" s="160"/>
      <c r="AB8004" s="162"/>
      <c r="AC8004" s="162"/>
      <c r="AD8004" s="162">
        <f t="shared" ref="AD8004:AD8067" si="145">AB8004+AC8004</f>
        <v>0</v>
      </c>
      <c r="AE8004" s="160">
        <v>8002</v>
      </c>
    </row>
    <row r="8005" spans="27:31" x14ac:dyDescent="0.25">
      <c r="AA8005" s="160"/>
      <c r="AB8005" s="162"/>
      <c r="AC8005" s="162"/>
      <c r="AD8005" s="162">
        <f t="shared" si="145"/>
        <v>0</v>
      </c>
      <c r="AE8005" s="160">
        <v>8003</v>
      </c>
    </row>
    <row r="8006" spans="27:31" x14ac:dyDescent="0.25">
      <c r="AA8006" s="160"/>
      <c r="AB8006" s="162"/>
      <c r="AC8006" s="162"/>
      <c r="AD8006" s="162">
        <f t="shared" si="145"/>
        <v>0</v>
      </c>
      <c r="AE8006" s="160">
        <v>8004</v>
      </c>
    </row>
    <row r="8007" spans="27:31" x14ac:dyDescent="0.25">
      <c r="AA8007" s="160"/>
      <c r="AB8007" s="162"/>
      <c r="AC8007" s="162"/>
      <c r="AD8007" s="162">
        <f t="shared" si="145"/>
        <v>0</v>
      </c>
      <c r="AE8007" s="160">
        <v>8005</v>
      </c>
    </row>
    <row r="8008" spans="27:31" x14ac:dyDescent="0.25">
      <c r="AA8008" s="160"/>
      <c r="AB8008" s="162"/>
      <c r="AC8008" s="162"/>
      <c r="AD8008" s="162">
        <f t="shared" si="145"/>
        <v>0</v>
      </c>
      <c r="AE8008" s="160">
        <v>8006</v>
      </c>
    </row>
    <row r="8009" spans="27:31" x14ac:dyDescent="0.25">
      <c r="AA8009" s="160"/>
      <c r="AB8009" s="162"/>
      <c r="AC8009" s="162"/>
      <c r="AD8009" s="162">
        <f t="shared" si="145"/>
        <v>0</v>
      </c>
      <c r="AE8009" s="160">
        <v>8007</v>
      </c>
    </row>
    <row r="8010" spans="27:31" x14ac:dyDescent="0.25">
      <c r="AA8010" s="160"/>
      <c r="AB8010" s="162"/>
      <c r="AC8010" s="162"/>
      <c r="AD8010" s="162">
        <f t="shared" si="145"/>
        <v>0</v>
      </c>
      <c r="AE8010" s="160">
        <v>8008</v>
      </c>
    </row>
    <row r="8011" spans="27:31" x14ac:dyDescent="0.25">
      <c r="AA8011" s="160"/>
      <c r="AB8011" s="162"/>
      <c r="AC8011" s="162"/>
      <c r="AD8011" s="162">
        <f t="shared" si="145"/>
        <v>0</v>
      </c>
      <c r="AE8011" s="160">
        <v>8009</v>
      </c>
    </row>
    <row r="8012" spans="27:31" x14ac:dyDescent="0.25">
      <c r="AA8012" s="160"/>
      <c r="AB8012" s="162"/>
      <c r="AC8012" s="162"/>
      <c r="AD8012" s="162">
        <f t="shared" si="145"/>
        <v>0</v>
      </c>
      <c r="AE8012" s="160">
        <v>8010</v>
      </c>
    </row>
    <row r="8013" spans="27:31" x14ac:dyDescent="0.25">
      <c r="AA8013" s="160"/>
      <c r="AB8013" s="162"/>
      <c r="AC8013" s="162"/>
      <c r="AD8013" s="162">
        <f t="shared" si="145"/>
        <v>0</v>
      </c>
      <c r="AE8013" s="160">
        <v>8011</v>
      </c>
    </row>
    <row r="8014" spans="27:31" x14ac:dyDescent="0.25">
      <c r="AA8014" s="160"/>
      <c r="AB8014" s="162"/>
      <c r="AC8014" s="162"/>
      <c r="AD8014" s="162">
        <f t="shared" si="145"/>
        <v>0</v>
      </c>
      <c r="AE8014" s="160">
        <v>8012</v>
      </c>
    </row>
    <row r="8015" spans="27:31" x14ac:dyDescent="0.25">
      <c r="AA8015" s="160"/>
      <c r="AB8015" s="162"/>
      <c r="AC8015" s="162"/>
      <c r="AD8015" s="162">
        <f t="shared" si="145"/>
        <v>0</v>
      </c>
      <c r="AE8015" s="160">
        <v>8013</v>
      </c>
    </row>
    <row r="8016" spans="27:31" x14ac:dyDescent="0.25">
      <c r="AA8016" s="160"/>
      <c r="AB8016" s="162"/>
      <c r="AC8016" s="162"/>
      <c r="AD8016" s="162">
        <f t="shared" si="145"/>
        <v>0</v>
      </c>
      <c r="AE8016" s="160">
        <v>8014</v>
      </c>
    </row>
    <row r="8017" spans="27:31" x14ac:dyDescent="0.25">
      <c r="AA8017" s="160"/>
      <c r="AB8017" s="162"/>
      <c r="AC8017" s="162"/>
      <c r="AD8017" s="162">
        <f t="shared" si="145"/>
        <v>0</v>
      </c>
      <c r="AE8017" s="160">
        <v>8015</v>
      </c>
    </row>
    <row r="8018" spans="27:31" x14ac:dyDescent="0.25">
      <c r="AA8018" s="160"/>
      <c r="AB8018" s="162"/>
      <c r="AC8018" s="162"/>
      <c r="AD8018" s="162">
        <f t="shared" si="145"/>
        <v>0</v>
      </c>
      <c r="AE8018" s="160">
        <v>8016</v>
      </c>
    </row>
    <row r="8019" spans="27:31" x14ac:dyDescent="0.25">
      <c r="AA8019" s="160"/>
      <c r="AB8019" s="162"/>
      <c r="AC8019" s="162"/>
      <c r="AD8019" s="162">
        <f t="shared" si="145"/>
        <v>0</v>
      </c>
      <c r="AE8019" s="160">
        <v>8017</v>
      </c>
    </row>
    <row r="8020" spans="27:31" x14ac:dyDescent="0.25">
      <c r="AA8020" s="160"/>
      <c r="AB8020" s="162"/>
      <c r="AC8020" s="162"/>
      <c r="AD8020" s="162">
        <f t="shared" si="145"/>
        <v>0</v>
      </c>
      <c r="AE8020" s="160">
        <v>8018</v>
      </c>
    </row>
    <row r="8021" spans="27:31" x14ac:dyDescent="0.25">
      <c r="AA8021" s="160"/>
      <c r="AB8021" s="162"/>
      <c r="AC8021" s="162"/>
      <c r="AD8021" s="162">
        <f t="shared" si="145"/>
        <v>0</v>
      </c>
      <c r="AE8021" s="160">
        <v>8019</v>
      </c>
    </row>
    <row r="8022" spans="27:31" x14ac:dyDescent="0.25">
      <c r="AA8022" s="160"/>
      <c r="AB8022" s="162"/>
      <c r="AC8022" s="162"/>
      <c r="AD8022" s="162">
        <f t="shared" si="145"/>
        <v>0</v>
      </c>
      <c r="AE8022" s="160">
        <v>8020</v>
      </c>
    </row>
    <row r="8023" spans="27:31" x14ac:dyDescent="0.25">
      <c r="AA8023" s="160"/>
      <c r="AB8023" s="162"/>
      <c r="AC8023" s="162"/>
      <c r="AD8023" s="162">
        <f t="shared" si="145"/>
        <v>0</v>
      </c>
      <c r="AE8023" s="160">
        <v>8021</v>
      </c>
    </row>
    <row r="8024" spans="27:31" x14ac:dyDescent="0.25">
      <c r="AA8024" s="160"/>
      <c r="AB8024" s="162"/>
      <c r="AC8024" s="162"/>
      <c r="AD8024" s="162">
        <f t="shared" si="145"/>
        <v>0</v>
      </c>
      <c r="AE8024" s="160">
        <v>8022</v>
      </c>
    </row>
    <row r="8025" spans="27:31" x14ac:dyDescent="0.25">
      <c r="AA8025" s="160"/>
      <c r="AB8025" s="162"/>
      <c r="AC8025" s="162"/>
      <c r="AD8025" s="162">
        <f t="shared" si="145"/>
        <v>0</v>
      </c>
      <c r="AE8025" s="160">
        <v>8023</v>
      </c>
    </row>
    <row r="8026" spans="27:31" x14ac:dyDescent="0.25">
      <c r="AA8026" s="160"/>
      <c r="AB8026" s="162"/>
      <c r="AC8026" s="162"/>
      <c r="AD8026" s="162">
        <f t="shared" si="145"/>
        <v>0</v>
      </c>
      <c r="AE8026" s="160">
        <v>8024</v>
      </c>
    </row>
    <row r="8027" spans="27:31" x14ac:dyDescent="0.25">
      <c r="AA8027" s="160"/>
      <c r="AB8027" s="162"/>
      <c r="AC8027" s="162"/>
      <c r="AD8027" s="162">
        <f t="shared" si="145"/>
        <v>0</v>
      </c>
      <c r="AE8027" s="160">
        <v>8025</v>
      </c>
    </row>
    <row r="8028" spans="27:31" x14ac:dyDescent="0.25">
      <c r="AA8028" s="160"/>
      <c r="AB8028" s="162"/>
      <c r="AC8028" s="162"/>
      <c r="AD8028" s="162">
        <f t="shared" si="145"/>
        <v>0</v>
      </c>
      <c r="AE8028" s="160">
        <v>8026</v>
      </c>
    </row>
    <row r="8029" spans="27:31" x14ac:dyDescent="0.25">
      <c r="AA8029" s="160"/>
      <c r="AB8029" s="162"/>
      <c r="AC8029" s="162"/>
      <c r="AD8029" s="162">
        <f t="shared" si="145"/>
        <v>0</v>
      </c>
      <c r="AE8029" s="160">
        <v>8027</v>
      </c>
    </row>
    <row r="8030" spans="27:31" x14ac:dyDescent="0.25">
      <c r="AA8030" s="160"/>
      <c r="AB8030" s="162"/>
      <c r="AC8030" s="162"/>
      <c r="AD8030" s="162">
        <f t="shared" si="145"/>
        <v>0</v>
      </c>
      <c r="AE8030" s="160">
        <v>8028</v>
      </c>
    </row>
    <row r="8031" spans="27:31" x14ac:dyDescent="0.25">
      <c r="AA8031" s="160"/>
      <c r="AB8031" s="162"/>
      <c r="AC8031" s="162"/>
      <c r="AD8031" s="162">
        <f t="shared" si="145"/>
        <v>0</v>
      </c>
      <c r="AE8031" s="160">
        <v>8029</v>
      </c>
    </row>
    <row r="8032" spans="27:31" x14ac:dyDescent="0.25">
      <c r="AA8032" s="160"/>
      <c r="AB8032" s="162"/>
      <c r="AC8032" s="162"/>
      <c r="AD8032" s="162">
        <f t="shared" si="145"/>
        <v>0</v>
      </c>
      <c r="AE8032" s="160">
        <v>8030</v>
      </c>
    </row>
    <row r="8033" spans="27:31" x14ac:dyDescent="0.25">
      <c r="AA8033" s="160"/>
      <c r="AB8033" s="162"/>
      <c r="AC8033" s="162"/>
      <c r="AD8033" s="162">
        <f t="shared" si="145"/>
        <v>0</v>
      </c>
      <c r="AE8033" s="160">
        <v>8031</v>
      </c>
    </row>
    <row r="8034" spans="27:31" x14ac:dyDescent="0.25">
      <c r="AA8034" s="160"/>
      <c r="AB8034" s="162"/>
      <c r="AC8034" s="162"/>
      <c r="AD8034" s="162">
        <f t="shared" si="145"/>
        <v>0</v>
      </c>
      <c r="AE8034" s="160">
        <v>8032</v>
      </c>
    </row>
    <row r="8035" spans="27:31" x14ac:dyDescent="0.25">
      <c r="AA8035" s="160"/>
      <c r="AB8035" s="162"/>
      <c r="AC8035" s="162"/>
      <c r="AD8035" s="162">
        <f t="shared" si="145"/>
        <v>0</v>
      </c>
      <c r="AE8035" s="160">
        <v>8033</v>
      </c>
    </row>
    <row r="8036" spans="27:31" x14ac:dyDescent="0.25">
      <c r="AA8036" s="160"/>
      <c r="AB8036" s="162"/>
      <c r="AC8036" s="162"/>
      <c r="AD8036" s="162">
        <f t="shared" si="145"/>
        <v>0</v>
      </c>
      <c r="AE8036" s="160">
        <v>8034</v>
      </c>
    </row>
    <row r="8037" spans="27:31" x14ac:dyDescent="0.25">
      <c r="AA8037" s="160"/>
      <c r="AB8037" s="162"/>
      <c r="AC8037" s="162"/>
      <c r="AD8037" s="162">
        <f t="shared" si="145"/>
        <v>0</v>
      </c>
      <c r="AE8037" s="160">
        <v>8035</v>
      </c>
    </row>
    <row r="8038" spans="27:31" x14ac:dyDescent="0.25">
      <c r="AA8038" s="160"/>
      <c r="AB8038" s="162"/>
      <c r="AC8038" s="162"/>
      <c r="AD8038" s="162">
        <f t="shared" si="145"/>
        <v>0</v>
      </c>
      <c r="AE8038" s="160">
        <v>8036</v>
      </c>
    </row>
    <row r="8039" spans="27:31" x14ac:dyDescent="0.25">
      <c r="AA8039" s="160"/>
      <c r="AB8039" s="162"/>
      <c r="AC8039" s="162"/>
      <c r="AD8039" s="162">
        <f t="shared" si="145"/>
        <v>0</v>
      </c>
      <c r="AE8039" s="160">
        <v>8037</v>
      </c>
    </row>
    <row r="8040" spans="27:31" x14ac:dyDescent="0.25">
      <c r="AA8040" s="160"/>
      <c r="AB8040" s="162"/>
      <c r="AC8040" s="162"/>
      <c r="AD8040" s="162">
        <f t="shared" si="145"/>
        <v>0</v>
      </c>
      <c r="AE8040" s="160">
        <v>8038</v>
      </c>
    </row>
    <row r="8041" spans="27:31" x14ac:dyDescent="0.25">
      <c r="AA8041" s="160"/>
      <c r="AB8041" s="162"/>
      <c r="AC8041" s="162"/>
      <c r="AD8041" s="162">
        <f t="shared" si="145"/>
        <v>0</v>
      </c>
      <c r="AE8041" s="160">
        <v>8039</v>
      </c>
    </row>
    <row r="8042" spans="27:31" x14ac:dyDescent="0.25">
      <c r="AA8042" s="160"/>
      <c r="AB8042" s="162"/>
      <c r="AC8042" s="162"/>
      <c r="AD8042" s="162">
        <f t="shared" si="145"/>
        <v>0</v>
      </c>
      <c r="AE8042" s="160">
        <v>8040</v>
      </c>
    </row>
    <row r="8043" spans="27:31" x14ac:dyDescent="0.25">
      <c r="AA8043" s="160"/>
      <c r="AB8043" s="162"/>
      <c r="AC8043" s="162"/>
      <c r="AD8043" s="162">
        <f t="shared" si="145"/>
        <v>0</v>
      </c>
      <c r="AE8043" s="160">
        <v>8041</v>
      </c>
    </row>
    <row r="8044" spans="27:31" x14ac:dyDescent="0.25">
      <c r="AA8044" s="160"/>
      <c r="AB8044" s="162"/>
      <c r="AC8044" s="162"/>
      <c r="AD8044" s="162">
        <f t="shared" si="145"/>
        <v>0</v>
      </c>
      <c r="AE8044" s="160">
        <v>8042</v>
      </c>
    </row>
    <row r="8045" spans="27:31" x14ac:dyDescent="0.25">
      <c r="AA8045" s="160"/>
      <c r="AB8045" s="162"/>
      <c r="AC8045" s="162"/>
      <c r="AD8045" s="162">
        <f t="shared" si="145"/>
        <v>0</v>
      </c>
      <c r="AE8045" s="160">
        <v>8043</v>
      </c>
    </row>
    <row r="8046" spans="27:31" x14ac:dyDescent="0.25">
      <c r="AA8046" s="160"/>
      <c r="AB8046" s="162"/>
      <c r="AC8046" s="162"/>
      <c r="AD8046" s="162">
        <f t="shared" si="145"/>
        <v>0</v>
      </c>
      <c r="AE8046" s="160">
        <v>8044</v>
      </c>
    </row>
    <row r="8047" spans="27:31" x14ac:dyDescent="0.25">
      <c r="AA8047" s="160"/>
      <c r="AB8047" s="162"/>
      <c r="AC8047" s="162"/>
      <c r="AD8047" s="162">
        <f t="shared" si="145"/>
        <v>0</v>
      </c>
      <c r="AE8047" s="160">
        <v>8045</v>
      </c>
    </row>
    <row r="8048" spans="27:31" x14ac:dyDescent="0.25">
      <c r="AA8048" s="160"/>
      <c r="AB8048" s="162"/>
      <c r="AC8048" s="162"/>
      <c r="AD8048" s="162">
        <f t="shared" si="145"/>
        <v>0</v>
      </c>
      <c r="AE8048" s="160">
        <v>8046</v>
      </c>
    </row>
    <row r="8049" spans="27:31" x14ac:dyDescent="0.25">
      <c r="AA8049" s="160"/>
      <c r="AB8049" s="162"/>
      <c r="AC8049" s="162"/>
      <c r="AD8049" s="162">
        <f t="shared" si="145"/>
        <v>0</v>
      </c>
      <c r="AE8049" s="160">
        <v>8047</v>
      </c>
    </row>
    <row r="8050" spans="27:31" x14ac:dyDescent="0.25">
      <c r="AA8050" s="160"/>
      <c r="AB8050" s="162"/>
      <c r="AC8050" s="162"/>
      <c r="AD8050" s="162">
        <f t="shared" si="145"/>
        <v>0</v>
      </c>
      <c r="AE8050" s="160">
        <v>8048</v>
      </c>
    </row>
    <row r="8051" spans="27:31" x14ac:dyDescent="0.25">
      <c r="AA8051" s="160"/>
      <c r="AB8051" s="162"/>
      <c r="AC8051" s="162"/>
      <c r="AD8051" s="162">
        <f t="shared" si="145"/>
        <v>0</v>
      </c>
      <c r="AE8051" s="160">
        <v>8049</v>
      </c>
    </row>
    <row r="8052" spans="27:31" x14ac:dyDescent="0.25">
      <c r="AA8052" s="160"/>
      <c r="AB8052" s="162"/>
      <c r="AC8052" s="162"/>
      <c r="AD8052" s="162">
        <f t="shared" si="145"/>
        <v>0</v>
      </c>
      <c r="AE8052" s="160">
        <v>8050</v>
      </c>
    </row>
    <row r="8053" spans="27:31" x14ac:dyDescent="0.25">
      <c r="AA8053" s="160"/>
      <c r="AB8053" s="162"/>
      <c r="AC8053" s="162"/>
      <c r="AD8053" s="162">
        <f t="shared" si="145"/>
        <v>0</v>
      </c>
      <c r="AE8053" s="160">
        <v>8051</v>
      </c>
    </row>
    <row r="8054" spans="27:31" x14ac:dyDescent="0.25">
      <c r="AA8054" s="160"/>
      <c r="AB8054" s="162"/>
      <c r="AC8054" s="162"/>
      <c r="AD8054" s="162">
        <f t="shared" si="145"/>
        <v>0</v>
      </c>
      <c r="AE8054" s="160">
        <v>8052</v>
      </c>
    </row>
    <row r="8055" spans="27:31" x14ac:dyDescent="0.25">
      <c r="AA8055" s="160"/>
      <c r="AB8055" s="162"/>
      <c r="AC8055" s="162"/>
      <c r="AD8055" s="162">
        <f t="shared" si="145"/>
        <v>0</v>
      </c>
      <c r="AE8055" s="160">
        <v>8053</v>
      </c>
    </row>
    <row r="8056" spans="27:31" x14ac:dyDescent="0.25">
      <c r="AA8056" s="160"/>
      <c r="AB8056" s="162"/>
      <c r="AC8056" s="162"/>
      <c r="AD8056" s="162">
        <f t="shared" si="145"/>
        <v>0</v>
      </c>
      <c r="AE8056" s="160">
        <v>8054</v>
      </c>
    </row>
    <row r="8057" spans="27:31" x14ac:dyDescent="0.25">
      <c r="AA8057" s="160"/>
      <c r="AB8057" s="162"/>
      <c r="AC8057" s="162"/>
      <c r="AD8057" s="162">
        <f t="shared" si="145"/>
        <v>0</v>
      </c>
      <c r="AE8057" s="160">
        <v>8055</v>
      </c>
    </row>
    <row r="8058" spans="27:31" x14ac:dyDescent="0.25">
      <c r="AA8058" s="160"/>
      <c r="AB8058" s="162"/>
      <c r="AC8058" s="162"/>
      <c r="AD8058" s="162">
        <f t="shared" si="145"/>
        <v>0</v>
      </c>
      <c r="AE8058" s="160">
        <v>8056</v>
      </c>
    </row>
    <row r="8059" spans="27:31" x14ac:dyDescent="0.25">
      <c r="AA8059" s="160"/>
      <c r="AB8059" s="162"/>
      <c r="AC8059" s="162"/>
      <c r="AD8059" s="162">
        <f t="shared" si="145"/>
        <v>0</v>
      </c>
      <c r="AE8059" s="160">
        <v>8057</v>
      </c>
    </row>
    <row r="8060" spans="27:31" x14ac:dyDescent="0.25">
      <c r="AA8060" s="160"/>
      <c r="AB8060" s="162"/>
      <c r="AC8060" s="162"/>
      <c r="AD8060" s="162">
        <f t="shared" si="145"/>
        <v>0</v>
      </c>
      <c r="AE8060" s="160">
        <v>8058</v>
      </c>
    </row>
    <row r="8061" spans="27:31" x14ac:dyDescent="0.25">
      <c r="AA8061" s="160"/>
      <c r="AB8061" s="162"/>
      <c r="AC8061" s="162"/>
      <c r="AD8061" s="162">
        <f t="shared" si="145"/>
        <v>0</v>
      </c>
      <c r="AE8061" s="160">
        <v>8059</v>
      </c>
    </row>
    <row r="8062" spans="27:31" x14ac:dyDescent="0.25">
      <c r="AA8062" s="160"/>
      <c r="AB8062" s="162"/>
      <c r="AC8062" s="162"/>
      <c r="AD8062" s="162">
        <f t="shared" si="145"/>
        <v>0</v>
      </c>
      <c r="AE8062" s="160">
        <v>8060</v>
      </c>
    </row>
    <row r="8063" spans="27:31" x14ac:dyDescent="0.25">
      <c r="AA8063" s="160"/>
      <c r="AB8063" s="162"/>
      <c r="AC8063" s="162"/>
      <c r="AD8063" s="162">
        <f t="shared" si="145"/>
        <v>0</v>
      </c>
      <c r="AE8063" s="160">
        <v>8061</v>
      </c>
    </row>
    <row r="8064" spans="27:31" x14ac:dyDescent="0.25">
      <c r="AA8064" s="160"/>
      <c r="AB8064" s="162"/>
      <c r="AC8064" s="162"/>
      <c r="AD8064" s="162">
        <f t="shared" si="145"/>
        <v>0</v>
      </c>
      <c r="AE8064" s="160">
        <v>8062</v>
      </c>
    </row>
    <row r="8065" spans="27:31" x14ac:dyDescent="0.25">
      <c r="AA8065" s="160"/>
      <c r="AB8065" s="162"/>
      <c r="AC8065" s="162"/>
      <c r="AD8065" s="162">
        <f t="shared" si="145"/>
        <v>0</v>
      </c>
      <c r="AE8065" s="160">
        <v>8063</v>
      </c>
    </row>
    <row r="8066" spans="27:31" x14ac:dyDescent="0.25">
      <c r="AA8066" s="160"/>
      <c r="AB8066" s="162"/>
      <c r="AC8066" s="162"/>
      <c r="AD8066" s="162">
        <f t="shared" si="145"/>
        <v>0</v>
      </c>
      <c r="AE8066" s="160">
        <v>8064</v>
      </c>
    </row>
    <row r="8067" spans="27:31" x14ac:dyDescent="0.25">
      <c r="AA8067" s="160"/>
      <c r="AB8067" s="162"/>
      <c r="AC8067" s="162"/>
      <c r="AD8067" s="162">
        <f t="shared" si="145"/>
        <v>0</v>
      </c>
      <c r="AE8067" s="160">
        <v>8065</v>
      </c>
    </row>
    <row r="8068" spans="27:31" x14ac:dyDescent="0.25">
      <c r="AA8068" s="160"/>
      <c r="AB8068" s="162"/>
      <c r="AC8068" s="162"/>
      <c r="AD8068" s="162">
        <f t="shared" ref="AD8068:AD8131" si="146">AB8068+AC8068</f>
        <v>0</v>
      </c>
      <c r="AE8068" s="160">
        <v>8066</v>
      </c>
    </row>
    <row r="8069" spans="27:31" x14ac:dyDescent="0.25">
      <c r="AA8069" s="160"/>
      <c r="AB8069" s="162"/>
      <c r="AC8069" s="162"/>
      <c r="AD8069" s="162">
        <f t="shared" si="146"/>
        <v>0</v>
      </c>
      <c r="AE8069" s="160">
        <v>8067</v>
      </c>
    </row>
    <row r="8070" spans="27:31" x14ac:dyDescent="0.25">
      <c r="AA8070" s="160"/>
      <c r="AB8070" s="162"/>
      <c r="AC8070" s="162"/>
      <c r="AD8070" s="162">
        <f t="shared" si="146"/>
        <v>0</v>
      </c>
      <c r="AE8070" s="160">
        <v>8068</v>
      </c>
    </row>
    <row r="8071" spans="27:31" x14ac:dyDescent="0.25">
      <c r="AA8071" s="160"/>
      <c r="AB8071" s="162"/>
      <c r="AC8071" s="162"/>
      <c r="AD8071" s="162">
        <f t="shared" si="146"/>
        <v>0</v>
      </c>
      <c r="AE8071" s="160">
        <v>8069</v>
      </c>
    </row>
    <row r="8072" spans="27:31" x14ac:dyDescent="0.25">
      <c r="AA8072" s="160"/>
      <c r="AB8072" s="162"/>
      <c r="AC8072" s="162"/>
      <c r="AD8072" s="162">
        <f t="shared" si="146"/>
        <v>0</v>
      </c>
      <c r="AE8072" s="160">
        <v>8070</v>
      </c>
    </row>
    <row r="8073" spans="27:31" x14ac:dyDescent="0.25">
      <c r="AA8073" s="160"/>
      <c r="AB8073" s="162"/>
      <c r="AC8073" s="162"/>
      <c r="AD8073" s="162">
        <f t="shared" si="146"/>
        <v>0</v>
      </c>
      <c r="AE8073" s="160">
        <v>8071</v>
      </c>
    </row>
    <row r="8074" spans="27:31" x14ac:dyDescent="0.25">
      <c r="AA8074" s="160"/>
      <c r="AB8074" s="162"/>
      <c r="AC8074" s="162"/>
      <c r="AD8074" s="162">
        <f t="shared" si="146"/>
        <v>0</v>
      </c>
      <c r="AE8074" s="160">
        <v>8072</v>
      </c>
    </row>
    <row r="8075" spans="27:31" x14ac:dyDescent="0.25">
      <c r="AA8075" s="160"/>
      <c r="AB8075" s="162"/>
      <c r="AC8075" s="162"/>
      <c r="AD8075" s="162">
        <f t="shared" si="146"/>
        <v>0</v>
      </c>
      <c r="AE8075" s="160">
        <v>8073</v>
      </c>
    </row>
    <row r="8076" spans="27:31" x14ac:dyDescent="0.25">
      <c r="AA8076" s="160"/>
      <c r="AB8076" s="162"/>
      <c r="AC8076" s="162"/>
      <c r="AD8076" s="162">
        <f t="shared" si="146"/>
        <v>0</v>
      </c>
      <c r="AE8076" s="160">
        <v>8074</v>
      </c>
    </row>
    <row r="8077" spans="27:31" x14ac:dyDescent="0.25">
      <c r="AA8077" s="160"/>
      <c r="AB8077" s="162"/>
      <c r="AC8077" s="162"/>
      <c r="AD8077" s="162">
        <f t="shared" si="146"/>
        <v>0</v>
      </c>
      <c r="AE8077" s="160">
        <v>8075</v>
      </c>
    </row>
    <row r="8078" spans="27:31" x14ac:dyDescent="0.25">
      <c r="AA8078" s="160"/>
      <c r="AB8078" s="162"/>
      <c r="AC8078" s="162"/>
      <c r="AD8078" s="162">
        <f t="shared" si="146"/>
        <v>0</v>
      </c>
      <c r="AE8078" s="160">
        <v>8076</v>
      </c>
    </row>
    <row r="8079" spans="27:31" x14ac:dyDescent="0.25">
      <c r="AA8079" s="160"/>
      <c r="AB8079" s="162"/>
      <c r="AC8079" s="162"/>
      <c r="AD8079" s="162">
        <f t="shared" si="146"/>
        <v>0</v>
      </c>
      <c r="AE8079" s="160">
        <v>8077</v>
      </c>
    </row>
    <row r="8080" spans="27:31" x14ac:dyDescent="0.25">
      <c r="AA8080" s="160"/>
      <c r="AB8080" s="162"/>
      <c r="AC8080" s="162"/>
      <c r="AD8080" s="162">
        <f t="shared" si="146"/>
        <v>0</v>
      </c>
      <c r="AE8080" s="160">
        <v>8078</v>
      </c>
    </row>
    <row r="8081" spans="27:31" x14ac:dyDescent="0.25">
      <c r="AA8081" s="160"/>
      <c r="AB8081" s="162"/>
      <c r="AC8081" s="162"/>
      <c r="AD8081" s="162">
        <f t="shared" si="146"/>
        <v>0</v>
      </c>
      <c r="AE8081" s="160">
        <v>8079</v>
      </c>
    </row>
    <row r="8082" spans="27:31" x14ac:dyDescent="0.25">
      <c r="AA8082" s="160"/>
      <c r="AB8082" s="162"/>
      <c r="AC8082" s="162"/>
      <c r="AD8082" s="162">
        <f t="shared" si="146"/>
        <v>0</v>
      </c>
      <c r="AE8082" s="160">
        <v>8080</v>
      </c>
    </row>
    <row r="8083" spans="27:31" x14ac:dyDescent="0.25">
      <c r="AA8083" s="160"/>
      <c r="AB8083" s="162"/>
      <c r="AC8083" s="162"/>
      <c r="AD8083" s="162">
        <f t="shared" si="146"/>
        <v>0</v>
      </c>
      <c r="AE8083" s="160">
        <v>8081</v>
      </c>
    </row>
    <row r="8084" spans="27:31" x14ac:dyDescent="0.25">
      <c r="AA8084" s="160"/>
      <c r="AB8084" s="162"/>
      <c r="AC8084" s="162"/>
      <c r="AD8084" s="162">
        <f t="shared" si="146"/>
        <v>0</v>
      </c>
      <c r="AE8084" s="160">
        <v>8082</v>
      </c>
    </row>
    <row r="8085" spans="27:31" x14ac:dyDescent="0.25">
      <c r="AA8085" s="160"/>
      <c r="AB8085" s="162"/>
      <c r="AC8085" s="162"/>
      <c r="AD8085" s="162">
        <f t="shared" si="146"/>
        <v>0</v>
      </c>
      <c r="AE8085" s="160">
        <v>8083</v>
      </c>
    </row>
    <row r="8086" spans="27:31" x14ac:dyDescent="0.25">
      <c r="AA8086" s="160"/>
      <c r="AB8086" s="162"/>
      <c r="AC8086" s="162"/>
      <c r="AD8086" s="162">
        <f t="shared" si="146"/>
        <v>0</v>
      </c>
      <c r="AE8086" s="160">
        <v>8084</v>
      </c>
    </row>
    <row r="8087" spans="27:31" x14ac:dyDescent="0.25">
      <c r="AA8087" s="160"/>
      <c r="AB8087" s="162"/>
      <c r="AC8087" s="162"/>
      <c r="AD8087" s="162">
        <f t="shared" si="146"/>
        <v>0</v>
      </c>
      <c r="AE8087" s="160">
        <v>8085</v>
      </c>
    </row>
    <row r="8088" spans="27:31" x14ac:dyDescent="0.25">
      <c r="AA8088" s="160"/>
      <c r="AB8088" s="162"/>
      <c r="AC8088" s="162"/>
      <c r="AD8088" s="162">
        <f t="shared" si="146"/>
        <v>0</v>
      </c>
      <c r="AE8088" s="160">
        <v>8086</v>
      </c>
    </row>
    <row r="8089" spans="27:31" x14ac:dyDescent="0.25">
      <c r="AA8089" s="160"/>
      <c r="AB8089" s="162"/>
      <c r="AC8089" s="162"/>
      <c r="AD8089" s="162">
        <f t="shared" si="146"/>
        <v>0</v>
      </c>
      <c r="AE8089" s="160">
        <v>8087</v>
      </c>
    </row>
    <row r="8090" spans="27:31" x14ac:dyDescent="0.25">
      <c r="AA8090" s="160"/>
      <c r="AB8090" s="162"/>
      <c r="AC8090" s="162"/>
      <c r="AD8090" s="162">
        <f t="shared" si="146"/>
        <v>0</v>
      </c>
      <c r="AE8090" s="160">
        <v>8088</v>
      </c>
    </row>
    <row r="8091" spans="27:31" x14ac:dyDescent="0.25">
      <c r="AA8091" s="160"/>
      <c r="AB8091" s="162"/>
      <c r="AC8091" s="162"/>
      <c r="AD8091" s="162">
        <f t="shared" si="146"/>
        <v>0</v>
      </c>
      <c r="AE8091" s="160">
        <v>8089</v>
      </c>
    </row>
    <row r="8092" spans="27:31" x14ac:dyDescent="0.25">
      <c r="AA8092" s="160"/>
      <c r="AB8092" s="162"/>
      <c r="AC8092" s="162"/>
      <c r="AD8092" s="162">
        <f t="shared" si="146"/>
        <v>0</v>
      </c>
      <c r="AE8092" s="160">
        <v>8090</v>
      </c>
    </row>
    <row r="8093" spans="27:31" x14ac:dyDescent="0.25">
      <c r="AA8093" s="160"/>
      <c r="AB8093" s="162"/>
      <c r="AC8093" s="162"/>
      <c r="AD8093" s="162">
        <f t="shared" si="146"/>
        <v>0</v>
      </c>
      <c r="AE8093" s="160">
        <v>8091</v>
      </c>
    </row>
    <row r="8094" spans="27:31" x14ac:dyDescent="0.25">
      <c r="AA8094" s="160"/>
      <c r="AB8094" s="162"/>
      <c r="AC8094" s="162"/>
      <c r="AD8094" s="162">
        <f t="shared" si="146"/>
        <v>0</v>
      </c>
      <c r="AE8094" s="160">
        <v>8092</v>
      </c>
    </row>
    <row r="8095" spans="27:31" x14ac:dyDescent="0.25">
      <c r="AA8095" s="160"/>
      <c r="AB8095" s="162"/>
      <c r="AC8095" s="162"/>
      <c r="AD8095" s="162">
        <f t="shared" si="146"/>
        <v>0</v>
      </c>
      <c r="AE8095" s="160">
        <v>8093</v>
      </c>
    </row>
    <row r="8096" spans="27:31" x14ac:dyDescent="0.25">
      <c r="AA8096" s="160"/>
      <c r="AB8096" s="162"/>
      <c r="AC8096" s="162"/>
      <c r="AD8096" s="162">
        <f t="shared" si="146"/>
        <v>0</v>
      </c>
      <c r="AE8096" s="160">
        <v>8094</v>
      </c>
    </row>
    <row r="8097" spans="27:31" x14ac:dyDescent="0.25">
      <c r="AA8097" s="160"/>
      <c r="AB8097" s="162"/>
      <c r="AC8097" s="162"/>
      <c r="AD8097" s="162">
        <f t="shared" si="146"/>
        <v>0</v>
      </c>
      <c r="AE8097" s="160">
        <v>8095</v>
      </c>
    </row>
    <row r="8098" spans="27:31" x14ac:dyDescent="0.25">
      <c r="AA8098" s="160"/>
      <c r="AB8098" s="162"/>
      <c r="AC8098" s="162"/>
      <c r="AD8098" s="162">
        <f t="shared" si="146"/>
        <v>0</v>
      </c>
      <c r="AE8098" s="160">
        <v>8096</v>
      </c>
    </row>
    <row r="8099" spans="27:31" x14ac:dyDescent="0.25">
      <c r="AA8099" s="160"/>
      <c r="AB8099" s="162"/>
      <c r="AC8099" s="162"/>
      <c r="AD8099" s="162">
        <f t="shared" si="146"/>
        <v>0</v>
      </c>
      <c r="AE8099" s="160">
        <v>8097</v>
      </c>
    </row>
    <row r="8100" spans="27:31" x14ac:dyDescent="0.25">
      <c r="AA8100" s="160"/>
      <c r="AB8100" s="162"/>
      <c r="AC8100" s="162"/>
      <c r="AD8100" s="162">
        <f t="shared" si="146"/>
        <v>0</v>
      </c>
      <c r="AE8100" s="160">
        <v>8098</v>
      </c>
    </row>
    <row r="8101" spans="27:31" x14ac:dyDescent="0.25">
      <c r="AA8101" s="160"/>
      <c r="AB8101" s="162"/>
      <c r="AC8101" s="162"/>
      <c r="AD8101" s="162">
        <f t="shared" si="146"/>
        <v>0</v>
      </c>
      <c r="AE8101" s="160">
        <v>8099</v>
      </c>
    </row>
    <row r="8102" spans="27:31" x14ac:dyDescent="0.25">
      <c r="AA8102" s="160"/>
      <c r="AB8102" s="162"/>
      <c r="AC8102" s="162"/>
      <c r="AD8102" s="162">
        <f t="shared" si="146"/>
        <v>0</v>
      </c>
      <c r="AE8102" s="160">
        <v>8100</v>
      </c>
    </row>
    <row r="8103" spans="27:31" x14ac:dyDescent="0.25">
      <c r="AA8103" s="160"/>
      <c r="AB8103" s="162"/>
      <c r="AC8103" s="162"/>
      <c r="AD8103" s="162">
        <f t="shared" si="146"/>
        <v>0</v>
      </c>
      <c r="AE8103" s="160">
        <v>8101</v>
      </c>
    </row>
    <row r="8104" spans="27:31" x14ac:dyDescent="0.25">
      <c r="AA8104" s="160"/>
      <c r="AB8104" s="162"/>
      <c r="AC8104" s="162"/>
      <c r="AD8104" s="162">
        <f t="shared" si="146"/>
        <v>0</v>
      </c>
      <c r="AE8104" s="160">
        <v>8102</v>
      </c>
    </row>
    <row r="8105" spans="27:31" x14ac:dyDescent="0.25">
      <c r="AA8105" s="160"/>
      <c r="AB8105" s="162"/>
      <c r="AC8105" s="162"/>
      <c r="AD8105" s="162">
        <f t="shared" si="146"/>
        <v>0</v>
      </c>
      <c r="AE8105" s="160">
        <v>8103</v>
      </c>
    </row>
    <row r="8106" spans="27:31" x14ac:dyDescent="0.25">
      <c r="AA8106" s="160"/>
      <c r="AB8106" s="162"/>
      <c r="AC8106" s="162"/>
      <c r="AD8106" s="162">
        <f t="shared" si="146"/>
        <v>0</v>
      </c>
      <c r="AE8106" s="160">
        <v>8104</v>
      </c>
    </row>
    <row r="8107" spans="27:31" x14ac:dyDescent="0.25">
      <c r="AA8107" s="160"/>
      <c r="AB8107" s="162"/>
      <c r="AC8107" s="162"/>
      <c r="AD8107" s="162">
        <f t="shared" si="146"/>
        <v>0</v>
      </c>
      <c r="AE8107" s="160">
        <v>8105</v>
      </c>
    </row>
    <row r="8108" spans="27:31" x14ac:dyDescent="0.25">
      <c r="AA8108" s="160"/>
      <c r="AB8108" s="162"/>
      <c r="AC8108" s="162"/>
      <c r="AD8108" s="162">
        <f t="shared" si="146"/>
        <v>0</v>
      </c>
      <c r="AE8108" s="160">
        <v>8106</v>
      </c>
    </row>
    <row r="8109" spans="27:31" x14ac:dyDescent="0.25">
      <c r="AA8109" s="160"/>
      <c r="AB8109" s="162"/>
      <c r="AC8109" s="162"/>
      <c r="AD8109" s="162">
        <f t="shared" si="146"/>
        <v>0</v>
      </c>
      <c r="AE8109" s="160">
        <v>8107</v>
      </c>
    </row>
    <row r="8110" spans="27:31" x14ac:dyDescent="0.25">
      <c r="AA8110" s="160"/>
      <c r="AB8110" s="162"/>
      <c r="AC8110" s="162"/>
      <c r="AD8110" s="162">
        <f t="shared" si="146"/>
        <v>0</v>
      </c>
      <c r="AE8110" s="160">
        <v>8108</v>
      </c>
    </row>
    <row r="8111" spans="27:31" x14ac:dyDescent="0.25">
      <c r="AA8111" s="160"/>
      <c r="AB8111" s="162"/>
      <c r="AC8111" s="162"/>
      <c r="AD8111" s="162">
        <f t="shared" si="146"/>
        <v>0</v>
      </c>
      <c r="AE8111" s="160">
        <v>8109</v>
      </c>
    </row>
    <row r="8112" spans="27:31" x14ac:dyDescent="0.25">
      <c r="AA8112" s="160"/>
      <c r="AB8112" s="162"/>
      <c r="AC8112" s="162"/>
      <c r="AD8112" s="162">
        <f t="shared" si="146"/>
        <v>0</v>
      </c>
      <c r="AE8112" s="160">
        <v>8110</v>
      </c>
    </row>
    <row r="8113" spans="27:31" x14ac:dyDescent="0.25">
      <c r="AA8113" s="160"/>
      <c r="AB8113" s="162"/>
      <c r="AC8113" s="162"/>
      <c r="AD8113" s="162">
        <f t="shared" si="146"/>
        <v>0</v>
      </c>
      <c r="AE8113" s="160">
        <v>8111</v>
      </c>
    </row>
    <row r="8114" spans="27:31" x14ac:dyDescent="0.25">
      <c r="AA8114" s="160"/>
      <c r="AB8114" s="162"/>
      <c r="AC8114" s="162"/>
      <c r="AD8114" s="162">
        <f t="shared" si="146"/>
        <v>0</v>
      </c>
      <c r="AE8114" s="160">
        <v>8112</v>
      </c>
    </row>
    <row r="8115" spans="27:31" x14ac:dyDescent="0.25">
      <c r="AA8115" s="160"/>
      <c r="AB8115" s="162"/>
      <c r="AC8115" s="162"/>
      <c r="AD8115" s="162">
        <f t="shared" si="146"/>
        <v>0</v>
      </c>
      <c r="AE8115" s="160">
        <v>8113</v>
      </c>
    </row>
    <row r="8116" spans="27:31" x14ac:dyDescent="0.25">
      <c r="AA8116" s="160"/>
      <c r="AB8116" s="162"/>
      <c r="AC8116" s="162"/>
      <c r="AD8116" s="162">
        <f t="shared" si="146"/>
        <v>0</v>
      </c>
      <c r="AE8116" s="160">
        <v>8114</v>
      </c>
    </row>
    <row r="8117" spans="27:31" x14ac:dyDescent="0.25">
      <c r="AA8117" s="160"/>
      <c r="AB8117" s="162"/>
      <c r="AC8117" s="162"/>
      <c r="AD8117" s="162">
        <f t="shared" si="146"/>
        <v>0</v>
      </c>
      <c r="AE8117" s="160">
        <v>8115</v>
      </c>
    </row>
    <row r="8118" spans="27:31" x14ac:dyDescent="0.25">
      <c r="AA8118" s="160"/>
      <c r="AB8118" s="162"/>
      <c r="AC8118" s="162"/>
      <c r="AD8118" s="162">
        <f t="shared" si="146"/>
        <v>0</v>
      </c>
      <c r="AE8118" s="160">
        <v>8116</v>
      </c>
    </row>
    <row r="8119" spans="27:31" x14ac:dyDescent="0.25">
      <c r="AA8119" s="160"/>
      <c r="AB8119" s="162"/>
      <c r="AC8119" s="162"/>
      <c r="AD8119" s="162">
        <f t="shared" si="146"/>
        <v>0</v>
      </c>
      <c r="AE8119" s="160">
        <v>8117</v>
      </c>
    </row>
    <row r="8120" spans="27:31" x14ac:dyDescent="0.25">
      <c r="AA8120" s="160"/>
      <c r="AB8120" s="162"/>
      <c r="AC8120" s="162"/>
      <c r="AD8120" s="162">
        <f t="shared" si="146"/>
        <v>0</v>
      </c>
      <c r="AE8120" s="160">
        <v>8118</v>
      </c>
    </row>
    <row r="8121" spans="27:31" x14ac:dyDescent="0.25">
      <c r="AA8121" s="160"/>
      <c r="AB8121" s="162"/>
      <c r="AC8121" s="162"/>
      <c r="AD8121" s="162">
        <f t="shared" si="146"/>
        <v>0</v>
      </c>
      <c r="AE8121" s="160">
        <v>8119</v>
      </c>
    </row>
    <row r="8122" spans="27:31" x14ac:dyDescent="0.25">
      <c r="AA8122" s="160"/>
      <c r="AB8122" s="162"/>
      <c r="AC8122" s="162"/>
      <c r="AD8122" s="162">
        <f t="shared" si="146"/>
        <v>0</v>
      </c>
      <c r="AE8122" s="160">
        <v>8120</v>
      </c>
    </row>
    <row r="8123" spans="27:31" x14ac:dyDescent="0.25">
      <c r="AA8123" s="160"/>
      <c r="AB8123" s="162"/>
      <c r="AC8123" s="162"/>
      <c r="AD8123" s="162">
        <f t="shared" si="146"/>
        <v>0</v>
      </c>
      <c r="AE8123" s="160">
        <v>8121</v>
      </c>
    </row>
    <row r="8124" spans="27:31" x14ac:dyDescent="0.25">
      <c r="AA8124" s="160"/>
      <c r="AB8124" s="162"/>
      <c r="AC8124" s="162"/>
      <c r="AD8124" s="162">
        <f t="shared" si="146"/>
        <v>0</v>
      </c>
      <c r="AE8124" s="160">
        <v>8122</v>
      </c>
    </row>
    <row r="8125" spans="27:31" x14ac:dyDescent="0.25">
      <c r="AA8125" s="160"/>
      <c r="AB8125" s="162"/>
      <c r="AC8125" s="162"/>
      <c r="AD8125" s="162">
        <f t="shared" si="146"/>
        <v>0</v>
      </c>
      <c r="AE8125" s="160">
        <v>8123</v>
      </c>
    </row>
    <row r="8126" spans="27:31" x14ac:dyDescent="0.25">
      <c r="AA8126" s="160"/>
      <c r="AB8126" s="162"/>
      <c r="AC8126" s="162"/>
      <c r="AD8126" s="162">
        <f t="shared" si="146"/>
        <v>0</v>
      </c>
      <c r="AE8126" s="160">
        <v>8124</v>
      </c>
    </row>
    <row r="8127" spans="27:31" x14ac:dyDescent="0.25">
      <c r="AA8127" s="160"/>
      <c r="AB8127" s="162"/>
      <c r="AC8127" s="162"/>
      <c r="AD8127" s="162">
        <f t="shared" si="146"/>
        <v>0</v>
      </c>
      <c r="AE8127" s="160">
        <v>8125</v>
      </c>
    </row>
    <row r="8128" spans="27:31" x14ac:dyDescent="0.25">
      <c r="AA8128" s="160"/>
      <c r="AB8128" s="162"/>
      <c r="AC8128" s="162"/>
      <c r="AD8128" s="162">
        <f t="shared" si="146"/>
        <v>0</v>
      </c>
      <c r="AE8128" s="160">
        <v>8126</v>
      </c>
    </row>
    <row r="8129" spans="27:31" x14ac:dyDescent="0.25">
      <c r="AA8129" s="160"/>
      <c r="AB8129" s="162"/>
      <c r="AC8129" s="162"/>
      <c r="AD8129" s="162">
        <f t="shared" si="146"/>
        <v>0</v>
      </c>
      <c r="AE8129" s="160">
        <v>8127</v>
      </c>
    </row>
    <row r="8130" spans="27:31" x14ac:dyDescent="0.25">
      <c r="AA8130" s="160"/>
      <c r="AB8130" s="162"/>
      <c r="AC8130" s="162"/>
      <c r="AD8130" s="162">
        <f t="shared" si="146"/>
        <v>0</v>
      </c>
      <c r="AE8130" s="160">
        <v>8128</v>
      </c>
    </row>
    <row r="8131" spans="27:31" x14ac:dyDescent="0.25">
      <c r="AA8131" s="160"/>
      <c r="AB8131" s="162"/>
      <c r="AC8131" s="162"/>
      <c r="AD8131" s="162">
        <f t="shared" si="146"/>
        <v>0</v>
      </c>
      <c r="AE8131" s="160">
        <v>8129</v>
      </c>
    </row>
    <row r="8132" spans="27:31" x14ac:dyDescent="0.25">
      <c r="AA8132" s="160"/>
      <c r="AB8132" s="162"/>
      <c r="AC8132" s="162"/>
      <c r="AD8132" s="162">
        <f t="shared" ref="AD8132:AD8195" si="147">AB8132+AC8132</f>
        <v>0</v>
      </c>
      <c r="AE8132" s="160">
        <v>8130</v>
      </c>
    </row>
    <row r="8133" spans="27:31" x14ac:dyDescent="0.25">
      <c r="AA8133" s="160"/>
      <c r="AB8133" s="162"/>
      <c r="AC8133" s="162"/>
      <c r="AD8133" s="162">
        <f t="shared" si="147"/>
        <v>0</v>
      </c>
      <c r="AE8133" s="160">
        <v>8131</v>
      </c>
    </row>
    <row r="8134" spans="27:31" x14ac:dyDescent="0.25">
      <c r="AA8134" s="160"/>
      <c r="AB8134" s="162"/>
      <c r="AC8134" s="162"/>
      <c r="AD8134" s="162">
        <f t="shared" si="147"/>
        <v>0</v>
      </c>
      <c r="AE8134" s="160">
        <v>8132</v>
      </c>
    </row>
    <row r="8135" spans="27:31" x14ac:dyDescent="0.25">
      <c r="AA8135" s="160"/>
      <c r="AB8135" s="162"/>
      <c r="AC8135" s="162"/>
      <c r="AD8135" s="162">
        <f t="shared" si="147"/>
        <v>0</v>
      </c>
      <c r="AE8135" s="160">
        <v>8133</v>
      </c>
    </row>
    <row r="8136" spans="27:31" x14ac:dyDescent="0.25">
      <c r="AA8136" s="160"/>
      <c r="AB8136" s="162"/>
      <c r="AC8136" s="162"/>
      <c r="AD8136" s="162">
        <f t="shared" si="147"/>
        <v>0</v>
      </c>
      <c r="AE8136" s="160">
        <v>8134</v>
      </c>
    </row>
    <row r="8137" spans="27:31" x14ac:dyDescent="0.25">
      <c r="AA8137" s="160"/>
      <c r="AB8137" s="162"/>
      <c r="AC8137" s="162"/>
      <c r="AD8137" s="162">
        <f t="shared" si="147"/>
        <v>0</v>
      </c>
      <c r="AE8137" s="160">
        <v>8135</v>
      </c>
    </row>
    <row r="8138" spans="27:31" x14ac:dyDescent="0.25">
      <c r="AA8138" s="160"/>
      <c r="AB8138" s="162"/>
      <c r="AC8138" s="162"/>
      <c r="AD8138" s="162">
        <f t="shared" si="147"/>
        <v>0</v>
      </c>
      <c r="AE8138" s="160">
        <v>8136</v>
      </c>
    </row>
    <row r="8139" spans="27:31" x14ac:dyDescent="0.25">
      <c r="AA8139" s="160"/>
      <c r="AB8139" s="162"/>
      <c r="AC8139" s="162"/>
      <c r="AD8139" s="162">
        <f t="shared" si="147"/>
        <v>0</v>
      </c>
      <c r="AE8139" s="160">
        <v>8137</v>
      </c>
    </row>
    <row r="8140" spans="27:31" x14ac:dyDescent="0.25">
      <c r="AA8140" s="160"/>
      <c r="AB8140" s="162"/>
      <c r="AC8140" s="162"/>
      <c r="AD8140" s="162">
        <f t="shared" si="147"/>
        <v>0</v>
      </c>
      <c r="AE8140" s="160">
        <v>8138</v>
      </c>
    </row>
    <row r="8141" spans="27:31" x14ac:dyDescent="0.25">
      <c r="AA8141" s="160"/>
      <c r="AB8141" s="162"/>
      <c r="AC8141" s="162"/>
      <c r="AD8141" s="162">
        <f t="shared" si="147"/>
        <v>0</v>
      </c>
      <c r="AE8141" s="160">
        <v>8139</v>
      </c>
    </row>
    <row r="8142" spans="27:31" x14ac:dyDescent="0.25">
      <c r="AA8142" s="160"/>
      <c r="AB8142" s="162"/>
      <c r="AC8142" s="162"/>
      <c r="AD8142" s="162">
        <f t="shared" si="147"/>
        <v>0</v>
      </c>
      <c r="AE8142" s="160">
        <v>8140</v>
      </c>
    </row>
    <row r="8143" spans="27:31" x14ac:dyDescent="0.25">
      <c r="AA8143" s="160"/>
      <c r="AB8143" s="162"/>
      <c r="AC8143" s="162"/>
      <c r="AD8143" s="162">
        <f t="shared" si="147"/>
        <v>0</v>
      </c>
      <c r="AE8143" s="160">
        <v>8141</v>
      </c>
    </row>
    <row r="8144" spans="27:31" x14ac:dyDescent="0.25">
      <c r="AA8144" s="160"/>
      <c r="AB8144" s="162"/>
      <c r="AC8144" s="162"/>
      <c r="AD8144" s="162">
        <f t="shared" si="147"/>
        <v>0</v>
      </c>
      <c r="AE8144" s="160">
        <v>8142</v>
      </c>
    </row>
    <row r="8145" spans="27:31" x14ac:dyDescent="0.25">
      <c r="AA8145" s="160"/>
      <c r="AB8145" s="162"/>
      <c r="AC8145" s="162"/>
      <c r="AD8145" s="162">
        <f t="shared" si="147"/>
        <v>0</v>
      </c>
      <c r="AE8145" s="160">
        <v>8143</v>
      </c>
    </row>
    <row r="8146" spans="27:31" x14ac:dyDescent="0.25">
      <c r="AA8146" s="160"/>
      <c r="AB8146" s="162"/>
      <c r="AC8146" s="162"/>
      <c r="AD8146" s="162">
        <f t="shared" si="147"/>
        <v>0</v>
      </c>
      <c r="AE8146" s="160">
        <v>8144</v>
      </c>
    </row>
    <row r="8147" spans="27:31" x14ac:dyDescent="0.25">
      <c r="AA8147" s="160"/>
      <c r="AB8147" s="162"/>
      <c r="AC8147" s="162"/>
      <c r="AD8147" s="162">
        <f t="shared" si="147"/>
        <v>0</v>
      </c>
      <c r="AE8147" s="160">
        <v>8145</v>
      </c>
    </row>
    <row r="8148" spans="27:31" x14ac:dyDescent="0.25">
      <c r="AA8148" s="160"/>
      <c r="AB8148" s="162"/>
      <c r="AC8148" s="162"/>
      <c r="AD8148" s="162">
        <f t="shared" si="147"/>
        <v>0</v>
      </c>
      <c r="AE8148" s="160">
        <v>8146</v>
      </c>
    </row>
    <row r="8149" spans="27:31" x14ac:dyDescent="0.25">
      <c r="AA8149" s="160"/>
      <c r="AB8149" s="162"/>
      <c r="AC8149" s="162"/>
      <c r="AD8149" s="162">
        <f t="shared" si="147"/>
        <v>0</v>
      </c>
      <c r="AE8149" s="160">
        <v>8147</v>
      </c>
    </row>
    <row r="8150" spans="27:31" x14ac:dyDescent="0.25">
      <c r="AA8150" s="160"/>
      <c r="AB8150" s="162"/>
      <c r="AC8150" s="162"/>
      <c r="AD8150" s="162">
        <f t="shared" si="147"/>
        <v>0</v>
      </c>
      <c r="AE8150" s="160">
        <v>8148</v>
      </c>
    </row>
    <row r="8151" spans="27:31" x14ac:dyDescent="0.25">
      <c r="AA8151" s="160"/>
      <c r="AB8151" s="162"/>
      <c r="AC8151" s="162"/>
      <c r="AD8151" s="162">
        <f t="shared" si="147"/>
        <v>0</v>
      </c>
      <c r="AE8151" s="160">
        <v>8149</v>
      </c>
    </row>
    <row r="8152" spans="27:31" x14ac:dyDescent="0.25">
      <c r="AA8152" s="160"/>
      <c r="AB8152" s="162"/>
      <c r="AC8152" s="162"/>
      <c r="AD8152" s="162">
        <f t="shared" si="147"/>
        <v>0</v>
      </c>
      <c r="AE8152" s="160">
        <v>8150</v>
      </c>
    </row>
    <row r="8153" spans="27:31" x14ac:dyDescent="0.25">
      <c r="AA8153" s="160"/>
      <c r="AB8153" s="162"/>
      <c r="AC8153" s="162"/>
      <c r="AD8153" s="162">
        <f t="shared" si="147"/>
        <v>0</v>
      </c>
      <c r="AE8153" s="160">
        <v>8151</v>
      </c>
    </row>
    <row r="8154" spans="27:31" x14ac:dyDescent="0.25">
      <c r="AA8154" s="160"/>
      <c r="AB8154" s="162"/>
      <c r="AC8154" s="162"/>
      <c r="AD8154" s="162">
        <f t="shared" si="147"/>
        <v>0</v>
      </c>
      <c r="AE8154" s="160">
        <v>8152</v>
      </c>
    </row>
    <row r="8155" spans="27:31" x14ac:dyDescent="0.25">
      <c r="AA8155" s="160"/>
      <c r="AB8155" s="162"/>
      <c r="AC8155" s="162"/>
      <c r="AD8155" s="162">
        <f t="shared" si="147"/>
        <v>0</v>
      </c>
      <c r="AE8155" s="160">
        <v>8153</v>
      </c>
    </row>
    <row r="8156" spans="27:31" x14ac:dyDescent="0.25">
      <c r="AA8156" s="160"/>
      <c r="AB8156" s="162"/>
      <c r="AC8156" s="162"/>
      <c r="AD8156" s="162">
        <f t="shared" si="147"/>
        <v>0</v>
      </c>
      <c r="AE8156" s="160">
        <v>8154</v>
      </c>
    </row>
    <row r="8157" spans="27:31" x14ac:dyDescent="0.25">
      <c r="AA8157" s="160"/>
      <c r="AB8157" s="162"/>
      <c r="AC8157" s="162"/>
      <c r="AD8157" s="162">
        <f t="shared" si="147"/>
        <v>0</v>
      </c>
      <c r="AE8157" s="160">
        <v>8155</v>
      </c>
    </row>
    <row r="8158" spans="27:31" x14ac:dyDescent="0.25">
      <c r="AA8158" s="160"/>
      <c r="AB8158" s="162"/>
      <c r="AC8158" s="162"/>
      <c r="AD8158" s="162">
        <f t="shared" si="147"/>
        <v>0</v>
      </c>
      <c r="AE8158" s="160">
        <v>8156</v>
      </c>
    </row>
    <row r="8159" spans="27:31" x14ac:dyDescent="0.25">
      <c r="AA8159" s="160"/>
      <c r="AB8159" s="162"/>
      <c r="AC8159" s="162"/>
      <c r="AD8159" s="162">
        <f t="shared" si="147"/>
        <v>0</v>
      </c>
      <c r="AE8159" s="160">
        <v>8157</v>
      </c>
    </row>
    <row r="8160" spans="27:31" x14ac:dyDescent="0.25">
      <c r="AA8160" s="160"/>
      <c r="AB8160" s="162"/>
      <c r="AC8160" s="162"/>
      <c r="AD8160" s="162">
        <f t="shared" si="147"/>
        <v>0</v>
      </c>
      <c r="AE8160" s="160">
        <v>8158</v>
      </c>
    </row>
    <row r="8161" spans="27:31" x14ac:dyDescent="0.25">
      <c r="AA8161" s="160"/>
      <c r="AB8161" s="162"/>
      <c r="AC8161" s="162"/>
      <c r="AD8161" s="162">
        <f t="shared" si="147"/>
        <v>0</v>
      </c>
      <c r="AE8161" s="160">
        <v>8159</v>
      </c>
    </row>
    <row r="8162" spans="27:31" x14ac:dyDescent="0.25">
      <c r="AA8162" s="160"/>
      <c r="AB8162" s="162"/>
      <c r="AC8162" s="162"/>
      <c r="AD8162" s="162">
        <f t="shared" si="147"/>
        <v>0</v>
      </c>
      <c r="AE8162" s="160">
        <v>8160</v>
      </c>
    </row>
    <row r="8163" spans="27:31" x14ac:dyDescent="0.25">
      <c r="AA8163" s="160"/>
      <c r="AB8163" s="162"/>
      <c r="AC8163" s="162"/>
      <c r="AD8163" s="162">
        <f t="shared" si="147"/>
        <v>0</v>
      </c>
      <c r="AE8163" s="160">
        <v>8161</v>
      </c>
    </row>
    <row r="8164" spans="27:31" x14ac:dyDescent="0.25">
      <c r="AA8164" s="160"/>
      <c r="AB8164" s="162"/>
      <c r="AC8164" s="162"/>
      <c r="AD8164" s="162">
        <f t="shared" si="147"/>
        <v>0</v>
      </c>
      <c r="AE8164" s="160">
        <v>8162</v>
      </c>
    </row>
    <row r="8165" spans="27:31" x14ac:dyDescent="0.25">
      <c r="AA8165" s="160"/>
      <c r="AB8165" s="162"/>
      <c r="AC8165" s="162"/>
      <c r="AD8165" s="162">
        <f t="shared" si="147"/>
        <v>0</v>
      </c>
      <c r="AE8165" s="160">
        <v>8163</v>
      </c>
    </row>
    <row r="8166" spans="27:31" x14ac:dyDescent="0.25">
      <c r="AA8166" s="160"/>
      <c r="AB8166" s="162"/>
      <c r="AC8166" s="162"/>
      <c r="AD8166" s="162">
        <f t="shared" si="147"/>
        <v>0</v>
      </c>
      <c r="AE8166" s="160">
        <v>8164</v>
      </c>
    </row>
    <row r="8167" spans="27:31" x14ac:dyDescent="0.25">
      <c r="AA8167" s="160"/>
      <c r="AB8167" s="162"/>
      <c r="AC8167" s="162"/>
      <c r="AD8167" s="162">
        <f t="shared" si="147"/>
        <v>0</v>
      </c>
      <c r="AE8167" s="160">
        <v>8165</v>
      </c>
    </row>
    <row r="8168" spans="27:31" x14ac:dyDescent="0.25">
      <c r="AA8168" s="160"/>
      <c r="AB8168" s="162"/>
      <c r="AC8168" s="162"/>
      <c r="AD8168" s="162">
        <f t="shared" si="147"/>
        <v>0</v>
      </c>
      <c r="AE8168" s="160">
        <v>8166</v>
      </c>
    </row>
    <row r="8169" spans="27:31" x14ac:dyDescent="0.25">
      <c r="AA8169" s="160"/>
      <c r="AB8169" s="162"/>
      <c r="AC8169" s="162"/>
      <c r="AD8169" s="162">
        <f t="shared" si="147"/>
        <v>0</v>
      </c>
      <c r="AE8169" s="160">
        <v>8167</v>
      </c>
    </row>
    <row r="8170" spans="27:31" x14ac:dyDescent="0.25">
      <c r="AA8170" s="160"/>
      <c r="AB8170" s="162"/>
      <c r="AC8170" s="162"/>
      <c r="AD8170" s="162">
        <f t="shared" si="147"/>
        <v>0</v>
      </c>
      <c r="AE8170" s="160">
        <v>8168</v>
      </c>
    </row>
    <row r="8171" spans="27:31" x14ac:dyDescent="0.25">
      <c r="AA8171" s="160"/>
      <c r="AB8171" s="162"/>
      <c r="AC8171" s="162"/>
      <c r="AD8171" s="162">
        <f t="shared" si="147"/>
        <v>0</v>
      </c>
      <c r="AE8171" s="160">
        <v>8169</v>
      </c>
    </row>
    <row r="8172" spans="27:31" x14ac:dyDescent="0.25">
      <c r="AA8172" s="160"/>
      <c r="AB8172" s="162"/>
      <c r="AC8172" s="162"/>
      <c r="AD8172" s="162">
        <f t="shared" si="147"/>
        <v>0</v>
      </c>
      <c r="AE8172" s="160">
        <v>8170</v>
      </c>
    </row>
    <row r="8173" spans="27:31" x14ac:dyDescent="0.25">
      <c r="AA8173" s="160"/>
      <c r="AB8173" s="162"/>
      <c r="AC8173" s="162"/>
      <c r="AD8173" s="162">
        <f t="shared" si="147"/>
        <v>0</v>
      </c>
      <c r="AE8173" s="160">
        <v>8171</v>
      </c>
    </row>
    <row r="8174" spans="27:31" x14ac:dyDescent="0.25">
      <c r="AA8174" s="160"/>
      <c r="AB8174" s="162"/>
      <c r="AC8174" s="162"/>
      <c r="AD8174" s="162">
        <f t="shared" si="147"/>
        <v>0</v>
      </c>
      <c r="AE8174" s="160">
        <v>8172</v>
      </c>
    </row>
    <row r="8175" spans="27:31" x14ac:dyDescent="0.25">
      <c r="AA8175" s="160"/>
      <c r="AB8175" s="162"/>
      <c r="AC8175" s="162"/>
      <c r="AD8175" s="162">
        <f t="shared" si="147"/>
        <v>0</v>
      </c>
      <c r="AE8175" s="160">
        <v>8173</v>
      </c>
    </row>
    <row r="8176" spans="27:31" x14ac:dyDescent="0.25">
      <c r="AA8176" s="160"/>
      <c r="AB8176" s="162"/>
      <c r="AC8176" s="162"/>
      <c r="AD8176" s="162">
        <f t="shared" si="147"/>
        <v>0</v>
      </c>
      <c r="AE8176" s="160">
        <v>8174</v>
      </c>
    </row>
    <row r="8177" spans="27:31" x14ac:dyDescent="0.25">
      <c r="AA8177" s="160"/>
      <c r="AB8177" s="162"/>
      <c r="AC8177" s="162"/>
      <c r="AD8177" s="162">
        <f t="shared" si="147"/>
        <v>0</v>
      </c>
      <c r="AE8177" s="160">
        <v>8175</v>
      </c>
    </row>
    <row r="8178" spans="27:31" x14ac:dyDescent="0.25">
      <c r="AA8178" s="160"/>
      <c r="AB8178" s="162"/>
      <c r="AC8178" s="162"/>
      <c r="AD8178" s="162">
        <f t="shared" si="147"/>
        <v>0</v>
      </c>
      <c r="AE8178" s="160">
        <v>8176</v>
      </c>
    </row>
    <row r="8179" spans="27:31" x14ac:dyDescent="0.25">
      <c r="AA8179" s="160"/>
      <c r="AB8179" s="162"/>
      <c r="AC8179" s="162"/>
      <c r="AD8179" s="162">
        <f t="shared" si="147"/>
        <v>0</v>
      </c>
      <c r="AE8179" s="160">
        <v>8177</v>
      </c>
    </row>
    <row r="8180" spans="27:31" x14ac:dyDescent="0.25">
      <c r="AA8180" s="160"/>
      <c r="AB8180" s="162"/>
      <c r="AC8180" s="162"/>
      <c r="AD8180" s="162">
        <f t="shared" si="147"/>
        <v>0</v>
      </c>
      <c r="AE8180" s="160">
        <v>8178</v>
      </c>
    </row>
    <row r="8181" spans="27:31" x14ac:dyDescent="0.25">
      <c r="AA8181" s="160"/>
      <c r="AB8181" s="162"/>
      <c r="AC8181" s="162"/>
      <c r="AD8181" s="162">
        <f t="shared" si="147"/>
        <v>0</v>
      </c>
      <c r="AE8181" s="160">
        <v>8179</v>
      </c>
    </row>
    <row r="8182" spans="27:31" x14ac:dyDescent="0.25">
      <c r="AA8182" s="160"/>
      <c r="AB8182" s="162"/>
      <c r="AC8182" s="162"/>
      <c r="AD8182" s="162">
        <f t="shared" si="147"/>
        <v>0</v>
      </c>
      <c r="AE8182" s="160">
        <v>8180</v>
      </c>
    </row>
    <row r="8183" spans="27:31" x14ac:dyDescent="0.25">
      <c r="AA8183" s="160"/>
      <c r="AB8183" s="162"/>
      <c r="AC8183" s="162"/>
      <c r="AD8183" s="162">
        <f t="shared" si="147"/>
        <v>0</v>
      </c>
      <c r="AE8183" s="160">
        <v>8181</v>
      </c>
    </row>
    <row r="8184" spans="27:31" x14ac:dyDescent="0.25">
      <c r="AA8184" s="160"/>
      <c r="AB8184" s="162"/>
      <c r="AC8184" s="162"/>
      <c r="AD8184" s="162">
        <f t="shared" si="147"/>
        <v>0</v>
      </c>
      <c r="AE8184" s="160">
        <v>8182</v>
      </c>
    </row>
    <row r="8185" spans="27:31" x14ac:dyDescent="0.25">
      <c r="AA8185" s="160"/>
      <c r="AB8185" s="162"/>
      <c r="AC8185" s="162"/>
      <c r="AD8185" s="162">
        <f t="shared" si="147"/>
        <v>0</v>
      </c>
      <c r="AE8185" s="160">
        <v>8183</v>
      </c>
    </row>
    <row r="8186" spans="27:31" x14ac:dyDescent="0.25">
      <c r="AA8186" s="160"/>
      <c r="AB8186" s="162"/>
      <c r="AC8186" s="162"/>
      <c r="AD8186" s="162">
        <f t="shared" si="147"/>
        <v>0</v>
      </c>
      <c r="AE8186" s="160">
        <v>8184</v>
      </c>
    </row>
    <row r="8187" spans="27:31" x14ac:dyDescent="0.25">
      <c r="AA8187" s="160"/>
      <c r="AB8187" s="162"/>
      <c r="AC8187" s="162"/>
      <c r="AD8187" s="162">
        <f t="shared" si="147"/>
        <v>0</v>
      </c>
      <c r="AE8187" s="160">
        <v>8185</v>
      </c>
    </row>
    <row r="8188" spans="27:31" x14ac:dyDescent="0.25">
      <c r="AA8188" s="160"/>
      <c r="AB8188" s="162"/>
      <c r="AC8188" s="162"/>
      <c r="AD8188" s="162">
        <f t="shared" si="147"/>
        <v>0</v>
      </c>
      <c r="AE8188" s="160">
        <v>8186</v>
      </c>
    </row>
    <row r="8189" spans="27:31" x14ac:dyDescent="0.25">
      <c r="AA8189" s="160"/>
      <c r="AB8189" s="162"/>
      <c r="AC8189" s="162"/>
      <c r="AD8189" s="162">
        <f t="shared" si="147"/>
        <v>0</v>
      </c>
      <c r="AE8189" s="160">
        <v>8187</v>
      </c>
    </row>
    <row r="8190" spans="27:31" x14ac:dyDescent="0.25">
      <c r="AA8190" s="160"/>
      <c r="AB8190" s="162"/>
      <c r="AC8190" s="162"/>
      <c r="AD8190" s="162">
        <f t="shared" si="147"/>
        <v>0</v>
      </c>
      <c r="AE8190" s="160">
        <v>8188</v>
      </c>
    </row>
    <row r="8191" spans="27:31" x14ac:dyDescent="0.25">
      <c r="AA8191" s="160"/>
      <c r="AB8191" s="162"/>
      <c r="AC8191" s="162"/>
      <c r="AD8191" s="162">
        <f t="shared" si="147"/>
        <v>0</v>
      </c>
      <c r="AE8191" s="160">
        <v>8189</v>
      </c>
    </row>
    <row r="8192" spans="27:31" x14ac:dyDescent="0.25">
      <c r="AA8192" s="160"/>
      <c r="AB8192" s="162"/>
      <c r="AC8192" s="162"/>
      <c r="AD8192" s="162">
        <f t="shared" si="147"/>
        <v>0</v>
      </c>
      <c r="AE8192" s="160">
        <v>8190</v>
      </c>
    </row>
    <row r="8193" spans="27:31" x14ac:dyDescent="0.25">
      <c r="AA8193" s="160"/>
      <c r="AB8193" s="162"/>
      <c r="AC8193" s="162"/>
      <c r="AD8193" s="162">
        <f t="shared" si="147"/>
        <v>0</v>
      </c>
      <c r="AE8193" s="160">
        <v>8191</v>
      </c>
    </row>
    <row r="8194" spans="27:31" x14ac:dyDescent="0.25">
      <c r="AA8194" s="160"/>
      <c r="AB8194" s="162"/>
      <c r="AC8194" s="162"/>
      <c r="AD8194" s="162">
        <f t="shared" si="147"/>
        <v>0</v>
      </c>
      <c r="AE8194" s="160">
        <v>8192</v>
      </c>
    </row>
    <row r="8195" spans="27:31" x14ac:dyDescent="0.25">
      <c r="AA8195" s="160"/>
      <c r="AB8195" s="162"/>
      <c r="AC8195" s="162"/>
      <c r="AD8195" s="162">
        <f t="shared" si="147"/>
        <v>0</v>
      </c>
      <c r="AE8195" s="160">
        <v>8193</v>
      </c>
    </row>
    <row r="8196" spans="27:31" x14ac:dyDescent="0.25">
      <c r="AA8196" s="160"/>
      <c r="AB8196" s="162"/>
      <c r="AC8196" s="162"/>
      <c r="AD8196" s="162">
        <f t="shared" ref="AD8196:AD8259" si="148">AB8196+AC8196</f>
        <v>0</v>
      </c>
      <c r="AE8196" s="160">
        <v>8194</v>
      </c>
    </row>
    <row r="8197" spans="27:31" x14ac:dyDescent="0.25">
      <c r="AA8197" s="160"/>
      <c r="AB8197" s="162"/>
      <c r="AC8197" s="162"/>
      <c r="AD8197" s="162">
        <f t="shared" si="148"/>
        <v>0</v>
      </c>
      <c r="AE8197" s="160">
        <v>8195</v>
      </c>
    </row>
    <row r="8198" spans="27:31" x14ac:dyDescent="0.25">
      <c r="AA8198" s="160"/>
      <c r="AB8198" s="162"/>
      <c r="AC8198" s="162"/>
      <c r="AD8198" s="162">
        <f t="shared" si="148"/>
        <v>0</v>
      </c>
      <c r="AE8198" s="160">
        <v>8196</v>
      </c>
    </row>
    <row r="8199" spans="27:31" x14ac:dyDescent="0.25">
      <c r="AA8199" s="160"/>
      <c r="AB8199" s="162"/>
      <c r="AC8199" s="162"/>
      <c r="AD8199" s="162">
        <f t="shared" si="148"/>
        <v>0</v>
      </c>
      <c r="AE8199" s="160">
        <v>8197</v>
      </c>
    </row>
    <row r="8200" spans="27:31" x14ac:dyDescent="0.25">
      <c r="AA8200" s="160"/>
      <c r="AB8200" s="162"/>
      <c r="AC8200" s="162"/>
      <c r="AD8200" s="162">
        <f t="shared" si="148"/>
        <v>0</v>
      </c>
      <c r="AE8200" s="160">
        <v>8198</v>
      </c>
    </row>
    <row r="8201" spans="27:31" x14ac:dyDescent="0.25">
      <c r="AA8201" s="160"/>
      <c r="AB8201" s="162"/>
      <c r="AC8201" s="162"/>
      <c r="AD8201" s="162">
        <f t="shared" si="148"/>
        <v>0</v>
      </c>
      <c r="AE8201" s="160">
        <v>8199</v>
      </c>
    </row>
    <row r="8202" spans="27:31" x14ac:dyDescent="0.25">
      <c r="AA8202" s="160"/>
      <c r="AB8202" s="162"/>
      <c r="AC8202" s="162"/>
      <c r="AD8202" s="162">
        <f t="shared" si="148"/>
        <v>0</v>
      </c>
      <c r="AE8202" s="160">
        <v>8200</v>
      </c>
    </row>
    <row r="8203" spans="27:31" x14ac:dyDescent="0.25">
      <c r="AA8203" s="160"/>
      <c r="AB8203" s="162"/>
      <c r="AC8203" s="162"/>
      <c r="AD8203" s="162">
        <f t="shared" si="148"/>
        <v>0</v>
      </c>
      <c r="AE8203" s="160">
        <v>8201</v>
      </c>
    </row>
    <row r="8204" spans="27:31" x14ac:dyDescent="0.25">
      <c r="AA8204" s="160"/>
      <c r="AB8204" s="162"/>
      <c r="AC8204" s="162"/>
      <c r="AD8204" s="162">
        <f t="shared" si="148"/>
        <v>0</v>
      </c>
      <c r="AE8204" s="160">
        <v>8202</v>
      </c>
    </row>
    <row r="8205" spans="27:31" x14ac:dyDescent="0.25">
      <c r="AA8205" s="160"/>
      <c r="AB8205" s="162"/>
      <c r="AC8205" s="162"/>
      <c r="AD8205" s="162">
        <f t="shared" si="148"/>
        <v>0</v>
      </c>
      <c r="AE8205" s="160">
        <v>8203</v>
      </c>
    </row>
    <row r="8206" spans="27:31" x14ac:dyDescent="0.25">
      <c r="AA8206" s="160"/>
      <c r="AB8206" s="162"/>
      <c r="AC8206" s="162"/>
      <c r="AD8206" s="162">
        <f t="shared" si="148"/>
        <v>0</v>
      </c>
      <c r="AE8206" s="160">
        <v>8204</v>
      </c>
    </row>
    <row r="8207" spans="27:31" x14ac:dyDescent="0.25">
      <c r="AA8207" s="160"/>
      <c r="AB8207" s="162"/>
      <c r="AC8207" s="162"/>
      <c r="AD8207" s="162">
        <f t="shared" si="148"/>
        <v>0</v>
      </c>
      <c r="AE8207" s="160">
        <v>8205</v>
      </c>
    </row>
    <row r="8208" spans="27:31" x14ac:dyDescent="0.25">
      <c r="AA8208" s="160"/>
      <c r="AB8208" s="162"/>
      <c r="AC8208" s="162"/>
      <c r="AD8208" s="162">
        <f t="shared" si="148"/>
        <v>0</v>
      </c>
      <c r="AE8208" s="160">
        <v>8206</v>
      </c>
    </row>
    <row r="8209" spans="27:31" x14ac:dyDescent="0.25">
      <c r="AA8209" s="160"/>
      <c r="AB8209" s="162"/>
      <c r="AC8209" s="162"/>
      <c r="AD8209" s="162">
        <f t="shared" si="148"/>
        <v>0</v>
      </c>
      <c r="AE8209" s="160">
        <v>8207</v>
      </c>
    </row>
    <row r="8210" spans="27:31" x14ac:dyDescent="0.25">
      <c r="AA8210" s="160"/>
      <c r="AB8210" s="162"/>
      <c r="AC8210" s="162"/>
      <c r="AD8210" s="162">
        <f t="shared" si="148"/>
        <v>0</v>
      </c>
      <c r="AE8210" s="160">
        <v>8208</v>
      </c>
    </row>
    <row r="8211" spans="27:31" x14ac:dyDescent="0.25">
      <c r="AA8211" s="160"/>
      <c r="AB8211" s="162"/>
      <c r="AC8211" s="162"/>
      <c r="AD8211" s="162">
        <f t="shared" si="148"/>
        <v>0</v>
      </c>
      <c r="AE8211" s="160">
        <v>8209</v>
      </c>
    </row>
    <row r="8212" spans="27:31" x14ac:dyDescent="0.25">
      <c r="AA8212" s="160"/>
      <c r="AB8212" s="162"/>
      <c r="AC8212" s="162"/>
      <c r="AD8212" s="162">
        <f t="shared" si="148"/>
        <v>0</v>
      </c>
      <c r="AE8212" s="160">
        <v>8210</v>
      </c>
    </row>
    <row r="8213" spans="27:31" x14ac:dyDescent="0.25">
      <c r="AA8213" s="160"/>
      <c r="AB8213" s="162"/>
      <c r="AC8213" s="162"/>
      <c r="AD8213" s="162">
        <f t="shared" si="148"/>
        <v>0</v>
      </c>
      <c r="AE8213" s="160">
        <v>8211</v>
      </c>
    </row>
    <row r="8214" spans="27:31" x14ac:dyDescent="0.25">
      <c r="AA8214" s="160"/>
      <c r="AB8214" s="162"/>
      <c r="AC8214" s="162"/>
      <c r="AD8214" s="162">
        <f t="shared" si="148"/>
        <v>0</v>
      </c>
      <c r="AE8214" s="160">
        <v>8212</v>
      </c>
    </row>
    <row r="8215" spans="27:31" x14ac:dyDescent="0.25">
      <c r="AA8215" s="160"/>
      <c r="AB8215" s="162"/>
      <c r="AC8215" s="162"/>
      <c r="AD8215" s="162">
        <f t="shared" si="148"/>
        <v>0</v>
      </c>
      <c r="AE8215" s="160">
        <v>8213</v>
      </c>
    </row>
    <row r="8216" spans="27:31" x14ac:dyDescent="0.25">
      <c r="AA8216" s="160"/>
      <c r="AB8216" s="162"/>
      <c r="AC8216" s="162"/>
      <c r="AD8216" s="162">
        <f t="shared" si="148"/>
        <v>0</v>
      </c>
      <c r="AE8216" s="160">
        <v>8214</v>
      </c>
    </row>
    <row r="8217" spans="27:31" x14ac:dyDescent="0.25">
      <c r="AA8217" s="160"/>
      <c r="AB8217" s="162"/>
      <c r="AC8217" s="162"/>
      <c r="AD8217" s="162">
        <f t="shared" si="148"/>
        <v>0</v>
      </c>
      <c r="AE8217" s="160">
        <v>8215</v>
      </c>
    </row>
    <row r="8218" spans="27:31" x14ac:dyDescent="0.25">
      <c r="AA8218" s="160"/>
      <c r="AB8218" s="162"/>
      <c r="AC8218" s="162"/>
      <c r="AD8218" s="162">
        <f t="shared" si="148"/>
        <v>0</v>
      </c>
      <c r="AE8218" s="160">
        <v>8216</v>
      </c>
    </row>
    <row r="8219" spans="27:31" x14ac:dyDescent="0.25">
      <c r="AA8219" s="160"/>
      <c r="AB8219" s="162"/>
      <c r="AC8219" s="162"/>
      <c r="AD8219" s="162">
        <f t="shared" si="148"/>
        <v>0</v>
      </c>
      <c r="AE8219" s="160">
        <v>8217</v>
      </c>
    </row>
    <row r="8220" spans="27:31" x14ac:dyDescent="0.25">
      <c r="AA8220" s="160"/>
      <c r="AB8220" s="162"/>
      <c r="AC8220" s="162"/>
      <c r="AD8220" s="162">
        <f t="shared" si="148"/>
        <v>0</v>
      </c>
      <c r="AE8220" s="160">
        <v>8218</v>
      </c>
    </row>
    <row r="8221" spans="27:31" x14ac:dyDescent="0.25">
      <c r="AA8221" s="160"/>
      <c r="AB8221" s="162"/>
      <c r="AC8221" s="162"/>
      <c r="AD8221" s="162">
        <f t="shared" si="148"/>
        <v>0</v>
      </c>
      <c r="AE8221" s="160">
        <v>8219</v>
      </c>
    </row>
    <row r="8222" spans="27:31" x14ac:dyDescent="0.25">
      <c r="AA8222" s="160"/>
      <c r="AB8222" s="162"/>
      <c r="AC8222" s="162"/>
      <c r="AD8222" s="162">
        <f t="shared" si="148"/>
        <v>0</v>
      </c>
      <c r="AE8222" s="160">
        <v>8220</v>
      </c>
    </row>
    <row r="8223" spans="27:31" x14ac:dyDescent="0.25">
      <c r="AA8223" s="160"/>
      <c r="AB8223" s="162"/>
      <c r="AC8223" s="162"/>
      <c r="AD8223" s="162">
        <f t="shared" si="148"/>
        <v>0</v>
      </c>
      <c r="AE8223" s="160">
        <v>8221</v>
      </c>
    </row>
    <row r="8224" spans="27:31" x14ac:dyDescent="0.25">
      <c r="AA8224" s="160"/>
      <c r="AB8224" s="162"/>
      <c r="AC8224" s="162"/>
      <c r="AD8224" s="162">
        <f t="shared" si="148"/>
        <v>0</v>
      </c>
      <c r="AE8224" s="160">
        <v>8222</v>
      </c>
    </row>
    <row r="8225" spans="27:31" x14ac:dyDescent="0.25">
      <c r="AA8225" s="160"/>
      <c r="AB8225" s="162"/>
      <c r="AC8225" s="162"/>
      <c r="AD8225" s="162">
        <f t="shared" si="148"/>
        <v>0</v>
      </c>
      <c r="AE8225" s="160">
        <v>8223</v>
      </c>
    </row>
    <row r="8226" spans="27:31" x14ac:dyDescent="0.25">
      <c r="AA8226" s="160"/>
      <c r="AB8226" s="162"/>
      <c r="AC8226" s="162"/>
      <c r="AD8226" s="162">
        <f t="shared" si="148"/>
        <v>0</v>
      </c>
      <c r="AE8226" s="160">
        <v>8224</v>
      </c>
    </row>
    <row r="8227" spans="27:31" x14ac:dyDescent="0.25">
      <c r="AA8227" s="160"/>
      <c r="AB8227" s="162"/>
      <c r="AC8227" s="162"/>
      <c r="AD8227" s="162">
        <f t="shared" si="148"/>
        <v>0</v>
      </c>
      <c r="AE8227" s="160">
        <v>8225</v>
      </c>
    </row>
    <row r="8228" spans="27:31" x14ac:dyDescent="0.25">
      <c r="AA8228" s="160"/>
      <c r="AB8228" s="162"/>
      <c r="AC8228" s="162"/>
      <c r="AD8228" s="162">
        <f t="shared" si="148"/>
        <v>0</v>
      </c>
      <c r="AE8228" s="160">
        <v>8226</v>
      </c>
    </row>
    <row r="8229" spans="27:31" x14ac:dyDescent="0.25">
      <c r="AA8229" s="160"/>
      <c r="AB8229" s="162"/>
      <c r="AC8229" s="162"/>
      <c r="AD8229" s="162">
        <f t="shared" si="148"/>
        <v>0</v>
      </c>
      <c r="AE8229" s="160">
        <v>8227</v>
      </c>
    </row>
    <row r="8230" spans="27:31" x14ac:dyDescent="0.25">
      <c r="AA8230" s="160"/>
      <c r="AB8230" s="162"/>
      <c r="AC8230" s="162"/>
      <c r="AD8230" s="162">
        <f t="shared" si="148"/>
        <v>0</v>
      </c>
      <c r="AE8230" s="160">
        <v>8228</v>
      </c>
    </row>
    <row r="8231" spans="27:31" x14ac:dyDescent="0.25">
      <c r="AA8231" s="160"/>
      <c r="AB8231" s="162"/>
      <c r="AC8231" s="162"/>
      <c r="AD8231" s="162">
        <f t="shared" si="148"/>
        <v>0</v>
      </c>
      <c r="AE8231" s="160">
        <v>8229</v>
      </c>
    </row>
    <row r="8232" spans="27:31" x14ac:dyDescent="0.25">
      <c r="AA8232" s="160"/>
      <c r="AB8232" s="162"/>
      <c r="AC8232" s="162"/>
      <c r="AD8232" s="162">
        <f t="shared" si="148"/>
        <v>0</v>
      </c>
      <c r="AE8232" s="160">
        <v>8230</v>
      </c>
    </row>
    <row r="8233" spans="27:31" x14ac:dyDescent="0.25">
      <c r="AA8233" s="160"/>
      <c r="AB8233" s="162"/>
      <c r="AC8233" s="162"/>
      <c r="AD8233" s="162">
        <f t="shared" si="148"/>
        <v>0</v>
      </c>
      <c r="AE8233" s="160">
        <v>8231</v>
      </c>
    </row>
    <row r="8234" spans="27:31" x14ac:dyDescent="0.25">
      <c r="AA8234" s="160"/>
      <c r="AB8234" s="162"/>
      <c r="AC8234" s="162"/>
      <c r="AD8234" s="162">
        <f t="shared" si="148"/>
        <v>0</v>
      </c>
      <c r="AE8234" s="160">
        <v>8232</v>
      </c>
    </row>
    <row r="8235" spans="27:31" x14ac:dyDescent="0.25">
      <c r="AA8235" s="160"/>
      <c r="AB8235" s="162"/>
      <c r="AC8235" s="162"/>
      <c r="AD8235" s="162">
        <f t="shared" si="148"/>
        <v>0</v>
      </c>
      <c r="AE8235" s="160">
        <v>8233</v>
      </c>
    </row>
    <row r="8236" spans="27:31" x14ac:dyDescent="0.25">
      <c r="AA8236" s="160"/>
      <c r="AB8236" s="162"/>
      <c r="AC8236" s="162"/>
      <c r="AD8236" s="162">
        <f t="shared" si="148"/>
        <v>0</v>
      </c>
      <c r="AE8236" s="160">
        <v>8234</v>
      </c>
    </row>
    <row r="8237" spans="27:31" x14ac:dyDescent="0.25">
      <c r="AA8237" s="160"/>
      <c r="AB8237" s="162"/>
      <c r="AC8237" s="162"/>
      <c r="AD8237" s="162">
        <f t="shared" si="148"/>
        <v>0</v>
      </c>
      <c r="AE8237" s="160">
        <v>8235</v>
      </c>
    </row>
    <row r="8238" spans="27:31" x14ac:dyDescent="0.25">
      <c r="AA8238" s="160"/>
      <c r="AB8238" s="162"/>
      <c r="AC8238" s="162"/>
      <c r="AD8238" s="162">
        <f t="shared" si="148"/>
        <v>0</v>
      </c>
      <c r="AE8238" s="160">
        <v>8236</v>
      </c>
    </row>
    <row r="8239" spans="27:31" x14ac:dyDescent="0.25">
      <c r="AA8239" s="160"/>
      <c r="AB8239" s="162"/>
      <c r="AC8239" s="162"/>
      <c r="AD8239" s="162">
        <f t="shared" si="148"/>
        <v>0</v>
      </c>
      <c r="AE8239" s="160">
        <v>8237</v>
      </c>
    </row>
    <row r="8240" spans="27:31" x14ac:dyDescent="0.25">
      <c r="AA8240" s="160"/>
      <c r="AB8240" s="162"/>
      <c r="AC8240" s="162"/>
      <c r="AD8240" s="162">
        <f t="shared" si="148"/>
        <v>0</v>
      </c>
      <c r="AE8240" s="160">
        <v>8238</v>
      </c>
    </row>
    <row r="8241" spans="27:31" x14ac:dyDescent="0.25">
      <c r="AA8241" s="160"/>
      <c r="AB8241" s="162"/>
      <c r="AC8241" s="162"/>
      <c r="AD8241" s="162">
        <f t="shared" si="148"/>
        <v>0</v>
      </c>
      <c r="AE8241" s="160">
        <v>8239</v>
      </c>
    </row>
    <row r="8242" spans="27:31" x14ac:dyDescent="0.25">
      <c r="AA8242" s="160"/>
      <c r="AB8242" s="162"/>
      <c r="AC8242" s="162"/>
      <c r="AD8242" s="162">
        <f t="shared" si="148"/>
        <v>0</v>
      </c>
      <c r="AE8242" s="160">
        <v>8240</v>
      </c>
    </row>
    <row r="8243" spans="27:31" x14ac:dyDescent="0.25">
      <c r="AA8243" s="160"/>
      <c r="AB8243" s="162"/>
      <c r="AC8243" s="162"/>
      <c r="AD8243" s="162">
        <f t="shared" si="148"/>
        <v>0</v>
      </c>
      <c r="AE8243" s="160">
        <v>8241</v>
      </c>
    </row>
    <row r="8244" spans="27:31" x14ac:dyDescent="0.25">
      <c r="AA8244" s="160"/>
      <c r="AB8244" s="162"/>
      <c r="AC8244" s="162"/>
      <c r="AD8244" s="162">
        <f t="shared" si="148"/>
        <v>0</v>
      </c>
      <c r="AE8244" s="160">
        <v>8242</v>
      </c>
    </row>
    <row r="8245" spans="27:31" x14ac:dyDescent="0.25">
      <c r="AA8245" s="160"/>
      <c r="AB8245" s="162"/>
      <c r="AC8245" s="162"/>
      <c r="AD8245" s="162">
        <f t="shared" si="148"/>
        <v>0</v>
      </c>
      <c r="AE8245" s="160">
        <v>8243</v>
      </c>
    </row>
    <row r="8246" spans="27:31" x14ac:dyDescent="0.25">
      <c r="AA8246" s="160"/>
      <c r="AB8246" s="162"/>
      <c r="AC8246" s="162"/>
      <c r="AD8246" s="162">
        <f t="shared" si="148"/>
        <v>0</v>
      </c>
      <c r="AE8246" s="160">
        <v>8244</v>
      </c>
    </row>
    <row r="8247" spans="27:31" x14ac:dyDescent="0.25">
      <c r="AA8247" s="160"/>
      <c r="AB8247" s="162"/>
      <c r="AC8247" s="162"/>
      <c r="AD8247" s="162">
        <f t="shared" si="148"/>
        <v>0</v>
      </c>
      <c r="AE8247" s="160">
        <v>8245</v>
      </c>
    </row>
    <row r="8248" spans="27:31" x14ac:dyDescent="0.25">
      <c r="AA8248" s="160"/>
      <c r="AB8248" s="162"/>
      <c r="AC8248" s="162"/>
      <c r="AD8248" s="162">
        <f t="shared" si="148"/>
        <v>0</v>
      </c>
      <c r="AE8248" s="160">
        <v>8246</v>
      </c>
    </row>
    <row r="8249" spans="27:31" x14ac:dyDescent="0.25">
      <c r="AA8249" s="160"/>
      <c r="AB8249" s="162"/>
      <c r="AC8249" s="162"/>
      <c r="AD8249" s="162">
        <f t="shared" si="148"/>
        <v>0</v>
      </c>
      <c r="AE8249" s="160">
        <v>8247</v>
      </c>
    </row>
    <row r="8250" spans="27:31" x14ac:dyDescent="0.25">
      <c r="AA8250" s="160"/>
      <c r="AB8250" s="162"/>
      <c r="AC8250" s="162"/>
      <c r="AD8250" s="162">
        <f t="shared" si="148"/>
        <v>0</v>
      </c>
      <c r="AE8250" s="160">
        <v>8248</v>
      </c>
    </row>
    <row r="8251" spans="27:31" x14ac:dyDescent="0.25">
      <c r="AA8251" s="160"/>
      <c r="AB8251" s="162"/>
      <c r="AC8251" s="162"/>
      <c r="AD8251" s="162">
        <f t="shared" si="148"/>
        <v>0</v>
      </c>
      <c r="AE8251" s="160">
        <v>8249</v>
      </c>
    </row>
    <row r="8252" spans="27:31" x14ac:dyDescent="0.25">
      <c r="AA8252" s="160"/>
      <c r="AB8252" s="162"/>
      <c r="AC8252" s="162"/>
      <c r="AD8252" s="162">
        <f t="shared" si="148"/>
        <v>0</v>
      </c>
      <c r="AE8252" s="160">
        <v>8250</v>
      </c>
    </row>
    <row r="8253" spans="27:31" x14ac:dyDescent="0.25">
      <c r="AA8253" s="160"/>
      <c r="AB8253" s="162"/>
      <c r="AC8253" s="162"/>
      <c r="AD8253" s="162">
        <f t="shared" si="148"/>
        <v>0</v>
      </c>
      <c r="AE8253" s="160">
        <v>8251</v>
      </c>
    </row>
    <row r="8254" spans="27:31" x14ac:dyDescent="0.25">
      <c r="AA8254" s="160"/>
      <c r="AB8254" s="162"/>
      <c r="AC8254" s="162"/>
      <c r="AD8254" s="162">
        <f t="shared" si="148"/>
        <v>0</v>
      </c>
      <c r="AE8254" s="160">
        <v>8252</v>
      </c>
    </row>
    <row r="8255" spans="27:31" x14ac:dyDescent="0.25">
      <c r="AA8255" s="160"/>
      <c r="AB8255" s="162"/>
      <c r="AC8255" s="162"/>
      <c r="AD8255" s="162">
        <f t="shared" si="148"/>
        <v>0</v>
      </c>
      <c r="AE8255" s="160">
        <v>8253</v>
      </c>
    </row>
    <row r="8256" spans="27:31" x14ac:dyDescent="0.25">
      <c r="AA8256" s="160"/>
      <c r="AB8256" s="162"/>
      <c r="AC8256" s="162"/>
      <c r="AD8256" s="162">
        <f t="shared" si="148"/>
        <v>0</v>
      </c>
      <c r="AE8256" s="160">
        <v>8254</v>
      </c>
    </row>
    <row r="8257" spans="27:31" x14ac:dyDescent="0.25">
      <c r="AA8257" s="160"/>
      <c r="AB8257" s="162"/>
      <c r="AC8257" s="162"/>
      <c r="AD8257" s="162">
        <f t="shared" si="148"/>
        <v>0</v>
      </c>
      <c r="AE8257" s="160">
        <v>8255</v>
      </c>
    </row>
    <row r="8258" spans="27:31" x14ac:dyDescent="0.25">
      <c r="AA8258" s="160"/>
      <c r="AB8258" s="162"/>
      <c r="AC8258" s="162"/>
      <c r="AD8258" s="162">
        <f t="shared" si="148"/>
        <v>0</v>
      </c>
      <c r="AE8258" s="160">
        <v>8256</v>
      </c>
    </row>
    <row r="8259" spans="27:31" x14ac:dyDescent="0.25">
      <c r="AA8259" s="160"/>
      <c r="AB8259" s="162"/>
      <c r="AC8259" s="162"/>
      <c r="AD8259" s="162">
        <f t="shared" si="148"/>
        <v>0</v>
      </c>
      <c r="AE8259" s="160">
        <v>8257</v>
      </c>
    </row>
    <row r="8260" spans="27:31" x14ac:dyDescent="0.25">
      <c r="AA8260" s="160"/>
      <c r="AB8260" s="162"/>
      <c r="AC8260" s="162"/>
      <c r="AD8260" s="162">
        <f t="shared" ref="AD8260:AD8323" si="149">AB8260+AC8260</f>
        <v>0</v>
      </c>
      <c r="AE8260" s="160">
        <v>8258</v>
      </c>
    </row>
    <row r="8261" spans="27:31" x14ac:dyDescent="0.25">
      <c r="AA8261" s="160"/>
      <c r="AB8261" s="162"/>
      <c r="AC8261" s="162"/>
      <c r="AD8261" s="162">
        <f t="shared" si="149"/>
        <v>0</v>
      </c>
      <c r="AE8261" s="160">
        <v>8259</v>
      </c>
    </row>
    <row r="8262" spans="27:31" x14ac:dyDescent="0.25">
      <c r="AA8262" s="160"/>
      <c r="AB8262" s="162"/>
      <c r="AC8262" s="162"/>
      <c r="AD8262" s="162">
        <f t="shared" si="149"/>
        <v>0</v>
      </c>
      <c r="AE8262" s="160">
        <v>8260</v>
      </c>
    </row>
    <row r="8263" spans="27:31" x14ac:dyDescent="0.25">
      <c r="AA8263" s="160"/>
      <c r="AB8263" s="162"/>
      <c r="AC8263" s="162"/>
      <c r="AD8263" s="162">
        <f t="shared" si="149"/>
        <v>0</v>
      </c>
      <c r="AE8263" s="160">
        <v>8261</v>
      </c>
    </row>
    <row r="8264" spans="27:31" x14ac:dyDescent="0.25">
      <c r="AA8264" s="160"/>
      <c r="AB8264" s="162"/>
      <c r="AC8264" s="162"/>
      <c r="AD8264" s="162">
        <f t="shared" si="149"/>
        <v>0</v>
      </c>
      <c r="AE8264" s="160">
        <v>8262</v>
      </c>
    </row>
    <row r="8265" spans="27:31" x14ac:dyDescent="0.25">
      <c r="AA8265" s="160"/>
      <c r="AB8265" s="162"/>
      <c r="AC8265" s="162"/>
      <c r="AD8265" s="162">
        <f t="shared" si="149"/>
        <v>0</v>
      </c>
      <c r="AE8265" s="160">
        <v>8263</v>
      </c>
    </row>
    <row r="8266" spans="27:31" x14ac:dyDescent="0.25">
      <c r="AA8266" s="160"/>
      <c r="AB8266" s="162"/>
      <c r="AC8266" s="162"/>
      <c r="AD8266" s="162">
        <f t="shared" si="149"/>
        <v>0</v>
      </c>
      <c r="AE8266" s="160">
        <v>8264</v>
      </c>
    </row>
    <row r="8267" spans="27:31" x14ac:dyDescent="0.25">
      <c r="AA8267" s="160"/>
      <c r="AB8267" s="162"/>
      <c r="AC8267" s="162"/>
      <c r="AD8267" s="162">
        <f t="shared" si="149"/>
        <v>0</v>
      </c>
      <c r="AE8267" s="160">
        <v>8265</v>
      </c>
    </row>
    <row r="8268" spans="27:31" x14ac:dyDescent="0.25">
      <c r="AA8268" s="160"/>
      <c r="AB8268" s="162"/>
      <c r="AC8268" s="162"/>
      <c r="AD8268" s="162">
        <f t="shared" si="149"/>
        <v>0</v>
      </c>
      <c r="AE8268" s="160">
        <v>8266</v>
      </c>
    </row>
    <row r="8269" spans="27:31" x14ac:dyDescent="0.25">
      <c r="AA8269" s="160"/>
      <c r="AB8269" s="162"/>
      <c r="AC8269" s="162"/>
      <c r="AD8269" s="162">
        <f t="shared" si="149"/>
        <v>0</v>
      </c>
      <c r="AE8269" s="160">
        <v>8267</v>
      </c>
    </row>
    <row r="8270" spans="27:31" x14ac:dyDescent="0.25">
      <c r="AA8270" s="160"/>
      <c r="AB8270" s="162"/>
      <c r="AC8270" s="162"/>
      <c r="AD8270" s="162">
        <f t="shared" si="149"/>
        <v>0</v>
      </c>
      <c r="AE8270" s="160">
        <v>8268</v>
      </c>
    </row>
    <row r="8271" spans="27:31" x14ac:dyDescent="0.25">
      <c r="AA8271" s="160"/>
      <c r="AB8271" s="162"/>
      <c r="AC8271" s="162"/>
      <c r="AD8271" s="162">
        <f t="shared" si="149"/>
        <v>0</v>
      </c>
      <c r="AE8271" s="160">
        <v>8269</v>
      </c>
    </row>
    <row r="8272" spans="27:31" x14ac:dyDescent="0.25">
      <c r="AA8272" s="160"/>
      <c r="AB8272" s="162"/>
      <c r="AC8272" s="162"/>
      <c r="AD8272" s="162">
        <f t="shared" si="149"/>
        <v>0</v>
      </c>
      <c r="AE8272" s="160">
        <v>8270</v>
      </c>
    </row>
    <row r="8273" spans="27:31" x14ac:dyDescent="0.25">
      <c r="AA8273" s="160"/>
      <c r="AB8273" s="162"/>
      <c r="AC8273" s="162"/>
      <c r="AD8273" s="162">
        <f t="shared" si="149"/>
        <v>0</v>
      </c>
      <c r="AE8273" s="160">
        <v>8271</v>
      </c>
    </row>
    <row r="8274" spans="27:31" x14ac:dyDescent="0.25">
      <c r="AA8274" s="160"/>
      <c r="AB8274" s="162"/>
      <c r="AC8274" s="162"/>
      <c r="AD8274" s="162">
        <f t="shared" si="149"/>
        <v>0</v>
      </c>
      <c r="AE8274" s="160">
        <v>8272</v>
      </c>
    </row>
    <row r="8275" spans="27:31" x14ac:dyDescent="0.25">
      <c r="AA8275" s="160"/>
      <c r="AB8275" s="162"/>
      <c r="AC8275" s="162"/>
      <c r="AD8275" s="162">
        <f t="shared" si="149"/>
        <v>0</v>
      </c>
      <c r="AE8275" s="160">
        <v>8273</v>
      </c>
    </row>
    <row r="8276" spans="27:31" x14ac:dyDescent="0.25">
      <c r="AA8276" s="160"/>
      <c r="AB8276" s="162"/>
      <c r="AC8276" s="162"/>
      <c r="AD8276" s="162">
        <f t="shared" si="149"/>
        <v>0</v>
      </c>
      <c r="AE8276" s="160">
        <v>8274</v>
      </c>
    </row>
    <row r="8277" spans="27:31" x14ac:dyDescent="0.25">
      <c r="AA8277" s="160"/>
      <c r="AB8277" s="162"/>
      <c r="AC8277" s="162"/>
      <c r="AD8277" s="162">
        <f t="shared" si="149"/>
        <v>0</v>
      </c>
      <c r="AE8277" s="160">
        <v>8275</v>
      </c>
    </row>
    <row r="8278" spans="27:31" x14ac:dyDescent="0.25">
      <c r="AA8278" s="160"/>
      <c r="AB8278" s="162"/>
      <c r="AC8278" s="162"/>
      <c r="AD8278" s="162">
        <f t="shared" si="149"/>
        <v>0</v>
      </c>
      <c r="AE8278" s="160">
        <v>8276</v>
      </c>
    </row>
    <row r="8279" spans="27:31" x14ac:dyDescent="0.25">
      <c r="AA8279" s="160"/>
      <c r="AB8279" s="162"/>
      <c r="AC8279" s="162"/>
      <c r="AD8279" s="162">
        <f t="shared" si="149"/>
        <v>0</v>
      </c>
      <c r="AE8279" s="160">
        <v>8277</v>
      </c>
    </row>
    <row r="8280" spans="27:31" x14ac:dyDescent="0.25">
      <c r="AA8280" s="160"/>
      <c r="AB8280" s="162"/>
      <c r="AC8280" s="162"/>
      <c r="AD8280" s="162">
        <f t="shared" si="149"/>
        <v>0</v>
      </c>
      <c r="AE8280" s="160">
        <v>8278</v>
      </c>
    </row>
    <row r="8281" spans="27:31" x14ac:dyDescent="0.25">
      <c r="AA8281" s="160"/>
      <c r="AB8281" s="162"/>
      <c r="AC8281" s="162"/>
      <c r="AD8281" s="162">
        <f t="shared" si="149"/>
        <v>0</v>
      </c>
      <c r="AE8281" s="160">
        <v>8279</v>
      </c>
    </row>
    <row r="8282" spans="27:31" x14ac:dyDescent="0.25">
      <c r="AA8282" s="160"/>
      <c r="AB8282" s="162"/>
      <c r="AC8282" s="162"/>
      <c r="AD8282" s="162">
        <f t="shared" si="149"/>
        <v>0</v>
      </c>
      <c r="AE8282" s="160">
        <v>8280</v>
      </c>
    </row>
    <row r="8283" spans="27:31" x14ac:dyDescent="0.25">
      <c r="AA8283" s="160"/>
      <c r="AB8283" s="162"/>
      <c r="AC8283" s="162"/>
      <c r="AD8283" s="162">
        <f t="shared" si="149"/>
        <v>0</v>
      </c>
      <c r="AE8283" s="160">
        <v>8281</v>
      </c>
    </row>
    <row r="8284" spans="27:31" x14ac:dyDescent="0.25">
      <c r="AA8284" s="160"/>
      <c r="AB8284" s="162"/>
      <c r="AC8284" s="162"/>
      <c r="AD8284" s="162">
        <f t="shared" si="149"/>
        <v>0</v>
      </c>
      <c r="AE8284" s="160">
        <v>8282</v>
      </c>
    </row>
    <row r="8285" spans="27:31" x14ac:dyDescent="0.25">
      <c r="AA8285" s="160"/>
      <c r="AB8285" s="162"/>
      <c r="AC8285" s="162"/>
      <c r="AD8285" s="162">
        <f t="shared" si="149"/>
        <v>0</v>
      </c>
      <c r="AE8285" s="160">
        <v>8283</v>
      </c>
    </row>
    <row r="8286" spans="27:31" x14ac:dyDescent="0.25">
      <c r="AA8286" s="160"/>
      <c r="AB8286" s="162"/>
      <c r="AC8286" s="162"/>
      <c r="AD8286" s="162">
        <f t="shared" si="149"/>
        <v>0</v>
      </c>
      <c r="AE8286" s="160">
        <v>8284</v>
      </c>
    </row>
    <row r="8287" spans="27:31" x14ac:dyDescent="0.25">
      <c r="AA8287" s="160"/>
      <c r="AB8287" s="162"/>
      <c r="AC8287" s="162"/>
      <c r="AD8287" s="162">
        <f t="shared" si="149"/>
        <v>0</v>
      </c>
      <c r="AE8287" s="160">
        <v>8285</v>
      </c>
    </row>
    <row r="8288" spans="27:31" x14ac:dyDescent="0.25">
      <c r="AA8288" s="160"/>
      <c r="AB8288" s="162"/>
      <c r="AC8288" s="162"/>
      <c r="AD8288" s="162">
        <f t="shared" si="149"/>
        <v>0</v>
      </c>
      <c r="AE8288" s="160">
        <v>8286</v>
      </c>
    </row>
    <row r="8289" spans="27:31" x14ac:dyDescent="0.25">
      <c r="AA8289" s="160"/>
      <c r="AB8289" s="162"/>
      <c r="AC8289" s="162"/>
      <c r="AD8289" s="162">
        <f t="shared" si="149"/>
        <v>0</v>
      </c>
      <c r="AE8289" s="160">
        <v>8287</v>
      </c>
    </row>
    <row r="8290" spans="27:31" x14ac:dyDescent="0.25">
      <c r="AA8290" s="160"/>
      <c r="AB8290" s="162"/>
      <c r="AC8290" s="162"/>
      <c r="AD8290" s="162">
        <f t="shared" si="149"/>
        <v>0</v>
      </c>
      <c r="AE8290" s="160">
        <v>8288</v>
      </c>
    </row>
    <row r="8291" spans="27:31" x14ac:dyDescent="0.25">
      <c r="AA8291" s="160"/>
      <c r="AB8291" s="162"/>
      <c r="AC8291" s="162"/>
      <c r="AD8291" s="162">
        <f t="shared" si="149"/>
        <v>0</v>
      </c>
      <c r="AE8291" s="160">
        <v>8289</v>
      </c>
    </row>
    <row r="8292" spans="27:31" x14ac:dyDescent="0.25">
      <c r="AA8292" s="160"/>
      <c r="AB8292" s="162"/>
      <c r="AC8292" s="162"/>
      <c r="AD8292" s="162">
        <f t="shared" si="149"/>
        <v>0</v>
      </c>
      <c r="AE8292" s="160">
        <v>8290</v>
      </c>
    </row>
    <row r="8293" spans="27:31" x14ac:dyDescent="0.25">
      <c r="AA8293" s="160"/>
      <c r="AB8293" s="162"/>
      <c r="AC8293" s="162"/>
      <c r="AD8293" s="162">
        <f t="shared" si="149"/>
        <v>0</v>
      </c>
      <c r="AE8293" s="160">
        <v>8291</v>
      </c>
    </row>
    <row r="8294" spans="27:31" x14ac:dyDescent="0.25">
      <c r="AA8294" s="160"/>
      <c r="AB8294" s="162"/>
      <c r="AC8294" s="162"/>
      <c r="AD8294" s="162">
        <f t="shared" si="149"/>
        <v>0</v>
      </c>
      <c r="AE8294" s="160">
        <v>8292</v>
      </c>
    </row>
    <row r="8295" spans="27:31" x14ac:dyDescent="0.25">
      <c r="AA8295" s="160"/>
      <c r="AB8295" s="162"/>
      <c r="AC8295" s="162"/>
      <c r="AD8295" s="162">
        <f t="shared" si="149"/>
        <v>0</v>
      </c>
      <c r="AE8295" s="160">
        <v>8293</v>
      </c>
    </row>
    <row r="8296" spans="27:31" x14ac:dyDescent="0.25">
      <c r="AA8296" s="160"/>
      <c r="AB8296" s="162"/>
      <c r="AC8296" s="162"/>
      <c r="AD8296" s="162">
        <f t="shared" si="149"/>
        <v>0</v>
      </c>
      <c r="AE8296" s="160">
        <v>8294</v>
      </c>
    </row>
    <row r="8297" spans="27:31" x14ac:dyDescent="0.25">
      <c r="AA8297" s="160"/>
      <c r="AB8297" s="162"/>
      <c r="AC8297" s="162"/>
      <c r="AD8297" s="162">
        <f t="shared" si="149"/>
        <v>0</v>
      </c>
      <c r="AE8297" s="160">
        <v>8295</v>
      </c>
    </row>
    <row r="8298" spans="27:31" x14ac:dyDescent="0.25">
      <c r="AA8298" s="160"/>
      <c r="AB8298" s="162"/>
      <c r="AC8298" s="162"/>
      <c r="AD8298" s="162">
        <f t="shared" si="149"/>
        <v>0</v>
      </c>
      <c r="AE8298" s="160">
        <v>8296</v>
      </c>
    </row>
    <row r="8299" spans="27:31" x14ac:dyDescent="0.25">
      <c r="AA8299" s="160"/>
      <c r="AB8299" s="162"/>
      <c r="AC8299" s="162"/>
      <c r="AD8299" s="162">
        <f t="shared" si="149"/>
        <v>0</v>
      </c>
      <c r="AE8299" s="160">
        <v>8297</v>
      </c>
    </row>
    <row r="8300" spans="27:31" x14ac:dyDescent="0.25">
      <c r="AA8300" s="160"/>
      <c r="AB8300" s="162"/>
      <c r="AC8300" s="162"/>
      <c r="AD8300" s="162">
        <f t="shared" si="149"/>
        <v>0</v>
      </c>
      <c r="AE8300" s="160">
        <v>8298</v>
      </c>
    </row>
    <row r="8301" spans="27:31" x14ac:dyDescent="0.25">
      <c r="AA8301" s="160"/>
      <c r="AB8301" s="162"/>
      <c r="AC8301" s="162"/>
      <c r="AD8301" s="162">
        <f t="shared" si="149"/>
        <v>0</v>
      </c>
      <c r="AE8301" s="160">
        <v>8299</v>
      </c>
    </row>
    <row r="8302" spans="27:31" x14ac:dyDescent="0.25">
      <c r="AA8302" s="160"/>
      <c r="AB8302" s="162"/>
      <c r="AC8302" s="162"/>
      <c r="AD8302" s="162">
        <f t="shared" si="149"/>
        <v>0</v>
      </c>
      <c r="AE8302" s="160">
        <v>8300</v>
      </c>
    </row>
    <row r="8303" spans="27:31" x14ac:dyDescent="0.25">
      <c r="AA8303" s="160"/>
      <c r="AB8303" s="162"/>
      <c r="AC8303" s="162"/>
      <c r="AD8303" s="162">
        <f t="shared" si="149"/>
        <v>0</v>
      </c>
      <c r="AE8303" s="160">
        <v>8301</v>
      </c>
    </row>
    <row r="8304" spans="27:31" x14ac:dyDescent="0.25">
      <c r="AA8304" s="160"/>
      <c r="AB8304" s="162"/>
      <c r="AC8304" s="162"/>
      <c r="AD8304" s="162">
        <f t="shared" si="149"/>
        <v>0</v>
      </c>
      <c r="AE8304" s="160">
        <v>8302</v>
      </c>
    </row>
    <row r="8305" spans="27:31" x14ac:dyDescent="0.25">
      <c r="AA8305" s="160"/>
      <c r="AB8305" s="162"/>
      <c r="AC8305" s="162"/>
      <c r="AD8305" s="162">
        <f t="shared" si="149"/>
        <v>0</v>
      </c>
      <c r="AE8305" s="160">
        <v>8303</v>
      </c>
    </row>
    <row r="8306" spans="27:31" x14ac:dyDescent="0.25">
      <c r="AA8306" s="160"/>
      <c r="AB8306" s="162"/>
      <c r="AC8306" s="162"/>
      <c r="AD8306" s="162">
        <f t="shared" si="149"/>
        <v>0</v>
      </c>
      <c r="AE8306" s="160">
        <v>8304</v>
      </c>
    </row>
    <row r="8307" spans="27:31" x14ac:dyDescent="0.25">
      <c r="AA8307" s="160"/>
      <c r="AB8307" s="162"/>
      <c r="AC8307" s="162"/>
      <c r="AD8307" s="162">
        <f t="shared" si="149"/>
        <v>0</v>
      </c>
      <c r="AE8307" s="160">
        <v>8305</v>
      </c>
    </row>
    <row r="8308" spans="27:31" x14ac:dyDescent="0.25">
      <c r="AA8308" s="160"/>
      <c r="AB8308" s="162"/>
      <c r="AC8308" s="162"/>
      <c r="AD8308" s="162">
        <f t="shared" si="149"/>
        <v>0</v>
      </c>
      <c r="AE8308" s="160">
        <v>8306</v>
      </c>
    </row>
    <row r="8309" spans="27:31" x14ac:dyDescent="0.25">
      <c r="AA8309" s="160"/>
      <c r="AB8309" s="162"/>
      <c r="AC8309" s="162"/>
      <c r="AD8309" s="162">
        <f t="shared" si="149"/>
        <v>0</v>
      </c>
      <c r="AE8309" s="160">
        <v>8307</v>
      </c>
    </row>
    <row r="8310" spans="27:31" x14ac:dyDescent="0.25">
      <c r="AA8310" s="160"/>
      <c r="AB8310" s="162"/>
      <c r="AC8310" s="162"/>
      <c r="AD8310" s="162">
        <f t="shared" si="149"/>
        <v>0</v>
      </c>
      <c r="AE8310" s="160">
        <v>8308</v>
      </c>
    </row>
    <row r="8311" spans="27:31" x14ac:dyDescent="0.25">
      <c r="AA8311" s="160"/>
      <c r="AB8311" s="162"/>
      <c r="AC8311" s="162"/>
      <c r="AD8311" s="162">
        <f t="shared" si="149"/>
        <v>0</v>
      </c>
      <c r="AE8311" s="160">
        <v>8309</v>
      </c>
    </row>
    <row r="8312" spans="27:31" x14ac:dyDescent="0.25">
      <c r="AA8312" s="160"/>
      <c r="AB8312" s="162"/>
      <c r="AC8312" s="162"/>
      <c r="AD8312" s="162">
        <f t="shared" si="149"/>
        <v>0</v>
      </c>
      <c r="AE8312" s="160">
        <v>8310</v>
      </c>
    </row>
    <row r="8313" spans="27:31" x14ac:dyDescent="0.25">
      <c r="AA8313" s="160"/>
      <c r="AB8313" s="162"/>
      <c r="AC8313" s="162"/>
      <c r="AD8313" s="162">
        <f t="shared" si="149"/>
        <v>0</v>
      </c>
      <c r="AE8313" s="160">
        <v>8311</v>
      </c>
    </row>
    <row r="8314" spans="27:31" x14ac:dyDescent="0.25">
      <c r="AA8314" s="160"/>
      <c r="AB8314" s="162"/>
      <c r="AC8314" s="162"/>
      <c r="AD8314" s="162">
        <f t="shared" si="149"/>
        <v>0</v>
      </c>
      <c r="AE8314" s="160">
        <v>8312</v>
      </c>
    </row>
    <row r="8315" spans="27:31" x14ac:dyDescent="0.25">
      <c r="AA8315" s="160"/>
      <c r="AB8315" s="162"/>
      <c r="AC8315" s="162"/>
      <c r="AD8315" s="162">
        <f t="shared" si="149"/>
        <v>0</v>
      </c>
      <c r="AE8315" s="160">
        <v>8313</v>
      </c>
    </row>
    <row r="8316" spans="27:31" x14ac:dyDescent="0.25">
      <c r="AA8316" s="160"/>
      <c r="AB8316" s="162"/>
      <c r="AC8316" s="162"/>
      <c r="AD8316" s="162">
        <f t="shared" si="149"/>
        <v>0</v>
      </c>
      <c r="AE8316" s="160">
        <v>8314</v>
      </c>
    </row>
    <row r="8317" spans="27:31" x14ac:dyDescent="0.25">
      <c r="AA8317" s="160"/>
      <c r="AB8317" s="162"/>
      <c r="AC8317" s="162"/>
      <c r="AD8317" s="162">
        <f t="shared" si="149"/>
        <v>0</v>
      </c>
      <c r="AE8317" s="160">
        <v>8315</v>
      </c>
    </row>
    <row r="8318" spans="27:31" x14ac:dyDescent="0.25">
      <c r="AA8318" s="160"/>
      <c r="AB8318" s="162"/>
      <c r="AC8318" s="162"/>
      <c r="AD8318" s="162">
        <f t="shared" si="149"/>
        <v>0</v>
      </c>
      <c r="AE8318" s="160">
        <v>8316</v>
      </c>
    </row>
    <row r="8319" spans="27:31" x14ac:dyDescent="0.25">
      <c r="AA8319" s="160"/>
      <c r="AB8319" s="162"/>
      <c r="AC8319" s="162"/>
      <c r="AD8319" s="162">
        <f t="shared" si="149"/>
        <v>0</v>
      </c>
      <c r="AE8319" s="160">
        <v>8317</v>
      </c>
    </row>
    <row r="8320" spans="27:31" x14ac:dyDescent="0.25">
      <c r="AA8320" s="160"/>
      <c r="AB8320" s="162"/>
      <c r="AC8320" s="162"/>
      <c r="AD8320" s="162">
        <f t="shared" si="149"/>
        <v>0</v>
      </c>
      <c r="AE8320" s="160">
        <v>8318</v>
      </c>
    </row>
    <row r="8321" spans="27:31" x14ac:dyDescent="0.25">
      <c r="AA8321" s="160"/>
      <c r="AB8321" s="162"/>
      <c r="AC8321" s="162"/>
      <c r="AD8321" s="162">
        <f t="shared" si="149"/>
        <v>0</v>
      </c>
      <c r="AE8321" s="160">
        <v>8319</v>
      </c>
    </row>
    <row r="8322" spans="27:31" x14ac:dyDescent="0.25">
      <c r="AA8322" s="160"/>
      <c r="AB8322" s="162"/>
      <c r="AC8322" s="162"/>
      <c r="AD8322" s="162">
        <f t="shared" si="149"/>
        <v>0</v>
      </c>
      <c r="AE8322" s="160">
        <v>8320</v>
      </c>
    </row>
    <row r="8323" spans="27:31" x14ac:dyDescent="0.25">
      <c r="AA8323" s="160"/>
      <c r="AB8323" s="162"/>
      <c r="AC8323" s="162"/>
      <c r="AD8323" s="162">
        <f t="shared" si="149"/>
        <v>0</v>
      </c>
      <c r="AE8323" s="160">
        <v>8321</v>
      </c>
    </row>
    <row r="8324" spans="27:31" x14ac:dyDescent="0.25">
      <c r="AA8324" s="160"/>
      <c r="AB8324" s="162"/>
      <c r="AC8324" s="162"/>
      <c r="AD8324" s="162">
        <f t="shared" ref="AD8324:AD8387" si="150">AB8324+AC8324</f>
        <v>0</v>
      </c>
      <c r="AE8324" s="160">
        <v>8322</v>
      </c>
    </row>
    <row r="8325" spans="27:31" x14ac:dyDescent="0.25">
      <c r="AA8325" s="160"/>
      <c r="AB8325" s="162"/>
      <c r="AC8325" s="162"/>
      <c r="AD8325" s="162">
        <f t="shared" si="150"/>
        <v>0</v>
      </c>
      <c r="AE8325" s="160">
        <v>8323</v>
      </c>
    </row>
    <row r="8326" spans="27:31" x14ac:dyDescent="0.25">
      <c r="AA8326" s="160"/>
      <c r="AB8326" s="162"/>
      <c r="AC8326" s="162"/>
      <c r="AD8326" s="162">
        <f t="shared" si="150"/>
        <v>0</v>
      </c>
      <c r="AE8326" s="160">
        <v>8324</v>
      </c>
    </row>
    <row r="8327" spans="27:31" x14ac:dyDescent="0.25">
      <c r="AA8327" s="160"/>
      <c r="AB8327" s="162"/>
      <c r="AC8327" s="162"/>
      <c r="AD8327" s="162">
        <f t="shared" si="150"/>
        <v>0</v>
      </c>
      <c r="AE8327" s="160">
        <v>8325</v>
      </c>
    </row>
    <row r="8328" spans="27:31" x14ac:dyDescent="0.25">
      <c r="AA8328" s="160"/>
      <c r="AB8328" s="162"/>
      <c r="AC8328" s="162"/>
      <c r="AD8328" s="162">
        <f t="shared" si="150"/>
        <v>0</v>
      </c>
      <c r="AE8328" s="160">
        <v>8326</v>
      </c>
    </row>
    <row r="8329" spans="27:31" x14ac:dyDescent="0.25">
      <c r="AA8329" s="160"/>
      <c r="AB8329" s="162"/>
      <c r="AC8329" s="162"/>
      <c r="AD8329" s="162">
        <f t="shared" si="150"/>
        <v>0</v>
      </c>
      <c r="AE8329" s="160">
        <v>8327</v>
      </c>
    </row>
    <row r="8330" spans="27:31" x14ac:dyDescent="0.25">
      <c r="AA8330" s="160"/>
      <c r="AB8330" s="162"/>
      <c r="AC8330" s="162"/>
      <c r="AD8330" s="162">
        <f t="shared" si="150"/>
        <v>0</v>
      </c>
      <c r="AE8330" s="160">
        <v>8328</v>
      </c>
    </row>
    <row r="8331" spans="27:31" x14ac:dyDescent="0.25">
      <c r="AA8331" s="160"/>
      <c r="AB8331" s="162"/>
      <c r="AC8331" s="162"/>
      <c r="AD8331" s="162">
        <f t="shared" si="150"/>
        <v>0</v>
      </c>
      <c r="AE8331" s="160">
        <v>8329</v>
      </c>
    </row>
    <row r="8332" spans="27:31" x14ac:dyDescent="0.25">
      <c r="AA8332" s="160"/>
      <c r="AB8332" s="162"/>
      <c r="AC8332" s="162"/>
      <c r="AD8332" s="162">
        <f t="shared" si="150"/>
        <v>0</v>
      </c>
      <c r="AE8332" s="160">
        <v>8330</v>
      </c>
    </row>
    <row r="8333" spans="27:31" x14ac:dyDescent="0.25">
      <c r="AA8333" s="160"/>
      <c r="AB8333" s="162"/>
      <c r="AC8333" s="162"/>
      <c r="AD8333" s="162">
        <f t="shared" si="150"/>
        <v>0</v>
      </c>
      <c r="AE8333" s="160">
        <v>8331</v>
      </c>
    </row>
    <row r="8334" spans="27:31" x14ac:dyDescent="0.25">
      <c r="AA8334" s="160"/>
      <c r="AB8334" s="162"/>
      <c r="AC8334" s="162"/>
      <c r="AD8334" s="162">
        <f t="shared" si="150"/>
        <v>0</v>
      </c>
      <c r="AE8334" s="160">
        <v>8332</v>
      </c>
    </row>
    <row r="8335" spans="27:31" x14ac:dyDescent="0.25">
      <c r="AA8335" s="160"/>
      <c r="AB8335" s="162"/>
      <c r="AC8335" s="162"/>
      <c r="AD8335" s="162">
        <f t="shared" si="150"/>
        <v>0</v>
      </c>
      <c r="AE8335" s="160">
        <v>8333</v>
      </c>
    </row>
    <row r="8336" spans="27:31" x14ac:dyDescent="0.25">
      <c r="AA8336" s="160"/>
      <c r="AB8336" s="162"/>
      <c r="AC8336" s="162"/>
      <c r="AD8336" s="162">
        <f t="shared" si="150"/>
        <v>0</v>
      </c>
      <c r="AE8336" s="160">
        <v>8334</v>
      </c>
    </row>
    <row r="8337" spans="27:31" x14ac:dyDescent="0.25">
      <c r="AA8337" s="160"/>
      <c r="AB8337" s="162"/>
      <c r="AC8337" s="162"/>
      <c r="AD8337" s="162">
        <f t="shared" si="150"/>
        <v>0</v>
      </c>
      <c r="AE8337" s="160">
        <v>8335</v>
      </c>
    </row>
    <row r="8338" spans="27:31" x14ac:dyDescent="0.25">
      <c r="AA8338" s="160"/>
      <c r="AB8338" s="162"/>
      <c r="AC8338" s="162"/>
      <c r="AD8338" s="162">
        <f t="shared" si="150"/>
        <v>0</v>
      </c>
      <c r="AE8338" s="160">
        <v>8336</v>
      </c>
    </row>
    <row r="8339" spans="27:31" x14ac:dyDescent="0.25">
      <c r="AA8339" s="160"/>
      <c r="AB8339" s="162"/>
      <c r="AC8339" s="162"/>
      <c r="AD8339" s="162">
        <f t="shared" si="150"/>
        <v>0</v>
      </c>
      <c r="AE8339" s="160">
        <v>8337</v>
      </c>
    </row>
    <row r="8340" spans="27:31" x14ac:dyDescent="0.25">
      <c r="AA8340" s="160"/>
      <c r="AB8340" s="162"/>
      <c r="AC8340" s="162"/>
      <c r="AD8340" s="162">
        <f t="shared" si="150"/>
        <v>0</v>
      </c>
      <c r="AE8340" s="160">
        <v>8338</v>
      </c>
    </row>
    <row r="8341" spans="27:31" x14ac:dyDescent="0.25">
      <c r="AA8341" s="160"/>
      <c r="AB8341" s="162"/>
      <c r="AC8341" s="162"/>
      <c r="AD8341" s="162">
        <f t="shared" si="150"/>
        <v>0</v>
      </c>
      <c r="AE8341" s="160">
        <v>8339</v>
      </c>
    </row>
    <row r="8342" spans="27:31" x14ac:dyDescent="0.25">
      <c r="AA8342" s="160"/>
      <c r="AB8342" s="162"/>
      <c r="AC8342" s="162"/>
      <c r="AD8342" s="162">
        <f t="shared" si="150"/>
        <v>0</v>
      </c>
      <c r="AE8342" s="160">
        <v>8340</v>
      </c>
    </row>
    <row r="8343" spans="27:31" x14ac:dyDescent="0.25">
      <c r="AA8343" s="160"/>
      <c r="AB8343" s="162"/>
      <c r="AC8343" s="162"/>
      <c r="AD8343" s="162">
        <f t="shared" si="150"/>
        <v>0</v>
      </c>
      <c r="AE8343" s="160">
        <v>8341</v>
      </c>
    </row>
    <row r="8344" spans="27:31" x14ac:dyDescent="0.25">
      <c r="AA8344" s="160"/>
      <c r="AB8344" s="162"/>
      <c r="AC8344" s="162"/>
      <c r="AD8344" s="162">
        <f t="shared" si="150"/>
        <v>0</v>
      </c>
      <c r="AE8344" s="160">
        <v>8342</v>
      </c>
    </row>
    <row r="8345" spans="27:31" x14ac:dyDescent="0.25">
      <c r="AA8345" s="160"/>
      <c r="AB8345" s="162"/>
      <c r="AC8345" s="162"/>
      <c r="AD8345" s="162">
        <f t="shared" si="150"/>
        <v>0</v>
      </c>
      <c r="AE8345" s="160">
        <v>8343</v>
      </c>
    </row>
    <row r="8346" spans="27:31" x14ac:dyDescent="0.25">
      <c r="AA8346" s="160"/>
      <c r="AB8346" s="162"/>
      <c r="AC8346" s="162"/>
      <c r="AD8346" s="162">
        <f t="shared" si="150"/>
        <v>0</v>
      </c>
      <c r="AE8346" s="160">
        <v>8344</v>
      </c>
    </row>
    <row r="8347" spans="27:31" x14ac:dyDescent="0.25">
      <c r="AA8347" s="160"/>
      <c r="AB8347" s="162"/>
      <c r="AC8347" s="162"/>
      <c r="AD8347" s="162">
        <f t="shared" si="150"/>
        <v>0</v>
      </c>
      <c r="AE8347" s="160">
        <v>8345</v>
      </c>
    </row>
    <row r="8348" spans="27:31" x14ac:dyDescent="0.25">
      <c r="AA8348" s="160"/>
      <c r="AB8348" s="162"/>
      <c r="AC8348" s="162"/>
      <c r="AD8348" s="162">
        <f t="shared" si="150"/>
        <v>0</v>
      </c>
      <c r="AE8348" s="160">
        <v>8346</v>
      </c>
    </row>
    <row r="8349" spans="27:31" x14ac:dyDescent="0.25">
      <c r="AA8349" s="160"/>
      <c r="AB8349" s="162"/>
      <c r="AC8349" s="162"/>
      <c r="AD8349" s="162">
        <f t="shared" si="150"/>
        <v>0</v>
      </c>
      <c r="AE8349" s="160">
        <v>8347</v>
      </c>
    </row>
    <row r="8350" spans="27:31" x14ac:dyDescent="0.25">
      <c r="AA8350" s="160"/>
      <c r="AB8350" s="162"/>
      <c r="AC8350" s="162"/>
      <c r="AD8350" s="162">
        <f t="shared" si="150"/>
        <v>0</v>
      </c>
      <c r="AE8350" s="160">
        <v>8348</v>
      </c>
    </row>
    <row r="8351" spans="27:31" x14ac:dyDescent="0.25">
      <c r="AA8351" s="160"/>
      <c r="AB8351" s="162"/>
      <c r="AC8351" s="162"/>
      <c r="AD8351" s="162">
        <f t="shared" si="150"/>
        <v>0</v>
      </c>
      <c r="AE8351" s="160">
        <v>8349</v>
      </c>
    </row>
    <row r="8352" spans="27:31" x14ac:dyDescent="0.25">
      <c r="AA8352" s="160"/>
      <c r="AB8352" s="162"/>
      <c r="AC8352" s="162"/>
      <c r="AD8352" s="162">
        <f t="shared" si="150"/>
        <v>0</v>
      </c>
      <c r="AE8352" s="160">
        <v>8350</v>
      </c>
    </row>
    <row r="8353" spans="27:31" x14ac:dyDescent="0.25">
      <c r="AA8353" s="160"/>
      <c r="AB8353" s="162"/>
      <c r="AC8353" s="162"/>
      <c r="AD8353" s="162">
        <f t="shared" si="150"/>
        <v>0</v>
      </c>
      <c r="AE8353" s="160">
        <v>8351</v>
      </c>
    </row>
    <row r="8354" spans="27:31" x14ac:dyDescent="0.25">
      <c r="AA8354" s="160"/>
      <c r="AB8354" s="162"/>
      <c r="AC8354" s="162"/>
      <c r="AD8354" s="162">
        <f t="shared" si="150"/>
        <v>0</v>
      </c>
      <c r="AE8354" s="160">
        <v>8352</v>
      </c>
    </row>
    <row r="8355" spans="27:31" x14ac:dyDescent="0.25">
      <c r="AA8355" s="160"/>
      <c r="AB8355" s="162"/>
      <c r="AC8355" s="162"/>
      <c r="AD8355" s="162">
        <f t="shared" si="150"/>
        <v>0</v>
      </c>
      <c r="AE8355" s="160">
        <v>8353</v>
      </c>
    </row>
    <row r="8356" spans="27:31" x14ac:dyDescent="0.25">
      <c r="AA8356" s="160"/>
      <c r="AB8356" s="162"/>
      <c r="AC8356" s="162"/>
      <c r="AD8356" s="162">
        <f t="shared" si="150"/>
        <v>0</v>
      </c>
      <c r="AE8356" s="160">
        <v>8354</v>
      </c>
    </row>
    <row r="8357" spans="27:31" x14ac:dyDescent="0.25">
      <c r="AA8357" s="160"/>
      <c r="AB8357" s="162"/>
      <c r="AC8357" s="162"/>
      <c r="AD8357" s="162">
        <f t="shared" si="150"/>
        <v>0</v>
      </c>
      <c r="AE8357" s="160">
        <v>8355</v>
      </c>
    </row>
    <row r="8358" spans="27:31" x14ac:dyDescent="0.25">
      <c r="AA8358" s="160"/>
      <c r="AB8358" s="162"/>
      <c r="AC8358" s="162"/>
      <c r="AD8358" s="162">
        <f t="shared" si="150"/>
        <v>0</v>
      </c>
      <c r="AE8358" s="160">
        <v>8356</v>
      </c>
    </row>
    <row r="8359" spans="27:31" x14ac:dyDescent="0.25">
      <c r="AA8359" s="160"/>
      <c r="AB8359" s="162"/>
      <c r="AC8359" s="162"/>
      <c r="AD8359" s="162">
        <f t="shared" si="150"/>
        <v>0</v>
      </c>
      <c r="AE8359" s="160">
        <v>8357</v>
      </c>
    </row>
    <row r="8360" spans="27:31" x14ac:dyDescent="0.25">
      <c r="AA8360" s="160"/>
      <c r="AB8360" s="162"/>
      <c r="AC8360" s="162"/>
      <c r="AD8360" s="162">
        <f t="shared" si="150"/>
        <v>0</v>
      </c>
      <c r="AE8360" s="160">
        <v>8358</v>
      </c>
    </row>
    <row r="8361" spans="27:31" x14ac:dyDescent="0.25">
      <c r="AA8361" s="160"/>
      <c r="AB8361" s="162"/>
      <c r="AC8361" s="162"/>
      <c r="AD8361" s="162">
        <f t="shared" si="150"/>
        <v>0</v>
      </c>
      <c r="AE8361" s="160">
        <v>8359</v>
      </c>
    </row>
    <row r="8362" spans="27:31" x14ac:dyDescent="0.25">
      <c r="AA8362" s="160"/>
      <c r="AB8362" s="162"/>
      <c r="AC8362" s="162"/>
      <c r="AD8362" s="162">
        <f t="shared" si="150"/>
        <v>0</v>
      </c>
      <c r="AE8362" s="160">
        <v>8360</v>
      </c>
    </row>
    <row r="8363" spans="27:31" x14ac:dyDescent="0.25">
      <c r="AA8363" s="160"/>
      <c r="AB8363" s="162"/>
      <c r="AC8363" s="162"/>
      <c r="AD8363" s="162">
        <f t="shared" si="150"/>
        <v>0</v>
      </c>
      <c r="AE8363" s="160">
        <v>8361</v>
      </c>
    </row>
    <row r="8364" spans="27:31" x14ac:dyDescent="0.25">
      <c r="AA8364" s="160"/>
      <c r="AB8364" s="162"/>
      <c r="AC8364" s="162"/>
      <c r="AD8364" s="162">
        <f t="shared" si="150"/>
        <v>0</v>
      </c>
      <c r="AE8364" s="160">
        <v>8362</v>
      </c>
    </row>
    <row r="8365" spans="27:31" x14ac:dyDescent="0.25">
      <c r="AA8365" s="160"/>
      <c r="AB8365" s="162"/>
      <c r="AC8365" s="162"/>
      <c r="AD8365" s="162">
        <f t="shared" si="150"/>
        <v>0</v>
      </c>
      <c r="AE8365" s="160">
        <v>8363</v>
      </c>
    </row>
    <row r="8366" spans="27:31" x14ac:dyDescent="0.25">
      <c r="AA8366" s="160"/>
      <c r="AB8366" s="162"/>
      <c r="AC8366" s="162"/>
      <c r="AD8366" s="162">
        <f t="shared" si="150"/>
        <v>0</v>
      </c>
      <c r="AE8366" s="160">
        <v>8364</v>
      </c>
    </row>
    <row r="8367" spans="27:31" x14ac:dyDescent="0.25">
      <c r="AA8367" s="160"/>
      <c r="AB8367" s="162"/>
      <c r="AC8367" s="162"/>
      <c r="AD8367" s="162">
        <f t="shared" si="150"/>
        <v>0</v>
      </c>
      <c r="AE8367" s="160">
        <v>8365</v>
      </c>
    </row>
    <row r="8368" spans="27:31" x14ac:dyDescent="0.25">
      <c r="AA8368" s="160"/>
      <c r="AB8368" s="162"/>
      <c r="AC8368" s="162"/>
      <c r="AD8368" s="162">
        <f t="shared" si="150"/>
        <v>0</v>
      </c>
      <c r="AE8368" s="160">
        <v>8366</v>
      </c>
    </row>
    <row r="8369" spans="27:31" x14ac:dyDescent="0.25">
      <c r="AA8369" s="160"/>
      <c r="AB8369" s="162"/>
      <c r="AC8369" s="162"/>
      <c r="AD8369" s="162">
        <f t="shared" si="150"/>
        <v>0</v>
      </c>
      <c r="AE8369" s="160">
        <v>8367</v>
      </c>
    </row>
    <row r="8370" spans="27:31" x14ac:dyDescent="0.25">
      <c r="AA8370" s="160"/>
      <c r="AB8370" s="162"/>
      <c r="AC8370" s="162"/>
      <c r="AD8370" s="162">
        <f t="shared" si="150"/>
        <v>0</v>
      </c>
      <c r="AE8370" s="160">
        <v>8368</v>
      </c>
    </row>
    <row r="8371" spans="27:31" x14ac:dyDescent="0.25">
      <c r="AA8371" s="160"/>
      <c r="AB8371" s="162"/>
      <c r="AC8371" s="162"/>
      <c r="AD8371" s="162">
        <f t="shared" si="150"/>
        <v>0</v>
      </c>
      <c r="AE8371" s="160">
        <v>8369</v>
      </c>
    </row>
    <row r="8372" spans="27:31" x14ac:dyDescent="0.25">
      <c r="AA8372" s="160"/>
      <c r="AB8372" s="162"/>
      <c r="AC8372" s="162"/>
      <c r="AD8372" s="162">
        <f t="shared" si="150"/>
        <v>0</v>
      </c>
      <c r="AE8372" s="160">
        <v>8370</v>
      </c>
    </row>
    <row r="8373" spans="27:31" x14ac:dyDescent="0.25">
      <c r="AA8373" s="160"/>
      <c r="AB8373" s="162"/>
      <c r="AC8373" s="162"/>
      <c r="AD8373" s="162">
        <f t="shared" si="150"/>
        <v>0</v>
      </c>
      <c r="AE8373" s="160">
        <v>8371</v>
      </c>
    </row>
    <row r="8374" spans="27:31" x14ac:dyDescent="0.25">
      <c r="AA8374" s="160"/>
      <c r="AB8374" s="162"/>
      <c r="AC8374" s="162"/>
      <c r="AD8374" s="162">
        <f t="shared" si="150"/>
        <v>0</v>
      </c>
      <c r="AE8374" s="160">
        <v>8372</v>
      </c>
    </row>
    <row r="8375" spans="27:31" x14ac:dyDescent="0.25">
      <c r="AA8375" s="160"/>
      <c r="AB8375" s="162"/>
      <c r="AC8375" s="162"/>
      <c r="AD8375" s="162">
        <f t="shared" si="150"/>
        <v>0</v>
      </c>
      <c r="AE8375" s="160">
        <v>8373</v>
      </c>
    </row>
    <row r="8376" spans="27:31" x14ac:dyDescent="0.25">
      <c r="AA8376" s="160"/>
      <c r="AB8376" s="162"/>
      <c r="AC8376" s="162"/>
      <c r="AD8376" s="162">
        <f t="shared" si="150"/>
        <v>0</v>
      </c>
      <c r="AE8376" s="160">
        <v>8374</v>
      </c>
    </row>
    <row r="8377" spans="27:31" x14ac:dyDescent="0.25">
      <c r="AA8377" s="160"/>
      <c r="AB8377" s="162"/>
      <c r="AC8377" s="162"/>
      <c r="AD8377" s="162">
        <f t="shared" si="150"/>
        <v>0</v>
      </c>
      <c r="AE8377" s="160">
        <v>8375</v>
      </c>
    </row>
    <row r="8378" spans="27:31" x14ac:dyDescent="0.25">
      <c r="AA8378" s="160"/>
      <c r="AB8378" s="162"/>
      <c r="AC8378" s="162"/>
      <c r="AD8378" s="162">
        <f t="shared" si="150"/>
        <v>0</v>
      </c>
      <c r="AE8378" s="160">
        <v>8376</v>
      </c>
    </row>
    <row r="8379" spans="27:31" x14ac:dyDescent="0.25">
      <c r="AA8379" s="160"/>
      <c r="AB8379" s="162"/>
      <c r="AC8379" s="162"/>
      <c r="AD8379" s="162">
        <f t="shared" si="150"/>
        <v>0</v>
      </c>
      <c r="AE8379" s="160">
        <v>8377</v>
      </c>
    </row>
    <row r="8380" spans="27:31" x14ac:dyDescent="0.25">
      <c r="AA8380" s="160"/>
      <c r="AB8380" s="162"/>
      <c r="AC8380" s="162"/>
      <c r="AD8380" s="162">
        <f t="shared" si="150"/>
        <v>0</v>
      </c>
      <c r="AE8380" s="160">
        <v>8378</v>
      </c>
    </row>
    <row r="8381" spans="27:31" x14ac:dyDescent="0.25">
      <c r="AA8381" s="160"/>
      <c r="AB8381" s="162"/>
      <c r="AC8381" s="162"/>
      <c r="AD8381" s="162">
        <f t="shared" si="150"/>
        <v>0</v>
      </c>
      <c r="AE8381" s="160">
        <v>8379</v>
      </c>
    </row>
    <row r="8382" spans="27:31" x14ac:dyDescent="0.25">
      <c r="AA8382" s="160"/>
      <c r="AB8382" s="162"/>
      <c r="AC8382" s="162"/>
      <c r="AD8382" s="162">
        <f t="shared" si="150"/>
        <v>0</v>
      </c>
      <c r="AE8382" s="160">
        <v>8380</v>
      </c>
    </row>
    <row r="8383" spans="27:31" x14ac:dyDescent="0.25">
      <c r="AA8383" s="160"/>
      <c r="AB8383" s="162"/>
      <c r="AC8383" s="162"/>
      <c r="AD8383" s="162">
        <f t="shared" si="150"/>
        <v>0</v>
      </c>
      <c r="AE8383" s="160">
        <v>8381</v>
      </c>
    </row>
    <row r="8384" spans="27:31" x14ac:dyDescent="0.25">
      <c r="AA8384" s="160"/>
      <c r="AB8384" s="162"/>
      <c r="AC8384" s="162"/>
      <c r="AD8384" s="162">
        <f t="shared" si="150"/>
        <v>0</v>
      </c>
      <c r="AE8384" s="160">
        <v>8382</v>
      </c>
    </row>
    <row r="8385" spans="27:31" x14ac:dyDescent="0.25">
      <c r="AA8385" s="160"/>
      <c r="AB8385" s="162"/>
      <c r="AC8385" s="162"/>
      <c r="AD8385" s="162">
        <f t="shared" si="150"/>
        <v>0</v>
      </c>
      <c r="AE8385" s="160">
        <v>8383</v>
      </c>
    </row>
    <row r="8386" spans="27:31" x14ac:dyDescent="0.25">
      <c r="AA8386" s="160"/>
      <c r="AB8386" s="162"/>
      <c r="AC8386" s="162"/>
      <c r="AD8386" s="162">
        <f t="shared" si="150"/>
        <v>0</v>
      </c>
      <c r="AE8386" s="160">
        <v>8384</v>
      </c>
    </row>
    <row r="8387" spans="27:31" x14ac:dyDescent="0.25">
      <c r="AA8387" s="160"/>
      <c r="AB8387" s="162"/>
      <c r="AC8387" s="162"/>
      <c r="AD8387" s="162">
        <f t="shared" si="150"/>
        <v>0</v>
      </c>
      <c r="AE8387" s="160">
        <v>8385</v>
      </c>
    </row>
    <row r="8388" spans="27:31" x14ac:dyDescent="0.25">
      <c r="AA8388" s="160"/>
      <c r="AB8388" s="162"/>
      <c r="AC8388" s="162"/>
      <c r="AD8388" s="162">
        <f t="shared" ref="AD8388:AD8451" si="151">AB8388+AC8388</f>
        <v>0</v>
      </c>
      <c r="AE8388" s="160">
        <v>8386</v>
      </c>
    </row>
    <row r="8389" spans="27:31" x14ac:dyDescent="0.25">
      <c r="AA8389" s="160"/>
      <c r="AB8389" s="162"/>
      <c r="AC8389" s="162"/>
      <c r="AD8389" s="162">
        <f t="shared" si="151"/>
        <v>0</v>
      </c>
      <c r="AE8389" s="160">
        <v>8387</v>
      </c>
    </row>
    <row r="8390" spans="27:31" x14ac:dyDescent="0.25">
      <c r="AA8390" s="160"/>
      <c r="AB8390" s="162"/>
      <c r="AC8390" s="162"/>
      <c r="AD8390" s="162">
        <f t="shared" si="151"/>
        <v>0</v>
      </c>
      <c r="AE8390" s="160">
        <v>8388</v>
      </c>
    </row>
    <row r="8391" spans="27:31" x14ac:dyDescent="0.25">
      <c r="AA8391" s="160"/>
      <c r="AB8391" s="162"/>
      <c r="AC8391" s="162"/>
      <c r="AD8391" s="162">
        <f t="shared" si="151"/>
        <v>0</v>
      </c>
      <c r="AE8391" s="160">
        <v>8389</v>
      </c>
    </row>
    <row r="8392" spans="27:31" x14ac:dyDescent="0.25">
      <c r="AA8392" s="160"/>
      <c r="AB8392" s="162"/>
      <c r="AC8392" s="162"/>
      <c r="AD8392" s="162">
        <f t="shared" si="151"/>
        <v>0</v>
      </c>
      <c r="AE8392" s="160">
        <v>8390</v>
      </c>
    </row>
    <row r="8393" spans="27:31" x14ac:dyDescent="0.25">
      <c r="AA8393" s="160"/>
      <c r="AB8393" s="162"/>
      <c r="AC8393" s="162"/>
      <c r="AD8393" s="162">
        <f t="shared" si="151"/>
        <v>0</v>
      </c>
      <c r="AE8393" s="160">
        <v>8391</v>
      </c>
    </row>
    <row r="8394" spans="27:31" x14ac:dyDescent="0.25">
      <c r="AA8394" s="160"/>
      <c r="AB8394" s="162"/>
      <c r="AC8394" s="162"/>
      <c r="AD8394" s="162">
        <f t="shared" si="151"/>
        <v>0</v>
      </c>
      <c r="AE8394" s="160">
        <v>8392</v>
      </c>
    </row>
    <row r="8395" spans="27:31" x14ac:dyDescent="0.25">
      <c r="AA8395" s="160"/>
      <c r="AB8395" s="162"/>
      <c r="AC8395" s="162"/>
      <c r="AD8395" s="162">
        <f t="shared" si="151"/>
        <v>0</v>
      </c>
      <c r="AE8395" s="160">
        <v>8393</v>
      </c>
    </row>
    <row r="8396" spans="27:31" x14ac:dyDescent="0.25">
      <c r="AA8396" s="160"/>
      <c r="AB8396" s="162"/>
      <c r="AC8396" s="162"/>
      <c r="AD8396" s="162">
        <f t="shared" si="151"/>
        <v>0</v>
      </c>
      <c r="AE8396" s="160">
        <v>8394</v>
      </c>
    </row>
    <row r="8397" spans="27:31" x14ac:dyDescent="0.25">
      <c r="AA8397" s="160"/>
      <c r="AB8397" s="162"/>
      <c r="AC8397" s="162"/>
      <c r="AD8397" s="162">
        <f t="shared" si="151"/>
        <v>0</v>
      </c>
      <c r="AE8397" s="160">
        <v>8395</v>
      </c>
    </row>
    <row r="8398" spans="27:31" x14ac:dyDescent="0.25">
      <c r="AA8398" s="160"/>
      <c r="AB8398" s="162"/>
      <c r="AC8398" s="162"/>
      <c r="AD8398" s="162">
        <f t="shared" si="151"/>
        <v>0</v>
      </c>
      <c r="AE8398" s="160">
        <v>8396</v>
      </c>
    </row>
    <row r="8399" spans="27:31" x14ac:dyDescent="0.25">
      <c r="AA8399" s="160"/>
      <c r="AB8399" s="162"/>
      <c r="AC8399" s="162"/>
      <c r="AD8399" s="162">
        <f t="shared" si="151"/>
        <v>0</v>
      </c>
      <c r="AE8399" s="160">
        <v>8397</v>
      </c>
    </row>
    <row r="8400" spans="27:31" x14ac:dyDescent="0.25">
      <c r="AA8400" s="160"/>
      <c r="AB8400" s="162"/>
      <c r="AC8400" s="162"/>
      <c r="AD8400" s="162">
        <f t="shared" si="151"/>
        <v>0</v>
      </c>
      <c r="AE8400" s="160">
        <v>8398</v>
      </c>
    </row>
    <row r="8401" spans="27:31" x14ac:dyDescent="0.25">
      <c r="AA8401" s="160"/>
      <c r="AB8401" s="162"/>
      <c r="AC8401" s="162"/>
      <c r="AD8401" s="162">
        <f t="shared" si="151"/>
        <v>0</v>
      </c>
      <c r="AE8401" s="160">
        <v>8399</v>
      </c>
    </row>
    <row r="8402" spans="27:31" x14ac:dyDescent="0.25">
      <c r="AA8402" s="160"/>
      <c r="AB8402" s="162"/>
      <c r="AC8402" s="162"/>
      <c r="AD8402" s="162">
        <f t="shared" si="151"/>
        <v>0</v>
      </c>
      <c r="AE8402" s="160">
        <v>8400</v>
      </c>
    </row>
    <row r="8403" spans="27:31" x14ac:dyDescent="0.25">
      <c r="AA8403" s="160"/>
      <c r="AB8403" s="162"/>
      <c r="AC8403" s="162"/>
      <c r="AD8403" s="162">
        <f t="shared" si="151"/>
        <v>0</v>
      </c>
      <c r="AE8403" s="160">
        <v>8401</v>
      </c>
    </row>
    <row r="8404" spans="27:31" x14ac:dyDescent="0.25">
      <c r="AA8404" s="160"/>
      <c r="AB8404" s="162"/>
      <c r="AC8404" s="162"/>
      <c r="AD8404" s="162">
        <f t="shared" si="151"/>
        <v>0</v>
      </c>
      <c r="AE8404" s="160">
        <v>8402</v>
      </c>
    </row>
    <row r="8405" spans="27:31" x14ac:dyDescent="0.25">
      <c r="AA8405" s="160"/>
      <c r="AB8405" s="162"/>
      <c r="AC8405" s="162"/>
      <c r="AD8405" s="162">
        <f t="shared" si="151"/>
        <v>0</v>
      </c>
      <c r="AE8405" s="160">
        <v>8403</v>
      </c>
    </row>
    <row r="8406" spans="27:31" x14ac:dyDescent="0.25">
      <c r="AA8406" s="160"/>
      <c r="AB8406" s="162"/>
      <c r="AC8406" s="162"/>
      <c r="AD8406" s="162">
        <f t="shared" si="151"/>
        <v>0</v>
      </c>
      <c r="AE8406" s="160">
        <v>8404</v>
      </c>
    </row>
    <row r="8407" spans="27:31" x14ac:dyDescent="0.25">
      <c r="AA8407" s="160"/>
      <c r="AB8407" s="162"/>
      <c r="AC8407" s="162"/>
      <c r="AD8407" s="162">
        <f t="shared" si="151"/>
        <v>0</v>
      </c>
      <c r="AE8407" s="160">
        <v>8405</v>
      </c>
    </row>
    <row r="8408" spans="27:31" x14ac:dyDescent="0.25">
      <c r="AA8408" s="160"/>
      <c r="AB8408" s="162"/>
      <c r="AC8408" s="162"/>
      <c r="AD8408" s="162">
        <f t="shared" si="151"/>
        <v>0</v>
      </c>
      <c r="AE8408" s="160">
        <v>8406</v>
      </c>
    </row>
    <row r="8409" spans="27:31" x14ac:dyDescent="0.25">
      <c r="AA8409" s="160"/>
      <c r="AB8409" s="162"/>
      <c r="AC8409" s="162"/>
      <c r="AD8409" s="162">
        <f t="shared" si="151"/>
        <v>0</v>
      </c>
      <c r="AE8409" s="160">
        <v>8407</v>
      </c>
    </row>
    <row r="8410" spans="27:31" x14ac:dyDescent="0.25">
      <c r="AA8410" s="160"/>
      <c r="AB8410" s="162"/>
      <c r="AC8410" s="162"/>
      <c r="AD8410" s="162">
        <f t="shared" si="151"/>
        <v>0</v>
      </c>
      <c r="AE8410" s="160">
        <v>8408</v>
      </c>
    </row>
    <row r="8411" spans="27:31" x14ac:dyDescent="0.25">
      <c r="AA8411" s="160"/>
      <c r="AB8411" s="162"/>
      <c r="AC8411" s="162"/>
      <c r="AD8411" s="162">
        <f t="shared" si="151"/>
        <v>0</v>
      </c>
      <c r="AE8411" s="160">
        <v>8409</v>
      </c>
    </row>
    <row r="8412" spans="27:31" x14ac:dyDescent="0.25">
      <c r="AA8412" s="160"/>
      <c r="AB8412" s="162"/>
      <c r="AC8412" s="162"/>
      <c r="AD8412" s="162">
        <f t="shared" si="151"/>
        <v>0</v>
      </c>
      <c r="AE8412" s="160">
        <v>8410</v>
      </c>
    </row>
    <row r="8413" spans="27:31" x14ac:dyDescent="0.25">
      <c r="AA8413" s="160"/>
      <c r="AB8413" s="162"/>
      <c r="AC8413" s="162"/>
      <c r="AD8413" s="162">
        <f t="shared" si="151"/>
        <v>0</v>
      </c>
      <c r="AE8413" s="160">
        <v>8411</v>
      </c>
    </row>
    <row r="8414" spans="27:31" x14ac:dyDescent="0.25">
      <c r="AA8414" s="160"/>
      <c r="AB8414" s="162"/>
      <c r="AC8414" s="162"/>
      <c r="AD8414" s="162">
        <f t="shared" si="151"/>
        <v>0</v>
      </c>
      <c r="AE8414" s="160">
        <v>8412</v>
      </c>
    </row>
    <row r="8415" spans="27:31" x14ac:dyDescent="0.25">
      <c r="AA8415" s="160"/>
      <c r="AB8415" s="162"/>
      <c r="AC8415" s="162"/>
      <c r="AD8415" s="162">
        <f t="shared" si="151"/>
        <v>0</v>
      </c>
      <c r="AE8415" s="160">
        <v>8413</v>
      </c>
    </row>
    <row r="8416" spans="27:31" x14ac:dyDescent="0.25">
      <c r="AA8416" s="160"/>
      <c r="AB8416" s="162"/>
      <c r="AC8416" s="162"/>
      <c r="AD8416" s="162">
        <f t="shared" si="151"/>
        <v>0</v>
      </c>
      <c r="AE8416" s="160">
        <v>8414</v>
      </c>
    </row>
    <row r="8417" spans="27:31" x14ac:dyDescent="0.25">
      <c r="AA8417" s="160"/>
      <c r="AB8417" s="162"/>
      <c r="AC8417" s="162"/>
      <c r="AD8417" s="162">
        <f t="shared" si="151"/>
        <v>0</v>
      </c>
      <c r="AE8417" s="160">
        <v>8415</v>
      </c>
    </row>
    <row r="8418" spans="27:31" x14ac:dyDescent="0.25">
      <c r="AA8418" s="160"/>
      <c r="AB8418" s="162"/>
      <c r="AC8418" s="162"/>
      <c r="AD8418" s="162">
        <f t="shared" si="151"/>
        <v>0</v>
      </c>
      <c r="AE8418" s="160">
        <v>8416</v>
      </c>
    </row>
    <row r="8419" spans="27:31" x14ac:dyDescent="0.25">
      <c r="AA8419" s="160"/>
      <c r="AB8419" s="162"/>
      <c r="AC8419" s="162"/>
      <c r="AD8419" s="162">
        <f t="shared" si="151"/>
        <v>0</v>
      </c>
      <c r="AE8419" s="160">
        <v>8417</v>
      </c>
    </row>
    <row r="8420" spans="27:31" x14ac:dyDescent="0.25">
      <c r="AA8420" s="160"/>
      <c r="AB8420" s="162"/>
      <c r="AC8420" s="162"/>
      <c r="AD8420" s="162">
        <f t="shared" si="151"/>
        <v>0</v>
      </c>
      <c r="AE8420" s="160">
        <v>8418</v>
      </c>
    </row>
    <row r="8421" spans="27:31" x14ac:dyDescent="0.25">
      <c r="AA8421" s="160"/>
      <c r="AB8421" s="162"/>
      <c r="AC8421" s="162"/>
      <c r="AD8421" s="162">
        <f t="shared" si="151"/>
        <v>0</v>
      </c>
      <c r="AE8421" s="160">
        <v>8419</v>
      </c>
    </row>
    <row r="8422" spans="27:31" x14ac:dyDescent="0.25">
      <c r="AA8422" s="160"/>
      <c r="AB8422" s="162"/>
      <c r="AC8422" s="162"/>
      <c r="AD8422" s="162">
        <f t="shared" si="151"/>
        <v>0</v>
      </c>
      <c r="AE8422" s="160">
        <v>8420</v>
      </c>
    </row>
    <row r="8423" spans="27:31" x14ac:dyDescent="0.25">
      <c r="AA8423" s="160"/>
      <c r="AB8423" s="162"/>
      <c r="AC8423" s="162"/>
      <c r="AD8423" s="162">
        <f t="shared" si="151"/>
        <v>0</v>
      </c>
      <c r="AE8423" s="160">
        <v>8421</v>
      </c>
    </row>
    <row r="8424" spans="27:31" x14ac:dyDescent="0.25">
      <c r="AA8424" s="160"/>
      <c r="AB8424" s="162"/>
      <c r="AC8424" s="162"/>
      <c r="AD8424" s="162">
        <f t="shared" si="151"/>
        <v>0</v>
      </c>
      <c r="AE8424" s="160">
        <v>8422</v>
      </c>
    </row>
    <row r="8425" spans="27:31" x14ac:dyDescent="0.25">
      <c r="AA8425" s="160"/>
      <c r="AB8425" s="162"/>
      <c r="AC8425" s="162"/>
      <c r="AD8425" s="162">
        <f t="shared" si="151"/>
        <v>0</v>
      </c>
      <c r="AE8425" s="160">
        <v>8423</v>
      </c>
    </row>
    <row r="8426" spans="27:31" x14ac:dyDescent="0.25">
      <c r="AA8426" s="160"/>
      <c r="AB8426" s="162"/>
      <c r="AC8426" s="162"/>
      <c r="AD8426" s="162">
        <f t="shared" si="151"/>
        <v>0</v>
      </c>
      <c r="AE8426" s="160">
        <v>8424</v>
      </c>
    </row>
    <row r="8427" spans="27:31" x14ac:dyDescent="0.25">
      <c r="AA8427" s="160"/>
      <c r="AB8427" s="162"/>
      <c r="AC8427" s="162"/>
      <c r="AD8427" s="162">
        <f t="shared" si="151"/>
        <v>0</v>
      </c>
      <c r="AE8427" s="160">
        <v>8425</v>
      </c>
    </row>
    <row r="8428" spans="27:31" x14ac:dyDescent="0.25">
      <c r="AA8428" s="160"/>
      <c r="AB8428" s="162"/>
      <c r="AC8428" s="162"/>
      <c r="AD8428" s="162">
        <f t="shared" si="151"/>
        <v>0</v>
      </c>
      <c r="AE8428" s="160">
        <v>8426</v>
      </c>
    </row>
    <row r="8429" spans="27:31" x14ac:dyDescent="0.25">
      <c r="AA8429" s="160"/>
      <c r="AB8429" s="162"/>
      <c r="AC8429" s="162"/>
      <c r="AD8429" s="162">
        <f t="shared" si="151"/>
        <v>0</v>
      </c>
      <c r="AE8429" s="160">
        <v>8427</v>
      </c>
    </row>
    <row r="8430" spans="27:31" x14ac:dyDescent="0.25">
      <c r="AA8430" s="160"/>
      <c r="AB8430" s="162"/>
      <c r="AC8430" s="162"/>
      <c r="AD8430" s="162">
        <f t="shared" si="151"/>
        <v>0</v>
      </c>
      <c r="AE8430" s="160">
        <v>8428</v>
      </c>
    </row>
    <row r="8431" spans="27:31" x14ac:dyDescent="0.25">
      <c r="AA8431" s="160"/>
      <c r="AB8431" s="162"/>
      <c r="AC8431" s="162"/>
      <c r="AD8431" s="162">
        <f t="shared" si="151"/>
        <v>0</v>
      </c>
      <c r="AE8431" s="160">
        <v>8429</v>
      </c>
    </row>
    <row r="8432" spans="27:31" x14ac:dyDescent="0.25">
      <c r="AA8432" s="160"/>
      <c r="AB8432" s="162"/>
      <c r="AC8432" s="162"/>
      <c r="AD8432" s="162">
        <f t="shared" si="151"/>
        <v>0</v>
      </c>
      <c r="AE8432" s="160">
        <v>8430</v>
      </c>
    </row>
    <row r="8433" spans="27:31" x14ac:dyDescent="0.25">
      <c r="AA8433" s="160"/>
      <c r="AB8433" s="162"/>
      <c r="AC8433" s="162"/>
      <c r="AD8433" s="162">
        <f t="shared" si="151"/>
        <v>0</v>
      </c>
      <c r="AE8433" s="160">
        <v>8431</v>
      </c>
    </row>
    <row r="8434" spans="27:31" x14ac:dyDescent="0.25">
      <c r="AA8434" s="160"/>
      <c r="AB8434" s="162"/>
      <c r="AC8434" s="162"/>
      <c r="AD8434" s="162">
        <f t="shared" si="151"/>
        <v>0</v>
      </c>
      <c r="AE8434" s="160">
        <v>8432</v>
      </c>
    </row>
    <row r="8435" spans="27:31" x14ac:dyDescent="0.25">
      <c r="AA8435" s="160"/>
      <c r="AB8435" s="162"/>
      <c r="AC8435" s="162"/>
      <c r="AD8435" s="162">
        <f t="shared" si="151"/>
        <v>0</v>
      </c>
      <c r="AE8435" s="160">
        <v>8433</v>
      </c>
    </row>
    <row r="8436" spans="27:31" x14ac:dyDescent="0.25">
      <c r="AA8436" s="160"/>
      <c r="AB8436" s="162"/>
      <c r="AC8436" s="162"/>
      <c r="AD8436" s="162">
        <f t="shared" si="151"/>
        <v>0</v>
      </c>
      <c r="AE8436" s="160">
        <v>8434</v>
      </c>
    </row>
    <row r="8437" spans="27:31" x14ac:dyDescent="0.25">
      <c r="AA8437" s="160"/>
      <c r="AB8437" s="162"/>
      <c r="AC8437" s="162"/>
      <c r="AD8437" s="162">
        <f t="shared" si="151"/>
        <v>0</v>
      </c>
      <c r="AE8437" s="160">
        <v>8435</v>
      </c>
    </row>
    <row r="8438" spans="27:31" x14ac:dyDescent="0.25">
      <c r="AA8438" s="160"/>
      <c r="AB8438" s="162"/>
      <c r="AC8438" s="162"/>
      <c r="AD8438" s="162">
        <f t="shared" si="151"/>
        <v>0</v>
      </c>
      <c r="AE8438" s="160">
        <v>8436</v>
      </c>
    </row>
    <row r="8439" spans="27:31" x14ac:dyDescent="0.25">
      <c r="AA8439" s="160"/>
      <c r="AB8439" s="162"/>
      <c r="AC8439" s="162"/>
      <c r="AD8439" s="162">
        <f t="shared" si="151"/>
        <v>0</v>
      </c>
      <c r="AE8439" s="160">
        <v>8437</v>
      </c>
    </row>
    <row r="8440" spans="27:31" x14ac:dyDescent="0.25">
      <c r="AA8440" s="160"/>
      <c r="AB8440" s="162"/>
      <c r="AC8440" s="162"/>
      <c r="AD8440" s="162">
        <f t="shared" si="151"/>
        <v>0</v>
      </c>
      <c r="AE8440" s="160">
        <v>8438</v>
      </c>
    </row>
    <row r="8441" spans="27:31" x14ac:dyDescent="0.25">
      <c r="AA8441" s="160"/>
      <c r="AB8441" s="162"/>
      <c r="AC8441" s="162"/>
      <c r="AD8441" s="162">
        <f t="shared" si="151"/>
        <v>0</v>
      </c>
      <c r="AE8441" s="160">
        <v>8439</v>
      </c>
    </row>
    <row r="8442" spans="27:31" x14ac:dyDescent="0.25">
      <c r="AA8442" s="160"/>
      <c r="AB8442" s="162"/>
      <c r="AC8442" s="162"/>
      <c r="AD8442" s="162">
        <f t="shared" si="151"/>
        <v>0</v>
      </c>
      <c r="AE8442" s="160">
        <v>8440</v>
      </c>
    </row>
    <row r="8443" spans="27:31" x14ac:dyDescent="0.25">
      <c r="AA8443" s="160"/>
      <c r="AB8443" s="162"/>
      <c r="AC8443" s="162"/>
      <c r="AD8443" s="162">
        <f t="shared" si="151"/>
        <v>0</v>
      </c>
      <c r="AE8443" s="160">
        <v>8441</v>
      </c>
    </row>
    <row r="8444" spans="27:31" x14ac:dyDescent="0.25">
      <c r="AA8444" s="160"/>
      <c r="AB8444" s="162"/>
      <c r="AC8444" s="162"/>
      <c r="AD8444" s="162">
        <f t="shared" si="151"/>
        <v>0</v>
      </c>
      <c r="AE8444" s="160">
        <v>8442</v>
      </c>
    </row>
    <row r="8445" spans="27:31" x14ac:dyDescent="0.25">
      <c r="AA8445" s="160"/>
      <c r="AB8445" s="162"/>
      <c r="AC8445" s="162"/>
      <c r="AD8445" s="162">
        <f t="shared" si="151"/>
        <v>0</v>
      </c>
      <c r="AE8445" s="160">
        <v>8443</v>
      </c>
    </row>
    <row r="8446" spans="27:31" x14ac:dyDescent="0.25">
      <c r="AA8446" s="160"/>
      <c r="AB8446" s="162"/>
      <c r="AC8446" s="162"/>
      <c r="AD8446" s="162">
        <f t="shared" si="151"/>
        <v>0</v>
      </c>
      <c r="AE8446" s="160">
        <v>8444</v>
      </c>
    </row>
    <row r="8447" spans="27:31" x14ac:dyDescent="0.25">
      <c r="AA8447" s="160"/>
      <c r="AB8447" s="162"/>
      <c r="AC8447" s="162"/>
      <c r="AD8447" s="162">
        <f t="shared" si="151"/>
        <v>0</v>
      </c>
      <c r="AE8447" s="160">
        <v>8445</v>
      </c>
    </row>
    <row r="8448" spans="27:31" x14ac:dyDescent="0.25">
      <c r="AA8448" s="160"/>
      <c r="AB8448" s="162"/>
      <c r="AC8448" s="162"/>
      <c r="AD8448" s="162">
        <f t="shared" si="151"/>
        <v>0</v>
      </c>
      <c r="AE8448" s="160">
        <v>8446</v>
      </c>
    </row>
    <row r="8449" spans="27:31" x14ac:dyDescent="0.25">
      <c r="AA8449" s="160"/>
      <c r="AB8449" s="162"/>
      <c r="AC8449" s="162"/>
      <c r="AD8449" s="162">
        <f t="shared" si="151"/>
        <v>0</v>
      </c>
      <c r="AE8449" s="160">
        <v>8447</v>
      </c>
    </row>
    <row r="8450" spans="27:31" x14ac:dyDescent="0.25">
      <c r="AA8450" s="160"/>
      <c r="AB8450" s="162"/>
      <c r="AC8450" s="162"/>
      <c r="AD8450" s="162">
        <f t="shared" si="151"/>
        <v>0</v>
      </c>
      <c r="AE8450" s="160">
        <v>8448</v>
      </c>
    </row>
    <row r="8451" spans="27:31" x14ac:dyDescent="0.25">
      <c r="AA8451" s="160"/>
      <c r="AB8451" s="162"/>
      <c r="AC8451" s="162"/>
      <c r="AD8451" s="162">
        <f t="shared" si="151"/>
        <v>0</v>
      </c>
      <c r="AE8451" s="160">
        <v>8449</v>
      </c>
    </row>
    <row r="8452" spans="27:31" x14ac:dyDescent="0.25">
      <c r="AA8452" s="160"/>
      <c r="AB8452" s="162"/>
      <c r="AC8452" s="162"/>
      <c r="AD8452" s="162">
        <f t="shared" ref="AD8452:AD8515" si="152">AB8452+AC8452</f>
        <v>0</v>
      </c>
      <c r="AE8452" s="160">
        <v>8450</v>
      </c>
    </row>
    <row r="8453" spans="27:31" x14ac:dyDescent="0.25">
      <c r="AA8453" s="160"/>
      <c r="AB8453" s="162"/>
      <c r="AC8453" s="162"/>
      <c r="AD8453" s="162">
        <f t="shared" si="152"/>
        <v>0</v>
      </c>
      <c r="AE8453" s="160">
        <v>8451</v>
      </c>
    </row>
    <row r="8454" spans="27:31" x14ac:dyDescent="0.25">
      <c r="AA8454" s="160"/>
      <c r="AB8454" s="162"/>
      <c r="AC8454" s="162"/>
      <c r="AD8454" s="162">
        <f t="shared" si="152"/>
        <v>0</v>
      </c>
      <c r="AE8454" s="160">
        <v>8452</v>
      </c>
    </row>
    <row r="8455" spans="27:31" x14ac:dyDescent="0.25">
      <c r="AA8455" s="160"/>
      <c r="AB8455" s="162"/>
      <c r="AC8455" s="162"/>
      <c r="AD8455" s="162">
        <f t="shared" si="152"/>
        <v>0</v>
      </c>
      <c r="AE8455" s="160">
        <v>8453</v>
      </c>
    </row>
    <row r="8456" spans="27:31" x14ac:dyDescent="0.25">
      <c r="AA8456" s="160"/>
      <c r="AB8456" s="162"/>
      <c r="AC8456" s="162"/>
      <c r="AD8456" s="162">
        <f t="shared" si="152"/>
        <v>0</v>
      </c>
      <c r="AE8456" s="160">
        <v>8454</v>
      </c>
    </row>
    <row r="8457" spans="27:31" x14ac:dyDescent="0.25">
      <c r="AA8457" s="160"/>
      <c r="AB8457" s="162"/>
      <c r="AC8457" s="162"/>
      <c r="AD8457" s="162">
        <f t="shared" si="152"/>
        <v>0</v>
      </c>
      <c r="AE8457" s="160">
        <v>8455</v>
      </c>
    </row>
    <row r="8458" spans="27:31" x14ac:dyDescent="0.25">
      <c r="AA8458" s="160"/>
      <c r="AB8458" s="162"/>
      <c r="AC8458" s="162"/>
      <c r="AD8458" s="162">
        <f t="shared" si="152"/>
        <v>0</v>
      </c>
      <c r="AE8458" s="160">
        <v>8456</v>
      </c>
    </row>
    <row r="8459" spans="27:31" x14ac:dyDescent="0.25">
      <c r="AA8459" s="160"/>
      <c r="AB8459" s="162"/>
      <c r="AC8459" s="162"/>
      <c r="AD8459" s="162">
        <f t="shared" si="152"/>
        <v>0</v>
      </c>
      <c r="AE8459" s="160">
        <v>8457</v>
      </c>
    </row>
    <row r="8460" spans="27:31" x14ac:dyDescent="0.25">
      <c r="AA8460" s="160"/>
      <c r="AB8460" s="162"/>
      <c r="AC8460" s="162"/>
      <c r="AD8460" s="162">
        <f t="shared" si="152"/>
        <v>0</v>
      </c>
      <c r="AE8460" s="160">
        <v>8458</v>
      </c>
    </row>
    <row r="8461" spans="27:31" x14ac:dyDescent="0.25">
      <c r="AA8461" s="160"/>
      <c r="AB8461" s="162"/>
      <c r="AC8461" s="162"/>
      <c r="AD8461" s="162">
        <f t="shared" si="152"/>
        <v>0</v>
      </c>
      <c r="AE8461" s="160">
        <v>8459</v>
      </c>
    </row>
    <row r="8462" spans="27:31" x14ac:dyDescent="0.25">
      <c r="AA8462" s="160"/>
      <c r="AB8462" s="162"/>
      <c r="AC8462" s="162"/>
      <c r="AD8462" s="162">
        <f t="shared" si="152"/>
        <v>0</v>
      </c>
      <c r="AE8462" s="160">
        <v>8460</v>
      </c>
    </row>
    <row r="8463" spans="27:31" x14ac:dyDescent="0.25">
      <c r="AA8463" s="160"/>
      <c r="AB8463" s="162"/>
      <c r="AC8463" s="162"/>
      <c r="AD8463" s="162">
        <f t="shared" si="152"/>
        <v>0</v>
      </c>
      <c r="AE8463" s="160">
        <v>8461</v>
      </c>
    </row>
    <row r="8464" spans="27:31" x14ac:dyDescent="0.25">
      <c r="AA8464" s="160"/>
      <c r="AB8464" s="162"/>
      <c r="AC8464" s="162"/>
      <c r="AD8464" s="162">
        <f t="shared" si="152"/>
        <v>0</v>
      </c>
      <c r="AE8464" s="160">
        <v>8462</v>
      </c>
    </row>
    <row r="8465" spans="27:31" x14ac:dyDescent="0.25">
      <c r="AA8465" s="160"/>
      <c r="AB8465" s="162"/>
      <c r="AC8465" s="162"/>
      <c r="AD8465" s="162">
        <f t="shared" si="152"/>
        <v>0</v>
      </c>
      <c r="AE8465" s="160">
        <v>8463</v>
      </c>
    </row>
    <row r="8466" spans="27:31" x14ac:dyDescent="0.25">
      <c r="AA8466" s="160"/>
      <c r="AB8466" s="162"/>
      <c r="AC8466" s="162"/>
      <c r="AD8466" s="162">
        <f t="shared" si="152"/>
        <v>0</v>
      </c>
      <c r="AE8466" s="160">
        <v>8464</v>
      </c>
    </row>
    <row r="8467" spans="27:31" x14ac:dyDescent="0.25">
      <c r="AA8467" s="160"/>
      <c r="AB8467" s="162"/>
      <c r="AC8467" s="162"/>
      <c r="AD8467" s="162">
        <f t="shared" si="152"/>
        <v>0</v>
      </c>
      <c r="AE8467" s="160">
        <v>8465</v>
      </c>
    </row>
    <row r="8468" spans="27:31" x14ac:dyDescent="0.25">
      <c r="AA8468" s="160"/>
      <c r="AB8468" s="162"/>
      <c r="AC8468" s="162"/>
      <c r="AD8468" s="162">
        <f t="shared" si="152"/>
        <v>0</v>
      </c>
      <c r="AE8468" s="160">
        <v>8466</v>
      </c>
    </row>
    <row r="8469" spans="27:31" x14ac:dyDescent="0.25">
      <c r="AA8469" s="160"/>
      <c r="AB8469" s="162"/>
      <c r="AC8469" s="162"/>
      <c r="AD8469" s="162">
        <f t="shared" si="152"/>
        <v>0</v>
      </c>
      <c r="AE8469" s="160">
        <v>8467</v>
      </c>
    </row>
    <row r="8470" spans="27:31" x14ac:dyDescent="0.25">
      <c r="AA8470" s="160"/>
      <c r="AB8470" s="162"/>
      <c r="AC8470" s="162"/>
      <c r="AD8470" s="162">
        <f t="shared" si="152"/>
        <v>0</v>
      </c>
      <c r="AE8470" s="160">
        <v>8468</v>
      </c>
    </row>
    <row r="8471" spans="27:31" x14ac:dyDescent="0.25">
      <c r="AA8471" s="160"/>
      <c r="AB8471" s="162"/>
      <c r="AC8471" s="162"/>
      <c r="AD8471" s="162">
        <f t="shared" si="152"/>
        <v>0</v>
      </c>
      <c r="AE8471" s="160">
        <v>8469</v>
      </c>
    </row>
    <row r="8472" spans="27:31" x14ac:dyDescent="0.25">
      <c r="AA8472" s="160"/>
      <c r="AB8472" s="162"/>
      <c r="AC8472" s="162"/>
      <c r="AD8472" s="162">
        <f t="shared" si="152"/>
        <v>0</v>
      </c>
      <c r="AE8472" s="160">
        <v>8470</v>
      </c>
    </row>
    <row r="8473" spans="27:31" x14ac:dyDescent="0.25">
      <c r="AA8473" s="160"/>
      <c r="AB8473" s="162"/>
      <c r="AC8473" s="162"/>
      <c r="AD8473" s="162">
        <f t="shared" si="152"/>
        <v>0</v>
      </c>
      <c r="AE8473" s="160">
        <v>8471</v>
      </c>
    </row>
    <row r="8474" spans="27:31" x14ac:dyDescent="0.25">
      <c r="AA8474" s="160"/>
      <c r="AB8474" s="162"/>
      <c r="AC8474" s="162"/>
      <c r="AD8474" s="162">
        <f t="shared" si="152"/>
        <v>0</v>
      </c>
      <c r="AE8474" s="160">
        <v>8472</v>
      </c>
    </row>
    <row r="8475" spans="27:31" x14ac:dyDescent="0.25">
      <c r="AA8475" s="160"/>
      <c r="AB8475" s="162"/>
      <c r="AC8475" s="162"/>
      <c r="AD8475" s="162">
        <f t="shared" si="152"/>
        <v>0</v>
      </c>
      <c r="AE8475" s="160">
        <v>8473</v>
      </c>
    </row>
    <row r="8476" spans="27:31" x14ac:dyDescent="0.25">
      <c r="AA8476" s="160"/>
      <c r="AB8476" s="162"/>
      <c r="AC8476" s="162"/>
      <c r="AD8476" s="162">
        <f t="shared" si="152"/>
        <v>0</v>
      </c>
      <c r="AE8476" s="160">
        <v>8474</v>
      </c>
    </row>
    <row r="8477" spans="27:31" x14ac:dyDescent="0.25">
      <c r="AA8477" s="160"/>
      <c r="AB8477" s="162"/>
      <c r="AC8477" s="162"/>
      <c r="AD8477" s="162">
        <f t="shared" si="152"/>
        <v>0</v>
      </c>
      <c r="AE8477" s="160">
        <v>8475</v>
      </c>
    </row>
    <row r="8478" spans="27:31" x14ac:dyDescent="0.25">
      <c r="AA8478" s="160"/>
      <c r="AB8478" s="162"/>
      <c r="AC8478" s="162"/>
      <c r="AD8478" s="162">
        <f t="shared" si="152"/>
        <v>0</v>
      </c>
      <c r="AE8478" s="160">
        <v>8476</v>
      </c>
    </row>
    <row r="8479" spans="27:31" x14ac:dyDescent="0.25">
      <c r="AA8479" s="160"/>
      <c r="AB8479" s="162"/>
      <c r="AC8479" s="162"/>
      <c r="AD8479" s="162">
        <f t="shared" si="152"/>
        <v>0</v>
      </c>
      <c r="AE8479" s="160">
        <v>8477</v>
      </c>
    </row>
    <row r="8480" spans="27:31" x14ac:dyDescent="0.25">
      <c r="AA8480" s="160"/>
      <c r="AB8480" s="162"/>
      <c r="AC8480" s="162"/>
      <c r="AD8480" s="162">
        <f t="shared" si="152"/>
        <v>0</v>
      </c>
      <c r="AE8480" s="160">
        <v>8478</v>
      </c>
    </row>
    <row r="8481" spans="27:31" x14ac:dyDescent="0.25">
      <c r="AA8481" s="160"/>
      <c r="AB8481" s="162"/>
      <c r="AC8481" s="162"/>
      <c r="AD8481" s="162">
        <f t="shared" si="152"/>
        <v>0</v>
      </c>
      <c r="AE8481" s="160">
        <v>8479</v>
      </c>
    </row>
    <row r="8482" spans="27:31" x14ac:dyDescent="0.25">
      <c r="AA8482" s="160"/>
      <c r="AB8482" s="162"/>
      <c r="AC8482" s="162"/>
      <c r="AD8482" s="162">
        <f t="shared" si="152"/>
        <v>0</v>
      </c>
      <c r="AE8482" s="160">
        <v>8480</v>
      </c>
    </row>
    <row r="8483" spans="27:31" x14ac:dyDescent="0.25">
      <c r="AA8483" s="160"/>
      <c r="AB8483" s="162"/>
      <c r="AC8483" s="162"/>
      <c r="AD8483" s="162">
        <f t="shared" si="152"/>
        <v>0</v>
      </c>
      <c r="AE8483" s="160">
        <v>8481</v>
      </c>
    </row>
    <row r="8484" spans="27:31" x14ac:dyDescent="0.25">
      <c r="AA8484" s="160"/>
      <c r="AB8484" s="162"/>
      <c r="AC8484" s="162"/>
      <c r="AD8484" s="162">
        <f t="shared" si="152"/>
        <v>0</v>
      </c>
      <c r="AE8484" s="160">
        <v>8482</v>
      </c>
    </row>
    <row r="8485" spans="27:31" x14ac:dyDescent="0.25">
      <c r="AA8485" s="160"/>
      <c r="AB8485" s="162"/>
      <c r="AC8485" s="162"/>
      <c r="AD8485" s="162">
        <f t="shared" si="152"/>
        <v>0</v>
      </c>
      <c r="AE8485" s="160">
        <v>8483</v>
      </c>
    </row>
    <row r="8486" spans="27:31" x14ac:dyDescent="0.25">
      <c r="AA8486" s="160"/>
      <c r="AB8486" s="162"/>
      <c r="AC8486" s="162"/>
      <c r="AD8486" s="162">
        <f t="shared" si="152"/>
        <v>0</v>
      </c>
      <c r="AE8486" s="160">
        <v>8484</v>
      </c>
    </row>
    <row r="8487" spans="27:31" x14ac:dyDescent="0.25">
      <c r="AA8487" s="160"/>
      <c r="AB8487" s="162"/>
      <c r="AC8487" s="162"/>
      <c r="AD8487" s="162">
        <f t="shared" si="152"/>
        <v>0</v>
      </c>
      <c r="AE8487" s="160">
        <v>8485</v>
      </c>
    </row>
    <row r="8488" spans="27:31" x14ac:dyDescent="0.25">
      <c r="AA8488" s="160"/>
      <c r="AB8488" s="162"/>
      <c r="AC8488" s="162"/>
      <c r="AD8488" s="162">
        <f t="shared" si="152"/>
        <v>0</v>
      </c>
      <c r="AE8488" s="160">
        <v>8486</v>
      </c>
    </row>
    <row r="8489" spans="27:31" x14ac:dyDescent="0.25">
      <c r="AA8489" s="160"/>
      <c r="AB8489" s="162"/>
      <c r="AC8489" s="162"/>
      <c r="AD8489" s="162">
        <f t="shared" si="152"/>
        <v>0</v>
      </c>
      <c r="AE8489" s="160">
        <v>8487</v>
      </c>
    </row>
    <row r="8490" spans="27:31" x14ac:dyDescent="0.25">
      <c r="AA8490" s="160"/>
      <c r="AB8490" s="162"/>
      <c r="AC8490" s="162"/>
      <c r="AD8490" s="162">
        <f t="shared" si="152"/>
        <v>0</v>
      </c>
      <c r="AE8490" s="160">
        <v>8488</v>
      </c>
    </row>
    <row r="8491" spans="27:31" x14ac:dyDescent="0.25">
      <c r="AA8491" s="160"/>
      <c r="AB8491" s="162"/>
      <c r="AC8491" s="162"/>
      <c r="AD8491" s="162">
        <f t="shared" si="152"/>
        <v>0</v>
      </c>
      <c r="AE8491" s="160">
        <v>8489</v>
      </c>
    </row>
    <row r="8492" spans="27:31" x14ac:dyDescent="0.25">
      <c r="AA8492" s="160"/>
      <c r="AB8492" s="162"/>
      <c r="AC8492" s="162"/>
      <c r="AD8492" s="162">
        <f t="shared" si="152"/>
        <v>0</v>
      </c>
      <c r="AE8492" s="160">
        <v>8490</v>
      </c>
    </row>
    <row r="8493" spans="27:31" x14ac:dyDescent="0.25">
      <c r="AA8493" s="160"/>
      <c r="AB8493" s="162"/>
      <c r="AC8493" s="162"/>
      <c r="AD8493" s="162">
        <f t="shared" si="152"/>
        <v>0</v>
      </c>
      <c r="AE8493" s="160">
        <v>8491</v>
      </c>
    </row>
    <row r="8494" spans="27:31" x14ac:dyDescent="0.25">
      <c r="AA8494" s="160"/>
      <c r="AB8494" s="162"/>
      <c r="AC8494" s="162"/>
      <c r="AD8494" s="162">
        <f t="shared" si="152"/>
        <v>0</v>
      </c>
      <c r="AE8494" s="160">
        <v>8492</v>
      </c>
    </row>
    <row r="8495" spans="27:31" x14ac:dyDescent="0.25">
      <c r="AA8495" s="160"/>
      <c r="AB8495" s="162"/>
      <c r="AC8495" s="162"/>
      <c r="AD8495" s="162">
        <f t="shared" si="152"/>
        <v>0</v>
      </c>
      <c r="AE8495" s="160">
        <v>8493</v>
      </c>
    </row>
    <row r="8496" spans="27:31" x14ac:dyDescent="0.25">
      <c r="AA8496" s="160"/>
      <c r="AB8496" s="162"/>
      <c r="AC8496" s="162"/>
      <c r="AD8496" s="162">
        <f t="shared" si="152"/>
        <v>0</v>
      </c>
      <c r="AE8496" s="160">
        <v>8494</v>
      </c>
    </row>
    <row r="8497" spans="27:31" x14ac:dyDescent="0.25">
      <c r="AA8497" s="160"/>
      <c r="AB8497" s="162"/>
      <c r="AC8497" s="162"/>
      <c r="AD8497" s="162">
        <f t="shared" si="152"/>
        <v>0</v>
      </c>
      <c r="AE8497" s="160">
        <v>8495</v>
      </c>
    </row>
    <row r="8498" spans="27:31" x14ac:dyDescent="0.25">
      <c r="AA8498" s="160"/>
      <c r="AB8498" s="162"/>
      <c r="AC8498" s="162"/>
      <c r="AD8498" s="162">
        <f t="shared" si="152"/>
        <v>0</v>
      </c>
      <c r="AE8498" s="160">
        <v>8496</v>
      </c>
    </row>
    <row r="8499" spans="27:31" x14ac:dyDescent="0.25">
      <c r="AA8499" s="160"/>
      <c r="AB8499" s="162"/>
      <c r="AC8499" s="162"/>
      <c r="AD8499" s="162">
        <f t="shared" si="152"/>
        <v>0</v>
      </c>
      <c r="AE8499" s="160">
        <v>8497</v>
      </c>
    </row>
    <row r="8500" spans="27:31" x14ac:dyDescent="0.25">
      <c r="AA8500" s="160"/>
      <c r="AB8500" s="162"/>
      <c r="AC8500" s="162"/>
      <c r="AD8500" s="162">
        <f t="shared" si="152"/>
        <v>0</v>
      </c>
      <c r="AE8500" s="160">
        <v>8498</v>
      </c>
    </row>
    <row r="8501" spans="27:31" x14ac:dyDescent="0.25">
      <c r="AA8501" s="160"/>
      <c r="AB8501" s="162"/>
      <c r="AC8501" s="162"/>
      <c r="AD8501" s="162">
        <f t="shared" si="152"/>
        <v>0</v>
      </c>
      <c r="AE8501" s="160">
        <v>8499</v>
      </c>
    </row>
    <row r="8502" spans="27:31" x14ac:dyDescent="0.25">
      <c r="AA8502" s="160"/>
      <c r="AB8502" s="162"/>
      <c r="AC8502" s="162"/>
      <c r="AD8502" s="162">
        <f t="shared" si="152"/>
        <v>0</v>
      </c>
      <c r="AE8502" s="160">
        <v>8500</v>
      </c>
    </row>
    <row r="8503" spans="27:31" x14ac:dyDescent="0.25">
      <c r="AA8503" s="160"/>
      <c r="AB8503" s="162"/>
      <c r="AC8503" s="162"/>
      <c r="AD8503" s="162">
        <f t="shared" si="152"/>
        <v>0</v>
      </c>
      <c r="AE8503" s="160">
        <v>8501</v>
      </c>
    </row>
    <row r="8504" spans="27:31" x14ac:dyDescent="0.25">
      <c r="AA8504" s="160"/>
      <c r="AB8504" s="162"/>
      <c r="AC8504" s="162"/>
      <c r="AD8504" s="162">
        <f t="shared" si="152"/>
        <v>0</v>
      </c>
      <c r="AE8504" s="160">
        <v>8502</v>
      </c>
    </row>
    <row r="8505" spans="27:31" x14ac:dyDescent="0.25">
      <c r="AA8505" s="160"/>
      <c r="AB8505" s="162"/>
      <c r="AC8505" s="162"/>
      <c r="AD8505" s="162">
        <f t="shared" si="152"/>
        <v>0</v>
      </c>
      <c r="AE8505" s="160">
        <v>8503</v>
      </c>
    </row>
    <row r="8506" spans="27:31" x14ac:dyDescent="0.25">
      <c r="AA8506" s="160"/>
      <c r="AB8506" s="162"/>
      <c r="AC8506" s="162"/>
      <c r="AD8506" s="162">
        <f t="shared" si="152"/>
        <v>0</v>
      </c>
      <c r="AE8506" s="160">
        <v>8504</v>
      </c>
    </row>
    <row r="8507" spans="27:31" x14ac:dyDescent="0.25">
      <c r="AA8507" s="160"/>
      <c r="AB8507" s="162"/>
      <c r="AC8507" s="162"/>
      <c r="AD8507" s="162">
        <f t="shared" si="152"/>
        <v>0</v>
      </c>
      <c r="AE8507" s="160">
        <v>8505</v>
      </c>
    </row>
    <row r="8508" spans="27:31" x14ac:dyDescent="0.25">
      <c r="AA8508" s="160"/>
      <c r="AB8508" s="162"/>
      <c r="AC8508" s="162"/>
      <c r="AD8508" s="162">
        <f t="shared" si="152"/>
        <v>0</v>
      </c>
      <c r="AE8508" s="160">
        <v>8506</v>
      </c>
    </row>
    <row r="8509" spans="27:31" x14ac:dyDescent="0.25">
      <c r="AA8509" s="160"/>
      <c r="AB8509" s="162"/>
      <c r="AC8509" s="162"/>
      <c r="AD8509" s="162">
        <f t="shared" si="152"/>
        <v>0</v>
      </c>
      <c r="AE8509" s="160">
        <v>8507</v>
      </c>
    </row>
    <row r="8510" spans="27:31" x14ac:dyDescent="0.25">
      <c r="AA8510" s="160"/>
      <c r="AB8510" s="162"/>
      <c r="AC8510" s="162"/>
      <c r="AD8510" s="162">
        <f t="shared" si="152"/>
        <v>0</v>
      </c>
      <c r="AE8510" s="160">
        <v>8508</v>
      </c>
    </row>
    <row r="8511" spans="27:31" x14ac:dyDescent="0.25">
      <c r="AA8511" s="160"/>
      <c r="AB8511" s="162"/>
      <c r="AC8511" s="162"/>
      <c r="AD8511" s="162">
        <f t="shared" si="152"/>
        <v>0</v>
      </c>
      <c r="AE8511" s="160">
        <v>8509</v>
      </c>
    </row>
    <row r="8512" spans="27:31" x14ac:dyDescent="0.25">
      <c r="AA8512" s="160"/>
      <c r="AB8512" s="162"/>
      <c r="AC8512" s="162"/>
      <c r="AD8512" s="162">
        <f t="shared" si="152"/>
        <v>0</v>
      </c>
      <c r="AE8512" s="160">
        <v>8510</v>
      </c>
    </row>
    <row r="8513" spans="27:31" x14ac:dyDescent="0.25">
      <c r="AA8513" s="160"/>
      <c r="AB8513" s="162"/>
      <c r="AC8513" s="162"/>
      <c r="AD8513" s="162">
        <f t="shared" si="152"/>
        <v>0</v>
      </c>
      <c r="AE8513" s="160">
        <v>8511</v>
      </c>
    </row>
    <row r="8514" spans="27:31" x14ac:dyDescent="0.25">
      <c r="AA8514" s="160"/>
      <c r="AB8514" s="162"/>
      <c r="AC8514" s="162"/>
      <c r="AD8514" s="162">
        <f t="shared" si="152"/>
        <v>0</v>
      </c>
      <c r="AE8514" s="160">
        <v>8512</v>
      </c>
    </row>
    <row r="8515" spans="27:31" x14ac:dyDescent="0.25">
      <c r="AA8515" s="160"/>
      <c r="AB8515" s="162"/>
      <c r="AC8515" s="162"/>
      <c r="AD8515" s="162">
        <f t="shared" si="152"/>
        <v>0</v>
      </c>
      <c r="AE8515" s="160">
        <v>8513</v>
      </c>
    </row>
    <row r="8516" spans="27:31" x14ac:dyDescent="0.25">
      <c r="AA8516" s="160"/>
      <c r="AB8516" s="162"/>
      <c r="AC8516" s="162"/>
      <c r="AD8516" s="162">
        <f t="shared" ref="AD8516:AD8579" si="153">AB8516+AC8516</f>
        <v>0</v>
      </c>
      <c r="AE8516" s="160">
        <v>8514</v>
      </c>
    </row>
    <row r="8517" spans="27:31" x14ac:dyDescent="0.25">
      <c r="AA8517" s="160"/>
      <c r="AB8517" s="162"/>
      <c r="AC8517" s="162"/>
      <c r="AD8517" s="162">
        <f t="shared" si="153"/>
        <v>0</v>
      </c>
      <c r="AE8517" s="160">
        <v>8515</v>
      </c>
    </row>
    <row r="8518" spans="27:31" x14ac:dyDescent="0.25">
      <c r="AA8518" s="160"/>
      <c r="AB8518" s="162"/>
      <c r="AC8518" s="162"/>
      <c r="AD8518" s="162">
        <f t="shared" si="153"/>
        <v>0</v>
      </c>
      <c r="AE8518" s="160">
        <v>8516</v>
      </c>
    </row>
    <row r="8519" spans="27:31" x14ac:dyDescent="0.25">
      <c r="AA8519" s="160"/>
      <c r="AB8519" s="162"/>
      <c r="AC8519" s="162"/>
      <c r="AD8519" s="162">
        <f t="shared" si="153"/>
        <v>0</v>
      </c>
      <c r="AE8519" s="160">
        <v>8517</v>
      </c>
    </row>
    <row r="8520" spans="27:31" x14ac:dyDescent="0.25">
      <c r="AA8520" s="160"/>
      <c r="AB8520" s="162"/>
      <c r="AC8520" s="162"/>
      <c r="AD8520" s="162">
        <f t="shared" si="153"/>
        <v>0</v>
      </c>
      <c r="AE8520" s="160">
        <v>8518</v>
      </c>
    </row>
    <row r="8521" spans="27:31" x14ac:dyDescent="0.25">
      <c r="AA8521" s="160"/>
      <c r="AB8521" s="162"/>
      <c r="AC8521" s="162"/>
      <c r="AD8521" s="162">
        <f t="shared" si="153"/>
        <v>0</v>
      </c>
      <c r="AE8521" s="160">
        <v>8519</v>
      </c>
    </row>
    <row r="8522" spans="27:31" x14ac:dyDescent="0.25">
      <c r="AA8522" s="160"/>
      <c r="AB8522" s="162"/>
      <c r="AC8522" s="162"/>
      <c r="AD8522" s="162">
        <f t="shared" si="153"/>
        <v>0</v>
      </c>
      <c r="AE8522" s="160">
        <v>8520</v>
      </c>
    </row>
    <row r="8523" spans="27:31" x14ac:dyDescent="0.25">
      <c r="AA8523" s="160"/>
      <c r="AB8523" s="162"/>
      <c r="AC8523" s="162"/>
      <c r="AD8523" s="162">
        <f t="shared" si="153"/>
        <v>0</v>
      </c>
      <c r="AE8523" s="160">
        <v>8521</v>
      </c>
    </row>
    <row r="8524" spans="27:31" x14ac:dyDescent="0.25">
      <c r="AA8524" s="160"/>
      <c r="AB8524" s="162"/>
      <c r="AC8524" s="162"/>
      <c r="AD8524" s="162">
        <f t="shared" si="153"/>
        <v>0</v>
      </c>
      <c r="AE8524" s="160">
        <v>8522</v>
      </c>
    </row>
    <row r="8525" spans="27:31" x14ac:dyDescent="0.25">
      <c r="AA8525" s="160"/>
      <c r="AB8525" s="162"/>
      <c r="AC8525" s="162"/>
      <c r="AD8525" s="162">
        <f t="shared" si="153"/>
        <v>0</v>
      </c>
      <c r="AE8525" s="160">
        <v>8523</v>
      </c>
    </row>
    <row r="8526" spans="27:31" x14ac:dyDescent="0.25">
      <c r="AA8526" s="160"/>
      <c r="AB8526" s="162"/>
      <c r="AC8526" s="162"/>
      <c r="AD8526" s="162">
        <f t="shared" si="153"/>
        <v>0</v>
      </c>
      <c r="AE8526" s="160">
        <v>8524</v>
      </c>
    </row>
    <row r="8527" spans="27:31" x14ac:dyDescent="0.25">
      <c r="AA8527" s="160"/>
      <c r="AB8527" s="162"/>
      <c r="AC8527" s="162"/>
      <c r="AD8527" s="162">
        <f t="shared" si="153"/>
        <v>0</v>
      </c>
      <c r="AE8527" s="160">
        <v>8525</v>
      </c>
    </row>
    <row r="8528" spans="27:31" x14ac:dyDescent="0.25">
      <c r="AA8528" s="160"/>
      <c r="AB8528" s="162"/>
      <c r="AC8528" s="162"/>
      <c r="AD8528" s="162">
        <f t="shared" si="153"/>
        <v>0</v>
      </c>
      <c r="AE8528" s="160">
        <v>8526</v>
      </c>
    </row>
    <row r="8529" spans="27:31" x14ac:dyDescent="0.25">
      <c r="AA8529" s="160"/>
      <c r="AB8529" s="162"/>
      <c r="AC8529" s="162"/>
      <c r="AD8529" s="162">
        <f t="shared" si="153"/>
        <v>0</v>
      </c>
      <c r="AE8529" s="160">
        <v>8527</v>
      </c>
    </row>
    <row r="8530" spans="27:31" x14ac:dyDescent="0.25">
      <c r="AA8530" s="160"/>
      <c r="AB8530" s="162"/>
      <c r="AC8530" s="162"/>
      <c r="AD8530" s="162">
        <f t="shared" si="153"/>
        <v>0</v>
      </c>
      <c r="AE8530" s="160">
        <v>8528</v>
      </c>
    </row>
    <row r="8531" spans="27:31" x14ac:dyDescent="0.25">
      <c r="AA8531" s="160"/>
      <c r="AB8531" s="162"/>
      <c r="AC8531" s="162"/>
      <c r="AD8531" s="162">
        <f t="shared" si="153"/>
        <v>0</v>
      </c>
      <c r="AE8531" s="160">
        <v>8529</v>
      </c>
    </row>
    <row r="8532" spans="27:31" x14ac:dyDescent="0.25">
      <c r="AA8532" s="160"/>
      <c r="AB8532" s="162"/>
      <c r="AC8532" s="162"/>
      <c r="AD8532" s="162">
        <f t="shared" si="153"/>
        <v>0</v>
      </c>
      <c r="AE8532" s="160">
        <v>8530</v>
      </c>
    </row>
    <row r="8533" spans="27:31" x14ac:dyDescent="0.25">
      <c r="AA8533" s="160"/>
      <c r="AB8533" s="162"/>
      <c r="AC8533" s="162"/>
      <c r="AD8533" s="162">
        <f t="shared" si="153"/>
        <v>0</v>
      </c>
      <c r="AE8533" s="160">
        <v>8531</v>
      </c>
    </row>
    <row r="8534" spans="27:31" x14ac:dyDescent="0.25">
      <c r="AA8534" s="160"/>
      <c r="AB8534" s="162"/>
      <c r="AC8534" s="162"/>
      <c r="AD8534" s="162">
        <f t="shared" si="153"/>
        <v>0</v>
      </c>
      <c r="AE8534" s="160">
        <v>8532</v>
      </c>
    </row>
    <row r="8535" spans="27:31" x14ac:dyDescent="0.25">
      <c r="AA8535" s="160"/>
      <c r="AB8535" s="162"/>
      <c r="AC8535" s="162"/>
      <c r="AD8535" s="162">
        <f t="shared" si="153"/>
        <v>0</v>
      </c>
      <c r="AE8535" s="160">
        <v>8533</v>
      </c>
    </row>
    <row r="8536" spans="27:31" x14ac:dyDescent="0.25">
      <c r="AA8536" s="160"/>
      <c r="AB8536" s="162"/>
      <c r="AC8536" s="162"/>
      <c r="AD8536" s="162">
        <f t="shared" si="153"/>
        <v>0</v>
      </c>
      <c r="AE8536" s="160">
        <v>8534</v>
      </c>
    </row>
    <row r="8537" spans="27:31" x14ac:dyDescent="0.25">
      <c r="AA8537" s="160"/>
      <c r="AB8537" s="162"/>
      <c r="AC8537" s="162"/>
      <c r="AD8537" s="162">
        <f t="shared" si="153"/>
        <v>0</v>
      </c>
      <c r="AE8537" s="160">
        <v>8535</v>
      </c>
    </row>
    <row r="8538" spans="27:31" x14ac:dyDescent="0.25">
      <c r="AA8538" s="160"/>
      <c r="AB8538" s="162"/>
      <c r="AC8538" s="162"/>
      <c r="AD8538" s="162">
        <f t="shared" si="153"/>
        <v>0</v>
      </c>
      <c r="AE8538" s="160">
        <v>8536</v>
      </c>
    </row>
    <row r="8539" spans="27:31" x14ac:dyDescent="0.25">
      <c r="AA8539" s="160"/>
      <c r="AB8539" s="162"/>
      <c r="AC8539" s="162"/>
      <c r="AD8539" s="162">
        <f t="shared" si="153"/>
        <v>0</v>
      </c>
      <c r="AE8539" s="160">
        <v>8537</v>
      </c>
    </row>
    <row r="8540" spans="27:31" x14ac:dyDescent="0.25">
      <c r="AA8540" s="160"/>
      <c r="AB8540" s="162"/>
      <c r="AC8540" s="162"/>
      <c r="AD8540" s="162">
        <f t="shared" si="153"/>
        <v>0</v>
      </c>
      <c r="AE8540" s="160">
        <v>8538</v>
      </c>
    </row>
    <row r="8541" spans="27:31" x14ac:dyDescent="0.25">
      <c r="AA8541" s="160"/>
      <c r="AB8541" s="162"/>
      <c r="AC8541" s="162"/>
      <c r="AD8541" s="162">
        <f t="shared" si="153"/>
        <v>0</v>
      </c>
      <c r="AE8541" s="160">
        <v>8539</v>
      </c>
    </row>
    <row r="8542" spans="27:31" x14ac:dyDescent="0.25">
      <c r="AA8542" s="160"/>
      <c r="AB8542" s="162"/>
      <c r="AC8542" s="162"/>
      <c r="AD8542" s="162">
        <f t="shared" si="153"/>
        <v>0</v>
      </c>
      <c r="AE8542" s="160">
        <v>8540</v>
      </c>
    </row>
    <row r="8543" spans="27:31" x14ac:dyDescent="0.25">
      <c r="AA8543" s="160"/>
      <c r="AB8543" s="162"/>
      <c r="AC8543" s="162"/>
      <c r="AD8543" s="162">
        <f t="shared" si="153"/>
        <v>0</v>
      </c>
      <c r="AE8543" s="160">
        <v>8541</v>
      </c>
    </row>
    <row r="8544" spans="27:31" x14ac:dyDescent="0.25">
      <c r="AA8544" s="160"/>
      <c r="AB8544" s="162"/>
      <c r="AC8544" s="162"/>
      <c r="AD8544" s="162">
        <f t="shared" si="153"/>
        <v>0</v>
      </c>
      <c r="AE8544" s="160">
        <v>8542</v>
      </c>
    </row>
    <row r="8545" spans="27:31" x14ac:dyDescent="0.25">
      <c r="AA8545" s="160"/>
      <c r="AB8545" s="162"/>
      <c r="AC8545" s="162"/>
      <c r="AD8545" s="162">
        <f t="shared" si="153"/>
        <v>0</v>
      </c>
      <c r="AE8545" s="160">
        <v>8543</v>
      </c>
    </row>
    <row r="8546" spans="27:31" x14ac:dyDescent="0.25">
      <c r="AA8546" s="160"/>
      <c r="AB8546" s="162"/>
      <c r="AC8546" s="162"/>
      <c r="AD8546" s="162">
        <f t="shared" si="153"/>
        <v>0</v>
      </c>
      <c r="AE8546" s="160">
        <v>8544</v>
      </c>
    </row>
    <row r="8547" spans="27:31" x14ac:dyDescent="0.25">
      <c r="AA8547" s="160"/>
      <c r="AB8547" s="162"/>
      <c r="AC8547" s="162"/>
      <c r="AD8547" s="162">
        <f t="shared" si="153"/>
        <v>0</v>
      </c>
      <c r="AE8547" s="160">
        <v>8545</v>
      </c>
    </row>
    <row r="8548" spans="27:31" x14ac:dyDescent="0.25">
      <c r="AA8548" s="160"/>
      <c r="AB8548" s="162"/>
      <c r="AC8548" s="162"/>
      <c r="AD8548" s="162">
        <f t="shared" si="153"/>
        <v>0</v>
      </c>
      <c r="AE8548" s="160">
        <v>8546</v>
      </c>
    </row>
    <row r="8549" spans="27:31" x14ac:dyDescent="0.25">
      <c r="AA8549" s="160"/>
      <c r="AB8549" s="162"/>
      <c r="AC8549" s="162"/>
      <c r="AD8549" s="162">
        <f t="shared" si="153"/>
        <v>0</v>
      </c>
      <c r="AE8549" s="160">
        <v>8547</v>
      </c>
    </row>
    <row r="8550" spans="27:31" x14ac:dyDescent="0.25">
      <c r="AA8550" s="160"/>
      <c r="AB8550" s="162"/>
      <c r="AC8550" s="162"/>
      <c r="AD8550" s="162">
        <f t="shared" si="153"/>
        <v>0</v>
      </c>
      <c r="AE8550" s="160">
        <v>8548</v>
      </c>
    </row>
    <row r="8551" spans="27:31" x14ac:dyDescent="0.25">
      <c r="AA8551" s="160"/>
      <c r="AB8551" s="162"/>
      <c r="AC8551" s="162"/>
      <c r="AD8551" s="162">
        <f t="shared" si="153"/>
        <v>0</v>
      </c>
      <c r="AE8551" s="160">
        <v>8549</v>
      </c>
    </row>
    <row r="8552" spans="27:31" x14ac:dyDescent="0.25">
      <c r="AA8552" s="160"/>
      <c r="AB8552" s="162"/>
      <c r="AC8552" s="162"/>
      <c r="AD8552" s="162">
        <f t="shared" si="153"/>
        <v>0</v>
      </c>
      <c r="AE8552" s="160">
        <v>8550</v>
      </c>
    </row>
    <row r="8553" spans="27:31" x14ac:dyDescent="0.25">
      <c r="AA8553" s="160"/>
      <c r="AB8553" s="162"/>
      <c r="AC8553" s="162"/>
      <c r="AD8553" s="162">
        <f t="shared" si="153"/>
        <v>0</v>
      </c>
      <c r="AE8553" s="160">
        <v>8551</v>
      </c>
    </row>
    <row r="8554" spans="27:31" x14ac:dyDescent="0.25">
      <c r="AA8554" s="160"/>
      <c r="AB8554" s="162"/>
      <c r="AC8554" s="162"/>
      <c r="AD8554" s="162">
        <f t="shared" si="153"/>
        <v>0</v>
      </c>
      <c r="AE8554" s="160">
        <v>8552</v>
      </c>
    </row>
    <row r="8555" spans="27:31" x14ac:dyDescent="0.25">
      <c r="AA8555" s="160"/>
      <c r="AB8555" s="162"/>
      <c r="AC8555" s="162"/>
      <c r="AD8555" s="162">
        <f t="shared" si="153"/>
        <v>0</v>
      </c>
      <c r="AE8555" s="160">
        <v>8553</v>
      </c>
    </row>
    <row r="8556" spans="27:31" x14ac:dyDescent="0.25">
      <c r="AA8556" s="160"/>
      <c r="AB8556" s="162"/>
      <c r="AC8556" s="162"/>
      <c r="AD8556" s="162">
        <f t="shared" si="153"/>
        <v>0</v>
      </c>
      <c r="AE8556" s="160">
        <v>8554</v>
      </c>
    </row>
    <row r="8557" spans="27:31" x14ac:dyDescent="0.25">
      <c r="AA8557" s="160"/>
      <c r="AB8557" s="162"/>
      <c r="AC8557" s="162"/>
      <c r="AD8557" s="162">
        <f t="shared" si="153"/>
        <v>0</v>
      </c>
      <c r="AE8557" s="160">
        <v>8555</v>
      </c>
    </row>
    <row r="8558" spans="27:31" x14ac:dyDescent="0.25">
      <c r="AA8558" s="160"/>
      <c r="AB8558" s="162"/>
      <c r="AC8558" s="162"/>
      <c r="AD8558" s="162">
        <f t="shared" si="153"/>
        <v>0</v>
      </c>
      <c r="AE8558" s="160">
        <v>8556</v>
      </c>
    </row>
    <row r="8559" spans="27:31" x14ac:dyDescent="0.25">
      <c r="AA8559" s="160"/>
      <c r="AB8559" s="162"/>
      <c r="AC8559" s="162"/>
      <c r="AD8559" s="162">
        <f t="shared" si="153"/>
        <v>0</v>
      </c>
      <c r="AE8559" s="160">
        <v>8557</v>
      </c>
    </row>
    <row r="8560" spans="27:31" x14ac:dyDescent="0.25">
      <c r="AA8560" s="160"/>
      <c r="AB8560" s="162"/>
      <c r="AC8560" s="162"/>
      <c r="AD8560" s="162">
        <f t="shared" si="153"/>
        <v>0</v>
      </c>
      <c r="AE8560" s="160">
        <v>8558</v>
      </c>
    </row>
    <row r="8561" spans="27:31" x14ac:dyDescent="0.25">
      <c r="AA8561" s="160"/>
      <c r="AB8561" s="162"/>
      <c r="AC8561" s="162"/>
      <c r="AD8561" s="162">
        <f t="shared" si="153"/>
        <v>0</v>
      </c>
      <c r="AE8561" s="160">
        <v>8559</v>
      </c>
    </row>
    <row r="8562" spans="27:31" x14ac:dyDescent="0.25">
      <c r="AA8562" s="160"/>
      <c r="AB8562" s="162"/>
      <c r="AC8562" s="162"/>
      <c r="AD8562" s="162">
        <f t="shared" si="153"/>
        <v>0</v>
      </c>
      <c r="AE8562" s="160">
        <v>8560</v>
      </c>
    </row>
    <row r="8563" spans="27:31" x14ac:dyDescent="0.25">
      <c r="AA8563" s="160"/>
      <c r="AB8563" s="162"/>
      <c r="AC8563" s="162"/>
      <c r="AD8563" s="162">
        <f t="shared" si="153"/>
        <v>0</v>
      </c>
      <c r="AE8563" s="160">
        <v>8561</v>
      </c>
    </row>
    <row r="8564" spans="27:31" x14ac:dyDescent="0.25">
      <c r="AA8564" s="160"/>
      <c r="AB8564" s="162"/>
      <c r="AC8564" s="162"/>
      <c r="AD8564" s="162">
        <f t="shared" si="153"/>
        <v>0</v>
      </c>
      <c r="AE8564" s="160">
        <v>8562</v>
      </c>
    </row>
    <row r="8565" spans="27:31" x14ac:dyDescent="0.25">
      <c r="AA8565" s="160"/>
      <c r="AB8565" s="162"/>
      <c r="AC8565" s="162"/>
      <c r="AD8565" s="162">
        <f t="shared" si="153"/>
        <v>0</v>
      </c>
      <c r="AE8565" s="160">
        <v>8563</v>
      </c>
    </row>
    <row r="8566" spans="27:31" x14ac:dyDescent="0.25">
      <c r="AA8566" s="160"/>
      <c r="AB8566" s="162"/>
      <c r="AC8566" s="162"/>
      <c r="AD8566" s="162">
        <f t="shared" si="153"/>
        <v>0</v>
      </c>
      <c r="AE8566" s="160">
        <v>8564</v>
      </c>
    </row>
    <row r="8567" spans="27:31" x14ac:dyDescent="0.25">
      <c r="AA8567" s="160"/>
      <c r="AB8567" s="162"/>
      <c r="AC8567" s="162"/>
      <c r="AD8567" s="162">
        <f t="shared" si="153"/>
        <v>0</v>
      </c>
      <c r="AE8567" s="160">
        <v>8565</v>
      </c>
    </row>
    <row r="8568" spans="27:31" x14ac:dyDescent="0.25">
      <c r="AA8568" s="160"/>
      <c r="AB8568" s="162"/>
      <c r="AC8568" s="162"/>
      <c r="AD8568" s="162">
        <f t="shared" si="153"/>
        <v>0</v>
      </c>
      <c r="AE8568" s="160">
        <v>8566</v>
      </c>
    </row>
    <row r="8569" spans="27:31" x14ac:dyDescent="0.25">
      <c r="AA8569" s="160"/>
      <c r="AB8569" s="162"/>
      <c r="AC8569" s="162"/>
      <c r="AD8569" s="162">
        <f t="shared" si="153"/>
        <v>0</v>
      </c>
      <c r="AE8569" s="160">
        <v>8567</v>
      </c>
    </row>
    <row r="8570" spans="27:31" x14ac:dyDescent="0.25">
      <c r="AA8570" s="160"/>
      <c r="AB8570" s="162"/>
      <c r="AC8570" s="162"/>
      <c r="AD8570" s="162">
        <f t="shared" si="153"/>
        <v>0</v>
      </c>
      <c r="AE8570" s="160">
        <v>8568</v>
      </c>
    </row>
    <row r="8571" spans="27:31" x14ac:dyDescent="0.25">
      <c r="AA8571" s="160"/>
      <c r="AB8571" s="162"/>
      <c r="AC8571" s="162"/>
      <c r="AD8571" s="162">
        <f t="shared" si="153"/>
        <v>0</v>
      </c>
      <c r="AE8571" s="160">
        <v>8569</v>
      </c>
    </row>
    <row r="8572" spans="27:31" x14ac:dyDescent="0.25">
      <c r="AA8572" s="160"/>
      <c r="AB8572" s="162"/>
      <c r="AC8572" s="162"/>
      <c r="AD8572" s="162">
        <f t="shared" si="153"/>
        <v>0</v>
      </c>
      <c r="AE8572" s="160">
        <v>8570</v>
      </c>
    </row>
    <row r="8573" spans="27:31" x14ac:dyDescent="0.25">
      <c r="AA8573" s="160"/>
      <c r="AB8573" s="162"/>
      <c r="AC8573" s="162"/>
      <c r="AD8573" s="162">
        <f t="shared" si="153"/>
        <v>0</v>
      </c>
      <c r="AE8573" s="160">
        <v>8571</v>
      </c>
    </row>
    <row r="8574" spans="27:31" x14ac:dyDescent="0.25">
      <c r="AA8574" s="160"/>
      <c r="AB8574" s="162"/>
      <c r="AC8574" s="162"/>
      <c r="AD8574" s="162">
        <f t="shared" si="153"/>
        <v>0</v>
      </c>
      <c r="AE8574" s="160">
        <v>8572</v>
      </c>
    </row>
    <row r="8575" spans="27:31" x14ac:dyDescent="0.25">
      <c r="AA8575" s="160"/>
      <c r="AB8575" s="162"/>
      <c r="AC8575" s="162"/>
      <c r="AD8575" s="162">
        <f t="shared" si="153"/>
        <v>0</v>
      </c>
      <c r="AE8575" s="160">
        <v>8573</v>
      </c>
    </row>
    <row r="8576" spans="27:31" x14ac:dyDescent="0.25">
      <c r="AA8576" s="160"/>
      <c r="AB8576" s="162"/>
      <c r="AC8576" s="162"/>
      <c r="AD8576" s="162">
        <f t="shared" si="153"/>
        <v>0</v>
      </c>
      <c r="AE8576" s="160">
        <v>8574</v>
      </c>
    </row>
    <row r="8577" spans="27:31" x14ac:dyDescent="0.25">
      <c r="AA8577" s="160"/>
      <c r="AB8577" s="162"/>
      <c r="AC8577" s="162"/>
      <c r="AD8577" s="162">
        <f t="shared" si="153"/>
        <v>0</v>
      </c>
      <c r="AE8577" s="160">
        <v>8575</v>
      </c>
    </row>
    <row r="8578" spans="27:31" x14ac:dyDescent="0.25">
      <c r="AA8578" s="160"/>
      <c r="AB8578" s="162"/>
      <c r="AC8578" s="162"/>
      <c r="AD8578" s="162">
        <f t="shared" si="153"/>
        <v>0</v>
      </c>
      <c r="AE8578" s="160">
        <v>8576</v>
      </c>
    </row>
    <row r="8579" spans="27:31" x14ac:dyDescent="0.25">
      <c r="AA8579" s="160"/>
      <c r="AB8579" s="162"/>
      <c r="AC8579" s="162"/>
      <c r="AD8579" s="162">
        <f t="shared" si="153"/>
        <v>0</v>
      </c>
      <c r="AE8579" s="160">
        <v>8577</v>
      </c>
    </row>
    <row r="8580" spans="27:31" x14ac:dyDescent="0.25">
      <c r="AA8580" s="160"/>
      <c r="AB8580" s="162"/>
      <c r="AC8580" s="162"/>
      <c r="AD8580" s="162">
        <f t="shared" ref="AD8580:AD8643" si="154">AB8580+AC8580</f>
        <v>0</v>
      </c>
      <c r="AE8580" s="160">
        <v>8578</v>
      </c>
    </row>
    <row r="8581" spans="27:31" x14ac:dyDescent="0.25">
      <c r="AA8581" s="160"/>
      <c r="AB8581" s="162"/>
      <c r="AC8581" s="162"/>
      <c r="AD8581" s="162">
        <f t="shared" si="154"/>
        <v>0</v>
      </c>
      <c r="AE8581" s="160">
        <v>8579</v>
      </c>
    </row>
    <row r="8582" spans="27:31" x14ac:dyDescent="0.25">
      <c r="AA8582" s="160"/>
      <c r="AB8582" s="162"/>
      <c r="AC8582" s="162"/>
      <c r="AD8582" s="162">
        <f t="shared" si="154"/>
        <v>0</v>
      </c>
      <c r="AE8582" s="160">
        <v>8580</v>
      </c>
    </row>
    <row r="8583" spans="27:31" x14ac:dyDescent="0.25">
      <c r="AA8583" s="160"/>
      <c r="AB8583" s="162"/>
      <c r="AC8583" s="162"/>
      <c r="AD8583" s="162">
        <f t="shared" si="154"/>
        <v>0</v>
      </c>
      <c r="AE8583" s="160">
        <v>8581</v>
      </c>
    </row>
    <row r="8584" spans="27:31" x14ac:dyDescent="0.25">
      <c r="AA8584" s="160"/>
      <c r="AB8584" s="162"/>
      <c r="AC8584" s="162"/>
      <c r="AD8584" s="162">
        <f t="shared" si="154"/>
        <v>0</v>
      </c>
      <c r="AE8584" s="160">
        <v>8582</v>
      </c>
    </row>
    <row r="8585" spans="27:31" x14ac:dyDescent="0.25">
      <c r="AA8585" s="160"/>
      <c r="AB8585" s="162"/>
      <c r="AC8585" s="162"/>
      <c r="AD8585" s="162">
        <f t="shared" si="154"/>
        <v>0</v>
      </c>
      <c r="AE8585" s="160">
        <v>8583</v>
      </c>
    </row>
    <row r="8586" spans="27:31" x14ac:dyDescent="0.25">
      <c r="AA8586" s="160"/>
      <c r="AB8586" s="162"/>
      <c r="AC8586" s="162"/>
      <c r="AD8586" s="162">
        <f t="shared" si="154"/>
        <v>0</v>
      </c>
      <c r="AE8586" s="160">
        <v>8584</v>
      </c>
    </row>
    <row r="8587" spans="27:31" x14ac:dyDescent="0.25">
      <c r="AA8587" s="160"/>
      <c r="AB8587" s="162"/>
      <c r="AC8587" s="162"/>
      <c r="AD8587" s="162">
        <f t="shared" si="154"/>
        <v>0</v>
      </c>
      <c r="AE8587" s="160">
        <v>8585</v>
      </c>
    </row>
    <row r="8588" spans="27:31" x14ac:dyDescent="0.25">
      <c r="AA8588" s="160"/>
      <c r="AB8588" s="162"/>
      <c r="AC8588" s="162"/>
      <c r="AD8588" s="162">
        <f t="shared" si="154"/>
        <v>0</v>
      </c>
      <c r="AE8588" s="160">
        <v>8586</v>
      </c>
    </row>
    <row r="8589" spans="27:31" x14ac:dyDescent="0.25">
      <c r="AA8589" s="160"/>
      <c r="AB8589" s="162"/>
      <c r="AC8589" s="162"/>
      <c r="AD8589" s="162">
        <f t="shared" si="154"/>
        <v>0</v>
      </c>
      <c r="AE8589" s="160">
        <v>8587</v>
      </c>
    </row>
    <row r="8590" spans="27:31" x14ac:dyDescent="0.25">
      <c r="AA8590" s="160"/>
      <c r="AB8590" s="162"/>
      <c r="AC8590" s="162"/>
      <c r="AD8590" s="162">
        <f t="shared" si="154"/>
        <v>0</v>
      </c>
      <c r="AE8590" s="160">
        <v>8588</v>
      </c>
    </row>
    <row r="8591" spans="27:31" x14ac:dyDescent="0.25">
      <c r="AA8591" s="160"/>
      <c r="AB8591" s="162"/>
      <c r="AC8591" s="162"/>
      <c r="AD8591" s="162">
        <f t="shared" si="154"/>
        <v>0</v>
      </c>
      <c r="AE8591" s="160">
        <v>8589</v>
      </c>
    </row>
    <row r="8592" spans="27:31" x14ac:dyDescent="0.25">
      <c r="AA8592" s="160"/>
      <c r="AB8592" s="162"/>
      <c r="AC8592" s="162"/>
      <c r="AD8592" s="162">
        <f t="shared" si="154"/>
        <v>0</v>
      </c>
      <c r="AE8592" s="160">
        <v>8590</v>
      </c>
    </row>
    <row r="8593" spans="27:31" x14ac:dyDescent="0.25">
      <c r="AA8593" s="160"/>
      <c r="AB8593" s="162"/>
      <c r="AC8593" s="162"/>
      <c r="AD8593" s="162">
        <f t="shared" si="154"/>
        <v>0</v>
      </c>
      <c r="AE8593" s="160">
        <v>8591</v>
      </c>
    </row>
    <row r="8594" spans="27:31" x14ac:dyDescent="0.25">
      <c r="AA8594" s="160"/>
      <c r="AB8594" s="162"/>
      <c r="AC8594" s="162"/>
      <c r="AD8594" s="162">
        <f t="shared" si="154"/>
        <v>0</v>
      </c>
      <c r="AE8594" s="160">
        <v>8592</v>
      </c>
    </row>
    <row r="8595" spans="27:31" x14ac:dyDescent="0.25">
      <c r="AA8595" s="160"/>
      <c r="AB8595" s="162"/>
      <c r="AC8595" s="162"/>
      <c r="AD8595" s="162">
        <f t="shared" si="154"/>
        <v>0</v>
      </c>
      <c r="AE8595" s="160">
        <v>8593</v>
      </c>
    </row>
    <row r="8596" spans="27:31" x14ac:dyDescent="0.25">
      <c r="AA8596" s="160"/>
      <c r="AB8596" s="162"/>
      <c r="AC8596" s="162"/>
      <c r="AD8596" s="162">
        <f t="shared" si="154"/>
        <v>0</v>
      </c>
      <c r="AE8596" s="160">
        <v>8594</v>
      </c>
    </row>
    <row r="8597" spans="27:31" x14ac:dyDescent="0.25">
      <c r="AA8597" s="160"/>
      <c r="AB8597" s="162"/>
      <c r="AC8597" s="162"/>
      <c r="AD8597" s="162">
        <f t="shared" si="154"/>
        <v>0</v>
      </c>
      <c r="AE8597" s="160">
        <v>8595</v>
      </c>
    </row>
    <row r="8598" spans="27:31" x14ac:dyDescent="0.25">
      <c r="AA8598" s="160"/>
      <c r="AB8598" s="162"/>
      <c r="AC8598" s="162"/>
      <c r="AD8598" s="162">
        <f t="shared" si="154"/>
        <v>0</v>
      </c>
      <c r="AE8598" s="160">
        <v>8596</v>
      </c>
    </row>
    <row r="8599" spans="27:31" x14ac:dyDescent="0.25">
      <c r="AA8599" s="160"/>
      <c r="AB8599" s="162"/>
      <c r="AC8599" s="162"/>
      <c r="AD8599" s="162">
        <f t="shared" si="154"/>
        <v>0</v>
      </c>
      <c r="AE8599" s="160">
        <v>8597</v>
      </c>
    </row>
    <row r="8600" spans="27:31" x14ac:dyDescent="0.25">
      <c r="AA8600" s="160"/>
      <c r="AB8600" s="162"/>
      <c r="AC8600" s="162"/>
      <c r="AD8600" s="162">
        <f t="shared" si="154"/>
        <v>0</v>
      </c>
      <c r="AE8600" s="160">
        <v>8598</v>
      </c>
    </row>
    <row r="8601" spans="27:31" x14ac:dyDescent="0.25">
      <c r="AA8601" s="160"/>
      <c r="AB8601" s="162"/>
      <c r="AC8601" s="162"/>
      <c r="AD8601" s="162">
        <f t="shared" si="154"/>
        <v>0</v>
      </c>
      <c r="AE8601" s="160">
        <v>8599</v>
      </c>
    </row>
    <row r="8602" spans="27:31" x14ac:dyDescent="0.25">
      <c r="AA8602" s="160"/>
      <c r="AB8602" s="162"/>
      <c r="AC8602" s="162"/>
      <c r="AD8602" s="162">
        <f t="shared" si="154"/>
        <v>0</v>
      </c>
      <c r="AE8602" s="160">
        <v>8600</v>
      </c>
    </row>
    <row r="8603" spans="27:31" x14ac:dyDescent="0.25">
      <c r="AA8603" s="160"/>
      <c r="AB8603" s="162"/>
      <c r="AC8603" s="162"/>
      <c r="AD8603" s="162">
        <f t="shared" si="154"/>
        <v>0</v>
      </c>
      <c r="AE8603" s="160">
        <v>8601</v>
      </c>
    </row>
    <row r="8604" spans="27:31" x14ac:dyDescent="0.25">
      <c r="AA8604" s="160"/>
      <c r="AB8604" s="162"/>
      <c r="AC8604" s="162"/>
      <c r="AD8604" s="162">
        <f t="shared" si="154"/>
        <v>0</v>
      </c>
      <c r="AE8604" s="160">
        <v>8602</v>
      </c>
    </row>
    <row r="8605" spans="27:31" x14ac:dyDescent="0.25">
      <c r="AA8605" s="160"/>
      <c r="AB8605" s="162"/>
      <c r="AC8605" s="162"/>
      <c r="AD8605" s="162">
        <f t="shared" si="154"/>
        <v>0</v>
      </c>
      <c r="AE8605" s="160">
        <v>8603</v>
      </c>
    </row>
    <row r="8606" spans="27:31" x14ac:dyDescent="0.25">
      <c r="AA8606" s="160"/>
      <c r="AB8606" s="162"/>
      <c r="AC8606" s="162"/>
      <c r="AD8606" s="162">
        <f t="shared" si="154"/>
        <v>0</v>
      </c>
      <c r="AE8606" s="160">
        <v>8604</v>
      </c>
    </row>
    <row r="8607" spans="27:31" x14ac:dyDescent="0.25">
      <c r="AA8607" s="160"/>
      <c r="AB8607" s="162"/>
      <c r="AC8607" s="162"/>
      <c r="AD8607" s="162">
        <f t="shared" si="154"/>
        <v>0</v>
      </c>
      <c r="AE8607" s="160">
        <v>8605</v>
      </c>
    </row>
    <row r="8608" spans="27:31" x14ac:dyDescent="0.25">
      <c r="AA8608" s="160"/>
      <c r="AB8608" s="162"/>
      <c r="AC8608" s="162"/>
      <c r="AD8608" s="162">
        <f t="shared" si="154"/>
        <v>0</v>
      </c>
      <c r="AE8608" s="160">
        <v>8606</v>
      </c>
    </row>
    <row r="8609" spans="27:31" x14ac:dyDescent="0.25">
      <c r="AA8609" s="160"/>
      <c r="AB8609" s="162"/>
      <c r="AC8609" s="162"/>
      <c r="AD8609" s="162">
        <f t="shared" si="154"/>
        <v>0</v>
      </c>
      <c r="AE8609" s="160">
        <v>8607</v>
      </c>
    </row>
    <row r="8610" spans="27:31" x14ac:dyDescent="0.25">
      <c r="AA8610" s="160"/>
      <c r="AB8610" s="162"/>
      <c r="AC8610" s="162"/>
      <c r="AD8610" s="162">
        <f t="shared" si="154"/>
        <v>0</v>
      </c>
      <c r="AE8610" s="160">
        <v>8608</v>
      </c>
    </row>
    <row r="8611" spans="27:31" x14ac:dyDescent="0.25">
      <c r="AA8611" s="160"/>
      <c r="AB8611" s="162"/>
      <c r="AC8611" s="162"/>
      <c r="AD8611" s="162">
        <f t="shared" si="154"/>
        <v>0</v>
      </c>
      <c r="AE8611" s="160">
        <v>8609</v>
      </c>
    </row>
    <row r="8612" spans="27:31" x14ac:dyDescent="0.25">
      <c r="AA8612" s="160"/>
      <c r="AB8612" s="162"/>
      <c r="AC8612" s="162"/>
      <c r="AD8612" s="162">
        <f t="shared" si="154"/>
        <v>0</v>
      </c>
      <c r="AE8612" s="160">
        <v>8610</v>
      </c>
    </row>
    <row r="8613" spans="27:31" x14ac:dyDescent="0.25">
      <c r="AA8613" s="160"/>
      <c r="AB8613" s="162"/>
      <c r="AC8613" s="162"/>
      <c r="AD8613" s="162">
        <f t="shared" si="154"/>
        <v>0</v>
      </c>
      <c r="AE8613" s="160">
        <v>8611</v>
      </c>
    </row>
    <row r="8614" spans="27:31" x14ac:dyDescent="0.25">
      <c r="AA8614" s="160"/>
      <c r="AB8614" s="162"/>
      <c r="AC8614" s="162"/>
      <c r="AD8614" s="162">
        <f t="shared" si="154"/>
        <v>0</v>
      </c>
      <c r="AE8614" s="160">
        <v>8612</v>
      </c>
    </row>
    <row r="8615" spans="27:31" x14ac:dyDescent="0.25">
      <c r="AA8615" s="160"/>
      <c r="AB8615" s="162"/>
      <c r="AC8615" s="162"/>
      <c r="AD8615" s="162">
        <f t="shared" si="154"/>
        <v>0</v>
      </c>
      <c r="AE8615" s="160">
        <v>8613</v>
      </c>
    </row>
    <row r="8616" spans="27:31" x14ac:dyDescent="0.25">
      <c r="AA8616" s="160"/>
      <c r="AB8616" s="162"/>
      <c r="AC8616" s="162"/>
      <c r="AD8616" s="162">
        <f t="shared" si="154"/>
        <v>0</v>
      </c>
      <c r="AE8616" s="160">
        <v>8614</v>
      </c>
    </row>
    <row r="8617" spans="27:31" x14ac:dyDescent="0.25">
      <c r="AA8617" s="160"/>
      <c r="AB8617" s="162"/>
      <c r="AC8617" s="162"/>
      <c r="AD8617" s="162">
        <f t="shared" si="154"/>
        <v>0</v>
      </c>
      <c r="AE8617" s="160">
        <v>8615</v>
      </c>
    </row>
    <row r="8618" spans="27:31" x14ac:dyDescent="0.25">
      <c r="AA8618" s="160"/>
      <c r="AB8618" s="162"/>
      <c r="AC8618" s="162"/>
      <c r="AD8618" s="162">
        <f t="shared" si="154"/>
        <v>0</v>
      </c>
      <c r="AE8618" s="160">
        <v>8616</v>
      </c>
    </row>
    <row r="8619" spans="27:31" x14ac:dyDescent="0.25">
      <c r="AA8619" s="160"/>
      <c r="AB8619" s="162"/>
      <c r="AC8619" s="162"/>
      <c r="AD8619" s="162">
        <f t="shared" si="154"/>
        <v>0</v>
      </c>
      <c r="AE8619" s="160">
        <v>8617</v>
      </c>
    </row>
    <row r="8620" spans="27:31" x14ac:dyDescent="0.25">
      <c r="AA8620" s="160"/>
      <c r="AB8620" s="162"/>
      <c r="AC8620" s="162"/>
      <c r="AD8620" s="162">
        <f t="shared" si="154"/>
        <v>0</v>
      </c>
      <c r="AE8620" s="160">
        <v>8618</v>
      </c>
    </row>
    <row r="8621" spans="27:31" x14ac:dyDescent="0.25">
      <c r="AA8621" s="160"/>
      <c r="AB8621" s="162"/>
      <c r="AC8621" s="162"/>
      <c r="AD8621" s="162">
        <f t="shared" si="154"/>
        <v>0</v>
      </c>
      <c r="AE8621" s="160">
        <v>8619</v>
      </c>
    </row>
    <row r="8622" spans="27:31" x14ac:dyDescent="0.25">
      <c r="AA8622" s="160"/>
      <c r="AB8622" s="162"/>
      <c r="AC8622" s="162"/>
      <c r="AD8622" s="162">
        <f t="shared" si="154"/>
        <v>0</v>
      </c>
      <c r="AE8622" s="160">
        <v>8620</v>
      </c>
    </row>
    <row r="8623" spans="27:31" x14ac:dyDescent="0.25">
      <c r="AA8623" s="160"/>
      <c r="AB8623" s="162"/>
      <c r="AC8623" s="162"/>
      <c r="AD8623" s="162">
        <f t="shared" si="154"/>
        <v>0</v>
      </c>
      <c r="AE8623" s="160">
        <v>8621</v>
      </c>
    </row>
    <row r="8624" spans="27:31" x14ac:dyDescent="0.25">
      <c r="AA8624" s="160"/>
      <c r="AB8624" s="162"/>
      <c r="AC8624" s="162"/>
      <c r="AD8624" s="162">
        <f t="shared" si="154"/>
        <v>0</v>
      </c>
      <c r="AE8624" s="160">
        <v>8622</v>
      </c>
    </row>
    <row r="8625" spans="27:31" x14ac:dyDescent="0.25">
      <c r="AA8625" s="160"/>
      <c r="AB8625" s="162"/>
      <c r="AC8625" s="162"/>
      <c r="AD8625" s="162">
        <f t="shared" si="154"/>
        <v>0</v>
      </c>
      <c r="AE8625" s="160">
        <v>8623</v>
      </c>
    </row>
    <row r="8626" spans="27:31" x14ac:dyDescent="0.25">
      <c r="AA8626" s="160"/>
      <c r="AB8626" s="162"/>
      <c r="AC8626" s="162"/>
      <c r="AD8626" s="162">
        <f t="shared" si="154"/>
        <v>0</v>
      </c>
      <c r="AE8626" s="160">
        <v>8624</v>
      </c>
    </row>
    <row r="8627" spans="27:31" x14ac:dyDescent="0.25">
      <c r="AA8627" s="160"/>
      <c r="AB8627" s="162"/>
      <c r="AC8627" s="162"/>
      <c r="AD8627" s="162">
        <f t="shared" si="154"/>
        <v>0</v>
      </c>
      <c r="AE8627" s="160">
        <v>8625</v>
      </c>
    </row>
    <row r="8628" spans="27:31" x14ac:dyDescent="0.25">
      <c r="AA8628" s="160"/>
      <c r="AB8628" s="162"/>
      <c r="AC8628" s="162"/>
      <c r="AD8628" s="162">
        <f t="shared" si="154"/>
        <v>0</v>
      </c>
      <c r="AE8628" s="160">
        <v>8626</v>
      </c>
    </row>
    <row r="8629" spans="27:31" x14ac:dyDescent="0.25">
      <c r="AA8629" s="160"/>
      <c r="AB8629" s="162"/>
      <c r="AC8629" s="162"/>
      <c r="AD8629" s="162">
        <f t="shared" si="154"/>
        <v>0</v>
      </c>
      <c r="AE8629" s="160">
        <v>8627</v>
      </c>
    </row>
    <row r="8630" spans="27:31" x14ac:dyDescent="0.25">
      <c r="AA8630" s="160"/>
      <c r="AB8630" s="162"/>
      <c r="AC8630" s="162"/>
      <c r="AD8630" s="162">
        <f t="shared" si="154"/>
        <v>0</v>
      </c>
      <c r="AE8630" s="160">
        <v>8628</v>
      </c>
    </row>
    <row r="8631" spans="27:31" x14ac:dyDescent="0.25">
      <c r="AA8631" s="160"/>
      <c r="AB8631" s="162"/>
      <c r="AC8631" s="162"/>
      <c r="AD8631" s="162">
        <f t="shared" si="154"/>
        <v>0</v>
      </c>
      <c r="AE8631" s="160">
        <v>8629</v>
      </c>
    </row>
    <row r="8632" spans="27:31" x14ac:dyDescent="0.25">
      <c r="AA8632" s="160"/>
      <c r="AB8632" s="162"/>
      <c r="AC8632" s="162"/>
      <c r="AD8632" s="162">
        <f t="shared" si="154"/>
        <v>0</v>
      </c>
      <c r="AE8632" s="160">
        <v>8630</v>
      </c>
    </row>
    <row r="8633" spans="27:31" x14ac:dyDescent="0.25">
      <c r="AA8633" s="160"/>
      <c r="AB8633" s="162"/>
      <c r="AC8633" s="162"/>
      <c r="AD8633" s="162">
        <f t="shared" si="154"/>
        <v>0</v>
      </c>
      <c r="AE8633" s="160">
        <v>8631</v>
      </c>
    </row>
    <row r="8634" spans="27:31" x14ac:dyDescent="0.25">
      <c r="AA8634" s="160"/>
      <c r="AB8634" s="162"/>
      <c r="AC8634" s="162"/>
      <c r="AD8634" s="162">
        <f t="shared" si="154"/>
        <v>0</v>
      </c>
      <c r="AE8634" s="160">
        <v>8632</v>
      </c>
    </row>
    <row r="8635" spans="27:31" x14ac:dyDescent="0.25">
      <c r="AA8635" s="160"/>
      <c r="AB8635" s="162"/>
      <c r="AC8635" s="162"/>
      <c r="AD8635" s="162">
        <f t="shared" si="154"/>
        <v>0</v>
      </c>
      <c r="AE8635" s="160">
        <v>8633</v>
      </c>
    </row>
    <row r="8636" spans="27:31" x14ac:dyDescent="0.25">
      <c r="AA8636" s="160"/>
      <c r="AB8636" s="162"/>
      <c r="AC8636" s="162"/>
      <c r="AD8636" s="162">
        <f t="shared" si="154"/>
        <v>0</v>
      </c>
      <c r="AE8636" s="160">
        <v>8634</v>
      </c>
    </row>
    <row r="8637" spans="27:31" x14ac:dyDescent="0.25">
      <c r="AA8637" s="160"/>
      <c r="AB8637" s="162"/>
      <c r="AC8637" s="162"/>
      <c r="AD8637" s="162">
        <f t="shared" si="154"/>
        <v>0</v>
      </c>
      <c r="AE8637" s="160">
        <v>8635</v>
      </c>
    </row>
    <row r="8638" spans="27:31" x14ac:dyDescent="0.25">
      <c r="AA8638" s="160"/>
      <c r="AB8638" s="162"/>
      <c r="AC8638" s="162"/>
      <c r="AD8638" s="162">
        <f t="shared" si="154"/>
        <v>0</v>
      </c>
      <c r="AE8638" s="160">
        <v>8636</v>
      </c>
    </row>
    <row r="8639" spans="27:31" x14ac:dyDescent="0.25">
      <c r="AA8639" s="160"/>
      <c r="AB8639" s="162"/>
      <c r="AC8639" s="162"/>
      <c r="AD8639" s="162">
        <f t="shared" si="154"/>
        <v>0</v>
      </c>
      <c r="AE8639" s="160">
        <v>8637</v>
      </c>
    </row>
    <row r="8640" spans="27:31" x14ac:dyDescent="0.25">
      <c r="AA8640" s="160"/>
      <c r="AB8640" s="162"/>
      <c r="AC8640" s="162"/>
      <c r="AD8640" s="162">
        <f t="shared" si="154"/>
        <v>0</v>
      </c>
      <c r="AE8640" s="160">
        <v>8638</v>
      </c>
    </row>
    <row r="8641" spans="27:31" x14ac:dyDescent="0.25">
      <c r="AA8641" s="160"/>
      <c r="AB8641" s="162"/>
      <c r="AC8641" s="162"/>
      <c r="AD8641" s="162">
        <f t="shared" si="154"/>
        <v>0</v>
      </c>
      <c r="AE8641" s="160">
        <v>8639</v>
      </c>
    </row>
    <row r="8642" spans="27:31" x14ac:dyDescent="0.25">
      <c r="AA8642" s="160"/>
      <c r="AB8642" s="162"/>
      <c r="AC8642" s="162"/>
      <c r="AD8642" s="162">
        <f t="shared" si="154"/>
        <v>0</v>
      </c>
      <c r="AE8642" s="160">
        <v>8640</v>
      </c>
    </row>
    <row r="8643" spans="27:31" x14ac:dyDescent="0.25">
      <c r="AA8643" s="160"/>
      <c r="AB8643" s="162"/>
      <c r="AC8643" s="162"/>
      <c r="AD8643" s="162">
        <f t="shared" si="154"/>
        <v>0</v>
      </c>
      <c r="AE8643" s="160">
        <v>8641</v>
      </c>
    </row>
    <row r="8644" spans="27:31" x14ac:dyDescent="0.25">
      <c r="AA8644" s="160"/>
      <c r="AB8644" s="162"/>
      <c r="AC8644" s="162"/>
      <c r="AD8644" s="162">
        <f t="shared" ref="AD8644:AD8707" si="155">AB8644+AC8644</f>
        <v>0</v>
      </c>
      <c r="AE8644" s="160">
        <v>8642</v>
      </c>
    </row>
    <row r="8645" spans="27:31" x14ac:dyDescent="0.25">
      <c r="AA8645" s="160"/>
      <c r="AB8645" s="162"/>
      <c r="AC8645" s="162"/>
      <c r="AD8645" s="162">
        <f t="shared" si="155"/>
        <v>0</v>
      </c>
      <c r="AE8645" s="160">
        <v>8643</v>
      </c>
    </row>
    <row r="8646" spans="27:31" x14ac:dyDescent="0.25">
      <c r="AA8646" s="160"/>
      <c r="AB8646" s="162"/>
      <c r="AC8646" s="162"/>
      <c r="AD8646" s="162">
        <f t="shared" si="155"/>
        <v>0</v>
      </c>
      <c r="AE8646" s="160">
        <v>8644</v>
      </c>
    </row>
    <row r="8647" spans="27:31" x14ac:dyDescent="0.25">
      <c r="AA8647" s="160"/>
      <c r="AB8647" s="162"/>
      <c r="AC8647" s="162"/>
      <c r="AD8647" s="162">
        <f t="shared" si="155"/>
        <v>0</v>
      </c>
      <c r="AE8647" s="160">
        <v>8645</v>
      </c>
    </row>
    <row r="8648" spans="27:31" x14ac:dyDescent="0.25">
      <c r="AA8648" s="160"/>
      <c r="AB8648" s="162"/>
      <c r="AC8648" s="162"/>
      <c r="AD8648" s="162">
        <f t="shared" si="155"/>
        <v>0</v>
      </c>
      <c r="AE8648" s="160">
        <v>8646</v>
      </c>
    </row>
    <row r="8649" spans="27:31" x14ac:dyDescent="0.25">
      <c r="AA8649" s="160"/>
      <c r="AB8649" s="162"/>
      <c r="AC8649" s="162"/>
      <c r="AD8649" s="162">
        <f t="shared" si="155"/>
        <v>0</v>
      </c>
      <c r="AE8649" s="160">
        <v>8647</v>
      </c>
    </row>
    <row r="8650" spans="27:31" x14ac:dyDescent="0.25">
      <c r="AA8650" s="160"/>
      <c r="AB8650" s="162"/>
      <c r="AC8650" s="162"/>
      <c r="AD8650" s="162">
        <f t="shared" si="155"/>
        <v>0</v>
      </c>
      <c r="AE8650" s="160">
        <v>8648</v>
      </c>
    </row>
    <row r="8651" spans="27:31" x14ac:dyDescent="0.25">
      <c r="AA8651" s="160"/>
      <c r="AB8651" s="162"/>
      <c r="AC8651" s="162"/>
      <c r="AD8651" s="162">
        <f t="shared" si="155"/>
        <v>0</v>
      </c>
      <c r="AE8651" s="160">
        <v>8649</v>
      </c>
    </row>
    <row r="8652" spans="27:31" x14ac:dyDescent="0.25">
      <c r="AA8652" s="160"/>
      <c r="AB8652" s="162"/>
      <c r="AC8652" s="162"/>
      <c r="AD8652" s="162">
        <f t="shared" si="155"/>
        <v>0</v>
      </c>
      <c r="AE8652" s="160">
        <v>8650</v>
      </c>
    </row>
    <row r="8653" spans="27:31" x14ac:dyDescent="0.25">
      <c r="AA8653" s="160"/>
      <c r="AB8653" s="162"/>
      <c r="AC8653" s="162"/>
      <c r="AD8653" s="162">
        <f t="shared" si="155"/>
        <v>0</v>
      </c>
      <c r="AE8653" s="160">
        <v>8651</v>
      </c>
    </row>
    <row r="8654" spans="27:31" x14ac:dyDescent="0.25">
      <c r="AA8654" s="160"/>
      <c r="AB8654" s="162"/>
      <c r="AC8654" s="162"/>
      <c r="AD8654" s="162">
        <f t="shared" si="155"/>
        <v>0</v>
      </c>
      <c r="AE8654" s="160">
        <v>8652</v>
      </c>
    </row>
    <row r="8655" spans="27:31" x14ac:dyDescent="0.25">
      <c r="AA8655" s="160"/>
      <c r="AB8655" s="162"/>
      <c r="AC8655" s="162"/>
      <c r="AD8655" s="162">
        <f t="shared" si="155"/>
        <v>0</v>
      </c>
      <c r="AE8655" s="160">
        <v>8653</v>
      </c>
    </row>
    <row r="8656" spans="27:31" x14ac:dyDescent="0.25">
      <c r="AA8656" s="160"/>
      <c r="AB8656" s="162"/>
      <c r="AC8656" s="162"/>
      <c r="AD8656" s="162">
        <f t="shared" si="155"/>
        <v>0</v>
      </c>
      <c r="AE8656" s="160">
        <v>8654</v>
      </c>
    </row>
    <row r="8657" spans="27:31" x14ac:dyDescent="0.25">
      <c r="AA8657" s="160"/>
      <c r="AB8657" s="162"/>
      <c r="AC8657" s="162"/>
      <c r="AD8657" s="162">
        <f t="shared" si="155"/>
        <v>0</v>
      </c>
      <c r="AE8657" s="160">
        <v>8655</v>
      </c>
    </row>
    <row r="8658" spans="27:31" x14ac:dyDescent="0.25">
      <c r="AA8658" s="160"/>
      <c r="AB8658" s="162"/>
      <c r="AC8658" s="162"/>
      <c r="AD8658" s="162">
        <f t="shared" si="155"/>
        <v>0</v>
      </c>
      <c r="AE8658" s="160">
        <v>8656</v>
      </c>
    </row>
    <row r="8659" spans="27:31" x14ac:dyDescent="0.25">
      <c r="AA8659" s="160"/>
      <c r="AB8659" s="162"/>
      <c r="AC8659" s="162"/>
      <c r="AD8659" s="162">
        <f t="shared" si="155"/>
        <v>0</v>
      </c>
      <c r="AE8659" s="160">
        <v>8657</v>
      </c>
    </row>
    <row r="8660" spans="27:31" x14ac:dyDescent="0.25">
      <c r="AA8660" s="160"/>
      <c r="AB8660" s="162"/>
      <c r="AC8660" s="162"/>
      <c r="AD8660" s="162">
        <f t="shared" si="155"/>
        <v>0</v>
      </c>
      <c r="AE8660" s="160">
        <v>8658</v>
      </c>
    </row>
    <row r="8661" spans="27:31" x14ac:dyDescent="0.25">
      <c r="AA8661" s="160"/>
      <c r="AB8661" s="162"/>
      <c r="AC8661" s="162"/>
      <c r="AD8661" s="162">
        <f t="shared" si="155"/>
        <v>0</v>
      </c>
      <c r="AE8661" s="160">
        <v>8659</v>
      </c>
    </row>
    <row r="8662" spans="27:31" x14ac:dyDescent="0.25">
      <c r="AA8662" s="160"/>
      <c r="AB8662" s="162"/>
      <c r="AC8662" s="162"/>
      <c r="AD8662" s="162">
        <f t="shared" si="155"/>
        <v>0</v>
      </c>
      <c r="AE8662" s="160">
        <v>8660</v>
      </c>
    </row>
    <row r="8663" spans="27:31" x14ac:dyDescent="0.25">
      <c r="AA8663" s="160"/>
      <c r="AB8663" s="162"/>
      <c r="AC8663" s="162"/>
      <c r="AD8663" s="162">
        <f t="shared" si="155"/>
        <v>0</v>
      </c>
      <c r="AE8663" s="160">
        <v>8661</v>
      </c>
    </row>
    <row r="8664" spans="27:31" x14ac:dyDescent="0.25">
      <c r="AA8664" s="160"/>
      <c r="AB8664" s="162"/>
      <c r="AC8664" s="162"/>
      <c r="AD8664" s="162">
        <f t="shared" si="155"/>
        <v>0</v>
      </c>
      <c r="AE8664" s="160">
        <v>8662</v>
      </c>
    </row>
    <row r="8665" spans="27:31" x14ac:dyDescent="0.25">
      <c r="AA8665" s="160"/>
      <c r="AB8665" s="162"/>
      <c r="AC8665" s="162"/>
      <c r="AD8665" s="162">
        <f t="shared" si="155"/>
        <v>0</v>
      </c>
      <c r="AE8665" s="160">
        <v>8663</v>
      </c>
    </row>
    <row r="8666" spans="27:31" x14ac:dyDescent="0.25">
      <c r="AA8666" s="160"/>
      <c r="AB8666" s="162"/>
      <c r="AC8666" s="162"/>
      <c r="AD8666" s="162">
        <f t="shared" si="155"/>
        <v>0</v>
      </c>
      <c r="AE8666" s="160">
        <v>8664</v>
      </c>
    </row>
    <row r="8667" spans="27:31" x14ac:dyDescent="0.25">
      <c r="AA8667" s="160"/>
      <c r="AB8667" s="162"/>
      <c r="AC8667" s="162"/>
      <c r="AD8667" s="162">
        <f t="shared" si="155"/>
        <v>0</v>
      </c>
      <c r="AE8667" s="160">
        <v>8665</v>
      </c>
    </row>
    <row r="8668" spans="27:31" x14ac:dyDescent="0.25">
      <c r="AA8668" s="160"/>
      <c r="AB8668" s="162"/>
      <c r="AC8668" s="162"/>
      <c r="AD8668" s="162">
        <f t="shared" si="155"/>
        <v>0</v>
      </c>
      <c r="AE8668" s="160">
        <v>8666</v>
      </c>
    </row>
    <row r="8669" spans="27:31" x14ac:dyDescent="0.25">
      <c r="AA8669" s="160"/>
      <c r="AB8669" s="162"/>
      <c r="AC8669" s="162"/>
      <c r="AD8669" s="162">
        <f t="shared" si="155"/>
        <v>0</v>
      </c>
      <c r="AE8669" s="160">
        <v>8667</v>
      </c>
    </row>
    <row r="8670" spans="27:31" x14ac:dyDescent="0.25">
      <c r="AA8670" s="160"/>
      <c r="AB8670" s="162"/>
      <c r="AC8670" s="162"/>
      <c r="AD8670" s="162">
        <f t="shared" si="155"/>
        <v>0</v>
      </c>
      <c r="AE8670" s="160">
        <v>8668</v>
      </c>
    </row>
    <row r="8671" spans="27:31" x14ac:dyDescent="0.25">
      <c r="AA8671" s="160"/>
      <c r="AB8671" s="162"/>
      <c r="AC8671" s="162"/>
      <c r="AD8671" s="162">
        <f t="shared" si="155"/>
        <v>0</v>
      </c>
      <c r="AE8671" s="160">
        <v>8669</v>
      </c>
    </row>
    <row r="8672" spans="27:31" x14ac:dyDescent="0.25">
      <c r="AA8672" s="160"/>
      <c r="AB8672" s="162"/>
      <c r="AC8672" s="162"/>
      <c r="AD8672" s="162">
        <f t="shared" si="155"/>
        <v>0</v>
      </c>
      <c r="AE8672" s="160">
        <v>8670</v>
      </c>
    </row>
    <row r="8673" spans="27:31" x14ac:dyDescent="0.25">
      <c r="AA8673" s="160"/>
      <c r="AB8673" s="162"/>
      <c r="AC8673" s="162"/>
      <c r="AD8673" s="162">
        <f t="shared" si="155"/>
        <v>0</v>
      </c>
      <c r="AE8673" s="160">
        <v>8671</v>
      </c>
    </row>
    <row r="8674" spans="27:31" x14ac:dyDescent="0.25">
      <c r="AA8674" s="160"/>
      <c r="AB8674" s="162"/>
      <c r="AC8674" s="162"/>
      <c r="AD8674" s="162">
        <f t="shared" si="155"/>
        <v>0</v>
      </c>
      <c r="AE8674" s="160">
        <v>8672</v>
      </c>
    </row>
    <row r="8675" spans="27:31" x14ac:dyDescent="0.25">
      <c r="AA8675" s="160"/>
      <c r="AB8675" s="162"/>
      <c r="AC8675" s="162"/>
      <c r="AD8675" s="162">
        <f t="shared" si="155"/>
        <v>0</v>
      </c>
      <c r="AE8675" s="160">
        <v>8673</v>
      </c>
    </row>
    <row r="8676" spans="27:31" x14ac:dyDescent="0.25">
      <c r="AA8676" s="160"/>
      <c r="AB8676" s="162"/>
      <c r="AC8676" s="162"/>
      <c r="AD8676" s="162">
        <f t="shared" si="155"/>
        <v>0</v>
      </c>
      <c r="AE8676" s="160">
        <v>8674</v>
      </c>
    </row>
    <row r="8677" spans="27:31" x14ac:dyDescent="0.25">
      <c r="AA8677" s="160"/>
      <c r="AB8677" s="162"/>
      <c r="AC8677" s="162"/>
      <c r="AD8677" s="162">
        <f t="shared" si="155"/>
        <v>0</v>
      </c>
      <c r="AE8677" s="160">
        <v>8675</v>
      </c>
    </row>
    <row r="8678" spans="27:31" x14ac:dyDescent="0.25">
      <c r="AA8678" s="160"/>
      <c r="AB8678" s="162"/>
      <c r="AC8678" s="162"/>
      <c r="AD8678" s="162">
        <f t="shared" si="155"/>
        <v>0</v>
      </c>
      <c r="AE8678" s="160">
        <v>8676</v>
      </c>
    </row>
    <row r="8679" spans="27:31" x14ac:dyDescent="0.25">
      <c r="AA8679" s="160"/>
      <c r="AB8679" s="162"/>
      <c r="AC8679" s="162"/>
      <c r="AD8679" s="162">
        <f t="shared" si="155"/>
        <v>0</v>
      </c>
      <c r="AE8679" s="160">
        <v>8677</v>
      </c>
    </row>
    <row r="8680" spans="27:31" x14ac:dyDescent="0.25">
      <c r="AA8680" s="160"/>
      <c r="AB8680" s="162"/>
      <c r="AC8680" s="162"/>
      <c r="AD8680" s="162">
        <f t="shared" si="155"/>
        <v>0</v>
      </c>
      <c r="AE8680" s="160">
        <v>8678</v>
      </c>
    </row>
    <row r="8681" spans="27:31" x14ac:dyDescent="0.25">
      <c r="AA8681" s="160"/>
      <c r="AB8681" s="162"/>
      <c r="AC8681" s="162"/>
      <c r="AD8681" s="162">
        <f t="shared" si="155"/>
        <v>0</v>
      </c>
      <c r="AE8681" s="160">
        <v>8679</v>
      </c>
    </row>
    <row r="8682" spans="27:31" x14ac:dyDescent="0.25">
      <c r="AA8682" s="160"/>
      <c r="AB8682" s="162"/>
      <c r="AC8682" s="162"/>
      <c r="AD8682" s="162">
        <f t="shared" si="155"/>
        <v>0</v>
      </c>
      <c r="AE8682" s="160">
        <v>8680</v>
      </c>
    </row>
    <row r="8683" spans="27:31" x14ac:dyDescent="0.25">
      <c r="AA8683" s="160"/>
      <c r="AB8683" s="162"/>
      <c r="AC8683" s="162"/>
      <c r="AD8683" s="162">
        <f t="shared" si="155"/>
        <v>0</v>
      </c>
      <c r="AE8683" s="160">
        <v>8681</v>
      </c>
    </row>
    <row r="8684" spans="27:31" x14ac:dyDescent="0.25">
      <c r="AA8684" s="160"/>
      <c r="AB8684" s="162"/>
      <c r="AC8684" s="162"/>
      <c r="AD8684" s="162">
        <f t="shared" si="155"/>
        <v>0</v>
      </c>
      <c r="AE8684" s="160">
        <v>8682</v>
      </c>
    </row>
    <row r="8685" spans="27:31" x14ac:dyDescent="0.25">
      <c r="AA8685" s="160"/>
      <c r="AB8685" s="162"/>
      <c r="AC8685" s="162"/>
      <c r="AD8685" s="162">
        <f t="shared" si="155"/>
        <v>0</v>
      </c>
      <c r="AE8685" s="160">
        <v>8683</v>
      </c>
    </row>
    <row r="8686" spans="27:31" x14ac:dyDescent="0.25">
      <c r="AA8686" s="160"/>
      <c r="AB8686" s="162"/>
      <c r="AC8686" s="162"/>
      <c r="AD8686" s="162">
        <f t="shared" si="155"/>
        <v>0</v>
      </c>
      <c r="AE8686" s="160">
        <v>8684</v>
      </c>
    </row>
    <row r="8687" spans="27:31" x14ac:dyDescent="0.25">
      <c r="AA8687" s="160"/>
      <c r="AB8687" s="162"/>
      <c r="AC8687" s="162"/>
      <c r="AD8687" s="162">
        <f t="shared" si="155"/>
        <v>0</v>
      </c>
      <c r="AE8687" s="160">
        <v>8685</v>
      </c>
    </row>
    <row r="8688" spans="27:31" x14ac:dyDescent="0.25">
      <c r="AA8688" s="160"/>
      <c r="AB8688" s="162"/>
      <c r="AC8688" s="162"/>
      <c r="AD8688" s="162">
        <f t="shared" si="155"/>
        <v>0</v>
      </c>
      <c r="AE8688" s="160">
        <v>8686</v>
      </c>
    </row>
    <row r="8689" spans="27:31" x14ac:dyDescent="0.25">
      <c r="AA8689" s="160"/>
      <c r="AB8689" s="162"/>
      <c r="AC8689" s="162"/>
      <c r="AD8689" s="162">
        <f t="shared" si="155"/>
        <v>0</v>
      </c>
      <c r="AE8689" s="160">
        <v>8687</v>
      </c>
    </row>
    <row r="8690" spans="27:31" x14ac:dyDescent="0.25">
      <c r="AA8690" s="160"/>
      <c r="AB8690" s="162"/>
      <c r="AC8690" s="162"/>
      <c r="AD8690" s="162">
        <f t="shared" si="155"/>
        <v>0</v>
      </c>
      <c r="AE8690" s="160">
        <v>8688</v>
      </c>
    </row>
    <row r="8691" spans="27:31" x14ac:dyDescent="0.25">
      <c r="AA8691" s="160"/>
      <c r="AB8691" s="162"/>
      <c r="AC8691" s="162"/>
      <c r="AD8691" s="162">
        <f t="shared" si="155"/>
        <v>0</v>
      </c>
      <c r="AE8691" s="160">
        <v>8689</v>
      </c>
    </row>
    <row r="8692" spans="27:31" x14ac:dyDescent="0.25">
      <c r="AA8692" s="160"/>
      <c r="AB8692" s="162"/>
      <c r="AC8692" s="162"/>
      <c r="AD8692" s="162">
        <f t="shared" si="155"/>
        <v>0</v>
      </c>
      <c r="AE8692" s="160">
        <v>8690</v>
      </c>
    </row>
    <row r="8693" spans="27:31" x14ac:dyDescent="0.25">
      <c r="AA8693" s="160"/>
      <c r="AB8693" s="162"/>
      <c r="AC8693" s="162"/>
      <c r="AD8693" s="162">
        <f t="shared" si="155"/>
        <v>0</v>
      </c>
      <c r="AE8693" s="160">
        <v>8691</v>
      </c>
    </row>
    <row r="8694" spans="27:31" x14ac:dyDescent="0.25">
      <c r="AA8694" s="160"/>
      <c r="AB8694" s="162"/>
      <c r="AC8694" s="162"/>
      <c r="AD8694" s="162">
        <f t="shared" si="155"/>
        <v>0</v>
      </c>
      <c r="AE8694" s="160">
        <v>8692</v>
      </c>
    </row>
    <row r="8695" spans="27:31" x14ac:dyDescent="0.25">
      <c r="AA8695" s="160"/>
      <c r="AB8695" s="162"/>
      <c r="AC8695" s="162"/>
      <c r="AD8695" s="162">
        <f t="shared" si="155"/>
        <v>0</v>
      </c>
      <c r="AE8695" s="160">
        <v>8693</v>
      </c>
    </row>
    <row r="8696" spans="27:31" x14ac:dyDescent="0.25">
      <c r="AA8696" s="160"/>
      <c r="AB8696" s="162"/>
      <c r="AC8696" s="162"/>
      <c r="AD8696" s="162">
        <f t="shared" si="155"/>
        <v>0</v>
      </c>
      <c r="AE8696" s="160">
        <v>8694</v>
      </c>
    </row>
    <row r="8697" spans="27:31" x14ac:dyDescent="0.25">
      <c r="AA8697" s="160"/>
      <c r="AB8697" s="162"/>
      <c r="AC8697" s="162"/>
      <c r="AD8697" s="162">
        <f t="shared" si="155"/>
        <v>0</v>
      </c>
      <c r="AE8697" s="160">
        <v>8695</v>
      </c>
    </row>
    <row r="8698" spans="27:31" x14ac:dyDescent="0.25">
      <c r="AA8698" s="160"/>
      <c r="AB8698" s="162"/>
      <c r="AC8698" s="162"/>
      <c r="AD8698" s="162">
        <f t="shared" si="155"/>
        <v>0</v>
      </c>
      <c r="AE8698" s="160">
        <v>8696</v>
      </c>
    </row>
    <row r="8699" spans="27:31" x14ac:dyDescent="0.25">
      <c r="AA8699" s="160"/>
      <c r="AB8699" s="162"/>
      <c r="AC8699" s="162"/>
      <c r="AD8699" s="162">
        <f t="shared" si="155"/>
        <v>0</v>
      </c>
      <c r="AE8699" s="160">
        <v>8697</v>
      </c>
    </row>
    <row r="8700" spans="27:31" x14ac:dyDescent="0.25">
      <c r="AA8700" s="160"/>
      <c r="AB8700" s="162"/>
      <c r="AC8700" s="162"/>
      <c r="AD8700" s="162">
        <f t="shared" si="155"/>
        <v>0</v>
      </c>
      <c r="AE8700" s="160">
        <v>8698</v>
      </c>
    </row>
    <row r="8701" spans="27:31" x14ac:dyDescent="0.25">
      <c r="AA8701" s="160"/>
      <c r="AB8701" s="162"/>
      <c r="AC8701" s="162"/>
      <c r="AD8701" s="162">
        <f t="shared" si="155"/>
        <v>0</v>
      </c>
      <c r="AE8701" s="160">
        <v>8699</v>
      </c>
    </row>
    <row r="8702" spans="27:31" x14ac:dyDescent="0.25">
      <c r="AA8702" s="160"/>
      <c r="AB8702" s="162"/>
      <c r="AC8702" s="162"/>
      <c r="AD8702" s="162">
        <f t="shared" si="155"/>
        <v>0</v>
      </c>
      <c r="AE8702" s="160">
        <v>8700</v>
      </c>
    </row>
    <row r="8703" spans="27:31" x14ac:dyDescent="0.25">
      <c r="AA8703" s="160"/>
      <c r="AB8703" s="162"/>
      <c r="AC8703" s="162"/>
      <c r="AD8703" s="162">
        <f t="shared" si="155"/>
        <v>0</v>
      </c>
      <c r="AE8703" s="160">
        <v>8701</v>
      </c>
    </row>
    <row r="8704" spans="27:31" x14ac:dyDescent="0.25">
      <c r="AA8704" s="160"/>
      <c r="AB8704" s="162"/>
      <c r="AC8704" s="162"/>
      <c r="AD8704" s="162">
        <f t="shared" si="155"/>
        <v>0</v>
      </c>
      <c r="AE8704" s="160">
        <v>8702</v>
      </c>
    </row>
    <row r="8705" spans="27:31" x14ac:dyDescent="0.25">
      <c r="AA8705" s="160"/>
      <c r="AB8705" s="162"/>
      <c r="AC8705" s="162"/>
      <c r="AD8705" s="162">
        <f t="shared" si="155"/>
        <v>0</v>
      </c>
      <c r="AE8705" s="160">
        <v>8703</v>
      </c>
    </row>
    <row r="8706" spans="27:31" x14ac:dyDescent="0.25">
      <c r="AA8706" s="160"/>
      <c r="AB8706" s="162"/>
      <c r="AC8706" s="162"/>
      <c r="AD8706" s="162">
        <f t="shared" si="155"/>
        <v>0</v>
      </c>
      <c r="AE8706" s="160">
        <v>8704</v>
      </c>
    </row>
    <row r="8707" spans="27:31" x14ac:dyDescent="0.25">
      <c r="AA8707" s="160"/>
      <c r="AB8707" s="162"/>
      <c r="AC8707" s="162"/>
      <c r="AD8707" s="162">
        <f t="shared" si="155"/>
        <v>0</v>
      </c>
      <c r="AE8707" s="160">
        <v>8705</v>
      </c>
    </row>
    <row r="8708" spans="27:31" x14ac:dyDescent="0.25">
      <c r="AA8708" s="160"/>
      <c r="AB8708" s="162"/>
      <c r="AC8708" s="162"/>
      <c r="AD8708" s="162">
        <f t="shared" ref="AD8708:AD8771" si="156">AB8708+AC8708</f>
        <v>0</v>
      </c>
      <c r="AE8708" s="160">
        <v>8706</v>
      </c>
    </row>
    <row r="8709" spans="27:31" x14ac:dyDescent="0.25">
      <c r="AA8709" s="160"/>
      <c r="AB8709" s="162"/>
      <c r="AC8709" s="162"/>
      <c r="AD8709" s="162">
        <f t="shared" si="156"/>
        <v>0</v>
      </c>
      <c r="AE8709" s="160">
        <v>8707</v>
      </c>
    </row>
    <row r="8710" spans="27:31" x14ac:dyDescent="0.25">
      <c r="AA8710" s="160"/>
      <c r="AB8710" s="162"/>
      <c r="AC8710" s="162"/>
      <c r="AD8710" s="162">
        <f t="shared" si="156"/>
        <v>0</v>
      </c>
      <c r="AE8710" s="160">
        <v>8708</v>
      </c>
    </row>
    <row r="8711" spans="27:31" x14ac:dyDescent="0.25">
      <c r="AA8711" s="160"/>
      <c r="AB8711" s="162"/>
      <c r="AC8711" s="162"/>
      <c r="AD8711" s="162">
        <f t="shared" si="156"/>
        <v>0</v>
      </c>
      <c r="AE8711" s="160">
        <v>8709</v>
      </c>
    </row>
    <row r="8712" spans="27:31" x14ac:dyDescent="0.25">
      <c r="AA8712" s="160"/>
      <c r="AB8712" s="162"/>
      <c r="AC8712" s="162"/>
      <c r="AD8712" s="162">
        <f t="shared" si="156"/>
        <v>0</v>
      </c>
      <c r="AE8712" s="160">
        <v>8710</v>
      </c>
    </row>
    <row r="8713" spans="27:31" x14ac:dyDescent="0.25">
      <c r="AA8713" s="160"/>
      <c r="AB8713" s="162"/>
      <c r="AC8713" s="162"/>
      <c r="AD8713" s="162">
        <f t="shared" si="156"/>
        <v>0</v>
      </c>
      <c r="AE8713" s="160">
        <v>8711</v>
      </c>
    </row>
    <row r="8714" spans="27:31" x14ac:dyDescent="0.25">
      <c r="AA8714" s="160"/>
      <c r="AB8714" s="162"/>
      <c r="AC8714" s="162"/>
      <c r="AD8714" s="162">
        <f t="shared" si="156"/>
        <v>0</v>
      </c>
      <c r="AE8714" s="160">
        <v>8712</v>
      </c>
    </row>
    <row r="8715" spans="27:31" x14ac:dyDescent="0.25">
      <c r="AA8715" s="160"/>
      <c r="AB8715" s="162"/>
      <c r="AC8715" s="162"/>
      <c r="AD8715" s="162">
        <f t="shared" si="156"/>
        <v>0</v>
      </c>
      <c r="AE8715" s="160">
        <v>8713</v>
      </c>
    </row>
    <row r="8716" spans="27:31" x14ac:dyDescent="0.25">
      <c r="AA8716" s="160"/>
      <c r="AB8716" s="162"/>
      <c r="AC8716" s="162"/>
      <c r="AD8716" s="162">
        <f t="shared" si="156"/>
        <v>0</v>
      </c>
      <c r="AE8716" s="160">
        <v>8714</v>
      </c>
    </row>
    <row r="8717" spans="27:31" x14ac:dyDescent="0.25">
      <c r="AA8717" s="160"/>
      <c r="AB8717" s="162"/>
      <c r="AC8717" s="162"/>
      <c r="AD8717" s="162">
        <f t="shared" si="156"/>
        <v>0</v>
      </c>
      <c r="AE8717" s="160">
        <v>8715</v>
      </c>
    </row>
    <row r="8718" spans="27:31" x14ac:dyDescent="0.25">
      <c r="AA8718" s="160"/>
      <c r="AB8718" s="162"/>
      <c r="AC8718" s="162"/>
      <c r="AD8718" s="162">
        <f t="shared" si="156"/>
        <v>0</v>
      </c>
      <c r="AE8718" s="160">
        <v>8716</v>
      </c>
    </row>
    <row r="8719" spans="27:31" x14ac:dyDescent="0.25">
      <c r="AA8719" s="160"/>
      <c r="AB8719" s="162"/>
      <c r="AC8719" s="162"/>
      <c r="AD8719" s="162">
        <f t="shared" si="156"/>
        <v>0</v>
      </c>
      <c r="AE8719" s="160">
        <v>8717</v>
      </c>
    </row>
    <row r="8720" spans="27:31" x14ac:dyDescent="0.25">
      <c r="AA8720" s="160"/>
      <c r="AB8720" s="162"/>
      <c r="AC8720" s="162"/>
      <c r="AD8720" s="162">
        <f t="shared" si="156"/>
        <v>0</v>
      </c>
      <c r="AE8720" s="160">
        <v>8718</v>
      </c>
    </row>
    <row r="8721" spans="27:31" x14ac:dyDescent="0.25">
      <c r="AA8721" s="160"/>
      <c r="AB8721" s="162"/>
      <c r="AC8721" s="162"/>
      <c r="AD8721" s="162">
        <f t="shared" si="156"/>
        <v>0</v>
      </c>
      <c r="AE8721" s="160">
        <v>8719</v>
      </c>
    </row>
    <row r="8722" spans="27:31" x14ac:dyDescent="0.25">
      <c r="AA8722" s="160"/>
      <c r="AB8722" s="162"/>
      <c r="AC8722" s="162"/>
      <c r="AD8722" s="162">
        <f t="shared" si="156"/>
        <v>0</v>
      </c>
      <c r="AE8722" s="160">
        <v>8720</v>
      </c>
    </row>
    <row r="8723" spans="27:31" x14ac:dyDescent="0.25">
      <c r="AA8723" s="160"/>
      <c r="AB8723" s="162"/>
      <c r="AC8723" s="162"/>
      <c r="AD8723" s="162">
        <f t="shared" si="156"/>
        <v>0</v>
      </c>
      <c r="AE8723" s="160">
        <v>8721</v>
      </c>
    </row>
    <row r="8724" spans="27:31" x14ac:dyDescent="0.25">
      <c r="AA8724" s="160"/>
      <c r="AB8724" s="162"/>
      <c r="AC8724" s="162"/>
      <c r="AD8724" s="162">
        <f t="shared" si="156"/>
        <v>0</v>
      </c>
      <c r="AE8724" s="160">
        <v>8722</v>
      </c>
    </row>
    <row r="8725" spans="27:31" x14ac:dyDescent="0.25">
      <c r="AA8725" s="160"/>
      <c r="AB8725" s="162"/>
      <c r="AC8725" s="162"/>
      <c r="AD8725" s="162">
        <f t="shared" si="156"/>
        <v>0</v>
      </c>
      <c r="AE8725" s="160">
        <v>8723</v>
      </c>
    </row>
    <row r="8726" spans="27:31" x14ac:dyDescent="0.25">
      <c r="AA8726" s="160"/>
      <c r="AB8726" s="162"/>
      <c r="AC8726" s="162"/>
      <c r="AD8726" s="162">
        <f t="shared" si="156"/>
        <v>0</v>
      </c>
      <c r="AE8726" s="160">
        <v>8724</v>
      </c>
    </row>
    <row r="8727" spans="27:31" x14ac:dyDescent="0.25">
      <c r="AA8727" s="160"/>
      <c r="AB8727" s="162"/>
      <c r="AC8727" s="162"/>
      <c r="AD8727" s="162">
        <f t="shared" si="156"/>
        <v>0</v>
      </c>
      <c r="AE8727" s="160">
        <v>8725</v>
      </c>
    </row>
    <row r="8728" spans="27:31" x14ac:dyDescent="0.25">
      <c r="AA8728" s="160"/>
      <c r="AB8728" s="162"/>
      <c r="AC8728" s="162"/>
      <c r="AD8728" s="162">
        <f t="shared" si="156"/>
        <v>0</v>
      </c>
      <c r="AE8728" s="160">
        <v>8726</v>
      </c>
    </row>
    <row r="8729" spans="27:31" x14ac:dyDescent="0.25">
      <c r="AA8729" s="160"/>
      <c r="AB8729" s="162"/>
      <c r="AC8729" s="162"/>
      <c r="AD8729" s="162">
        <f t="shared" si="156"/>
        <v>0</v>
      </c>
      <c r="AE8729" s="160">
        <v>8727</v>
      </c>
    </row>
    <row r="8730" spans="27:31" x14ac:dyDescent="0.25">
      <c r="AA8730" s="160"/>
      <c r="AB8730" s="162"/>
      <c r="AC8730" s="162"/>
      <c r="AD8730" s="162">
        <f t="shared" si="156"/>
        <v>0</v>
      </c>
      <c r="AE8730" s="160">
        <v>8728</v>
      </c>
    </row>
    <row r="8731" spans="27:31" x14ac:dyDescent="0.25">
      <c r="AA8731" s="160"/>
      <c r="AB8731" s="162"/>
      <c r="AC8731" s="162"/>
      <c r="AD8731" s="162">
        <f t="shared" si="156"/>
        <v>0</v>
      </c>
      <c r="AE8731" s="160">
        <v>8729</v>
      </c>
    </row>
    <row r="8732" spans="27:31" x14ac:dyDescent="0.25">
      <c r="AA8732" s="160"/>
      <c r="AB8732" s="162"/>
      <c r="AC8732" s="162"/>
      <c r="AD8732" s="162">
        <f t="shared" si="156"/>
        <v>0</v>
      </c>
      <c r="AE8732" s="160">
        <v>8730</v>
      </c>
    </row>
    <row r="8733" spans="27:31" x14ac:dyDescent="0.25">
      <c r="AA8733" s="160"/>
      <c r="AB8733" s="162"/>
      <c r="AC8733" s="162"/>
      <c r="AD8733" s="162">
        <f t="shared" si="156"/>
        <v>0</v>
      </c>
      <c r="AE8733" s="160">
        <v>8731</v>
      </c>
    </row>
    <row r="8734" spans="27:31" x14ac:dyDescent="0.25">
      <c r="AA8734" s="160"/>
      <c r="AB8734" s="162"/>
      <c r="AC8734" s="162"/>
      <c r="AD8734" s="162">
        <f t="shared" si="156"/>
        <v>0</v>
      </c>
      <c r="AE8734" s="160">
        <v>8732</v>
      </c>
    </row>
    <row r="8735" spans="27:31" x14ac:dyDescent="0.25">
      <c r="AA8735" s="160"/>
      <c r="AB8735" s="162"/>
      <c r="AC8735" s="162"/>
      <c r="AD8735" s="162">
        <f t="shared" si="156"/>
        <v>0</v>
      </c>
      <c r="AE8735" s="160">
        <v>8733</v>
      </c>
    </row>
    <row r="8736" spans="27:31" x14ac:dyDescent="0.25">
      <c r="AA8736" s="160"/>
      <c r="AB8736" s="162"/>
      <c r="AC8736" s="162"/>
      <c r="AD8736" s="162">
        <f t="shared" si="156"/>
        <v>0</v>
      </c>
      <c r="AE8736" s="160">
        <v>8734</v>
      </c>
    </row>
    <row r="8737" spans="27:31" x14ac:dyDescent="0.25">
      <c r="AA8737" s="160"/>
      <c r="AB8737" s="162"/>
      <c r="AC8737" s="162"/>
      <c r="AD8737" s="162">
        <f t="shared" si="156"/>
        <v>0</v>
      </c>
      <c r="AE8737" s="160">
        <v>8735</v>
      </c>
    </row>
    <row r="8738" spans="27:31" x14ac:dyDescent="0.25">
      <c r="AA8738" s="160"/>
      <c r="AB8738" s="162"/>
      <c r="AC8738" s="162"/>
      <c r="AD8738" s="162">
        <f t="shared" si="156"/>
        <v>0</v>
      </c>
      <c r="AE8738" s="160">
        <v>8736</v>
      </c>
    </row>
    <row r="8739" spans="27:31" x14ac:dyDescent="0.25">
      <c r="AA8739" s="160"/>
      <c r="AB8739" s="162"/>
      <c r="AC8739" s="162"/>
      <c r="AD8739" s="162">
        <f t="shared" si="156"/>
        <v>0</v>
      </c>
      <c r="AE8739" s="160">
        <v>8737</v>
      </c>
    </row>
    <row r="8740" spans="27:31" x14ac:dyDescent="0.25">
      <c r="AA8740" s="160"/>
      <c r="AB8740" s="162"/>
      <c r="AC8740" s="162"/>
      <c r="AD8740" s="162">
        <f t="shared" si="156"/>
        <v>0</v>
      </c>
      <c r="AE8740" s="160">
        <v>8738</v>
      </c>
    </row>
    <row r="8741" spans="27:31" x14ac:dyDescent="0.25">
      <c r="AA8741" s="160"/>
      <c r="AB8741" s="162"/>
      <c r="AC8741" s="162"/>
      <c r="AD8741" s="162">
        <f t="shared" si="156"/>
        <v>0</v>
      </c>
      <c r="AE8741" s="160">
        <v>8739</v>
      </c>
    </row>
    <row r="8742" spans="27:31" x14ac:dyDescent="0.25">
      <c r="AA8742" s="160"/>
      <c r="AB8742" s="162"/>
      <c r="AC8742" s="162"/>
      <c r="AD8742" s="162">
        <f t="shared" si="156"/>
        <v>0</v>
      </c>
      <c r="AE8742" s="160">
        <v>8740</v>
      </c>
    </row>
    <row r="8743" spans="27:31" x14ac:dyDescent="0.25">
      <c r="AA8743" s="160"/>
      <c r="AB8743" s="162"/>
      <c r="AC8743" s="162"/>
      <c r="AD8743" s="162">
        <f t="shared" si="156"/>
        <v>0</v>
      </c>
      <c r="AE8743" s="160">
        <v>8741</v>
      </c>
    </row>
    <row r="8744" spans="27:31" x14ac:dyDescent="0.25">
      <c r="AA8744" s="160"/>
      <c r="AB8744" s="162"/>
      <c r="AC8744" s="162"/>
      <c r="AD8744" s="162">
        <f t="shared" si="156"/>
        <v>0</v>
      </c>
      <c r="AE8744" s="160">
        <v>8742</v>
      </c>
    </row>
    <row r="8745" spans="27:31" x14ac:dyDescent="0.25">
      <c r="AA8745" s="160"/>
      <c r="AB8745" s="162"/>
      <c r="AC8745" s="162"/>
      <c r="AD8745" s="162">
        <f t="shared" si="156"/>
        <v>0</v>
      </c>
      <c r="AE8745" s="160">
        <v>8743</v>
      </c>
    </row>
    <row r="8746" spans="27:31" x14ac:dyDescent="0.25">
      <c r="AA8746" s="160"/>
      <c r="AB8746" s="162"/>
      <c r="AC8746" s="162"/>
      <c r="AD8746" s="162">
        <f t="shared" si="156"/>
        <v>0</v>
      </c>
      <c r="AE8746" s="160">
        <v>8744</v>
      </c>
    </row>
    <row r="8747" spans="27:31" x14ac:dyDescent="0.25">
      <c r="AA8747" s="160"/>
      <c r="AB8747" s="162"/>
      <c r="AC8747" s="162"/>
      <c r="AD8747" s="162">
        <f t="shared" si="156"/>
        <v>0</v>
      </c>
      <c r="AE8747" s="160">
        <v>8745</v>
      </c>
    </row>
    <row r="8748" spans="27:31" x14ac:dyDescent="0.25">
      <c r="AA8748" s="160"/>
      <c r="AB8748" s="162"/>
      <c r="AC8748" s="162"/>
      <c r="AD8748" s="162">
        <f t="shared" si="156"/>
        <v>0</v>
      </c>
      <c r="AE8748" s="160">
        <v>8746</v>
      </c>
    </row>
    <row r="8749" spans="27:31" x14ac:dyDescent="0.25">
      <c r="AA8749" s="160"/>
      <c r="AB8749" s="162"/>
      <c r="AC8749" s="162"/>
      <c r="AD8749" s="162">
        <f t="shared" si="156"/>
        <v>0</v>
      </c>
      <c r="AE8749" s="160">
        <v>8747</v>
      </c>
    </row>
    <row r="8750" spans="27:31" x14ac:dyDescent="0.25">
      <c r="AA8750" s="160"/>
      <c r="AB8750" s="162"/>
      <c r="AC8750" s="162"/>
      <c r="AD8750" s="162">
        <f t="shared" si="156"/>
        <v>0</v>
      </c>
      <c r="AE8750" s="160">
        <v>8748</v>
      </c>
    </row>
    <row r="8751" spans="27:31" x14ac:dyDescent="0.25">
      <c r="AA8751" s="160"/>
      <c r="AB8751" s="162"/>
      <c r="AC8751" s="162"/>
      <c r="AD8751" s="162">
        <f t="shared" si="156"/>
        <v>0</v>
      </c>
      <c r="AE8751" s="160">
        <v>8749</v>
      </c>
    </row>
    <row r="8752" spans="27:31" x14ac:dyDescent="0.25">
      <c r="AA8752" s="160"/>
      <c r="AB8752" s="162"/>
      <c r="AC8752" s="162"/>
      <c r="AD8752" s="162">
        <f t="shared" si="156"/>
        <v>0</v>
      </c>
      <c r="AE8752" s="160">
        <v>8750</v>
      </c>
    </row>
    <row r="8753" spans="27:31" x14ac:dyDescent="0.25">
      <c r="AA8753" s="160"/>
      <c r="AB8753" s="162"/>
      <c r="AC8753" s="162"/>
      <c r="AD8753" s="162">
        <f t="shared" si="156"/>
        <v>0</v>
      </c>
      <c r="AE8753" s="160">
        <v>8751</v>
      </c>
    </row>
    <row r="8754" spans="27:31" x14ac:dyDescent="0.25">
      <c r="AA8754" s="160"/>
      <c r="AB8754" s="162"/>
      <c r="AC8754" s="162"/>
      <c r="AD8754" s="162">
        <f t="shared" si="156"/>
        <v>0</v>
      </c>
      <c r="AE8754" s="160">
        <v>8752</v>
      </c>
    </row>
    <row r="8755" spans="27:31" x14ac:dyDescent="0.25">
      <c r="AA8755" s="160"/>
      <c r="AB8755" s="162"/>
      <c r="AC8755" s="162"/>
      <c r="AD8755" s="162">
        <f t="shared" si="156"/>
        <v>0</v>
      </c>
      <c r="AE8755" s="160">
        <v>8753</v>
      </c>
    </row>
    <row r="8756" spans="27:31" x14ac:dyDescent="0.25">
      <c r="AA8756" s="160"/>
      <c r="AB8756" s="162"/>
      <c r="AC8756" s="162"/>
      <c r="AD8756" s="162">
        <f t="shared" si="156"/>
        <v>0</v>
      </c>
      <c r="AE8756" s="160">
        <v>8754</v>
      </c>
    </row>
    <row r="8757" spans="27:31" x14ac:dyDescent="0.25">
      <c r="AA8757" s="160"/>
      <c r="AB8757" s="162"/>
      <c r="AC8757" s="162"/>
      <c r="AD8757" s="162">
        <f t="shared" si="156"/>
        <v>0</v>
      </c>
      <c r="AE8757" s="160">
        <v>8755</v>
      </c>
    </row>
    <row r="8758" spans="27:31" x14ac:dyDescent="0.25">
      <c r="AA8758" s="160"/>
      <c r="AB8758" s="162"/>
      <c r="AC8758" s="162"/>
      <c r="AD8758" s="162">
        <f t="shared" si="156"/>
        <v>0</v>
      </c>
      <c r="AE8758" s="160">
        <v>8756</v>
      </c>
    </row>
    <row r="8759" spans="27:31" x14ac:dyDescent="0.25">
      <c r="AA8759" s="160"/>
      <c r="AB8759" s="162"/>
      <c r="AC8759" s="162"/>
      <c r="AD8759" s="162">
        <f t="shared" si="156"/>
        <v>0</v>
      </c>
      <c r="AE8759" s="160">
        <v>8757</v>
      </c>
    </row>
    <row r="8760" spans="27:31" x14ac:dyDescent="0.25">
      <c r="AA8760" s="160"/>
      <c r="AB8760" s="162"/>
      <c r="AC8760" s="162"/>
      <c r="AD8760" s="162">
        <f t="shared" si="156"/>
        <v>0</v>
      </c>
      <c r="AE8760" s="160">
        <v>8758</v>
      </c>
    </row>
    <row r="8761" spans="27:31" x14ac:dyDescent="0.25">
      <c r="AA8761" s="160"/>
      <c r="AB8761" s="162"/>
      <c r="AC8761" s="162"/>
      <c r="AD8761" s="162">
        <f t="shared" si="156"/>
        <v>0</v>
      </c>
      <c r="AE8761" s="160">
        <v>8759</v>
      </c>
    </row>
    <row r="8762" spans="27:31" x14ac:dyDescent="0.25">
      <c r="AA8762" s="160"/>
      <c r="AB8762" s="162"/>
      <c r="AC8762" s="162"/>
      <c r="AD8762" s="162">
        <f t="shared" si="156"/>
        <v>0</v>
      </c>
      <c r="AE8762" s="160">
        <v>8760</v>
      </c>
    </row>
    <row r="8763" spans="27:31" x14ac:dyDescent="0.25">
      <c r="AA8763" s="160"/>
      <c r="AB8763" s="162"/>
      <c r="AC8763" s="162"/>
      <c r="AD8763" s="162">
        <f t="shared" si="156"/>
        <v>0</v>
      </c>
      <c r="AE8763" s="160">
        <v>8761</v>
      </c>
    </row>
    <row r="8764" spans="27:31" x14ac:dyDescent="0.25">
      <c r="AA8764" s="160"/>
      <c r="AB8764" s="162"/>
      <c r="AC8764" s="162"/>
      <c r="AD8764" s="162">
        <f t="shared" si="156"/>
        <v>0</v>
      </c>
      <c r="AE8764" s="160">
        <v>8762</v>
      </c>
    </row>
    <row r="8765" spans="27:31" x14ac:dyDescent="0.25">
      <c r="AA8765" s="160"/>
      <c r="AB8765" s="162"/>
      <c r="AC8765" s="162"/>
      <c r="AD8765" s="162">
        <f t="shared" si="156"/>
        <v>0</v>
      </c>
      <c r="AE8765" s="160">
        <v>8763</v>
      </c>
    </row>
    <row r="8766" spans="27:31" x14ac:dyDescent="0.25">
      <c r="AA8766" s="160"/>
      <c r="AB8766" s="162"/>
      <c r="AC8766" s="162"/>
      <c r="AD8766" s="162">
        <f t="shared" si="156"/>
        <v>0</v>
      </c>
      <c r="AE8766" s="160">
        <v>8764</v>
      </c>
    </row>
    <row r="8767" spans="27:31" x14ac:dyDescent="0.25">
      <c r="AA8767" s="160"/>
      <c r="AB8767" s="162"/>
      <c r="AC8767" s="162"/>
      <c r="AD8767" s="162">
        <f t="shared" si="156"/>
        <v>0</v>
      </c>
      <c r="AE8767" s="160">
        <v>8765</v>
      </c>
    </row>
    <row r="8768" spans="27:31" x14ac:dyDescent="0.25">
      <c r="AA8768" s="160"/>
      <c r="AB8768" s="162"/>
      <c r="AC8768" s="162"/>
      <c r="AD8768" s="162">
        <f t="shared" si="156"/>
        <v>0</v>
      </c>
      <c r="AE8768" s="160">
        <v>8766</v>
      </c>
    </row>
    <row r="8769" spans="27:31" x14ac:dyDescent="0.25">
      <c r="AA8769" s="160"/>
      <c r="AB8769" s="162"/>
      <c r="AC8769" s="162"/>
      <c r="AD8769" s="162">
        <f t="shared" si="156"/>
        <v>0</v>
      </c>
      <c r="AE8769" s="160">
        <v>8767</v>
      </c>
    </row>
    <row r="8770" spans="27:31" x14ac:dyDescent="0.25">
      <c r="AA8770" s="160"/>
      <c r="AB8770" s="162"/>
      <c r="AC8770" s="162"/>
      <c r="AD8770" s="162">
        <f t="shared" si="156"/>
        <v>0</v>
      </c>
      <c r="AE8770" s="160">
        <v>8768</v>
      </c>
    </row>
    <row r="8771" spans="27:31" x14ac:dyDescent="0.25">
      <c r="AA8771" s="160"/>
      <c r="AB8771" s="162"/>
      <c r="AC8771" s="162"/>
      <c r="AD8771" s="162">
        <f t="shared" si="156"/>
        <v>0</v>
      </c>
      <c r="AE8771" s="160">
        <v>8769</v>
      </c>
    </row>
    <row r="8772" spans="27:31" x14ac:dyDescent="0.25">
      <c r="AA8772" s="160"/>
      <c r="AB8772" s="162"/>
      <c r="AC8772" s="162"/>
      <c r="AD8772" s="162">
        <f t="shared" ref="AD8772:AD8835" si="157">AB8772+AC8772</f>
        <v>0</v>
      </c>
      <c r="AE8772" s="160">
        <v>8770</v>
      </c>
    </row>
    <row r="8773" spans="27:31" x14ac:dyDescent="0.25">
      <c r="AA8773" s="160"/>
      <c r="AB8773" s="162"/>
      <c r="AC8773" s="162"/>
      <c r="AD8773" s="162">
        <f t="shared" si="157"/>
        <v>0</v>
      </c>
      <c r="AE8773" s="160">
        <v>8771</v>
      </c>
    </row>
    <row r="8774" spans="27:31" x14ac:dyDescent="0.25">
      <c r="AA8774" s="160"/>
      <c r="AB8774" s="162"/>
      <c r="AC8774" s="162"/>
      <c r="AD8774" s="162">
        <f t="shared" si="157"/>
        <v>0</v>
      </c>
      <c r="AE8774" s="160">
        <v>8772</v>
      </c>
    </row>
    <row r="8775" spans="27:31" x14ac:dyDescent="0.25">
      <c r="AA8775" s="160"/>
      <c r="AB8775" s="162"/>
      <c r="AC8775" s="162"/>
      <c r="AD8775" s="162">
        <f t="shared" si="157"/>
        <v>0</v>
      </c>
      <c r="AE8775" s="160">
        <v>8773</v>
      </c>
    </row>
    <row r="8776" spans="27:31" x14ac:dyDescent="0.25">
      <c r="AA8776" s="160"/>
      <c r="AB8776" s="162"/>
      <c r="AC8776" s="162"/>
      <c r="AD8776" s="162">
        <f t="shared" si="157"/>
        <v>0</v>
      </c>
      <c r="AE8776" s="160">
        <v>8774</v>
      </c>
    </row>
    <row r="8777" spans="27:31" x14ac:dyDescent="0.25">
      <c r="AA8777" s="160"/>
      <c r="AB8777" s="162"/>
      <c r="AC8777" s="162"/>
      <c r="AD8777" s="162">
        <f t="shared" si="157"/>
        <v>0</v>
      </c>
      <c r="AE8777" s="160">
        <v>8775</v>
      </c>
    </row>
    <row r="8778" spans="27:31" x14ac:dyDescent="0.25">
      <c r="AA8778" s="160"/>
      <c r="AB8778" s="162"/>
      <c r="AC8778" s="162"/>
      <c r="AD8778" s="162">
        <f t="shared" si="157"/>
        <v>0</v>
      </c>
      <c r="AE8778" s="160">
        <v>8776</v>
      </c>
    </row>
    <row r="8779" spans="27:31" x14ac:dyDescent="0.25">
      <c r="AA8779" s="160"/>
      <c r="AB8779" s="162"/>
      <c r="AC8779" s="162"/>
      <c r="AD8779" s="162">
        <f t="shared" si="157"/>
        <v>0</v>
      </c>
      <c r="AE8779" s="160">
        <v>8777</v>
      </c>
    </row>
    <row r="8780" spans="27:31" x14ac:dyDescent="0.25">
      <c r="AA8780" s="160"/>
      <c r="AB8780" s="162"/>
      <c r="AC8780" s="162"/>
      <c r="AD8780" s="162">
        <f t="shared" si="157"/>
        <v>0</v>
      </c>
      <c r="AE8780" s="160">
        <v>8778</v>
      </c>
    </row>
    <row r="8781" spans="27:31" x14ac:dyDescent="0.25">
      <c r="AA8781" s="160"/>
      <c r="AB8781" s="162"/>
      <c r="AC8781" s="162"/>
      <c r="AD8781" s="162">
        <f t="shared" si="157"/>
        <v>0</v>
      </c>
      <c r="AE8781" s="160">
        <v>8779</v>
      </c>
    </row>
    <row r="8782" spans="27:31" x14ac:dyDescent="0.25">
      <c r="AA8782" s="160"/>
      <c r="AB8782" s="162"/>
      <c r="AC8782" s="162"/>
      <c r="AD8782" s="162">
        <f t="shared" si="157"/>
        <v>0</v>
      </c>
      <c r="AE8782" s="160">
        <v>8780</v>
      </c>
    </row>
    <row r="8783" spans="27:31" x14ac:dyDescent="0.25">
      <c r="AA8783" s="160"/>
      <c r="AB8783" s="162"/>
      <c r="AC8783" s="162"/>
      <c r="AD8783" s="162">
        <f t="shared" si="157"/>
        <v>0</v>
      </c>
      <c r="AE8783" s="160">
        <v>8781</v>
      </c>
    </row>
    <row r="8784" spans="27:31" x14ac:dyDescent="0.25">
      <c r="AA8784" s="160"/>
      <c r="AB8784" s="162"/>
      <c r="AC8784" s="162"/>
      <c r="AD8784" s="162">
        <f t="shared" si="157"/>
        <v>0</v>
      </c>
      <c r="AE8784" s="160">
        <v>8782</v>
      </c>
    </row>
    <row r="8785" spans="27:31" x14ac:dyDescent="0.25">
      <c r="AA8785" s="160"/>
      <c r="AB8785" s="162"/>
      <c r="AC8785" s="162"/>
      <c r="AD8785" s="162">
        <f t="shared" si="157"/>
        <v>0</v>
      </c>
      <c r="AE8785" s="160">
        <v>8783</v>
      </c>
    </row>
    <row r="8786" spans="27:31" x14ac:dyDescent="0.25">
      <c r="AA8786" s="160"/>
      <c r="AB8786" s="162"/>
      <c r="AC8786" s="162"/>
      <c r="AD8786" s="162">
        <f t="shared" si="157"/>
        <v>0</v>
      </c>
      <c r="AE8786" s="160">
        <v>8784</v>
      </c>
    </row>
    <row r="8787" spans="27:31" x14ac:dyDescent="0.25">
      <c r="AA8787" s="160"/>
      <c r="AB8787" s="162"/>
      <c r="AC8787" s="162"/>
      <c r="AD8787" s="162">
        <f t="shared" si="157"/>
        <v>0</v>
      </c>
      <c r="AE8787" s="160">
        <v>8785</v>
      </c>
    </row>
    <row r="8788" spans="27:31" x14ac:dyDescent="0.25">
      <c r="AA8788" s="160"/>
      <c r="AB8788" s="162"/>
      <c r="AC8788" s="162"/>
      <c r="AD8788" s="162">
        <f t="shared" si="157"/>
        <v>0</v>
      </c>
      <c r="AE8788" s="160">
        <v>8786</v>
      </c>
    </row>
    <row r="8789" spans="27:31" x14ac:dyDescent="0.25">
      <c r="AA8789" s="160"/>
      <c r="AB8789" s="162"/>
      <c r="AC8789" s="162"/>
      <c r="AD8789" s="162">
        <f t="shared" si="157"/>
        <v>0</v>
      </c>
      <c r="AE8789" s="160">
        <v>8787</v>
      </c>
    </row>
    <row r="8790" spans="27:31" x14ac:dyDescent="0.25">
      <c r="AA8790" s="160"/>
      <c r="AB8790" s="162"/>
      <c r="AC8790" s="162"/>
      <c r="AD8790" s="162">
        <f t="shared" si="157"/>
        <v>0</v>
      </c>
      <c r="AE8790" s="160">
        <v>8788</v>
      </c>
    </row>
    <row r="8791" spans="27:31" x14ac:dyDescent="0.25">
      <c r="AA8791" s="160"/>
      <c r="AB8791" s="162"/>
      <c r="AC8791" s="162"/>
      <c r="AD8791" s="162">
        <f t="shared" si="157"/>
        <v>0</v>
      </c>
      <c r="AE8791" s="160">
        <v>8789</v>
      </c>
    </row>
    <row r="8792" spans="27:31" x14ac:dyDescent="0.25">
      <c r="AA8792" s="160"/>
      <c r="AB8792" s="162"/>
      <c r="AC8792" s="162"/>
      <c r="AD8792" s="162">
        <f t="shared" si="157"/>
        <v>0</v>
      </c>
      <c r="AE8792" s="160">
        <v>8790</v>
      </c>
    </row>
    <row r="8793" spans="27:31" x14ac:dyDescent="0.25">
      <c r="AA8793" s="160"/>
      <c r="AB8793" s="162"/>
      <c r="AC8793" s="162"/>
      <c r="AD8793" s="162">
        <f t="shared" si="157"/>
        <v>0</v>
      </c>
      <c r="AE8793" s="160">
        <v>8791</v>
      </c>
    </row>
    <row r="8794" spans="27:31" x14ac:dyDescent="0.25">
      <c r="AA8794" s="160"/>
      <c r="AB8794" s="162"/>
      <c r="AC8794" s="162"/>
      <c r="AD8794" s="162">
        <f t="shared" si="157"/>
        <v>0</v>
      </c>
      <c r="AE8794" s="160">
        <v>8792</v>
      </c>
    </row>
    <row r="8795" spans="27:31" x14ac:dyDescent="0.25">
      <c r="AA8795" s="160"/>
      <c r="AB8795" s="162"/>
      <c r="AC8795" s="162"/>
      <c r="AD8795" s="162">
        <f t="shared" si="157"/>
        <v>0</v>
      </c>
      <c r="AE8795" s="160">
        <v>8793</v>
      </c>
    </row>
    <row r="8796" spans="27:31" x14ac:dyDescent="0.25">
      <c r="AA8796" s="160"/>
      <c r="AB8796" s="162"/>
      <c r="AC8796" s="162"/>
      <c r="AD8796" s="162">
        <f t="shared" si="157"/>
        <v>0</v>
      </c>
      <c r="AE8796" s="160">
        <v>8794</v>
      </c>
    </row>
    <row r="8797" spans="27:31" x14ac:dyDescent="0.25">
      <c r="AA8797" s="160"/>
      <c r="AB8797" s="162"/>
      <c r="AC8797" s="162"/>
      <c r="AD8797" s="162">
        <f t="shared" si="157"/>
        <v>0</v>
      </c>
      <c r="AE8797" s="160">
        <v>8795</v>
      </c>
    </row>
    <row r="8798" spans="27:31" x14ac:dyDescent="0.25">
      <c r="AA8798" s="160"/>
      <c r="AB8798" s="162"/>
      <c r="AC8798" s="162"/>
      <c r="AD8798" s="162">
        <f t="shared" si="157"/>
        <v>0</v>
      </c>
      <c r="AE8798" s="160">
        <v>8796</v>
      </c>
    </row>
    <row r="8799" spans="27:31" x14ac:dyDescent="0.25">
      <c r="AA8799" s="160"/>
      <c r="AB8799" s="162"/>
      <c r="AC8799" s="162"/>
      <c r="AD8799" s="162">
        <f t="shared" si="157"/>
        <v>0</v>
      </c>
      <c r="AE8799" s="160">
        <v>8797</v>
      </c>
    </row>
    <row r="8800" spans="27:31" x14ac:dyDescent="0.25">
      <c r="AA8800" s="160"/>
      <c r="AB8800" s="162"/>
      <c r="AC8800" s="162"/>
      <c r="AD8800" s="162">
        <f t="shared" si="157"/>
        <v>0</v>
      </c>
      <c r="AE8800" s="160">
        <v>8798</v>
      </c>
    </row>
    <row r="8801" spans="27:31" x14ac:dyDescent="0.25">
      <c r="AA8801" s="160"/>
      <c r="AB8801" s="162"/>
      <c r="AC8801" s="162"/>
      <c r="AD8801" s="162">
        <f t="shared" si="157"/>
        <v>0</v>
      </c>
      <c r="AE8801" s="160">
        <v>8799</v>
      </c>
    </row>
    <row r="8802" spans="27:31" x14ac:dyDescent="0.25">
      <c r="AA8802" s="160"/>
      <c r="AB8802" s="162"/>
      <c r="AC8802" s="162"/>
      <c r="AD8802" s="162">
        <f t="shared" si="157"/>
        <v>0</v>
      </c>
      <c r="AE8802" s="160">
        <v>8800</v>
      </c>
    </row>
    <row r="8803" spans="27:31" x14ac:dyDescent="0.25">
      <c r="AA8803" s="160"/>
      <c r="AB8803" s="162"/>
      <c r="AC8803" s="162"/>
      <c r="AD8803" s="162">
        <f t="shared" si="157"/>
        <v>0</v>
      </c>
      <c r="AE8803" s="160">
        <v>8801</v>
      </c>
    </row>
    <row r="8804" spans="27:31" x14ac:dyDescent="0.25">
      <c r="AA8804" s="160"/>
      <c r="AB8804" s="162"/>
      <c r="AC8804" s="162"/>
      <c r="AD8804" s="162">
        <f t="shared" si="157"/>
        <v>0</v>
      </c>
      <c r="AE8804" s="160">
        <v>8802</v>
      </c>
    </row>
    <row r="8805" spans="27:31" x14ac:dyDescent="0.25">
      <c r="AA8805" s="160"/>
      <c r="AB8805" s="162"/>
      <c r="AC8805" s="162"/>
      <c r="AD8805" s="162">
        <f t="shared" si="157"/>
        <v>0</v>
      </c>
      <c r="AE8805" s="160">
        <v>8803</v>
      </c>
    </row>
    <row r="8806" spans="27:31" x14ac:dyDescent="0.25">
      <c r="AA8806" s="160"/>
      <c r="AB8806" s="162"/>
      <c r="AC8806" s="162"/>
      <c r="AD8806" s="162">
        <f t="shared" si="157"/>
        <v>0</v>
      </c>
      <c r="AE8806" s="160">
        <v>8804</v>
      </c>
    </row>
    <row r="8807" spans="27:31" x14ac:dyDescent="0.25">
      <c r="AA8807" s="160"/>
      <c r="AB8807" s="162"/>
      <c r="AC8807" s="162"/>
      <c r="AD8807" s="162">
        <f t="shared" si="157"/>
        <v>0</v>
      </c>
      <c r="AE8807" s="160">
        <v>8805</v>
      </c>
    </row>
    <row r="8808" spans="27:31" x14ac:dyDescent="0.25">
      <c r="AA8808" s="160"/>
      <c r="AB8808" s="162"/>
      <c r="AC8808" s="162"/>
      <c r="AD8808" s="162">
        <f t="shared" si="157"/>
        <v>0</v>
      </c>
      <c r="AE8808" s="160">
        <v>8806</v>
      </c>
    </row>
    <row r="8809" spans="27:31" x14ac:dyDescent="0.25">
      <c r="AA8809" s="160"/>
      <c r="AB8809" s="162"/>
      <c r="AC8809" s="162"/>
      <c r="AD8809" s="162">
        <f t="shared" si="157"/>
        <v>0</v>
      </c>
      <c r="AE8809" s="160">
        <v>8807</v>
      </c>
    </row>
    <row r="8810" spans="27:31" x14ac:dyDescent="0.25">
      <c r="AA8810" s="160"/>
      <c r="AB8810" s="162"/>
      <c r="AC8810" s="162"/>
      <c r="AD8810" s="162">
        <f t="shared" si="157"/>
        <v>0</v>
      </c>
      <c r="AE8810" s="160">
        <v>8808</v>
      </c>
    </row>
    <row r="8811" spans="27:31" x14ac:dyDescent="0.25">
      <c r="AA8811" s="160"/>
      <c r="AB8811" s="162"/>
      <c r="AC8811" s="162"/>
      <c r="AD8811" s="162">
        <f t="shared" si="157"/>
        <v>0</v>
      </c>
      <c r="AE8811" s="160">
        <v>8809</v>
      </c>
    </row>
    <row r="8812" spans="27:31" x14ac:dyDescent="0.25">
      <c r="AA8812" s="160"/>
      <c r="AB8812" s="162"/>
      <c r="AC8812" s="162"/>
      <c r="AD8812" s="162">
        <f t="shared" si="157"/>
        <v>0</v>
      </c>
      <c r="AE8812" s="160">
        <v>8810</v>
      </c>
    </row>
    <row r="8813" spans="27:31" x14ac:dyDescent="0.25">
      <c r="AA8813" s="160"/>
      <c r="AB8813" s="162"/>
      <c r="AC8813" s="162"/>
      <c r="AD8813" s="162">
        <f t="shared" si="157"/>
        <v>0</v>
      </c>
      <c r="AE8813" s="160">
        <v>8811</v>
      </c>
    </row>
    <row r="8814" spans="27:31" x14ac:dyDescent="0.25">
      <c r="AA8814" s="160"/>
      <c r="AB8814" s="162"/>
      <c r="AC8814" s="162"/>
      <c r="AD8814" s="162">
        <f t="shared" si="157"/>
        <v>0</v>
      </c>
      <c r="AE8814" s="160">
        <v>8812</v>
      </c>
    </row>
    <row r="8815" spans="27:31" x14ac:dyDescent="0.25">
      <c r="AA8815" s="160"/>
      <c r="AB8815" s="162"/>
      <c r="AC8815" s="162"/>
      <c r="AD8815" s="162">
        <f t="shared" si="157"/>
        <v>0</v>
      </c>
      <c r="AE8815" s="160">
        <v>8813</v>
      </c>
    </row>
    <row r="8816" spans="27:31" x14ac:dyDescent="0.25">
      <c r="AA8816" s="160"/>
      <c r="AB8816" s="162"/>
      <c r="AC8816" s="162"/>
      <c r="AD8816" s="162">
        <f t="shared" si="157"/>
        <v>0</v>
      </c>
      <c r="AE8816" s="160">
        <v>8814</v>
      </c>
    </row>
    <row r="8817" spans="27:31" x14ac:dyDescent="0.25">
      <c r="AA8817" s="160"/>
      <c r="AB8817" s="162"/>
      <c r="AC8817" s="162"/>
      <c r="AD8817" s="162">
        <f t="shared" si="157"/>
        <v>0</v>
      </c>
      <c r="AE8817" s="160">
        <v>8815</v>
      </c>
    </row>
    <row r="8818" spans="27:31" x14ac:dyDescent="0.25">
      <c r="AA8818" s="160"/>
      <c r="AB8818" s="162"/>
      <c r="AC8818" s="162"/>
      <c r="AD8818" s="162">
        <f t="shared" si="157"/>
        <v>0</v>
      </c>
      <c r="AE8818" s="160">
        <v>8816</v>
      </c>
    </row>
    <row r="8819" spans="27:31" x14ac:dyDescent="0.25">
      <c r="AA8819" s="160"/>
      <c r="AB8819" s="162"/>
      <c r="AC8819" s="162"/>
      <c r="AD8819" s="162">
        <f t="shared" si="157"/>
        <v>0</v>
      </c>
      <c r="AE8819" s="160">
        <v>8817</v>
      </c>
    </row>
    <row r="8820" spans="27:31" x14ac:dyDescent="0.25">
      <c r="AA8820" s="160"/>
      <c r="AB8820" s="162"/>
      <c r="AC8820" s="162"/>
      <c r="AD8820" s="162">
        <f t="shared" si="157"/>
        <v>0</v>
      </c>
      <c r="AE8820" s="160">
        <v>8818</v>
      </c>
    </row>
    <row r="8821" spans="27:31" x14ac:dyDescent="0.25">
      <c r="AA8821" s="160"/>
      <c r="AB8821" s="162"/>
      <c r="AC8821" s="162"/>
      <c r="AD8821" s="162">
        <f t="shared" si="157"/>
        <v>0</v>
      </c>
      <c r="AE8821" s="160">
        <v>8819</v>
      </c>
    </row>
    <row r="8822" spans="27:31" x14ac:dyDescent="0.25">
      <c r="AA8822" s="160"/>
      <c r="AB8822" s="162"/>
      <c r="AC8822" s="162"/>
      <c r="AD8822" s="162">
        <f t="shared" si="157"/>
        <v>0</v>
      </c>
      <c r="AE8822" s="160">
        <v>8820</v>
      </c>
    </row>
    <row r="8823" spans="27:31" x14ac:dyDescent="0.25">
      <c r="AA8823" s="160"/>
      <c r="AB8823" s="162"/>
      <c r="AC8823" s="162"/>
      <c r="AD8823" s="162">
        <f t="shared" si="157"/>
        <v>0</v>
      </c>
      <c r="AE8823" s="160">
        <v>8821</v>
      </c>
    </row>
    <row r="8824" spans="27:31" x14ac:dyDescent="0.25">
      <c r="AA8824" s="160"/>
      <c r="AB8824" s="162"/>
      <c r="AC8824" s="162"/>
      <c r="AD8824" s="162">
        <f t="shared" si="157"/>
        <v>0</v>
      </c>
      <c r="AE8824" s="160">
        <v>8822</v>
      </c>
    </row>
    <row r="8825" spans="27:31" x14ac:dyDescent="0.25">
      <c r="AA8825" s="160"/>
      <c r="AB8825" s="162"/>
      <c r="AC8825" s="162"/>
      <c r="AD8825" s="162">
        <f t="shared" si="157"/>
        <v>0</v>
      </c>
      <c r="AE8825" s="160">
        <v>8823</v>
      </c>
    </row>
    <row r="8826" spans="27:31" x14ac:dyDescent="0.25">
      <c r="AA8826" s="160"/>
      <c r="AB8826" s="162"/>
      <c r="AC8826" s="162"/>
      <c r="AD8826" s="162">
        <f t="shared" si="157"/>
        <v>0</v>
      </c>
      <c r="AE8826" s="160">
        <v>8824</v>
      </c>
    </row>
    <row r="8827" spans="27:31" x14ac:dyDescent="0.25">
      <c r="AA8827" s="160"/>
      <c r="AB8827" s="162"/>
      <c r="AC8827" s="162"/>
      <c r="AD8827" s="162">
        <f t="shared" si="157"/>
        <v>0</v>
      </c>
      <c r="AE8827" s="160">
        <v>8825</v>
      </c>
    </row>
    <row r="8828" spans="27:31" x14ac:dyDescent="0.25">
      <c r="AA8828" s="160"/>
      <c r="AB8828" s="162"/>
      <c r="AC8828" s="162"/>
      <c r="AD8828" s="162">
        <f t="shared" si="157"/>
        <v>0</v>
      </c>
      <c r="AE8828" s="160">
        <v>8826</v>
      </c>
    </row>
    <row r="8829" spans="27:31" x14ac:dyDescent="0.25">
      <c r="AA8829" s="160"/>
      <c r="AB8829" s="162"/>
      <c r="AC8829" s="162"/>
      <c r="AD8829" s="162">
        <f t="shared" si="157"/>
        <v>0</v>
      </c>
      <c r="AE8829" s="160">
        <v>8827</v>
      </c>
    </row>
    <row r="8830" spans="27:31" x14ac:dyDescent="0.25">
      <c r="AA8830" s="160"/>
      <c r="AB8830" s="162"/>
      <c r="AC8830" s="162"/>
      <c r="AD8830" s="162">
        <f t="shared" si="157"/>
        <v>0</v>
      </c>
      <c r="AE8830" s="160">
        <v>8828</v>
      </c>
    </row>
    <row r="8831" spans="27:31" x14ac:dyDescent="0.25">
      <c r="AA8831" s="160"/>
      <c r="AB8831" s="162"/>
      <c r="AC8831" s="162"/>
      <c r="AD8831" s="162">
        <f t="shared" si="157"/>
        <v>0</v>
      </c>
      <c r="AE8831" s="160">
        <v>8829</v>
      </c>
    </row>
    <row r="8832" spans="27:31" x14ac:dyDescent="0.25">
      <c r="AA8832" s="160"/>
      <c r="AB8832" s="162"/>
      <c r="AC8832" s="162"/>
      <c r="AD8832" s="162">
        <f t="shared" si="157"/>
        <v>0</v>
      </c>
      <c r="AE8832" s="160">
        <v>8830</v>
      </c>
    </row>
    <row r="8833" spans="27:31" x14ac:dyDescent="0.25">
      <c r="AA8833" s="160"/>
      <c r="AB8833" s="162"/>
      <c r="AC8833" s="162"/>
      <c r="AD8833" s="162">
        <f t="shared" si="157"/>
        <v>0</v>
      </c>
      <c r="AE8833" s="160">
        <v>8831</v>
      </c>
    </row>
    <row r="8834" spans="27:31" x14ac:dyDescent="0.25">
      <c r="AA8834" s="160"/>
      <c r="AB8834" s="162"/>
      <c r="AC8834" s="162"/>
      <c r="AD8834" s="162">
        <f t="shared" si="157"/>
        <v>0</v>
      </c>
      <c r="AE8834" s="160">
        <v>8832</v>
      </c>
    </row>
    <row r="8835" spans="27:31" x14ac:dyDescent="0.25">
      <c r="AA8835" s="160"/>
      <c r="AB8835" s="162"/>
      <c r="AC8835" s="162"/>
      <c r="AD8835" s="162">
        <f t="shared" si="157"/>
        <v>0</v>
      </c>
      <c r="AE8835" s="160">
        <v>8833</v>
      </c>
    </row>
    <row r="8836" spans="27:31" x14ac:dyDescent="0.25">
      <c r="AA8836" s="160"/>
      <c r="AB8836" s="162"/>
      <c r="AC8836" s="162"/>
      <c r="AD8836" s="162">
        <f t="shared" ref="AD8836:AD8899" si="158">AB8836+AC8836</f>
        <v>0</v>
      </c>
      <c r="AE8836" s="160">
        <v>8834</v>
      </c>
    </row>
    <row r="8837" spans="27:31" x14ac:dyDescent="0.25">
      <c r="AA8837" s="160"/>
      <c r="AB8837" s="162"/>
      <c r="AC8837" s="162"/>
      <c r="AD8837" s="162">
        <f t="shared" si="158"/>
        <v>0</v>
      </c>
      <c r="AE8837" s="160">
        <v>8835</v>
      </c>
    </row>
    <row r="8838" spans="27:31" x14ac:dyDescent="0.25">
      <c r="AA8838" s="160"/>
      <c r="AB8838" s="162"/>
      <c r="AC8838" s="162"/>
      <c r="AD8838" s="162">
        <f t="shared" si="158"/>
        <v>0</v>
      </c>
      <c r="AE8838" s="160">
        <v>8836</v>
      </c>
    </row>
    <row r="8839" spans="27:31" x14ac:dyDescent="0.25">
      <c r="AA8839" s="160"/>
      <c r="AB8839" s="162"/>
      <c r="AC8839" s="162"/>
      <c r="AD8839" s="162">
        <f t="shared" si="158"/>
        <v>0</v>
      </c>
      <c r="AE8839" s="160">
        <v>8837</v>
      </c>
    </row>
    <row r="8840" spans="27:31" x14ac:dyDescent="0.25">
      <c r="AA8840" s="160"/>
      <c r="AB8840" s="162"/>
      <c r="AC8840" s="162"/>
      <c r="AD8840" s="162">
        <f t="shared" si="158"/>
        <v>0</v>
      </c>
      <c r="AE8840" s="160">
        <v>8838</v>
      </c>
    </row>
    <row r="8841" spans="27:31" x14ac:dyDescent="0.25">
      <c r="AA8841" s="160"/>
      <c r="AB8841" s="162"/>
      <c r="AC8841" s="162"/>
      <c r="AD8841" s="162">
        <f t="shared" si="158"/>
        <v>0</v>
      </c>
      <c r="AE8841" s="160">
        <v>8839</v>
      </c>
    </row>
    <row r="8842" spans="27:31" x14ac:dyDescent="0.25">
      <c r="AA8842" s="160"/>
      <c r="AB8842" s="162"/>
      <c r="AC8842" s="162"/>
      <c r="AD8842" s="162">
        <f t="shared" si="158"/>
        <v>0</v>
      </c>
      <c r="AE8842" s="160">
        <v>8840</v>
      </c>
    </row>
    <row r="8843" spans="27:31" x14ac:dyDescent="0.25">
      <c r="AA8843" s="160"/>
      <c r="AB8843" s="162"/>
      <c r="AC8843" s="162"/>
      <c r="AD8843" s="162">
        <f t="shared" si="158"/>
        <v>0</v>
      </c>
      <c r="AE8843" s="160">
        <v>8841</v>
      </c>
    </row>
    <row r="8844" spans="27:31" x14ac:dyDescent="0.25">
      <c r="AA8844" s="160"/>
      <c r="AB8844" s="162"/>
      <c r="AC8844" s="162"/>
      <c r="AD8844" s="162">
        <f t="shared" si="158"/>
        <v>0</v>
      </c>
      <c r="AE8844" s="160">
        <v>8842</v>
      </c>
    </row>
    <row r="8845" spans="27:31" x14ac:dyDescent="0.25">
      <c r="AA8845" s="160"/>
      <c r="AB8845" s="162"/>
      <c r="AC8845" s="162"/>
      <c r="AD8845" s="162">
        <f t="shared" si="158"/>
        <v>0</v>
      </c>
      <c r="AE8845" s="160">
        <v>8843</v>
      </c>
    </row>
    <row r="8846" spans="27:31" x14ac:dyDescent="0.25">
      <c r="AA8846" s="160"/>
      <c r="AB8846" s="162"/>
      <c r="AC8846" s="162"/>
      <c r="AD8846" s="162">
        <f t="shared" si="158"/>
        <v>0</v>
      </c>
      <c r="AE8846" s="160">
        <v>8844</v>
      </c>
    </row>
    <row r="8847" spans="27:31" x14ac:dyDescent="0.25">
      <c r="AA8847" s="160"/>
      <c r="AB8847" s="162"/>
      <c r="AC8847" s="162"/>
      <c r="AD8847" s="162">
        <f t="shared" si="158"/>
        <v>0</v>
      </c>
      <c r="AE8847" s="160">
        <v>8845</v>
      </c>
    </row>
    <row r="8848" spans="27:31" x14ac:dyDescent="0.25">
      <c r="AA8848" s="160"/>
      <c r="AB8848" s="162"/>
      <c r="AC8848" s="162"/>
      <c r="AD8848" s="162">
        <f t="shared" si="158"/>
        <v>0</v>
      </c>
      <c r="AE8848" s="160">
        <v>8846</v>
      </c>
    </row>
    <row r="8849" spans="27:31" x14ac:dyDescent="0.25">
      <c r="AA8849" s="160"/>
      <c r="AB8849" s="162"/>
      <c r="AC8849" s="162"/>
      <c r="AD8849" s="162">
        <f t="shared" si="158"/>
        <v>0</v>
      </c>
      <c r="AE8849" s="160">
        <v>8847</v>
      </c>
    </row>
    <row r="8850" spans="27:31" x14ac:dyDescent="0.25">
      <c r="AA8850" s="160"/>
      <c r="AB8850" s="162"/>
      <c r="AC8850" s="162"/>
      <c r="AD8850" s="162">
        <f t="shared" si="158"/>
        <v>0</v>
      </c>
      <c r="AE8850" s="160">
        <v>8848</v>
      </c>
    </row>
    <row r="8851" spans="27:31" x14ac:dyDescent="0.25">
      <c r="AA8851" s="160"/>
      <c r="AB8851" s="162"/>
      <c r="AC8851" s="162"/>
      <c r="AD8851" s="162">
        <f t="shared" si="158"/>
        <v>0</v>
      </c>
      <c r="AE8851" s="160">
        <v>8849</v>
      </c>
    </row>
    <row r="8852" spans="27:31" x14ac:dyDescent="0.25">
      <c r="AA8852" s="160"/>
      <c r="AB8852" s="162"/>
      <c r="AC8852" s="162"/>
      <c r="AD8852" s="162">
        <f t="shared" si="158"/>
        <v>0</v>
      </c>
      <c r="AE8852" s="160">
        <v>8850</v>
      </c>
    </row>
    <row r="8853" spans="27:31" x14ac:dyDescent="0.25">
      <c r="AA8853" s="160"/>
      <c r="AB8853" s="162"/>
      <c r="AC8853" s="162"/>
      <c r="AD8853" s="162">
        <f t="shared" si="158"/>
        <v>0</v>
      </c>
      <c r="AE8853" s="160">
        <v>8851</v>
      </c>
    </row>
    <row r="8854" spans="27:31" x14ac:dyDescent="0.25">
      <c r="AA8854" s="160"/>
      <c r="AB8854" s="162"/>
      <c r="AC8854" s="162"/>
      <c r="AD8854" s="162">
        <f t="shared" si="158"/>
        <v>0</v>
      </c>
      <c r="AE8854" s="160">
        <v>8852</v>
      </c>
    </row>
    <row r="8855" spans="27:31" x14ac:dyDescent="0.25">
      <c r="AA8855" s="160"/>
      <c r="AB8855" s="162"/>
      <c r="AC8855" s="162"/>
      <c r="AD8855" s="162">
        <f t="shared" si="158"/>
        <v>0</v>
      </c>
      <c r="AE8855" s="160">
        <v>8853</v>
      </c>
    </row>
    <row r="8856" spans="27:31" x14ac:dyDescent="0.25">
      <c r="AA8856" s="160"/>
      <c r="AB8856" s="162"/>
      <c r="AC8856" s="162"/>
      <c r="AD8856" s="162">
        <f t="shared" si="158"/>
        <v>0</v>
      </c>
      <c r="AE8856" s="160">
        <v>8854</v>
      </c>
    </row>
    <row r="8857" spans="27:31" x14ac:dyDescent="0.25">
      <c r="AA8857" s="160"/>
      <c r="AB8857" s="162"/>
      <c r="AC8857" s="162"/>
      <c r="AD8857" s="162">
        <f t="shared" si="158"/>
        <v>0</v>
      </c>
      <c r="AE8857" s="160">
        <v>8855</v>
      </c>
    </row>
    <row r="8858" spans="27:31" x14ac:dyDescent="0.25">
      <c r="AA8858" s="160"/>
      <c r="AB8858" s="162"/>
      <c r="AC8858" s="162"/>
      <c r="AD8858" s="162">
        <f t="shared" si="158"/>
        <v>0</v>
      </c>
      <c r="AE8858" s="160">
        <v>8856</v>
      </c>
    </row>
    <row r="8859" spans="27:31" x14ac:dyDescent="0.25">
      <c r="AA8859" s="160"/>
      <c r="AB8859" s="162"/>
      <c r="AC8859" s="162"/>
      <c r="AD8859" s="162">
        <f t="shared" si="158"/>
        <v>0</v>
      </c>
      <c r="AE8859" s="160">
        <v>8857</v>
      </c>
    </row>
    <row r="8860" spans="27:31" x14ac:dyDescent="0.25">
      <c r="AA8860" s="160"/>
      <c r="AB8860" s="162"/>
      <c r="AC8860" s="162"/>
      <c r="AD8860" s="162">
        <f t="shared" si="158"/>
        <v>0</v>
      </c>
      <c r="AE8860" s="160">
        <v>8858</v>
      </c>
    </row>
    <row r="8861" spans="27:31" x14ac:dyDescent="0.25">
      <c r="AA8861" s="160"/>
      <c r="AB8861" s="162"/>
      <c r="AC8861" s="162"/>
      <c r="AD8861" s="162">
        <f t="shared" si="158"/>
        <v>0</v>
      </c>
      <c r="AE8861" s="160">
        <v>8859</v>
      </c>
    </row>
    <row r="8862" spans="27:31" x14ac:dyDescent="0.25">
      <c r="AA8862" s="160"/>
      <c r="AB8862" s="162"/>
      <c r="AC8862" s="162"/>
      <c r="AD8862" s="162">
        <f t="shared" si="158"/>
        <v>0</v>
      </c>
      <c r="AE8862" s="160">
        <v>8860</v>
      </c>
    </row>
    <row r="8863" spans="27:31" x14ac:dyDescent="0.25">
      <c r="AA8863" s="160"/>
      <c r="AB8863" s="162"/>
      <c r="AC8863" s="162"/>
      <c r="AD8863" s="162">
        <f t="shared" si="158"/>
        <v>0</v>
      </c>
      <c r="AE8863" s="160">
        <v>8861</v>
      </c>
    </row>
    <row r="8864" spans="27:31" x14ac:dyDescent="0.25">
      <c r="AA8864" s="160"/>
      <c r="AB8864" s="162"/>
      <c r="AC8864" s="162"/>
      <c r="AD8864" s="162">
        <f t="shared" si="158"/>
        <v>0</v>
      </c>
      <c r="AE8864" s="160">
        <v>8862</v>
      </c>
    </row>
    <row r="8865" spans="27:31" x14ac:dyDescent="0.25">
      <c r="AA8865" s="160"/>
      <c r="AB8865" s="162"/>
      <c r="AC8865" s="162"/>
      <c r="AD8865" s="162">
        <f t="shared" si="158"/>
        <v>0</v>
      </c>
      <c r="AE8865" s="160">
        <v>8863</v>
      </c>
    </row>
    <row r="8866" spans="27:31" x14ac:dyDescent="0.25">
      <c r="AA8866" s="160"/>
      <c r="AB8866" s="162"/>
      <c r="AC8866" s="162"/>
      <c r="AD8866" s="162">
        <f t="shared" si="158"/>
        <v>0</v>
      </c>
      <c r="AE8866" s="160">
        <v>8864</v>
      </c>
    </row>
    <row r="8867" spans="27:31" x14ac:dyDescent="0.25">
      <c r="AA8867" s="160"/>
      <c r="AB8867" s="162"/>
      <c r="AC8867" s="162"/>
      <c r="AD8867" s="162">
        <f t="shared" si="158"/>
        <v>0</v>
      </c>
      <c r="AE8867" s="160">
        <v>8865</v>
      </c>
    </row>
    <row r="8868" spans="27:31" x14ac:dyDescent="0.25">
      <c r="AA8868" s="160"/>
      <c r="AB8868" s="162"/>
      <c r="AC8868" s="162"/>
      <c r="AD8868" s="162">
        <f t="shared" si="158"/>
        <v>0</v>
      </c>
      <c r="AE8868" s="160">
        <v>8866</v>
      </c>
    </row>
    <row r="8869" spans="27:31" x14ac:dyDescent="0.25">
      <c r="AA8869" s="160"/>
      <c r="AB8869" s="162"/>
      <c r="AC8869" s="162"/>
      <c r="AD8869" s="162">
        <f t="shared" si="158"/>
        <v>0</v>
      </c>
      <c r="AE8869" s="160">
        <v>8867</v>
      </c>
    </row>
    <row r="8870" spans="27:31" x14ac:dyDescent="0.25">
      <c r="AA8870" s="160"/>
      <c r="AB8870" s="162"/>
      <c r="AC8870" s="162"/>
      <c r="AD8870" s="162">
        <f t="shared" si="158"/>
        <v>0</v>
      </c>
      <c r="AE8870" s="160">
        <v>8868</v>
      </c>
    </row>
    <row r="8871" spans="27:31" x14ac:dyDescent="0.25">
      <c r="AA8871" s="160"/>
      <c r="AB8871" s="162"/>
      <c r="AC8871" s="162"/>
      <c r="AD8871" s="162">
        <f t="shared" si="158"/>
        <v>0</v>
      </c>
      <c r="AE8871" s="160">
        <v>8869</v>
      </c>
    </row>
    <row r="8872" spans="27:31" x14ac:dyDescent="0.25">
      <c r="AA8872" s="160"/>
      <c r="AB8872" s="162"/>
      <c r="AC8872" s="162"/>
      <c r="AD8872" s="162">
        <f t="shared" si="158"/>
        <v>0</v>
      </c>
      <c r="AE8872" s="160">
        <v>8870</v>
      </c>
    </row>
    <row r="8873" spans="27:31" x14ac:dyDescent="0.25">
      <c r="AA8873" s="160"/>
      <c r="AB8873" s="162"/>
      <c r="AC8873" s="162"/>
      <c r="AD8873" s="162">
        <f t="shared" si="158"/>
        <v>0</v>
      </c>
      <c r="AE8873" s="160">
        <v>8871</v>
      </c>
    </row>
    <row r="8874" spans="27:31" x14ac:dyDescent="0.25">
      <c r="AA8874" s="160"/>
      <c r="AB8874" s="162"/>
      <c r="AC8874" s="162"/>
      <c r="AD8874" s="162">
        <f t="shared" si="158"/>
        <v>0</v>
      </c>
      <c r="AE8874" s="160">
        <v>8872</v>
      </c>
    </row>
    <row r="8875" spans="27:31" x14ac:dyDescent="0.25">
      <c r="AA8875" s="160"/>
      <c r="AB8875" s="162"/>
      <c r="AC8875" s="162"/>
      <c r="AD8875" s="162">
        <f t="shared" si="158"/>
        <v>0</v>
      </c>
      <c r="AE8875" s="160">
        <v>8873</v>
      </c>
    </row>
    <row r="8876" spans="27:31" x14ac:dyDescent="0.25">
      <c r="AA8876" s="160"/>
      <c r="AB8876" s="162"/>
      <c r="AC8876" s="162"/>
      <c r="AD8876" s="162">
        <f t="shared" si="158"/>
        <v>0</v>
      </c>
      <c r="AE8876" s="160">
        <v>8874</v>
      </c>
    </row>
    <row r="8877" spans="27:31" x14ac:dyDescent="0.25">
      <c r="AA8877" s="160"/>
      <c r="AB8877" s="162"/>
      <c r="AC8877" s="162"/>
      <c r="AD8877" s="162">
        <f t="shared" si="158"/>
        <v>0</v>
      </c>
      <c r="AE8877" s="160">
        <v>8875</v>
      </c>
    </row>
    <row r="8878" spans="27:31" x14ac:dyDescent="0.25">
      <c r="AA8878" s="160"/>
      <c r="AB8878" s="162"/>
      <c r="AC8878" s="162"/>
      <c r="AD8878" s="162">
        <f t="shared" si="158"/>
        <v>0</v>
      </c>
      <c r="AE8878" s="160">
        <v>8876</v>
      </c>
    </row>
    <row r="8879" spans="27:31" x14ac:dyDescent="0.25">
      <c r="AA8879" s="160"/>
      <c r="AB8879" s="162"/>
      <c r="AC8879" s="162"/>
      <c r="AD8879" s="162">
        <f t="shared" si="158"/>
        <v>0</v>
      </c>
      <c r="AE8879" s="160">
        <v>8877</v>
      </c>
    </row>
    <row r="8880" spans="27:31" x14ac:dyDescent="0.25">
      <c r="AA8880" s="160"/>
      <c r="AB8880" s="162"/>
      <c r="AC8880" s="162"/>
      <c r="AD8880" s="162">
        <f t="shared" si="158"/>
        <v>0</v>
      </c>
      <c r="AE8880" s="160">
        <v>8878</v>
      </c>
    </row>
    <row r="8881" spans="27:31" x14ac:dyDescent="0.25">
      <c r="AA8881" s="160"/>
      <c r="AB8881" s="162"/>
      <c r="AC8881" s="162"/>
      <c r="AD8881" s="162">
        <f t="shared" si="158"/>
        <v>0</v>
      </c>
      <c r="AE8881" s="160">
        <v>8879</v>
      </c>
    </row>
    <row r="8882" spans="27:31" x14ac:dyDescent="0.25">
      <c r="AA8882" s="160"/>
      <c r="AB8882" s="162"/>
      <c r="AC8882" s="162"/>
      <c r="AD8882" s="162">
        <f t="shared" si="158"/>
        <v>0</v>
      </c>
      <c r="AE8882" s="160">
        <v>8880</v>
      </c>
    </row>
    <row r="8883" spans="27:31" x14ac:dyDescent="0.25">
      <c r="AA8883" s="160"/>
      <c r="AB8883" s="162"/>
      <c r="AC8883" s="162"/>
      <c r="AD8883" s="162">
        <f t="shared" si="158"/>
        <v>0</v>
      </c>
      <c r="AE8883" s="160">
        <v>8881</v>
      </c>
    </row>
    <row r="8884" spans="27:31" x14ac:dyDescent="0.25">
      <c r="AA8884" s="160"/>
      <c r="AB8884" s="162"/>
      <c r="AC8884" s="162"/>
      <c r="AD8884" s="162">
        <f t="shared" si="158"/>
        <v>0</v>
      </c>
      <c r="AE8884" s="160">
        <v>8882</v>
      </c>
    </row>
    <row r="8885" spans="27:31" x14ac:dyDescent="0.25">
      <c r="AA8885" s="160"/>
      <c r="AB8885" s="162"/>
      <c r="AC8885" s="162"/>
      <c r="AD8885" s="162">
        <f t="shared" si="158"/>
        <v>0</v>
      </c>
      <c r="AE8885" s="160">
        <v>8883</v>
      </c>
    </row>
    <row r="8886" spans="27:31" x14ac:dyDescent="0.25">
      <c r="AA8886" s="160"/>
      <c r="AB8886" s="162"/>
      <c r="AC8886" s="162"/>
      <c r="AD8886" s="162">
        <f t="shared" si="158"/>
        <v>0</v>
      </c>
      <c r="AE8886" s="160">
        <v>8884</v>
      </c>
    </row>
    <row r="8887" spans="27:31" x14ac:dyDescent="0.25">
      <c r="AA8887" s="160"/>
      <c r="AB8887" s="162"/>
      <c r="AC8887" s="162"/>
      <c r="AD8887" s="162">
        <f t="shared" si="158"/>
        <v>0</v>
      </c>
      <c r="AE8887" s="160">
        <v>8885</v>
      </c>
    </row>
    <row r="8888" spans="27:31" x14ac:dyDescent="0.25">
      <c r="AA8888" s="160"/>
      <c r="AB8888" s="162"/>
      <c r="AC8888" s="162"/>
      <c r="AD8888" s="162">
        <f t="shared" si="158"/>
        <v>0</v>
      </c>
      <c r="AE8888" s="160">
        <v>8886</v>
      </c>
    </row>
    <row r="8889" spans="27:31" x14ac:dyDescent="0.25">
      <c r="AA8889" s="160"/>
      <c r="AB8889" s="162"/>
      <c r="AC8889" s="162"/>
      <c r="AD8889" s="162">
        <f t="shared" si="158"/>
        <v>0</v>
      </c>
      <c r="AE8889" s="160">
        <v>8887</v>
      </c>
    </row>
    <row r="8890" spans="27:31" x14ac:dyDescent="0.25">
      <c r="AA8890" s="160"/>
      <c r="AB8890" s="162"/>
      <c r="AC8890" s="162"/>
      <c r="AD8890" s="162">
        <f t="shared" si="158"/>
        <v>0</v>
      </c>
      <c r="AE8890" s="160">
        <v>8888</v>
      </c>
    </row>
    <row r="8891" spans="27:31" x14ac:dyDescent="0.25">
      <c r="AA8891" s="160"/>
      <c r="AB8891" s="162"/>
      <c r="AC8891" s="162"/>
      <c r="AD8891" s="162">
        <f t="shared" si="158"/>
        <v>0</v>
      </c>
      <c r="AE8891" s="160">
        <v>8889</v>
      </c>
    </row>
    <row r="8892" spans="27:31" x14ac:dyDescent="0.25">
      <c r="AA8892" s="160"/>
      <c r="AB8892" s="162"/>
      <c r="AC8892" s="162"/>
      <c r="AD8892" s="162">
        <f t="shared" si="158"/>
        <v>0</v>
      </c>
      <c r="AE8892" s="160">
        <v>8890</v>
      </c>
    </row>
    <row r="8893" spans="27:31" x14ac:dyDescent="0.25">
      <c r="AA8893" s="160"/>
      <c r="AB8893" s="162"/>
      <c r="AC8893" s="162"/>
      <c r="AD8893" s="162">
        <f t="shared" si="158"/>
        <v>0</v>
      </c>
      <c r="AE8893" s="160">
        <v>8891</v>
      </c>
    </row>
    <row r="8894" spans="27:31" x14ac:dyDescent="0.25">
      <c r="AA8894" s="160"/>
      <c r="AB8894" s="162"/>
      <c r="AC8894" s="162"/>
      <c r="AD8894" s="162">
        <f t="shared" si="158"/>
        <v>0</v>
      </c>
      <c r="AE8894" s="160">
        <v>8892</v>
      </c>
    </row>
    <row r="8895" spans="27:31" x14ac:dyDescent="0.25">
      <c r="AA8895" s="160"/>
      <c r="AB8895" s="162"/>
      <c r="AC8895" s="162"/>
      <c r="AD8895" s="162">
        <f t="shared" si="158"/>
        <v>0</v>
      </c>
      <c r="AE8895" s="160">
        <v>8893</v>
      </c>
    </row>
    <row r="8896" spans="27:31" x14ac:dyDescent="0.25">
      <c r="AA8896" s="160"/>
      <c r="AB8896" s="162"/>
      <c r="AC8896" s="162"/>
      <c r="AD8896" s="162">
        <f t="shared" si="158"/>
        <v>0</v>
      </c>
      <c r="AE8896" s="160">
        <v>8894</v>
      </c>
    </row>
    <row r="8897" spans="27:31" x14ac:dyDescent="0.25">
      <c r="AA8897" s="160"/>
      <c r="AB8897" s="162"/>
      <c r="AC8897" s="162"/>
      <c r="AD8897" s="162">
        <f t="shared" si="158"/>
        <v>0</v>
      </c>
      <c r="AE8897" s="160">
        <v>8895</v>
      </c>
    </row>
    <row r="8898" spans="27:31" x14ac:dyDescent="0.25">
      <c r="AA8898" s="160"/>
      <c r="AB8898" s="162"/>
      <c r="AC8898" s="162"/>
      <c r="AD8898" s="162">
        <f t="shared" si="158"/>
        <v>0</v>
      </c>
      <c r="AE8898" s="160">
        <v>8896</v>
      </c>
    </row>
    <row r="8899" spans="27:31" x14ac:dyDescent="0.25">
      <c r="AA8899" s="160"/>
      <c r="AB8899" s="162"/>
      <c r="AC8899" s="162"/>
      <c r="AD8899" s="162">
        <f t="shared" si="158"/>
        <v>0</v>
      </c>
      <c r="AE8899" s="160">
        <v>8897</v>
      </c>
    </row>
    <row r="8900" spans="27:31" x14ac:dyDescent="0.25">
      <c r="AA8900" s="160"/>
      <c r="AB8900" s="162"/>
      <c r="AC8900" s="162"/>
      <c r="AD8900" s="162">
        <f t="shared" ref="AD8900:AD8963" si="159">AB8900+AC8900</f>
        <v>0</v>
      </c>
      <c r="AE8900" s="160">
        <v>8898</v>
      </c>
    </row>
    <row r="8901" spans="27:31" x14ac:dyDescent="0.25">
      <c r="AA8901" s="160"/>
      <c r="AB8901" s="162"/>
      <c r="AC8901" s="162"/>
      <c r="AD8901" s="162">
        <f t="shared" si="159"/>
        <v>0</v>
      </c>
      <c r="AE8901" s="160">
        <v>8899</v>
      </c>
    </row>
    <row r="8902" spans="27:31" x14ac:dyDescent="0.25">
      <c r="AA8902" s="160"/>
      <c r="AB8902" s="162"/>
      <c r="AC8902" s="162"/>
      <c r="AD8902" s="162">
        <f t="shared" si="159"/>
        <v>0</v>
      </c>
      <c r="AE8902" s="160">
        <v>8900</v>
      </c>
    </row>
    <row r="8903" spans="27:31" x14ac:dyDescent="0.25">
      <c r="AA8903" s="160"/>
      <c r="AB8903" s="162"/>
      <c r="AC8903" s="162"/>
      <c r="AD8903" s="162">
        <f t="shared" si="159"/>
        <v>0</v>
      </c>
      <c r="AE8903" s="160">
        <v>8901</v>
      </c>
    </row>
    <row r="8904" spans="27:31" x14ac:dyDescent="0.25">
      <c r="AA8904" s="160"/>
      <c r="AB8904" s="162"/>
      <c r="AC8904" s="162"/>
      <c r="AD8904" s="162">
        <f t="shared" si="159"/>
        <v>0</v>
      </c>
      <c r="AE8904" s="160">
        <v>8902</v>
      </c>
    </row>
    <row r="8905" spans="27:31" x14ac:dyDescent="0.25">
      <c r="AA8905" s="160"/>
      <c r="AB8905" s="162"/>
      <c r="AC8905" s="162"/>
      <c r="AD8905" s="162">
        <f t="shared" si="159"/>
        <v>0</v>
      </c>
      <c r="AE8905" s="160">
        <v>8903</v>
      </c>
    </row>
    <row r="8906" spans="27:31" x14ac:dyDescent="0.25">
      <c r="AA8906" s="160"/>
      <c r="AB8906" s="162"/>
      <c r="AC8906" s="162"/>
      <c r="AD8906" s="162">
        <f t="shared" si="159"/>
        <v>0</v>
      </c>
      <c r="AE8906" s="160">
        <v>8904</v>
      </c>
    </row>
    <row r="8907" spans="27:31" x14ac:dyDescent="0.25">
      <c r="AA8907" s="160"/>
      <c r="AB8907" s="162"/>
      <c r="AC8907" s="162"/>
      <c r="AD8907" s="162">
        <f t="shared" si="159"/>
        <v>0</v>
      </c>
      <c r="AE8907" s="160">
        <v>8905</v>
      </c>
    </row>
    <row r="8908" spans="27:31" x14ac:dyDescent="0.25">
      <c r="AA8908" s="160"/>
      <c r="AB8908" s="162"/>
      <c r="AC8908" s="162"/>
      <c r="AD8908" s="162">
        <f t="shared" si="159"/>
        <v>0</v>
      </c>
      <c r="AE8908" s="160">
        <v>8906</v>
      </c>
    </row>
    <row r="8909" spans="27:31" x14ac:dyDescent="0.25">
      <c r="AA8909" s="160"/>
      <c r="AB8909" s="162"/>
      <c r="AC8909" s="162"/>
      <c r="AD8909" s="162">
        <f t="shared" si="159"/>
        <v>0</v>
      </c>
      <c r="AE8909" s="160">
        <v>8907</v>
      </c>
    </row>
    <row r="8910" spans="27:31" x14ac:dyDescent="0.25">
      <c r="AA8910" s="160"/>
      <c r="AB8910" s="162"/>
      <c r="AC8910" s="162"/>
      <c r="AD8910" s="162">
        <f t="shared" si="159"/>
        <v>0</v>
      </c>
      <c r="AE8910" s="160">
        <v>8908</v>
      </c>
    </row>
    <row r="8911" spans="27:31" x14ac:dyDescent="0.25">
      <c r="AA8911" s="160"/>
      <c r="AB8911" s="162"/>
      <c r="AC8911" s="162"/>
      <c r="AD8911" s="162">
        <f t="shared" si="159"/>
        <v>0</v>
      </c>
      <c r="AE8911" s="160">
        <v>8909</v>
      </c>
    </row>
    <row r="8912" spans="27:31" x14ac:dyDescent="0.25">
      <c r="AA8912" s="160"/>
      <c r="AB8912" s="162"/>
      <c r="AC8912" s="162"/>
      <c r="AD8912" s="162">
        <f t="shared" si="159"/>
        <v>0</v>
      </c>
      <c r="AE8912" s="160">
        <v>8910</v>
      </c>
    </row>
    <row r="8913" spans="27:31" x14ac:dyDescent="0.25">
      <c r="AA8913" s="160"/>
      <c r="AB8913" s="162"/>
      <c r="AC8913" s="162"/>
      <c r="AD8913" s="162">
        <f t="shared" si="159"/>
        <v>0</v>
      </c>
      <c r="AE8913" s="160">
        <v>8911</v>
      </c>
    </row>
    <row r="8914" spans="27:31" x14ac:dyDescent="0.25">
      <c r="AA8914" s="160"/>
      <c r="AB8914" s="162"/>
      <c r="AC8914" s="162"/>
      <c r="AD8914" s="162">
        <f t="shared" si="159"/>
        <v>0</v>
      </c>
      <c r="AE8914" s="160">
        <v>8912</v>
      </c>
    </row>
    <row r="8915" spans="27:31" x14ac:dyDescent="0.25">
      <c r="AA8915" s="160"/>
      <c r="AB8915" s="162"/>
      <c r="AC8915" s="162"/>
      <c r="AD8915" s="162">
        <f t="shared" si="159"/>
        <v>0</v>
      </c>
      <c r="AE8915" s="160">
        <v>8913</v>
      </c>
    </row>
    <row r="8916" spans="27:31" x14ac:dyDescent="0.25">
      <c r="AA8916" s="160"/>
      <c r="AB8916" s="162"/>
      <c r="AC8916" s="162"/>
      <c r="AD8916" s="162">
        <f t="shared" si="159"/>
        <v>0</v>
      </c>
      <c r="AE8916" s="160">
        <v>8914</v>
      </c>
    </row>
    <row r="8917" spans="27:31" x14ac:dyDescent="0.25">
      <c r="AA8917" s="160"/>
      <c r="AB8917" s="162"/>
      <c r="AC8917" s="162"/>
      <c r="AD8917" s="162">
        <f t="shared" si="159"/>
        <v>0</v>
      </c>
      <c r="AE8917" s="160">
        <v>8915</v>
      </c>
    </row>
    <row r="8918" spans="27:31" x14ac:dyDescent="0.25">
      <c r="AA8918" s="160"/>
      <c r="AB8918" s="162"/>
      <c r="AC8918" s="162"/>
      <c r="AD8918" s="162">
        <f t="shared" si="159"/>
        <v>0</v>
      </c>
      <c r="AE8918" s="160">
        <v>8916</v>
      </c>
    </row>
    <row r="8919" spans="27:31" x14ac:dyDescent="0.25">
      <c r="AA8919" s="160"/>
      <c r="AB8919" s="162"/>
      <c r="AC8919" s="162"/>
      <c r="AD8919" s="162">
        <f t="shared" si="159"/>
        <v>0</v>
      </c>
      <c r="AE8919" s="160">
        <v>8917</v>
      </c>
    </row>
    <row r="8920" spans="27:31" x14ac:dyDescent="0.25">
      <c r="AA8920" s="160"/>
      <c r="AB8920" s="162"/>
      <c r="AC8920" s="162"/>
      <c r="AD8920" s="162">
        <f t="shared" si="159"/>
        <v>0</v>
      </c>
      <c r="AE8920" s="160">
        <v>8918</v>
      </c>
    </row>
    <row r="8921" spans="27:31" x14ac:dyDescent="0.25">
      <c r="AA8921" s="160"/>
      <c r="AB8921" s="162"/>
      <c r="AC8921" s="162"/>
      <c r="AD8921" s="162">
        <f t="shared" si="159"/>
        <v>0</v>
      </c>
      <c r="AE8921" s="160">
        <v>8919</v>
      </c>
    </row>
    <row r="8922" spans="27:31" x14ac:dyDescent="0.25">
      <c r="AA8922" s="160"/>
      <c r="AB8922" s="162"/>
      <c r="AC8922" s="162"/>
      <c r="AD8922" s="162">
        <f t="shared" si="159"/>
        <v>0</v>
      </c>
      <c r="AE8922" s="160">
        <v>8920</v>
      </c>
    </row>
    <row r="8923" spans="27:31" x14ac:dyDescent="0.25">
      <c r="AA8923" s="160"/>
      <c r="AB8923" s="162"/>
      <c r="AC8923" s="162"/>
      <c r="AD8923" s="162">
        <f t="shared" si="159"/>
        <v>0</v>
      </c>
      <c r="AE8923" s="160">
        <v>8921</v>
      </c>
    </row>
    <row r="8924" spans="27:31" x14ac:dyDescent="0.25">
      <c r="AA8924" s="160"/>
      <c r="AB8924" s="162"/>
      <c r="AC8924" s="162"/>
      <c r="AD8924" s="162">
        <f t="shared" si="159"/>
        <v>0</v>
      </c>
      <c r="AE8924" s="160">
        <v>8922</v>
      </c>
    </row>
    <row r="8925" spans="27:31" x14ac:dyDescent="0.25">
      <c r="AA8925" s="160"/>
      <c r="AB8925" s="162"/>
      <c r="AC8925" s="162"/>
      <c r="AD8925" s="162">
        <f t="shared" si="159"/>
        <v>0</v>
      </c>
      <c r="AE8925" s="160">
        <v>8923</v>
      </c>
    </row>
    <row r="8926" spans="27:31" x14ac:dyDescent="0.25">
      <c r="AA8926" s="160"/>
      <c r="AB8926" s="162"/>
      <c r="AC8926" s="162"/>
      <c r="AD8926" s="162">
        <f t="shared" si="159"/>
        <v>0</v>
      </c>
      <c r="AE8926" s="160">
        <v>8924</v>
      </c>
    </row>
    <row r="8927" spans="27:31" x14ac:dyDescent="0.25">
      <c r="AA8927" s="160"/>
      <c r="AB8927" s="162"/>
      <c r="AC8927" s="162"/>
      <c r="AD8927" s="162">
        <f t="shared" si="159"/>
        <v>0</v>
      </c>
      <c r="AE8927" s="160">
        <v>8925</v>
      </c>
    </row>
    <row r="8928" spans="27:31" x14ac:dyDescent="0.25">
      <c r="AA8928" s="160"/>
      <c r="AB8928" s="162"/>
      <c r="AC8928" s="162"/>
      <c r="AD8928" s="162">
        <f t="shared" si="159"/>
        <v>0</v>
      </c>
      <c r="AE8928" s="160">
        <v>8926</v>
      </c>
    </row>
    <row r="8929" spans="27:31" x14ac:dyDescent="0.25">
      <c r="AA8929" s="160"/>
      <c r="AB8929" s="162"/>
      <c r="AC8929" s="162"/>
      <c r="AD8929" s="162">
        <f t="shared" si="159"/>
        <v>0</v>
      </c>
      <c r="AE8929" s="160">
        <v>8927</v>
      </c>
    </row>
    <row r="8930" spans="27:31" x14ac:dyDescent="0.25">
      <c r="AA8930" s="160"/>
      <c r="AB8930" s="162"/>
      <c r="AC8930" s="162"/>
      <c r="AD8930" s="162">
        <f t="shared" si="159"/>
        <v>0</v>
      </c>
      <c r="AE8930" s="160">
        <v>8928</v>
      </c>
    </row>
    <row r="8931" spans="27:31" x14ac:dyDescent="0.25">
      <c r="AA8931" s="160"/>
      <c r="AB8931" s="162"/>
      <c r="AC8931" s="162"/>
      <c r="AD8931" s="162">
        <f t="shared" si="159"/>
        <v>0</v>
      </c>
      <c r="AE8931" s="160">
        <v>8929</v>
      </c>
    </row>
    <row r="8932" spans="27:31" x14ac:dyDescent="0.25">
      <c r="AA8932" s="160"/>
      <c r="AB8932" s="162"/>
      <c r="AC8932" s="162"/>
      <c r="AD8932" s="162">
        <f t="shared" si="159"/>
        <v>0</v>
      </c>
      <c r="AE8932" s="160">
        <v>8930</v>
      </c>
    </row>
    <row r="8933" spans="27:31" x14ac:dyDescent="0.25">
      <c r="AA8933" s="160"/>
      <c r="AB8933" s="162"/>
      <c r="AC8933" s="162"/>
      <c r="AD8933" s="162">
        <f t="shared" si="159"/>
        <v>0</v>
      </c>
      <c r="AE8933" s="160">
        <v>8931</v>
      </c>
    </row>
    <row r="8934" spans="27:31" x14ac:dyDescent="0.25">
      <c r="AA8934" s="160"/>
      <c r="AB8934" s="162"/>
      <c r="AC8934" s="162"/>
      <c r="AD8934" s="162">
        <f t="shared" si="159"/>
        <v>0</v>
      </c>
      <c r="AE8934" s="160">
        <v>8932</v>
      </c>
    </row>
    <row r="8935" spans="27:31" x14ac:dyDescent="0.25">
      <c r="AA8935" s="160"/>
      <c r="AB8935" s="162"/>
      <c r="AC8935" s="162"/>
      <c r="AD8935" s="162">
        <f t="shared" si="159"/>
        <v>0</v>
      </c>
      <c r="AE8935" s="160">
        <v>8933</v>
      </c>
    </row>
    <row r="8936" spans="27:31" x14ac:dyDescent="0.25">
      <c r="AA8936" s="160"/>
      <c r="AB8936" s="162"/>
      <c r="AC8936" s="162"/>
      <c r="AD8936" s="162">
        <f t="shared" si="159"/>
        <v>0</v>
      </c>
      <c r="AE8936" s="160">
        <v>8934</v>
      </c>
    </row>
    <row r="8937" spans="27:31" x14ac:dyDescent="0.25">
      <c r="AA8937" s="160"/>
      <c r="AB8937" s="162"/>
      <c r="AC8937" s="162"/>
      <c r="AD8937" s="162">
        <f t="shared" si="159"/>
        <v>0</v>
      </c>
      <c r="AE8937" s="160">
        <v>8935</v>
      </c>
    </row>
    <row r="8938" spans="27:31" x14ac:dyDescent="0.25">
      <c r="AA8938" s="160"/>
      <c r="AB8938" s="162"/>
      <c r="AC8938" s="162"/>
      <c r="AD8938" s="162">
        <f t="shared" si="159"/>
        <v>0</v>
      </c>
      <c r="AE8938" s="160">
        <v>8936</v>
      </c>
    </row>
    <row r="8939" spans="27:31" x14ac:dyDescent="0.25">
      <c r="AA8939" s="160"/>
      <c r="AB8939" s="162"/>
      <c r="AC8939" s="162"/>
      <c r="AD8939" s="162">
        <f t="shared" si="159"/>
        <v>0</v>
      </c>
      <c r="AE8939" s="160">
        <v>8937</v>
      </c>
    </row>
    <row r="8940" spans="27:31" x14ac:dyDescent="0.25">
      <c r="AA8940" s="160"/>
      <c r="AB8940" s="162"/>
      <c r="AC8940" s="162"/>
      <c r="AD8940" s="162">
        <f t="shared" si="159"/>
        <v>0</v>
      </c>
      <c r="AE8940" s="160">
        <v>8938</v>
      </c>
    </row>
    <row r="8941" spans="27:31" x14ac:dyDescent="0.25">
      <c r="AA8941" s="160"/>
      <c r="AB8941" s="162"/>
      <c r="AC8941" s="162"/>
      <c r="AD8941" s="162">
        <f t="shared" si="159"/>
        <v>0</v>
      </c>
      <c r="AE8941" s="160">
        <v>8939</v>
      </c>
    </row>
    <row r="8942" spans="27:31" x14ac:dyDescent="0.25">
      <c r="AA8942" s="160"/>
      <c r="AB8942" s="162"/>
      <c r="AC8942" s="162"/>
      <c r="AD8942" s="162">
        <f t="shared" si="159"/>
        <v>0</v>
      </c>
      <c r="AE8942" s="160">
        <v>8940</v>
      </c>
    </row>
    <row r="8943" spans="27:31" x14ac:dyDescent="0.25">
      <c r="AA8943" s="160"/>
      <c r="AB8943" s="162"/>
      <c r="AC8943" s="162"/>
      <c r="AD8943" s="162">
        <f t="shared" si="159"/>
        <v>0</v>
      </c>
      <c r="AE8943" s="160">
        <v>8941</v>
      </c>
    </row>
    <row r="8944" spans="27:31" x14ac:dyDescent="0.25">
      <c r="AA8944" s="160"/>
      <c r="AB8944" s="162"/>
      <c r="AC8944" s="162"/>
      <c r="AD8944" s="162">
        <f t="shared" si="159"/>
        <v>0</v>
      </c>
      <c r="AE8944" s="160">
        <v>8942</v>
      </c>
    </row>
    <row r="8945" spans="27:31" x14ac:dyDescent="0.25">
      <c r="AA8945" s="160"/>
      <c r="AB8945" s="162"/>
      <c r="AC8945" s="162"/>
      <c r="AD8945" s="162">
        <f t="shared" si="159"/>
        <v>0</v>
      </c>
      <c r="AE8945" s="160">
        <v>8943</v>
      </c>
    </row>
    <row r="8946" spans="27:31" x14ac:dyDescent="0.25">
      <c r="AA8946" s="160"/>
      <c r="AB8946" s="162"/>
      <c r="AC8946" s="162"/>
      <c r="AD8946" s="162">
        <f t="shared" si="159"/>
        <v>0</v>
      </c>
      <c r="AE8946" s="160">
        <v>8944</v>
      </c>
    </row>
    <row r="8947" spans="27:31" x14ac:dyDescent="0.25">
      <c r="AA8947" s="160"/>
      <c r="AB8947" s="162"/>
      <c r="AC8947" s="162"/>
      <c r="AD8947" s="162">
        <f t="shared" si="159"/>
        <v>0</v>
      </c>
      <c r="AE8947" s="160">
        <v>8945</v>
      </c>
    </row>
    <row r="8948" spans="27:31" x14ac:dyDescent="0.25">
      <c r="AA8948" s="160"/>
      <c r="AB8948" s="162"/>
      <c r="AC8948" s="162"/>
      <c r="AD8948" s="162">
        <f t="shared" si="159"/>
        <v>0</v>
      </c>
      <c r="AE8948" s="160">
        <v>8946</v>
      </c>
    </row>
    <row r="8949" spans="27:31" x14ac:dyDescent="0.25">
      <c r="AA8949" s="160"/>
      <c r="AB8949" s="162"/>
      <c r="AC8949" s="162"/>
      <c r="AD8949" s="162">
        <f t="shared" si="159"/>
        <v>0</v>
      </c>
      <c r="AE8949" s="160">
        <v>8947</v>
      </c>
    </row>
    <row r="8950" spans="27:31" x14ac:dyDescent="0.25">
      <c r="AA8950" s="160"/>
      <c r="AB8950" s="162"/>
      <c r="AC8950" s="162"/>
      <c r="AD8950" s="162">
        <f t="shared" si="159"/>
        <v>0</v>
      </c>
      <c r="AE8950" s="160">
        <v>8948</v>
      </c>
    </row>
    <row r="8951" spans="27:31" x14ac:dyDescent="0.25">
      <c r="AA8951" s="160"/>
      <c r="AB8951" s="162"/>
      <c r="AC8951" s="162"/>
      <c r="AD8951" s="162">
        <f t="shared" si="159"/>
        <v>0</v>
      </c>
      <c r="AE8951" s="160">
        <v>8949</v>
      </c>
    </row>
    <row r="8952" spans="27:31" x14ac:dyDescent="0.25">
      <c r="AA8952" s="160"/>
      <c r="AB8952" s="162"/>
      <c r="AC8952" s="162"/>
      <c r="AD8952" s="162">
        <f t="shared" si="159"/>
        <v>0</v>
      </c>
      <c r="AE8952" s="160">
        <v>8950</v>
      </c>
    </row>
    <row r="8953" spans="27:31" x14ac:dyDescent="0.25">
      <c r="AA8953" s="160"/>
      <c r="AB8953" s="162"/>
      <c r="AC8953" s="162"/>
      <c r="AD8953" s="162">
        <f t="shared" si="159"/>
        <v>0</v>
      </c>
      <c r="AE8953" s="160">
        <v>8951</v>
      </c>
    </row>
    <row r="8954" spans="27:31" x14ac:dyDescent="0.25">
      <c r="AA8954" s="160"/>
      <c r="AB8954" s="162"/>
      <c r="AC8954" s="162"/>
      <c r="AD8954" s="162">
        <f t="shared" si="159"/>
        <v>0</v>
      </c>
      <c r="AE8954" s="160">
        <v>8952</v>
      </c>
    </row>
    <row r="8955" spans="27:31" x14ac:dyDescent="0.25">
      <c r="AA8955" s="160"/>
      <c r="AB8955" s="162"/>
      <c r="AC8955" s="162"/>
      <c r="AD8955" s="162">
        <f t="shared" si="159"/>
        <v>0</v>
      </c>
      <c r="AE8955" s="160">
        <v>8953</v>
      </c>
    </row>
    <row r="8956" spans="27:31" x14ac:dyDescent="0.25">
      <c r="AA8956" s="160"/>
      <c r="AB8956" s="162"/>
      <c r="AC8956" s="162"/>
      <c r="AD8956" s="162">
        <f t="shared" si="159"/>
        <v>0</v>
      </c>
      <c r="AE8956" s="160">
        <v>8954</v>
      </c>
    </row>
    <row r="8957" spans="27:31" x14ac:dyDescent="0.25">
      <c r="AA8957" s="160"/>
      <c r="AB8957" s="162"/>
      <c r="AC8957" s="162"/>
      <c r="AD8957" s="162">
        <f t="shared" si="159"/>
        <v>0</v>
      </c>
      <c r="AE8957" s="160">
        <v>8955</v>
      </c>
    </row>
    <row r="8958" spans="27:31" x14ac:dyDescent="0.25">
      <c r="AA8958" s="160"/>
      <c r="AB8958" s="162"/>
      <c r="AC8958" s="162"/>
      <c r="AD8958" s="162">
        <f t="shared" si="159"/>
        <v>0</v>
      </c>
      <c r="AE8958" s="160">
        <v>8956</v>
      </c>
    </row>
    <row r="8959" spans="27:31" x14ac:dyDescent="0.25">
      <c r="AA8959" s="160"/>
      <c r="AB8959" s="162"/>
      <c r="AC8959" s="162"/>
      <c r="AD8959" s="162">
        <f t="shared" si="159"/>
        <v>0</v>
      </c>
      <c r="AE8959" s="160">
        <v>8957</v>
      </c>
    </row>
    <row r="8960" spans="27:31" x14ac:dyDescent="0.25">
      <c r="AA8960" s="160"/>
      <c r="AB8960" s="162"/>
      <c r="AC8960" s="162"/>
      <c r="AD8960" s="162">
        <f t="shared" si="159"/>
        <v>0</v>
      </c>
      <c r="AE8960" s="160">
        <v>8958</v>
      </c>
    </row>
    <row r="8961" spans="27:31" x14ac:dyDescent="0.25">
      <c r="AA8961" s="160"/>
      <c r="AB8961" s="162"/>
      <c r="AC8961" s="162"/>
      <c r="AD8961" s="162">
        <f t="shared" si="159"/>
        <v>0</v>
      </c>
      <c r="AE8961" s="160">
        <v>8959</v>
      </c>
    </row>
    <row r="8962" spans="27:31" x14ac:dyDescent="0.25">
      <c r="AA8962" s="160"/>
      <c r="AB8962" s="162"/>
      <c r="AC8962" s="162"/>
      <c r="AD8962" s="162">
        <f t="shared" si="159"/>
        <v>0</v>
      </c>
      <c r="AE8962" s="160">
        <v>8960</v>
      </c>
    </row>
    <row r="8963" spans="27:31" x14ac:dyDescent="0.25">
      <c r="AA8963" s="160"/>
      <c r="AB8963" s="162"/>
      <c r="AC8963" s="162"/>
      <c r="AD8963" s="162">
        <f t="shared" si="159"/>
        <v>0</v>
      </c>
      <c r="AE8963" s="160">
        <v>8961</v>
      </c>
    </row>
    <row r="8964" spans="27:31" x14ac:dyDescent="0.25">
      <c r="AA8964" s="160"/>
      <c r="AB8964" s="162"/>
      <c r="AC8964" s="162"/>
      <c r="AD8964" s="162">
        <f t="shared" ref="AD8964:AD9027" si="160">AB8964+AC8964</f>
        <v>0</v>
      </c>
      <c r="AE8964" s="160">
        <v>8962</v>
      </c>
    </row>
    <row r="8965" spans="27:31" x14ac:dyDescent="0.25">
      <c r="AA8965" s="160"/>
      <c r="AB8965" s="162"/>
      <c r="AC8965" s="162"/>
      <c r="AD8965" s="162">
        <f t="shared" si="160"/>
        <v>0</v>
      </c>
      <c r="AE8965" s="160">
        <v>8963</v>
      </c>
    </row>
    <row r="8966" spans="27:31" x14ac:dyDescent="0.25">
      <c r="AA8966" s="160"/>
      <c r="AB8966" s="162"/>
      <c r="AC8966" s="162"/>
      <c r="AD8966" s="162">
        <f t="shared" si="160"/>
        <v>0</v>
      </c>
      <c r="AE8966" s="160">
        <v>8964</v>
      </c>
    </row>
    <row r="8967" spans="27:31" x14ac:dyDescent="0.25">
      <c r="AA8967" s="160"/>
      <c r="AB8967" s="162"/>
      <c r="AC8967" s="162"/>
      <c r="AD8967" s="162">
        <f t="shared" si="160"/>
        <v>0</v>
      </c>
      <c r="AE8967" s="160">
        <v>8965</v>
      </c>
    </row>
    <row r="8968" spans="27:31" x14ac:dyDescent="0.25">
      <c r="AA8968" s="160"/>
      <c r="AB8968" s="162"/>
      <c r="AC8968" s="162"/>
      <c r="AD8968" s="162">
        <f t="shared" si="160"/>
        <v>0</v>
      </c>
      <c r="AE8968" s="160">
        <v>8966</v>
      </c>
    </row>
    <row r="8969" spans="27:31" x14ac:dyDescent="0.25">
      <c r="AA8969" s="160"/>
      <c r="AB8969" s="162"/>
      <c r="AC8969" s="162"/>
      <c r="AD8969" s="162">
        <f t="shared" si="160"/>
        <v>0</v>
      </c>
      <c r="AE8969" s="160">
        <v>8967</v>
      </c>
    </row>
    <row r="8970" spans="27:31" x14ac:dyDescent="0.25">
      <c r="AA8970" s="160"/>
      <c r="AB8970" s="162"/>
      <c r="AC8970" s="162"/>
      <c r="AD8970" s="162">
        <f t="shared" si="160"/>
        <v>0</v>
      </c>
      <c r="AE8970" s="160">
        <v>8968</v>
      </c>
    </row>
    <row r="8971" spans="27:31" x14ac:dyDescent="0.25">
      <c r="AA8971" s="160"/>
      <c r="AB8971" s="162"/>
      <c r="AC8971" s="162"/>
      <c r="AD8971" s="162">
        <f t="shared" si="160"/>
        <v>0</v>
      </c>
      <c r="AE8971" s="160">
        <v>8969</v>
      </c>
    </row>
    <row r="8972" spans="27:31" x14ac:dyDescent="0.25">
      <c r="AA8972" s="160"/>
      <c r="AB8972" s="162"/>
      <c r="AC8972" s="162"/>
      <c r="AD8972" s="162">
        <f t="shared" si="160"/>
        <v>0</v>
      </c>
      <c r="AE8972" s="160">
        <v>8970</v>
      </c>
    </row>
    <row r="8973" spans="27:31" x14ac:dyDescent="0.25">
      <c r="AA8973" s="160"/>
      <c r="AB8973" s="162"/>
      <c r="AC8973" s="162"/>
      <c r="AD8973" s="162">
        <f t="shared" si="160"/>
        <v>0</v>
      </c>
      <c r="AE8973" s="160">
        <v>8971</v>
      </c>
    </row>
    <row r="8974" spans="27:31" x14ac:dyDescent="0.25">
      <c r="AA8974" s="160"/>
      <c r="AB8974" s="162"/>
      <c r="AC8974" s="162"/>
      <c r="AD8974" s="162">
        <f t="shared" si="160"/>
        <v>0</v>
      </c>
      <c r="AE8974" s="160">
        <v>8972</v>
      </c>
    </row>
    <row r="8975" spans="27:31" x14ac:dyDescent="0.25">
      <c r="AA8975" s="160"/>
      <c r="AB8975" s="162"/>
      <c r="AC8975" s="162"/>
      <c r="AD8975" s="162">
        <f t="shared" si="160"/>
        <v>0</v>
      </c>
      <c r="AE8975" s="160">
        <v>8973</v>
      </c>
    </row>
    <row r="8976" spans="27:31" x14ac:dyDescent="0.25">
      <c r="AA8976" s="160"/>
      <c r="AB8976" s="162"/>
      <c r="AC8976" s="162"/>
      <c r="AD8976" s="162">
        <f t="shared" si="160"/>
        <v>0</v>
      </c>
      <c r="AE8976" s="160">
        <v>8974</v>
      </c>
    </row>
    <row r="8977" spans="27:31" x14ac:dyDescent="0.25">
      <c r="AA8977" s="160"/>
      <c r="AB8977" s="162"/>
      <c r="AC8977" s="162"/>
      <c r="AD8977" s="162">
        <f t="shared" si="160"/>
        <v>0</v>
      </c>
      <c r="AE8977" s="160">
        <v>8975</v>
      </c>
    </row>
    <row r="8978" spans="27:31" x14ac:dyDescent="0.25">
      <c r="AA8978" s="160"/>
      <c r="AB8978" s="162"/>
      <c r="AC8978" s="162"/>
      <c r="AD8978" s="162">
        <f t="shared" si="160"/>
        <v>0</v>
      </c>
      <c r="AE8978" s="160">
        <v>8976</v>
      </c>
    </row>
    <row r="8979" spans="27:31" x14ac:dyDescent="0.25">
      <c r="AA8979" s="160"/>
      <c r="AB8979" s="162"/>
      <c r="AC8979" s="162"/>
      <c r="AD8979" s="162">
        <f t="shared" si="160"/>
        <v>0</v>
      </c>
      <c r="AE8979" s="160">
        <v>8977</v>
      </c>
    </row>
    <row r="8980" spans="27:31" x14ac:dyDescent="0.25">
      <c r="AA8980" s="160"/>
      <c r="AB8980" s="162"/>
      <c r="AC8980" s="162"/>
      <c r="AD8980" s="162">
        <f t="shared" si="160"/>
        <v>0</v>
      </c>
      <c r="AE8980" s="160">
        <v>8978</v>
      </c>
    </row>
    <row r="8981" spans="27:31" x14ac:dyDescent="0.25">
      <c r="AA8981" s="160"/>
      <c r="AB8981" s="162"/>
      <c r="AC8981" s="162"/>
      <c r="AD8981" s="162">
        <f t="shared" si="160"/>
        <v>0</v>
      </c>
      <c r="AE8981" s="160">
        <v>8979</v>
      </c>
    </row>
    <row r="8982" spans="27:31" x14ac:dyDescent="0.25">
      <c r="AA8982" s="160"/>
      <c r="AB8982" s="162"/>
      <c r="AC8982" s="162"/>
      <c r="AD8982" s="162">
        <f t="shared" si="160"/>
        <v>0</v>
      </c>
      <c r="AE8982" s="160">
        <v>8980</v>
      </c>
    </row>
    <row r="8983" spans="27:31" x14ac:dyDescent="0.25">
      <c r="AA8983" s="160"/>
      <c r="AB8983" s="162"/>
      <c r="AC8983" s="162"/>
      <c r="AD8983" s="162">
        <f t="shared" si="160"/>
        <v>0</v>
      </c>
      <c r="AE8983" s="160">
        <v>8981</v>
      </c>
    </row>
    <row r="8984" spans="27:31" x14ac:dyDescent="0.25">
      <c r="AA8984" s="160"/>
      <c r="AB8984" s="162"/>
      <c r="AC8984" s="162"/>
      <c r="AD8984" s="162">
        <f t="shared" si="160"/>
        <v>0</v>
      </c>
      <c r="AE8984" s="160">
        <v>8982</v>
      </c>
    </row>
    <row r="8985" spans="27:31" x14ac:dyDescent="0.25">
      <c r="AA8985" s="160"/>
      <c r="AB8985" s="162"/>
      <c r="AC8985" s="162"/>
      <c r="AD8985" s="162">
        <f t="shared" si="160"/>
        <v>0</v>
      </c>
      <c r="AE8985" s="160">
        <v>8983</v>
      </c>
    </row>
    <row r="8986" spans="27:31" x14ac:dyDescent="0.25">
      <c r="AA8986" s="160"/>
      <c r="AB8986" s="162"/>
      <c r="AC8986" s="162"/>
      <c r="AD8986" s="162">
        <f t="shared" si="160"/>
        <v>0</v>
      </c>
      <c r="AE8986" s="160">
        <v>8984</v>
      </c>
    </row>
    <row r="8987" spans="27:31" x14ac:dyDescent="0.25">
      <c r="AA8987" s="160"/>
      <c r="AB8987" s="162"/>
      <c r="AC8987" s="162"/>
      <c r="AD8987" s="162">
        <f t="shared" si="160"/>
        <v>0</v>
      </c>
      <c r="AE8987" s="160">
        <v>8985</v>
      </c>
    </row>
    <row r="8988" spans="27:31" x14ac:dyDescent="0.25">
      <c r="AA8988" s="160"/>
      <c r="AB8988" s="162"/>
      <c r="AC8988" s="162"/>
      <c r="AD8988" s="162">
        <f t="shared" si="160"/>
        <v>0</v>
      </c>
      <c r="AE8988" s="160">
        <v>8986</v>
      </c>
    </row>
    <row r="8989" spans="27:31" x14ac:dyDescent="0.25">
      <c r="AA8989" s="160"/>
      <c r="AB8989" s="162"/>
      <c r="AC8989" s="162"/>
      <c r="AD8989" s="162">
        <f t="shared" si="160"/>
        <v>0</v>
      </c>
      <c r="AE8989" s="160">
        <v>8987</v>
      </c>
    </row>
    <row r="8990" spans="27:31" x14ac:dyDescent="0.25">
      <c r="AA8990" s="160"/>
      <c r="AB8990" s="162"/>
      <c r="AC8990" s="162"/>
      <c r="AD8990" s="162">
        <f t="shared" si="160"/>
        <v>0</v>
      </c>
      <c r="AE8990" s="160">
        <v>8988</v>
      </c>
    </row>
    <row r="8991" spans="27:31" x14ac:dyDescent="0.25">
      <c r="AA8991" s="160"/>
      <c r="AB8991" s="162"/>
      <c r="AC8991" s="162"/>
      <c r="AD8991" s="162">
        <f t="shared" si="160"/>
        <v>0</v>
      </c>
      <c r="AE8991" s="160">
        <v>8989</v>
      </c>
    </row>
    <row r="8992" spans="27:31" x14ac:dyDescent="0.25">
      <c r="AA8992" s="160"/>
      <c r="AB8992" s="162"/>
      <c r="AC8992" s="162"/>
      <c r="AD8992" s="162">
        <f t="shared" si="160"/>
        <v>0</v>
      </c>
      <c r="AE8992" s="160">
        <v>8990</v>
      </c>
    </row>
    <row r="8993" spans="27:31" x14ac:dyDescent="0.25">
      <c r="AA8993" s="160"/>
      <c r="AB8993" s="162"/>
      <c r="AC8993" s="162"/>
      <c r="AD8993" s="162">
        <f t="shared" si="160"/>
        <v>0</v>
      </c>
      <c r="AE8993" s="160">
        <v>8991</v>
      </c>
    </row>
    <row r="8994" spans="27:31" x14ac:dyDescent="0.25">
      <c r="AA8994" s="160"/>
      <c r="AB8994" s="162"/>
      <c r="AC8994" s="162"/>
      <c r="AD8994" s="162">
        <f t="shared" si="160"/>
        <v>0</v>
      </c>
      <c r="AE8994" s="160">
        <v>8992</v>
      </c>
    </row>
    <row r="8995" spans="27:31" x14ac:dyDescent="0.25">
      <c r="AA8995" s="160"/>
      <c r="AB8995" s="162"/>
      <c r="AC8995" s="162"/>
      <c r="AD8995" s="162">
        <f t="shared" si="160"/>
        <v>0</v>
      </c>
      <c r="AE8995" s="160">
        <v>8993</v>
      </c>
    </row>
    <row r="8996" spans="27:31" x14ac:dyDescent="0.25">
      <c r="AA8996" s="160"/>
      <c r="AB8996" s="162"/>
      <c r="AC8996" s="162"/>
      <c r="AD8996" s="162">
        <f t="shared" si="160"/>
        <v>0</v>
      </c>
      <c r="AE8996" s="160">
        <v>8994</v>
      </c>
    </row>
    <row r="8997" spans="27:31" x14ac:dyDescent="0.25">
      <c r="AA8997" s="160"/>
      <c r="AB8997" s="162"/>
      <c r="AC8997" s="162"/>
      <c r="AD8997" s="162">
        <f t="shared" si="160"/>
        <v>0</v>
      </c>
      <c r="AE8997" s="160">
        <v>8995</v>
      </c>
    </row>
    <row r="8998" spans="27:31" x14ac:dyDescent="0.25">
      <c r="AA8998" s="160"/>
      <c r="AB8998" s="162"/>
      <c r="AC8998" s="162"/>
      <c r="AD8998" s="162">
        <f t="shared" si="160"/>
        <v>0</v>
      </c>
      <c r="AE8998" s="160">
        <v>8996</v>
      </c>
    </row>
    <row r="8999" spans="27:31" x14ac:dyDescent="0.25">
      <c r="AA8999" s="160"/>
      <c r="AB8999" s="162"/>
      <c r="AC8999" s="162"/>
      <c r="AD8999" s="162">
        <f t="shared" si="160"/>
        <v>0</v>
      </c>
      <c r="AE8999" s="160">
        <v>8997</v>
      </c>
    </row>
    <row r="9000" spans="27:31" x14ac:dyDescent="0.25">
      <c r="AA9000" s="160"/>
      <c r="AB9000" s="162"/>
      <c r="AC9000" s="162"/>
      <c r="AD9000" s="162">
        <f t="shared" si="160"/>
        <v>0</v>
      </c>
      <c r="AE9000" s="160">
        <v>8998</v>
      </c>
    </row>
    <row r="9001" spans="27:31" x14ac:dyDescent="0.25">
      <c r="AA9001" s="160"/>
      <c r="AB9001" s="162"/>
      <c r="AC9001" s="162"/>
      <c r="AD9001" s="162">
        <f t="shared" si="160"/>
        <v>0</v>
      </c>
      <c r="AE9001" s="160">
        <v>8999</v>
      </c>
    </row>
    <row r="9002" spans="27:31" x14ac:dyDescent="0.25">
      <c r="AA9002" s="160"/>
      <c r="AB9002" s="162"/>
      <c r="AC9002" s="162"/>
      <c r="AD9002" s="162">
        <f t="shared" si="160"/>
        <v>0</v>
      </c>
      <c r="AE9002" s="160">
        <v>9000</v>
      </c>
    </row>
    <row r="9003" spans="27:31" x14ac:dyDescent="0.25">
      <c r="AA9003" s="160"/>
      <c r="AB9003" s="162"/>
      <c r="AC9003" s="162"/>
      <c r="AD9003" s="162">
        <f t="shared" si="160"/>
        <v>0</v>
      </c>
      <c r="AE9003" s="160">
        <v>9001</v>
      </c>
    </row>
    <row r="9004" spans="27:31" x14ac:dyDescent="0.25">
      <c r="AA9004" s="160"/>
      <c r="AB9004" s="162"/>
      <c r="AC9004" s="162"/>
      <c r="AD9004" s="162">
        <f t="shared" si="160"/>
        <v>0</v>
      </c>
      <c r="AE9004" s="160">
        <v>9002</v>
      </c>
    </row>
    <row r="9005" spans="27:31" x14ac:dyDescent="0.25">
      <c r="AA9005" s="160"/>
      <c r="AB9005" s="162"/>
      <c r="AC9005" s="162"/>
      <c r="AD9005" s="162">
        <f t="shared" si="160"/>
        <v>0</v>
      </c>
      <c r="AE9005" s="160">
        <v>9003</v>
      </c>
    </row>
    <row r="9006" spans="27:31" x14ac:dyDescent="0.25">
      <c r="AA9006" s="160"/>
      <c r="AB9006" s="162"/>
      <c r="AC9006" s="162"/>
      <c r="AD9006" s="162">
        <f t="shared" si="160"/>
        <v>0</v>
      </c>
      <c r="AE9006" s="160">
        <v>9004</v>
      </c>
    </row>
    <row r="9007" spans="27:31" x14ac:dyDescent="0.25">
      <c r="AA9007" s="160"/>
      <c r="AB9007" s="162"/>
      <c r="AC9007" s="162"/>
      <c r="AD9007" s="162">
        <f t="shared" si="160"/>
        <v>0</v>
      </c>
      <c r="AE9007" s="160">
        <v>9005</v>
      </c>
    </row>
    <row r="9008" spans="27:31" x14ac:dyDescent="0.25">
      <c r="AA9008" s="160"/>
      <c r="AB9008" s="162"/>
      <c r="AC9008" s="162"/>
      <c r="AD9008" s="162">
        <f t="shared" si="160"/>
        <v>0</v>
      </c>
      <c r="AE9008" s="160">
        <v>9006</v>
      </c>
    </row>
    <row r="9009" spans="27:31" x14ac:dyDescent="0.25">
      <c r="AA9009" s="160"/>
      <c r="AB9009" s="162"/>
      <c r="AC9009" s="162"/>
      <c r="AD9009" s="162">
        <f t="shared" si="160"/>
        <v>0</v>
      </c>
      <c r="AE9009" s="160">
        <v>9007</v>
      </c>
    </row>
    <row r="9010" spans="27:31" x14ac:dyDescent="0.25">
      <c r="AA9010" s="160"/>
      <c r="AB9010" s="162"/>
      <c r="AC9010" s="162"/>
      <c r="AD9010" s="162">
        <f t="shared" si="160"/>
        <v>0</v>
      </c>
      <c r="AE9010" s="160">
        <v>9008</v>
      </c>
    </row>
    <row r="9011" spans="27:31" x14ac:dyDescent="0.25">
      <c r="AA9011" s="160"/>
      <c r="AB9011" s="162"/>
      <c r="AC9011" s="162"/>
      <c r="AD9011" s="162">
        <f t="shared" si="160"/>
        <v>0</v>
      </c>
      <c r="AE9011" s="160">
        <v>9009</v>
      </c>
    </row>
    <row r="9012" spans="27:31" x14ac:dyDescent="0.25">
      <c r="AA9012" s="160"/>
      <c r="AB9012" s="162"/>
      <c r="AC9012" s="162"/>
      <c r="AD9012" s="162">
        <f t="shared" si="160"/>
        <v>0</v>
      </c>
      <c r="AE9012" s="160">
        <v>9010</v>
      </c>
    </row>
    <row r="9013" spans="27:31" x14ac:dyDescent="0.25">
      <c r="AA9013" s="160"/>
      <c r="AB9013" s="162"/>
      <c r="AC9013" s="162"/>
      <c r="AD9013" s="162">
        <f t="shared" si="160"/>
        <v>0</v>
      </c>
      <c r="AE9013" s="160">
        <v>9011</v>
      </c>
    </row>
    <row r="9014" spans="27:31" x14ac:dyDescent="0.25">
      <c r="AA9014" s="160"/>
      <c r="AB9014" s="162"/>
      <c r="AC9014" s="162"/>
      <c r="AD9014" s="162">
        <f t="shared" si="160"/>
        <v>0</v>
      </c>
      <c r="AE9014" s="160">
        <v>9012</v>
      </c>
    </row>
    <row r="9015" spans="27:31" x14ac:dyDescent="0.25">
      <c r="AA9015" s="160"/>
      <c r="AB9015" s="162"/>
      <c r="AC9015" s="162"/>
      <c r="AD9015" s="162">
        <f t="shared" si="160"/>
        <v>0</v>
      </c>
      <c r="AE9015" s="160">
        <v>9013</v>
      </c>
    </row>
    <row r="9016" spans="27:31" x14ac:dyDescent="0.25">
      <c r="AA9016" s="160"/>
      <c r="AB9016" s="162"/>
      <c r="AC9016" s="162"/>
      <c r="AD9016" s="162">
        <f t="shared" si="160"/>
        <v>0</v>
      </c>
      <c r="AE9016" s="160">
        <v>9014</v>
      </c>
    </row>
    <row r="9017" spans="27:31" x14ac:dyDescent="0.25">
      <c r="AA9017" s="160"/>
      <c r="AB9017" s="162"/>
      <c r="AC9017" s="162"/>
      <c r="AD9017" s="162">
        <f t="shared" si="160"/>
        <v>0</v>
      </c>
      <c r="AE9017" s="160">
        <v>9015</v>
      </c>
    </row>
    <row r="9018" spans="27:31" x14ac:dyDescent="0.25">
      <c r="AA9018" s="160"/>
      <c r="AB9018" s="162"/>
      <c r="AC9018" s="162"/>
      <c r="AD9018" s="162">
        <f t="shared" si="160"/>
        <v>0</v>
      </c>
      <c r="AE9018" s="160">
        <v>9016</v>
      </c>
    </row>
    <row r="9019" spans="27:31" x14ac:dyDescent="0.25">
      <c r="AA9019" s="160"/>
      <c r="AB9019" s="162"/>
      <c r="AC9019" s="162"/>
      <c r="AD9019" s="162">
        <f t="shared" si="160"/>
        <v>0</v>
      </c>
      <c r="AE9019" s="160">
        <v>9017</v>
      </c>
    </row>
    <row r="9020" spans="27:31" x14ac:dyDescent="0.25">
      <c r="AA9020" s="160"/>
      <c r="AB9020" s="162"/>
      <c r="AC9020" s="162"/>
      <c r="AD9020" s="162">
        <f t="shared" si="160"/>
        <v>0</v>
      </c>
      <c r="AE9020" s="160">
        <v>9018</v>
      </c>
    </row>
    <row r="9021" spans="27:31" x14ac:dyDescent="0.25">
      <c r="AA9021" s="160"/>
      <c r="AB9021" s="162"/>
      <c r="AC9021" s="162"/>
      <c r="AD9021" s="162">
        <f t="shared" si="160"/>
        <v>0</v>
      </c>
      <c r="AE9021" s="160">
        <v>9019</v>
      </c>
    </row>
    <row r="9022" spans="27:31" x14ac:dyDescent="0.25">
      <c r="AA9022" s="160"/>
      <c r="AB9022" s="162"/>
      <c r="AC9022" s="162"/>
      <c r="AD9022" s="162">
        <f t="shared" si="160"/>
        <v>0</v>
      </c>
      <c r="AE9022" s="160">
        <v>9020</v>
      </c>
    </row>
    <row r="9023" spans="27:31" x14ac:dyDescent="0.25">
      <c r="AA9023" s="160"/>
      <c r="AB9023" s="162"/>
      <c r="AC9023" s="162"/>
      <c r="AD9023" s="162">
        <f t="shared" si="160"/>
        <v>0</v>
      </c>
      <c r="AE9023" s="160">
        <v>9021</v>
      </c>
    </row>
    <row r="9024" spans="27:31" x14ac:dyDescent="0.25">
      <c r="AA9024" s="160"/>
      <c r="AB9024" s="162"/>
      <c r="AC9024" s="162"/>
      <c r="AD9024" s="162">
        <f t="shared" si="160"/>
        <v>0</v>
      </c>
      <c r="AE9024" s="160">
        <v>9022</v>
      </c>
    </row>
    <row r="9025" spans="27:31" x14ac:dyDescent="0.25">
      <c r="AA9025" s="160"/>
      <c r="AB9025" s="162"/>
      <c r="AC9025" s="162"/>
      <c r="AD9025" s="162">
        <f t="shared" si="160"/>
        <v>0</v>
      </c>
      <c r="AE9025" s="160">
        <v>9023</v>
      </c>
    </row>
    <row r="9026" spans="27:31" x14ac:dyDescent="0.25">
      <c r="AA9026" s="160"/>
      <c r="AB9026" s="162"/>
      <c r="AC9026" s="162"/>
      <c r="AD9026" s="162">
        <f t="shared" si="160"/>
        <v>0</v>
      </c>
      <c r="AE9026" s="160">
        <v>9024</v>
      </c>
    </row>
    <row r="9027" spans="27:31" x14ac:dyDescent="0.25">
      <c r="AA9027" s="160"/>
      <c r="AB9027" s="162"/>
      <c r="AC9027" s="162"/>
      <c r="AD9027" s="162">
        <f t="shared" si="160"/>
        <v>0</v>
      </c>
      <c r="AE9027" s="160">
        <v>9025</v>
      </c>
    </row>
    <row r="9028" spans="27:31" x14ac:dyDescent="0.25">
      <c r="AA9028" s="160"/>
      <c r="AB9028" s="162"/>
      <c r="AC9028" s="162"/>
      <c r="AD9028" s="162">
        <f t="shared" ref="AD9028:AD9091" si="161">AB9028+AC9028</f>
        <v>0</v>
      </c>
      <c r="AE9028" s="160">
        <v>9026</v>
      </c>
    </row>
    <row r="9029" spans="27:31" x14ac:dyDescent="0.25">
      <c r="AA9029" s="160"/>
      <c r="AB9029" s="162"/>
      <c r="AC9029" s="162"/>
      <c r="AD9029" s="162">
        <f t="shared" si="161"/>
        <v>0</v>
      </c>
      <c r="AE9029" s="160">
        <v>9027</v>
      </c>
    </row>
    <row r="9030" spans="27:31" x14ac:dyDescent="0.25">
      <c r="AA9030" s="160"/>
      <c r="AB9030" s="162"/>
      <c r="AC9030" s="162"/>
      <c r="AD9030" s="162">
        <f t="shared" si="161"/>
        <v>0</v>
      </c>
      <c r="AE9030" s="160">
        <v>9028</v>
      </c>
    </row>
    <row r="9031" spans="27:31" x14ac:dyDescent="0.25">
      <c r="AA9031" s="160"/>
      <c r="AB9031" s="162"/>
      <c r="AC9031" s="162"/>
      <c r="AD9031" s="162">
        <f t="shared" si="161"/>
        <v>0</v>
      </c>
      <c r="AE9031" s="160">
        <v>9029</v>
      </c>
    </row>
    <row r="9032" spans="27:31" x14ac:dyDescent="0.25">
      <c r="AA9032" s="160"/>
      <c r="AB9032" s="162"/>
      <c r="AC9032" s="162"/>
      <c r="AD9032" s="162">
        <f t="shared" si="161"/>
        <v>0</v>
      </c>
      <c r="AE9032" s="160">
        <v>9030</v>
      </c>
    </row>
    <row r="9033" spans="27:31" x14ac:dyDescent="0.25">
      <c r="AA9033" s="160"/>
      <c r="AB9033" s="162"/>
      <c r="AC9033" s="162"/>
      <c r="AD9033" s="162">
        <f t="shared" si="161"/>
        <v>0</v>
      </c>
      <c r="AE9033" s="160">
        <v>9031</v>
      </c>
    </row>
    <row r="9034" spans="27:31" x14ac:dyDescent="0.25">
      <c r="AA9034" s="160"/>
      <c r="AB9034" s="162"/>
      <c r="AC9034" s="162"/>
      <c r="AD9034" s="162">
        <f t="shared" si="161"/>
        <v>0</v>
      </c>
      <c r="AE9034" s="160">
        <v>9032</v>
      </c>
    </row>
    <row r="9035" spans="27:31" x14ac:dyDescent="0.25">
      <c r="AA9035" s="160"/>
      <c r="AB9035" s="162"/>
      <c r="AC9035" s="162"/>
      <c r="AD9035" s="162">
        <f t="shared" si="161"/>
        <v>0</v>
      </c>
      <c r="AE9035" s="160">
        <v>9033</v>
      </c>
    </row>
    <row r="9036" spans="27:31" x14ac:dyDescent="0.25">
      <c r="AA9036" s="160"/>
      <c r="AB9036" s="162"/>
      <c r="AC9036" s="162"/>
      <c r="AD9036" s="162">
        <f t="shared" si="161"/>
        <v>0</v>
      </c>
      <c r="AE9036" s="160">
        <v>9034</v>
      </c>
    </row>
    <row r="9037" spans="27:31" x14ac:dyDescent="0.25">
      <c r="AA9037" s="160"/>
      <c r="AB9037" s="162"/>
      <c r="AC9037" s="162"/>
      <c r="AD9037" s="162">
        <f t="shared" si="161"/>
        <v>0</v>
      </c>
      <c r="AE9037" s="160">
        <v>9035</v>
      </c>
    </row>
    <row r="9038" spans="27:31" x14ac:dyDescent="0.25">
      <c r="AA9038" s="160"/>
      <c r="AB9038" s="162"/>
      <c r="AC9038" s="162"/>
      <c r="AD9038" s="162">
        <f t="shared" si="161"/>
        <v>0</v>
      </c>
      <c r="AE9038" s="160">
        <v>9036</v>
      </c>
    </row>
    <row r="9039" spans="27:31" x14ac:dyDescent="0.25">
      <c r="AA9039" s="160"/>
      <c r="AB9039" s="162"/>
      <c r="AC9039" s="162"/>
      <c r="AD9039" s="162">
        <f t="shared" si="161"/>
        <v>0</v>
      </c>
      <c r="AE9039" s="160">
        <v>9037</v>
      </c>
    </row>
    <row r="9040" spans="27:31" x14ac:dyDescent="0.25">
      <c r="AA9040" s="160"/>
      <c r="AB9040" s="162"/>
      <c r="AC9040" s="162"/>
      <c r="AD9040" s="162">
        <f t="shared" si="161"/>
        <v>0</v>
      </c>
      <c r="AE9040" s="160">
        <v>9038</v>
      </c>
    </row>
    <row r="9041" spans="27:31" x14ac:dyDescent="0.25">
      <c r="AA9041" s="160"/>
      <c r="AB9041" s="162"/>
      <c r="AC9041" s="162"/>
      <c r="AD9041" s="162">
        <f t="shared" si="161"/>
        <v>0</v>
      </c>
      <c r="AE9041" s="160">
        <v>9039</v>
      </c>
    </row>
    <row r="9042" spans="27:31" x14ac:dyDescent="0.25">
      <c r="AA9042" s="160"/>
      <c r="AB9042" s="162"/>
      <c r="AC9042" s="162"/>
      <c r="AD9042" s="162">
        <f t="shared" si="161"/>
        <v>0</v>
      </c>
      <c r="AE9042" s="160">
        <v>9040</v>
      </c>
    </row>
    <row r="9043" spans="27:31" x14ac:dyDescent="0.25">
      <c r="AA9043" s="160"/>
      <c r="AB9043" s="162"/>
      <c r="AC9043" s="162"/>
      <c r="AD9043" s="162">
        <f t="shared" si="161"/>
        <v>0</v>
      </c>
      <c r="AE9043" s="160">
        <v>9041</v>
      </c>
    </row>
    <row r="9044" spans="27:31" x14ac:dyDescent="0.25">
      <c r="AA9044" s="160"/>
      <c r="AB9044" s="162"/>
      <c r="AC9044" s="162"/>
      <c r="AD9044" s="162">
        <f t="shared" si="161"/>
        <v>0</v>
      </c>
      <c r="AE9044" s="160">
        <v>9042</v>
      </c>
    </row>
    <row r="9045" spans="27:31" x14ac:dyDescent="0.25">
      <c r="AA9045" s="160"/>
      <c r="AB9045" s="162"/>
      <c r="AC9045" s="162"/>
      <c r="AD9045" s="162">
        <f t="shared" si="161"/>
        <v>0</v>
      </c>
      <c r="AE9045" s="160">
        <v>9043</v>
      </c>
    </row>
    <row r="9046" spans="27:31" x14ac:dyDescent="0.25">
      <c r="AA9046" s="160"/>
      <c r="AB9046" s="162"/>
      <c r="AC9046" s="162"/>
      <c r="AD9046" s="162">
        <f t="shared" si="161"/>
        <v>0</v>
      </c>
      <c r="AE9046" s="160">
        <v>9044</v>
      </c>
    </row>
    <row r="9047" spans="27:31" x14ac:dyDescent="0.25">
      <c r="AA9047" s="160"/>
      <c r="AB9047" s="162"/>
      <c r="AC9047" s="162"/>
      <c r="AD9047" s="162">
        <f t="shared" si="161"/>
        <v>0</v>
      </c>
      <c r="AE9047" s="160">
        <v>9045</v>
      </c>
    </row>
    <row r="9048" spans="27:31" x14ac:dyDescent="0.25">
      <c r="AA9048" s="160"/>
      <c r="AB9048" s="162"/>
      <c r="AC9048" s="162"/>
      <c r="AD9048" s="162">
        <f t="shared" si="161"/>
        <v>0</v>
      </c>
      <c r="AE9048" s="160">
        <v>9046</v>
      </c>
    </row>
    <row r="9049" spans="27:31" x14ac:dyDescent="0.25">
      <c r="AA9049" s="160"/>
      <c r="AB9049" s="162"/>
      <c r="AC9049" s="162"/>
      <c r="AD9049" s="162">
        <f t="shared" si="161"/>
        <v>0</v>
      </c>
      <c r="AE9049" s="160">
        <v>9047</v>
      </c>
    </row>
    <row r="9050" spans="27:31" x14ac:dyDescent="0.25">
      <c r="AA9050" s="160"/>
      <c r="AB9050" s="162"/>
      <c r="AC9050" s="162"/>
      <c r="AD9050" s="162">
        <f t="shared" si="161"/>
        <v>0</v>
      </c>
      <c r="AE9050" s="160">
        <v>9048</v>
      </c>
    </row>
    <row r="9051" spans="27:31" x14ac:dyDescent="0.25">
      <c r="AA9051" s="160"/>
      <c r="AB9051" s="162"/>
      <c r="AC9051" s="162"/>
      <c r="AD9051" s="162">
        <f t="shared" si="161"/>
        <v>0</v>
      </c>
      <c r="AE9051" s="160">
        <v>9049</v>
      </c>
    </row>
    <row r="9052" spans="27:31" x14ac:dyDescent="0.25">
      <c r="AA9052" s="160"/>
      <c r="AB9052" s="162"/>
      <c r="AC9052" s="162"/>
      <c r="AD9052" s="162">
        <f t="shared" si="161"/>
        <v>0</v>
      </c>
      <c r="AE9052" s="160">
        <v>9050</v>
      </c>
    </row>
    <row r="9053" spans="27:31" x14ac:dyDescent="0.25">
      <c r="AA9053" s="160"/>
      <c r="AB9053" s="162"/>
      <c r="AC9053" s="162"/>
      <c r="AD9053" s="162">
        <f t="shared" si="161"/>
        <v>0</v>
      </c>
      <c r="AE9053" s="160">
        <v>9051</v>
      </c>
    </row>
    <row r="9054" spans="27:31" x14ac:dyDescent="0.25">
      <c r="AA9054" s="160"/>
      <c r="AB9054" s="162"/>
      <c r="AC9054" s="162"/>
      <c r="AD9054" s="162">
        <f t="shared" si="161"/>
        <v>0</v>
      </c>
      <c r="AE9054" s="160">
        <v>9052</v>
      </c>
    </row>
    <row r="9055" spans="27:31" x14ac:dyDescent="0.25">
      <c r="AA9055" s="160"/>
      <c r="AB9055" s="162"/>
      <c r="AC9055" s="162"/>
      <c r="AD9055" s="162">
        <f t="shared" si="161"/>
        <v>0</v>
      </c>
      <c r="AE9055" s="160">
        <v>9053</v>
      </c>
    </row>
    <row r="9056" spans="27:31" x14ac:dyDescent="0.25">
      <c r="AA9056" s="160"/>
      <c r="AB9056" s="162"/>
      <c r="AC9056" s="162"/>
      <c r="AD9056" s="162">
        <f t="shared" si="161"/>
        <v>0</v>
      </c>
      <c r="AE9056" s="160">
        <v>9054</v>
      </c>
    </row>
    <row r="9057" spans="27:31" x14ac:dyDescent="0.25">
      <c r="AA9057" s="160"/>
      <c r="AB9057" s="162"/>
      <c r="AC9057" s="162"/>
      <c r="AD9057" s="162">
        <f t="shared" si="161"/>
        <v>0</v>
      </c>
      <c r="AE9057" s="160">
        <v>9055</v>
      </c>
    </row>
    <row r="9058" spans="27:31" x14ac:dyDescent="0.25">
      <c r="AA9058" s="160"/>
      <c r="AB9058" s="162"/>
      <c r="AC9058" s="162"/>
      <c r="AD9058" s="162">
        <f t="shared" si="161"/>
        <v>0</v>
      </c>
      <c r="AE9058" s="160">
        <v>9056</v>
      </c>
    </row>
    <row r="9059" spans="27:31" x14ac:dyDescent="0.25">
      <c r="AA9059" s="160"/>
      <c r="AB9059" s="162"/>
      <c r="AC9059" s="162"/>
      <c r="AD9059" s="162">
        <f t="shared" si="161"/>
        <v>0</v>
      </c>
      <c r="AE9059" s="160">
        <v>9057</v>
      </c>
    </row>
    <row r="9060" spans="27:31" x14ac:dyDescent="0.25">
      <c r="AA9060" s="160"/>
      <c r="AB9060" s="162"/>
      <c r="AC9060" s="162"/>
      <c r="AD9060" s="162">
        <f t="shared" si="161"/>
        <v>0</v>
      </c>
      <c r="AE9060" s="160">
        <v>9058</v>
      </c>
    </row>
    <row r="9061" spans="27:31" x14ac:dyDescent="0.25">
      <c r="AA9061" s="160"/>
      <c r="AB9061" s="162"/>
      <c r="AC9061" s="162"/>
      <c r="AD9061" s="162">
        <f t="shared" si="161"/>
        <v>0</v>
      </c>
      <c r="AE9061" s="160">
        <v>9059</v>
      </c>
    </row>
    <row r="9062" spans="27:31" x14ac:dyDescent="0.25">
      <c r="AA9062" s="160"/>
      <c r="AB9062" s="162"/>
      <c r="AC9062" s="162"/>
      <c r="AD9062" s="162">
        <f t="shared" si="161"/>
        <v>0</v>
      </c>
      <c r="AE9062" s="160">
        <v>9060</v>
      </c>
    </row>
    <row r="9063" spans="27:31" x14ac:dyDescent="0.25">
      <c r="AA9063" s="160"/>
      <c r="AB9063" s="162"/>
      <c r="AC9063" s="162"/>
      <c r="AD9063" s="162">
        <f t="shared" si="161"/>
        <v>0</v>
      </c>
      <c r="AE9063" s="160">
        <v>9061</v>
      </c>
    </row>
    <row r="9064" spans="27:31" x14ac:dyDescent="0.25">
      <c r="AA9064" s="160"/>
      <c r="AB9064" s="162"/>
      <c r="AC9064" s="162"/>
      <c r="AD9064" s="162">
        <f t="shared" si="161"/>
        <v>0</v>
      </c>
      <c r="AE9064" s="160">
        <v>9062</v>
      </c>
    </row>
    <row r="9065" spans="27:31" x14ac:dyDescent="0.25">
      <c r="AA9065" s="160"/>
      <c r="AB9065" s="162"/>
      <c r="AC9065" s="162"/>
      <c r="AD9065" s="162">
        <f t="shared" si="161"/>
        <v>0</v>
      </c>
      <c r="AE9065" s="160">
        <v>9063</v>
      </c>
    </row>
    <row r="9066" spans="27:31" x14ac:dyDescent="0.25">
      <c r="AA9066" s="160"/>
      <c r="AB9066" s="162"/>
      <c r="AC9066" s="162"/>
      <c r="AD9066" s="162">
        <f t="shared" si="161"/>
        <v>0</v>
      </c>
      <c r="AE9066" s="160">
        <v>9064</v>
      </c>
    </row>
    <row r="9067" spans="27:31" x14ac:dyDescent="0.25">
      <c r="AA9067" s="160"/>
      <c r="AB9067" s="162"/>
      <c r="AC9067" s="162"/>
      <c r="AD9067" s="162">
        <f t="shared" si="161"/>
        <v>0</v>
      </c>
      <c r="AE9067" s="160">
        <v>9065</v>
      </c>
    </row>
    <row r="9068" spans="27:31" x14ac:dyDescent="0.25">
      <c r="AA9068" s="160"/>
      <c r="AB9068" s="162"/>
      <c r="AC9068" s="162"/>
      <c r="AD9068" s="162">
        <f t="shared" si="161"/>
        <v>0</v>
      </c>
      <c r="AE9068" s="160">
        <v>9066</v>
      </c>
    </row>
    <row r="9069" spans="27:31" x14ac:dyDescent="0.25">
      <c r="AA9069" s="160"/>
      <c r="AB9069" s="162"/>
      <c r="AC9069" s="162"/>
      <c r="AD9069" s="162">
        <f t="shared" si="161"/>
        <v>0</v>
      </c>
      <c r="AE9069" s="160">
        <v>9067</v>
      </c>
    </row>
    <row r="9070" spans="27:31" x14ac:dyDescent="0.25">
      <c r="AA9070" s="160"/>
      <c r="AB9070" s="162"/>
      <c r="AC9070" s="162"/>
      <c r="AD9070" s="162">
        <f t="shared" si="161"/>
        <v>0</v>
      </c>
      <c r="AE9070" s="160">
        <v>9068</v>
      </c>
    </row>
    <row r="9071" spans="27:31" x14ac:dyDescent="0.25">
      <c r="AA9071" s="160"/>
      <c r="AB9071" s="162"/>
      <c r="AC9071" s="162"/>
      <c r="AD9071" s="162">
        <f t="shared" si="161"/>
        <v>0</v>
      </c>
      <c r="AE9071" s="160">
        <v>9069</v>
      </c>
    </row>
    <row r="9072" spans="27:31" x14ac:dyDescent="0.25">
      <c r="AA9072" s="160"/>
      <c r="AB9072" s="162"/>
      <c r="AC9072" s="162"/>
      <c r="AD9072" s="162">
        <f t="shared" si="161"/>
        <v>0</v>
      </c>
      <c r="AE9072" s="160">
        <v>9070</v>
      </c>
    </row>
    <row r="9073" spans="27:31" x14ac:dyDescent="0.25">
      <c r="AA9073" s="160"/>
      <c r="AB9073" s="162"/>
      <c r="AC9073" s="162"/>
      <c r="AD9073" s="162">
        <f t="shared" si="161"/>
        <v>0</v>
      </c>
      <c r="AE9073" s="160">
        <v>9071</v>
      </c>
    </row>
    <row r="9074" spans="27:31" x14ac:dyDescent="0.25">
      <c r="AA9074" s="160"/>
      <c r="AB9074" s="162"/>
      <c r="AC9074" s="162"/>
      <c r="AD9074" s="162">
        <f t="shared" si="161"/>
        <v>0</v>
      </c>
      <c r="AE9074" s="160">
        <v>9072</v>
      </c>
    </row>
    <row r="9075" spans="27:31" x14ac:dyDescent="0.25">
      <c r="AA9075" s="160"/>
      <c r="AB9075" s="162"/>
      <c r="AC9075" s="162"/>
      <c r="AD9075" s="162">
        <f t="shared" si="161"/>
        <v>0</v>
      </c>
      <c r="AE9075" s="160">
        <v>9073</v>
      </c>
    </row>
    <row r="9076" spans="27:31" x14ac:dyDescent="0.25">
      <c r="AA9076" s="160"/>
      <c r="AB9076" s="162"/>
      <c r="AC9076" s="162"/>
      <c r="AD9076" s="162">
        <f t="shared" si="161"/>
        <v>0</v>
      </c>
      <c r="AE9076" s="160">
        <v>9074</v>
      </c>
    </row>
    <row r="9077" spans="27:31" x14ac:dyDescent="0.25">
      <c r="AA9077" s="160"/>
      <c r="AB9077" s="162"/>
      <c r="AC9077" s="162"/>
      <c r="AD9077" s="162">
        <f t="shared" si="161"/>
        <v>0</v>
      </c>
      <c r="AE9077" s="160">
        <v>9075</v>
      </c>
    </row>
    <row r="9078" spans="27:31" x14ac:dyDescent="0.25">
      <c r="AA9078" s="160"/>
      <c r="AB9078" s="162"/>
      <c r="AC9078" s="162"/>
      <c r="AD9078" s="162">
        <f t="shared" si="161"/>
        <v>0</v>
      </c>
      <c r="AE9078" s="160">
        <v>9076</v>
      </c>
    </row>
    <row r="9079" spans="27:31" x14ac:dyDescent="0.25">
      <c r="AA9079" s="160"/>
      <c r="AB9079" s="162"/>
      <c r="AC9079" s="162"/>
      <c r="AD9079" s="162">
        <f t="shared" si="161"/>
        <v>0</v>
      </c>
      <c r="AE9079" s="160">
        <v>9077</v>
      </c>
    </row>
    <row r="9080" spans="27:31" x14ac:dyDescent="0.25">
      <c r="AA9080" s="160"/>
      <c r="AB9080" s="162"/>
      <c r="AC9080" s="162"/>
      <c r="AD9080" s="162">
        <f t="shared" si="161"/>
        <v>0</v>
      </c>
      <c r="AE9080" s="160">
        <v>9078</v>
      </c>
    </row>
    <row r="9081" spans="27:31" x14ac:dyDescent="0.25">
      <c r="AA9081" s="160"/>
      <c r="AB9081" s="162"/>
      <c r="AC9081" s="162"/>
      <c r="AD9081" s="162">
        <f t="shared" si="161"/>
        <v>0</v>
      </c>
      <c r="AE9081" s="160">
        <v>9079</v>
      </c>
    </row>
    <row r="9082" spans="27:31" x14ac:dyDescent="0.25">
      <c r="AA9082" s="160"/>
      <c r="AB9082" s="162"/>
      <c r="AC9082" s="162"/>
      <c r="AD9082" s="162">
        <f t="shared" si="161"/>
        <v>0</v>
      </c>
      <c r="AE9082" s="160">
        <v>9080</v>
      </c>
    </row>
    <row r="9083" spans="27:31" x14ac:dyDescent="0.25">
      <c r="AA9083" s="160"/>
      <c r="AB9083" s="162"/>
      <c r="AC9083" s="162"/>
      <c r="AD9083" s="162">
        <f t="shared" si="161"/>
        <v>0</v>
      </c>
      <c r="AE9083" s="160">
        <v>9081</v>
      </c>
    </row>
    <row r="9084" spans="27:31" x14ac:dyDescent="0.25">
      <c r="AA9084" s="160"/>
      <c r="AB9084" s="162"/>
      <c r="AC9084" s="162"/>
      <c r="AD9084" s="162">
        <f t="shared" si="161"/>
        <v>0</v>
      </c>
      <c r="AE9084" s="160">
        <v>9082</v>
      </c>
    </row>
    <row r="9085" spans="27:31" x14ac:dyDescent="0.25">
      <c r="AA9085" s="160"/>
      <c r="AB9085" s="162"/>
      <c r="AC9085" s="162"/>
      <c r="AD9085" s="162">
        <f t="shared" si="161"/>
        <v>0</v>
      </c>
      <c r="AE9085" s="160">
        <v>9083</v>
      </c>
    </row>
    <row r="9086" spans="27:31" x14ac:dyDescent="0.25">
      <c r="AA9086" s="160"/>
      <c r="AB9086" s="162"/>
      <c r="AC9086" s="162"/>
      <c r="AD9086" s="162">
        <f t="shared" si="161"/>
        <v>0</v>
      </c>
      <c r="AE9086" s="160">
        <v>9084</v>
      </c>
    </row>
    <row r="9087" spans="27:31" x14ac:dyDescent="0.25">
      <c r="AA9087" s="160"/>
      <c r="AB9087" s="162"/>
      <c r="AC9087" s="162"/>
      <c r="AD9087" s="162">
        <f t="shared" si="161"/>
        <v>0</v>
      </c>
      <c r="AE9087" s="160">
        <v>9085</v>
      </c>
    </row>
    <row r="9088" spans="27:31" x14ac:dyDescent="0.25">
      <c r="AA9088" s="160"/>
      <c r="AB9088" s="162"/>
      <c r="AC9088" s="162"/>
      <c r="AD9088" s="162">
        <f t="shared" si="161"/>
        <v>0</v>
      </c>
      <c r="AE9088" s="160">
        <v>9086</v>
      </c>
    </row>
    <row r="9089" spans="27:31" x14ac:dyDescent="0.25">
      <c r="AA9089" s="160"/>
      <c r="AB9089" s="162"/>
      <c r="AC9089" s="162"/>
      <c r="AD9089" s="162">
        <f t="shared" si="161"/>
        <v>0</v>
      </c>
      <c r="AE9089" s="160">
        <v>9087</v>
      </c>
    </row>
    <row r="9090" spans="27:31" x14ac:dyDescent="0.25">
      <c r="AA9090" s="160"/>
      <c r="AB9090" s="162"/>
      <c r="AC9090" s="162"/>
      <c r="AD9090" s="162">
        <f t="shared" si="161"/>
        <v>0</v>
      </c>
      <c r="AE9090" s="160">
        <v>9088</v>
      </c>
    </row>
    <row r="9091" spans="27:31" x14ac:dyDescent="0.25">
      <c r="AA9091" s="160"/>
      <c r="AB9091" s="162"/>
      <c r="AC9091" s="162"/>
      <c r="AD9091" s="162">
        <f t="shared" si="161"/>
        <v>0</v>
      </c>
      <c r="AE9091" s="160">
        <v>9089</v>
      </c>
    </row>
    <row r="9092" spans="27:31" x14ac:dyDescent="0.25">
      <c r="AA9092" s="160"/>
      <c r="AB9092" s="162"/>
      <c r="AC9092" s="162"/>
      <c r="AD9092" s="162">
        <f t="shared" ref="AD9092:AD9155" si="162">AB9092+AC9092</f>
        <v>0</v>
      </c>
      <c r="AE9092" s="160">
        <v>9090</v>
      </c>
    </row>
    <row r="9093" spans="27:31" x14ac:dyDescent="0.25">
      <c r="AA9093" s="160"/>
      <c r="AB9093" s="162"/>
      <c r="AC9093" s="162"/>
      <c r="AD9093" s="162">
        <f t="shared" si="162"/>
        <v>0</v>
      </c>
      <c r="AE9093" s="160">
        <v>9091</v>
      </c>
    </row>
    <row r="9094" spans="27:31" x14ac:dyDescent="0.25">
      <c r="AA9094" s="160"/>
      <c r="AB9094" s="162"/>
      <c r="AC9094" s="162"/>
      <c r="AD9094" s="162">
        <f t="shared" si="162"/>
        <v>0</v>
      </c>
      <c r="AE9094" s="160">
        <v>9092</v>
      </c>
    </row>
    <row r="9095" spans="27:31" x14ac:dyDescent="0.25">
      <c r="AA9095" s="160"/>
      <c r="AB9095" s="162"/>
      <c r="AC9095" s="162"/>
      <c r="AD9095" s="162">
        <f t="shared" si="162"/>
        <v>0</v>
      </c>
      <c r="AE9095" s="160">
        <v>9093</v>
      </c>
    </row>
    <row r="9096" spans="27:31" x14ac:dyDescent="0.25">
      <c r="AA9096" s="160"/>
      <c r="AB9096" s="162"/>
      <c r="AC9096" s="162"/>
      <c r="AD9096" s="162">
        <f t="shared" si="162"/>
        <v>0</v>
      </c>
      <c r="AE9096" s="160">
        <v>9094</v>
      </c>
    </row>
    <row r="9097" spans="27:31" x14ac:dyDescent="0.25">
      <c r="AA9097" s="160"/>
      <c r="AB9097" s="162"/>
      <c r="AC9097" s="162"/>
      <c r="AD9097" s="162">
        <f t="shared" si="162"/>
        <v>0</v>
      </c>
      <c r="AE9097" s="160">
        <v>9095</v>
      </c>
    </row>
    <row r="9098" spans="27:31" x14ac:dyDescent="0.25">
      <c r="AA9098" s="160"/>
      <c r="AB9098" s="162"/>
      <c r="AC9098" s="162"/>
      <c r="AD9098" s="162">
        <f t="shared" si="162"/>
        <v>0</v>
      </c>
      <c r="AE9098" s="160">
        <v>9096</v>
      </c>
    </row>
    <row r="9099" spans="27:31" x14ac:dyDescent="0.25">
      <c r="AA9099" s="160"/>
      <c r="AB9099" s="162"/>
      <c r="AC9099" s="162"/>
      <c r="AD9099" s="162">
        <f t="shared" si="162"/>
        <v>0</v>
      </c>
      <c r="AE9099" s="160">
        <v>9097</v>
      </c>
    </row>
    <row r="9100" spans="27:31" x14ac:dyDescent="0.25">
      <c r="AA9100" s="160"/>
      <c r="AB9100" s="162"/>
      <c r="AC9100" s="162"/>
      <c r="AD9100" s="162">
        <f t="shared" si="162"/>
        <v>0</v>
      </c>
      <c r="AE9100" s="160">
        <v>9098</v>
      </c>
    </row>
    <row r="9101" spans="27:31" x14ac:dyDescent="0.25">
      <c r="AA9101" s="160"/>
      <c r="AB9101" s="162"/>
      <c r="AC9101" s="162"/>
      <c r="AD9101" s="162">
        <f t="shared" si="162"/>
        <v>0</v>
      </c>
      <c r="AE9101" s="160">
        <v>9099</v>
      </c>
    </row>
    <row r="9102" spans="27:31" x14ac:dyDescent="0.25">
      <c r="AA9102" s="160"/>
      <c r="AB9102" s="162"/>
      <c r="AC9102" s="162"/>
      <c r="AD9102" s="162">
        <f t="shared" si="162"/>
        <v>0</v>
      </c>
      <c r="AE9102" s="160">
        <v>9100</v>
      </c>
    </row>
    <row r="9103" spans="27:31" x14ac:dyDescent="0.25">
      <c r="AA9103" s="160"/>
      <c r="AB9103" s="162"/>
      <c r="AC9103" s="162"/>
      <c r="AD9103" s="162">
        <f t="shared" si="162"/>
        <v>0</v>
      </c>
      <c r="AE9103" s="160">
        <v>9101</v>
      </c>
    </row>
    <row r="9104" spans="27:31" x14ac:dyDescent="0.25">
      <c r="AA9104" s="160"/>
      <c r="AB9104" s="162"/>
      <c r="AC9104" s="162"/>
      <c r="AD9104" s="162">
        <f t="shared" si="162"/>
        <v>0</v>
      </c>
      <c r="AE9104" s="160">
        <v>9102</v>
      </c>
    </row>
    <row r="9105" spans="27:31" x14ac:dyDescent="0.25">
      <c r="AA9105" s="160"/>
      <c r="AB9105" s="162"/>
      <c r="AC9105" s="162"/>
      <c r="AD9105" s="162">
        <f t="shared" si="162"/>
        <v>0</v>
      </c>
      <c r="AE9105" s="160">
        <v>9103</v>
      </c>
    </row>
    <row r="9106" spans="27:31" x14ac:dyDescent="0.25">
      <c r="AA9106" s="160"/>
      <c r="AB9106" s="162"/>
      <c r="AC9106" s="162"/>
      <c r="AD9106" s="162">
        <f t="shared" si="162"/>
        <v>0</v>
      </c>
      <c r="AE9106" s="160">
        <v>9104</v>
      </c>
    </row>
    <row r="9107" spans="27:31" x14ac:dyDescent="0.25">
      <c r="AA9107" s="160"/>
      <c r="AB9107" s="162"/>
      <c r="AC9107" s="162"/>
      <c r="AD9107" s="162">
        <f t="shared" si="162"/>
        <v>0</v>
      </c>
      <c r="AE9107" s="160">
        <v>9105</v>
      </c>
    </row>
    <row r="9108" spans="27:31" x14ac:dyDescent="0.25">
      <c r="AA9108" s="160"/>
      <c r="AB9108" s="162"/>
      <c r="AC9108" s="162"/>
      <c r="AD9108" s="162">
        <f t="shared" si="162"/>
        <v>0</v>
      </c>
      <c r="AE9108" s="160">
        <v>9106</v>
      </c>
    </row>
    <row r="9109" spans="27:31" x14ac:dyDescent="0.25">
      <c r="AA9109" s="160"/>
      <c r="AB9109" s="162"/>
      <c r="AC9109" s="162"/>
      <c r="AD9109" s="162">
        <f t="shared" si="162"/>
        <v>0</v>
      </c>
      <c r="AE9109" s="160">
        <v>9107</v>
      </c>
    </row>
    <row r="9110" spans="27:31" x14ac:dyDescent="0.25">
      <c r="AA9110" s="160"/>
      <c r="AB9110" s="162"/>
      <c r="AC9110" s="162"/>
      <c r="AD9110" s="162">
        <f t="shared" si="162"/>
        <v>0</v>
      </c>
      <c r="AE9110" s="160">
        <v>9108</v>
      </c>
    </row>
    <row r="9111" spans="27:31" x14ac:dyDescent="0.25">
      <c r="AA9111" s="160"/>
      <c r="AB9111" s="162"/>
      <c r="AC9111" s="162"/>
      <c r="AD9111" s="162">
        <f t="shared" si="162"/>
        <v>0</v>
      </c>
      <c r="AE9111" s="160">
        <v>9109</v>
      </c>
    </row>
    <row r="9112" spans="27:31" x14ac:dyDescent="0.25">
      <c r="AA9112" s="160"/>
      <c r="AB9112" s="162"/>
      <c r="AC9112" s="162"/>
      <c r="AD9112" s="162">
        <f t="shared" si="162"/>
        <v>0</v>
      </c>
      <c r="AE9112" s="160">
        <v>9110</v>
      </c>
    </row>
    <row r="9113" spans="27:31" x14ac:dyDescent="0.25">
      <c r="AA9113" s="160"/>
      <c r="AB9113" s="162"/>
      <c r="AC9113" s="162"/>
      <c r="AD9113" s="162">
        <f t="shared" si="162"/>
        <v>0</v>
      </c>
      <c r="AE9113" s="160">
        <v>9111</v>
      </c>
    </row>
    <row r="9114" spans="27:31" x14ac:dyDescent="0.25">
      <c r="AA9114" s="160"/>
      <c r="AB9114" s="162"/>
      <c r="AC9114" s="162"/>
      <c r="AD9114" s="162">
        <f t="shared" si="162"/>
        <v>0</v>
      </c>
      <c r="AE9114" s="160">
        <v>9112</v>
      </c>
    </row>
    <row r="9115" spans="27:31" x14ac:dyDescent="0.25">
      <c r="AA9115" s="160"/>
      <c r="AB9115" s="162"/>
      <c r="AC9115" s="162"/>
      <c r="AD9115" s="162">
        <f t="shared" si="162"/>
        <v>0</v>
      </c>
      <c r="AE9115" s="160">
        <v>9113</v>
      </c>
    </row>
    <row r="9116" spans="27:31" x14ac:dyDescent="0.25">
      <c r="AA9116" s="160"/>
      <c r="AB9116" s="162"/>
      <c r="AC9116" s="162"/>
      <c r="AD9116" s="162">
        <f t="shared" si="162"/>
        <v>0</v>
      </c>
      <c r="AE9116" s="160">
        <v>9114</v>
      </c>
    </row>
    <row r="9117" spans="27:31" x14ac:dyDescent="0.25">
      <c r="AA9117" s="160"/>
      <c r="AB9117" s="162"/>
      <c r="AC9117" s="162"/>
      <c r="AD9117" s="162">
        <f t="shared" si="162"/>
        <v>0</v>
      </c>
      <c r="AE9117" s="160">
        <v>9115</v>
      </c>
    </row>
    <row r="9118" spans="27:31" x14ac:dyDescent="0.25">
      <c r="AA9118" s="160"/>
      <c r="AB9118" s="162"/>
      <c r="AC9118" s="162"/>
      <c r="AD9118" s="162">
        <f t="shared" si="162"/>
        <v>0</v>
      </c>
      <c r="AE9118" s="160">
        <v>9116</v>
      </c>
    </row>
    <row r="9119" spans="27:31" x14ac:dyDescent="0.25">
      <c r="AA9119" s="160"/>
      <c r="AB9119" s="162"/>
      <c r="AC9119" s="162"/>
      <c r="AD9119" s="162">
        <f t="shared" si="162"/>
        <v>0</v>
      </c>
      <c r="AE9119" s="160">
        <v>9117</v>
      </c>
    </row>
    <row r="9120" spans="27:31" x14ac:dyDescent="0.25">
      <c r="AA9120" s="160"/>
      <c r="AB9120" s="162"/>
      <c r="AC9120" s="162"/>
      <c r="AD9120" s="162">
        <f t="shared" si="162"/>
        <v>0</v>
      </c>
      <c r="AE9120" s="160">
        <v>9118</v>
      </c>
    </row>
    <row r="9121" spans="27:31" x14ac:dyDescent="0.25">
      <c r="AA9121" s="160"/>
      <c r="AB9121" s="162"/>
      <c r="AC9121" s="162"/>
      <c r="AD9121" s="162">
        <f t="shared" si="162"/>
        <v>0</v>
      </c>
      <c r="AE9121" s="160">
        <v>9119</v>
      </c>
    </row>
    <row r="9122" spans="27:31" x14ac:dyDescent="0.25">
      <c r="AA9122" s="160"/>
      <c r="AB9122" s="162"/>
      <c r="AC9122" s="162"/>
      <c r="AD9122" s="162">
        <f t="shared" si="162"/>
        <v>0</v>
      </c>
      <c r="AE9122" s="160">
        <v>9120</v>
      </c>
    </row>
    <row r="9123" spans="27:31" x14ac:dyDescent="0.25">
      <c r="AA9123" s="160"/>
      <c r="AB9123" s="162"/>
      <c r="AC9123" s="162"/>
      <c r="AD9123" s="162">
        <f t="shared" si="162"/>
        <v>0</v>
      </c>
      <c r="AE9123" s="160">
        <v>9121</v>
      </c>
    </row>
    <row r="9124" spans="27:31" x14ac:dyDescent="0.25">
      <c r="AA9124" s="160"/>
      <c r="AB9124" s="162"/>
      <c r="AC9124" s="162"/>
      <c r="AD9124" s="162">
        <f t="shared" si="162"/>
        <v>0</v>
      </c>
      <c r="AE9124" s="160">
        <v>9122</v>
      </c>
    </row>
    <row r="9125" spans="27:31" x14ac:dyDescent="0.25">
      <c r="AA9125" s="160"/>
      <c r="AB9125" s="162"/>
      <c r="AC9125" s="162"/>
      <c r="AD9125" s="162">
        <f t="shared" si="162"/>
        <v>0</v>
      </c>
      <c r="AE9125" s="160">
        <v>9123</v>
      </c>
    </row>
    <row r="9126" spans="27:31" x14ac:dyDescent="0.25">
      <c r="AA9126" s="160"/>
      <c r="AB9126" s="162"/>
      <c r="AC9126" s="162"/>
      <c r="AD9126" s="162">
        <f t="shared" si="162"/>
        <v>0</v>
      </c>
      <c r="AE9126" s="160">
        <v>9124</v>
      </c>
    </row>
    <row r="9127" spans="27:31" x14ac:dyDescent="0.25">
      <c r="AA9127" s="160"/>
      <c r="AB9127" s="162"/>
      <c r="AC9127" s="162"/>
      <c r="AD9127" s="162">
        <f t="shared" si="162"/>
        <v>0</v>
      </c>
      <c r="AE9127" s="160">
        <v>9125</v>
      </c>
    </row>
    <row r="9128" spans="27:31" x14ac:dyDescent="0.25">
      <c r="AA9128" s="160"/>
      <c r="AB9128" s="162"/>
      <c r="AC9128" s="162"/>
      <c r="AD9128" s="162">
        <f t="shared" si="162"/>
        <v>0</v>
      </c>
      <c r="AE9128" s="160">
        <v>9126</v>
      </c>
    </row>
    <row r="9129" spans="27:31" x14ac:dyDescent="0.25">
      <c r="AA9129" s="160"/>
      <c r="AB9129" s="162"/>
      <c r="AC9129" s="162"/>
      <c r="AD9129" s="162">
        <f t="shared" si="162"/>
        <v>0</v>
      </c>
      <c r="AE9129" s="160">
        <v>9127</v>
      </c>
    </row>
    <row r="9130" spans="27:31" x14ac:dyDescent="0.25">
      <c r="AA9130" s="160"/>
      <c r="AB9130" s="162"/>
      <c r="AC9130" s="162"/>
      <c r="AD9130" s="162">
        <f t="shared" si="162"/>
        <v>0</v>
      </c>
      <c r="AE9130" s="160">
        <v>9128</v>
      </c>
    </row>
    <row r="9131" spans="27:31" x14ac:dyDescent="0.25">
      <c r="AA9131" s="160"/>
      <c r="AB9131" s="162"/>
      <c r="AC9131" s="162"/>
      <c r="AD9131" s="162">
        <f t="shared" si="162"/>
        <v>0</v>
      </c>
      <c r="AE9131" s="160">
        <v>9129</v>
      </c>
    </row>
    <row r="9132" spans="27:31" x14ac:dyDescent="0.25">
      <c r="AA9132" s="160"/>
      <c r="AB9132" s="162"/>
      <c r="AC9132" s="162"/>
      <c r="AD9132" s="162">
        <f t="shared" si="162"/>
        <v>0</v>
      </c>
      <c r="AE9132" s="160">
        <v>9130</v>
      </c>
    </row>
    <row r="9133" spans="27:31" x14ac:dyDescent="0.25">
      <c r="AA9133" s="160"/>
      <c r="AB9133" s="162"/>
      <c r="AC9133" s="162"/>
      <c r="AD9133" s="162">
        <f t="shared" si="162"/>
        <v>0</v>
      </c>
      <c r="AE9133" s="160">
        <v>9131</v>
      </c>
    </row>
    <row r="9134" spans="27:31" x14ac:dyDescent="0.25">
      <c r="AA9134" s="160"/>
      <c r="AB9134" s="162"/>
      <c r="AC9134" s="162"/>
      <c r="AD9134" s="162">
        <f t="shared" si="162"/>
        <v>0</v>
      </c>
      <c r="AE9134" s="160">
        <v>9132</v>
      </c>
    </row>
    <row r="9135" spans="27:31" x14ac:dyDescent="0.25">
      <c r="AA9135" s="160"/>
      <c r="AB9135" s="162"/>
      <c r="AC9135" s="162"/>
      <c r="AD9135" s="162">
        <f t="shared" si="162"/>
        <v>0</v>
      </c>
      <c r="AE9135" s="160">
        <v>9133</v>
      </c>
    </row>
    <row r="9136" spans="27:31" x14ac:dyDescent="0.25">
      <c r="AA9136" s="160"/>
      <c r="AB9136" s="162"/>
      <c r="AC9136" s="162"/>
      <c r="AD9136" s="162">
        <f t="shared" si="162"/>
        <v>0</v>
      </c>
      <c r="AE9136" s="160">
        <v>9134</v>
      </c>
    </row>
    <row r="9137" spans="27:31" x14ac:dyDescent="0.25">
      <c r="AA9137" s="160"/>
      <c r="AB9137" s="162"/>
      <c r="AC9137" s="162"/>
      <c r="AD9137" s="162">
        <f t="shared" si="162"/>
        <v>0</v>
      </c>
      <c r="AE9137" s="160">
        <v>9135</v>
      </c>
    </row>
    <row r="9138" spans="27:31" x14ac:dyDescent="0.25">
      <c r="AA9138" s="160"/>
      <c r="AB9138" s="162"/>
      <c r="AC9138" s="162"/>
      <c r="AD9138" s="162">
        <f t="shared" si="162"/>
        <v>0</v>
      </c>
      <c r="AE9138" s="160">
        <v>9136</v>
      </c>
    </row>
    <row r="9139" spans="27:31" x14ac:dyDescent="0.25">
      <c r="AA9139" s="160"/>
      <c r="AB9139" s="162"/>
      <c r="AC9139" s="162"/>
      <c r="AD9139" s="162">
        <f t="shared" si="162"/>
        <v>0</v>
      </c>
      <c r="AE9139" s="160">
        <v>9137</v>
      </c>
    </row>
    <row r="9140" spans="27:31" x14ac:dyDescent="0.25">
      <c r="AA9140" s="160"/>
      <c r="AB9140" s="162"/>
      <c r="AC9140" s="162"/>
      <c r="AD9140" s="162">
        <f t="shared" si="162"/>
        <v>0</v>
      </c>
      <c r="AE9140" s="160">
        <v>9138</v>
      </c>
    </row>
    <row r="9141" spans="27:31" x14ac:dyDescent="0.25">
      <c r="AA9141" s="160"/>
      <c r="AB9141" s="162"/>
      <c r="AC9141" s="162"/>
      <c r="AD9141" s="162">
        <f t="shared" si="162"/>
        <v>0</v>
      </c>
      <c r="AE9141" s="160">
        <v>9139</v>
      </c>
    </row>
    <row r="9142" spans="27:31" x14ac:dyDescent="0.25">
      <c r="AA9142" s="160"/>
      <c r="AB9142" s="162"/>
      <c r="AC9142" s="162"/>
      <c r="AD9142" s="162">
        <f t="shared" si="162"/>
        <v>0</v>
      </c>
      <c r="AE9142" s="160">
        <v>9140</v>
      </c>
    </row>
    <row r="9143" spans="27:31" x14ac:dyDescent="0.25">
      <c r="AA9143" s="160"/>
      <c r="AB9143" s="162"/>
      <c r="AC9143" s="162"/>
      <c r="AD9143" s="162">
        <f t="shared" si="162"/>
        <v>0</v>
      </c>
      <c r="AE9143" s="160">
        <v>9141</v>
      </c>
    </row>
    <row r="9144" spans="27:31" x14ac:dyDescent="0.25">
      <c r="AA9144" s="160"/>
      <c r="AB9144" s="162"/>
      <c r="AC9144" s="162"/>
      <c r="AD9144" s="162">
        <f t="shared" si="162"/>
        <v>0</v>
      </c>
      <c r="AE9144" s="160">
        <v>9142</v>
      </c>
    </row>
    <row r="9145" spans="27:31" x14ac:dyDescent="0.25">
      <c r="AA9145" s="160"/>
      <c r="AB9145" s="162"/>
      <c r="AC9145" s="162"/>
      <c r="AD9145" s="162">
        <f t="shared" si="162"/>
        <v>0</v>
      </c>
      <c r="AE9145" s="160">
        <v>9143</v>
      </c>
    </row>
    <row r="9146" spans="27:31" x14ac:dyDescent="0.25">
      <c r="AA9146" s="160"/>
      <c r="AB9146" s="162"/>
      <c r="AC9146" s="162"/>
      <c r="AD9146" s="162">
        <f t="shared" si="162"/>
        <v>0</v>
      </c>
      <c r="AE9146" s="160">
        <v>9144</v>
      </c>
    </row>
    <row r="9147" spans="27:31" x14ac:dyDescent="0.25">
      <c r="AA9147" s="160"/>
      <c r="AB9147" s="162"/>
      <c r="AC9147" s="162"/>
      <c r="AD9147" s="162">
        <f t="shared" si="162"/>
        <v>0</v>
      </c>
      <c r="AE9147" s="160">
        <v>9145</v>
      </c>
    </row>
    <row r="9148" spans="27:31" x14ac:dyDescent="0.25">
      <c r="AA9148" s="160"/>
      <c r="AB9148" s="162"/>
      <c r="AC9148" s="162"/>
      <c r="AD9148" s="162">
        <f t="shared" si="162"/>
        <v>0</v>
      </c>
      <c r="AE9148" s="160">
        <v>9146</v>
      </c>
    </row>
    <row r="9149" spans="27:31" x14ac:dyDescent="0.25">
      <c r="AA9149" s="160"/>
      <c r="AB9149" s="162"/>
      <c r="AC9149" s="162"/>
      <c r="AD9149" s="162">
        <f t="shared" si="162"/>
        <v>0</v>
      </c>
      <c r="AE9149" s="160">
        <v>9147</v>
      </c>
    </row>
    <row r="9150" spans="27:31" x14ac:dyDescent="0.25">
      <c r="AA9150" s="160"/>
      <c r="AB9150" s="162"/>
      <c r="AC9150" s="162"/>
      <c r="AD9150" s="162">
        <f t="shared" si="162"/>
        <v>0</v>
      </c>
      <c r="AE9150" s="160">
        <v>9148</v>
      </c>
    </row>
    <row r="9151" spans="27:31" x14ac:dyDescent="0.25">
      <c r="AA9151" s="160"/>
      <c r="AB9151" s="162"/>
      <c r="AC9151" s="162"/>
      <c r="AD9151" s="162">
        <f t="shared" si="162"/>
        <v>0</v>
      </c>
      <c r="AE9151" s="160">
        <v>9149</v>
      </c>
    </row>
    <row r="9152" spans="27:31" x14ac:dyDescent="0.25">
      <c r="AA9152" s="160"/>
      <c r="AB9152" s="162"/>
      <c r="AC9152" s="162"/>
      <c r="AD9152" s="162">
        <f t="shared" si="162"/>
        <v>0</v>
      </c>
      <c r="AE9152" s="160">
        <v>9150</v>
      </c>
    </row>
    <row r="9153" spans="27:31" x14ac:dyDescent="0.25">
      <c r="AA9153" s="160"/>
      <c r="AB9153" s="162"/>
      <c r="AC9153" s="162"/>
      <c r="AD9153" s="162">
        <f t="shared" si="162"/>
        <v>0</v>
      </c>
      <c r="AE9153" s="160">
        <v>9151</v>
      </c>
    </row>
    <row r="9154" spans="27:31" x14ac:dyDescent="0.25">
      <c r="AA9154" s="160"/>
      <c r="AB9154" s="162"/>
      <c r="AC9154" s="162"/>
      <c r="AD9154" s="162">
        <f t="shared" si="162"/>
        <v>0</v>
      </c>
      <c r="AE9154" s="160">
        <v>9152</v>
      </c>
    </row>
    <row r="9155" spans="27:31" x14ac:dyDescent="0.25">
      <c r="AA9155" s="160"/>
      <c r="AB9155" s="162"/>
      <c r="AC9155" s="162"/>
      <c r="AD9155" s="162">
        <f t="shared" si="162"/>
        <v>0</v>
      </c>
      <c r="AE9155" s="160">
        <v>9153</v>
      </c>
    </row>
    <row r="9156" spans="27:31" x14ac:dyDescent="0.25">
      <c r="AA9156" s="160"/>
      <c r="AB9156" s="162"/>
      <c r="AC9156" s="162"/>
      <c r="AD9156" s="162">
        <f t="shared" ref="AD9156:AD9219" si="163">AB9156+AC9156</f>
        <v>0</v>
      </c>
      <c r="AE9156" s="160">
        <v>9154</v>
      </c>
    </row>
    <row r="9157" spans="27:31" x14ac:dyDescent="0.25">
      <c r="AA9157" s="160"/>
      <c r="AB9157" s="162"/>
      <c r="AC9157" s="162"/>
      <c r="AD9157" s="162">
        <f t="shared" si="163"/>
        <v>0</v>
      </c>
      <c r="AE9157" s="160">
        <v>9155</v>
      </c>
    </row>
    <row r="9158" spans="27:31" x14ac:dyDescent="0.25">
      <c r="AA9158" s="160"/>
      <c r="AB9158" s="162"/>
      <c r="AC9158" s="162"/>
      <c r="AD9158" s="162">
        <f t="shared" si="163"/>
        <v>0</v>
      </c>
      <c r="AE9158" s="160">
        <v>9156</v>
      </c>
    </row>
    <row r="9159" spans="27:31" x14ac:dyDescent="0.25">
      <c r="AA9159" s="160"/>
      <c r="AB9159" s="162"/>
      <c r="AC9159" s="162"/>
      <c r="AD9159" s="162">
        <f t="shared" si="163"/>
        <v>0</v>
      </c>
      <c r="AE9159" s="160">
        <v>9157</v>
      </c>
    </row>
    <row r="9160" spans="27:31" x14ac:dyDescent="0.25">
      <c r="AA9160" s="160"/>
      <c r="AB9160" s="162"/>
      <c r="AC9160" s="162"/>
      <c r="AD9160" s="162">
        <f t="shared" si="163"/>
        <v>0</v>
      </c>
      <c r="AE9160" s="160">
        <v>9158</v>
      </c>
    </row>
    <row r="9161" spans="27:31" x14ac:dyDescent="0.25">
      <c r="AA9161" s="160"/>
      <c r="AB9161" s="162"/>
      <c r="AC9161" s="162"/>
      <c r="AD9161" s="162">
        <f t="shared" si="163"/>
        <v>0</v>
      </c>
      <c r="AE9161" s="160">
        <v>9159</v>
      </c>
    </row>
    <row r="9162" spans="27:31" x14ac:dyDescent="0.25">
      <c r="AA9162" s="160"/>
      <c r="AB9162" s="162"/>
      <c r="AC9162" s="162"/>
      <c r="AD9162" s="162">
        <f t="shared" si="163"/>
        <v>0</v>
      </c>
      <c r="AE9162" s="160">
        <v>9160</v>
      </c>
    </row>
    <row r="9163" spans="27:31" x14ac:dyDescent="0.25">
      <c r="AA9163" s="160"/>
      <c r="AB9163" s="162"/>
      <c r="AC9163" s="162"/>
      <c r="AD9163" s="162">
        <f t="shared" si="163"/>
        <v>0</v>
      </c>
      <c r="AE9163" s="160">
        <v>9161</v>
      </c>
    </row>
    <row r="9164" spans="27:31" x14ac:dyDescent="0.25">
      <c r="AA9164" s="160"/>
      <c r="AB9164" s="162"/>
      <c r="AC9164" s="162"/>
      <c r="AD9164" s="162">
        <f t="shared" si="163"/>
        <v>0</v>
      </c>
      <c r="AE9164" s="160">
        <v>9162</v>
      </c>
    </row>
    <row r="9165" spans="27:31" x14ac:dyDescent="0.25">
      <c r="AA9165" s="160"/>
      <c r="AB9165" s="162"/>
      <c r="AC9165" s="162"/>
      <c r="AD9165" s="162">
        <f t="shared" si="163"/>
        <v>0</v>
      </c>
      <c r="AE9165" s="160">
        <v>9163</v>
      </c>
    </row>
    <row r="9166" spans="27:31" x14ac:dyDescent="0.25">
      <c r="AA9166" s="160"/>
      <c r="AB9166" s="162"/>
      <c r="AC9166" s="162"/>
      <c r="AD9166" s="162">
        <f t="shared" si="163"/>
        <v>0</v>
      </c>
      <c r="AE9166" s="160">
        <v>9164</v>
      </c>
    </row>
    <row r="9167" spans="27:31" x14ac:dyDescent="0.25">
      <c r="AA9167" s="160"/>
      <c r="AB9167" s="162"/>
      <c r="AC9167" s="162"/>
      <c r="AD9167" s="162">
        <f t="shared" si="163"/>
        <v>0</v>
      </c>
      <c r="AE9167" s="160">
        <v>9165</v>
      </c>
    </row>
    <row r="9168" spans="27:31" x14ac:dyDescent="0.25">
      <c r="AA9168" s="160"/>
      <c r="AB9168" s="162"/>
      <c r="AC9168" s="162"/>
      <c r="AD9168" s="162">
        <f t="shared" si="163"/>
        <v>0</v>
      </c>
      <c r="AE9168" s="160">
        <v>9166</v>
      </c>
    </row>
    <row r="9169" spans="27:31" x14ac:dyDescent="0.25">
      <c r="AA9169" s="160"/>
      <c r="AB9169" s="162"/>
      <c r="AC9169" s="162"/>
      <c r="AD9169" s="162">
        <f t="shared" si="163"/>
        <v>0</v>
      </c>
      <c r="AE9169" s="160">
        <v>9167</v>
      </c>
    </row>
    <row r="9170" spans="27:31" x14ac:dyDescent="0.25">
      <c r="AA9170" s="160"/>
      <c r="AB9170" s="162"/>
      <c r="AC9170" s="162"/>
      <c r="AD9170" s="162">
        <f t="shared" si="163"/>
        <v>0</v>
      </c>
      <c r="AE9170" s="160">
        <v>9168</v>
      </c>
    </row>
    <row r="9171" spans="27:31" x14ac:dyDescent="0.25">
      <c r="AA9171" s="160"/>
      <c r="AB9171" s="162"/>
      <c r="AC9171" s="162"/>
      <c r="AD9171" s="162">
        <f t="shared" si="163"/>
        <v>0</v>
      </c>
      <c r="AE9171" s="160">
        <v>9169</v>
      </c>
    </row>
    <row r="9172" spans="27:31" x14ac:dyDescent="0.25">
      <c r="AA9172" s="160"/>
      <c r="AB9172" s="162"/>
      <c r="AC9172" s="162"/>
      <c r="AD9172" s="162">
        <f t="shared" si="163"/>
        <v>0</v>
      </c>
      <c r="AE9172" s="160">
        <v>9170</v>
      </c>
    </row>
    <row r="9173" spans="27:31" x14ac:dyDescent="0.25">
      <c r="AA9173" s="160"/>
      <c r="AB9173" s="162"/>
      <c r="AC9173" s="162"/>
      <c r="AD9173" s="162">
        <f t="shared" si="163"/>
        <v>0</v>
      </c>
      <c r="AE9173" s="160">
        <v>9171</v>
      </c>
    </row>
    <row r="9174" spans="27:31" x14ac:dyDescent="0.25">
      <c r="AA9174" s="160"/>
      <c r="AB9174" s="162"/>
      <c r="AC9174" s="162"/>
      <c r="AD9174" s="162">
        <f t="shared" si="163"/>
        <v>0</v>
      </c>
      <c r="AE9174" s="160">
        <v>9172</v>
      </c>
    </row>
    <row r="9175" spans="27:31" x14ac:dyDescent="0.25">
      <c r="AA9175" s="160"/>
      <c r="AB9175" s="162"/>
      <c r="AC9175" s="162"/>
      <c r="AD9175" s="162">
        <f t="shared" si="163"/>
        <v>0</v>
      </c>
      <c r="AE9175" s="160">
        <v>9173</v>
      </c>
    </row>
    <row r="9176" spans="27:31" x14ac:dyDescent="0.25">
      <c r="AA9176" s="160"/>
      <c r="AB9176" s="162"/>
      <c r="AC9176" s="162"/>
      <c r="AD9176" s="162">
        <f t="shared" si="163"/>
        <v>0</v>
      </c>
      <c r="AE9176" s="160">
        <v>9174</v>
      </c>
    </row>
    <row r="9177" spans="27:31" x14ac:dyDescent="0.25">
      <c r="AA9177" s="160"/>
      <c r="AB9177" s="162"/>
      <c r="AC9177" s="162"/>
      <c r="AD9177" s="162">
        <f t="shared" si="163"/>
        <v>0</v>
      </c>
      <c r="AE9177" s="160">
        <v>9175</v>
      </c>
    </row>
    <row r="9178" spans="27:31" x14ac:dyDescent="0.25">
      <c r="AA9178" s="160"/>
      <c r="AB9178" s="162"/>
      <c r="AC9178" s="162"/>
      <c r="AD9178" s="162">
        <f t="shared" si="163"/>
        <v>0</v>
      </c>
      <c r="AE9178" s="160">
        <v>9176</v>
      </c>
    </row>
    <row r="9179" spans="27:31" x14ac:dyDescent="0.25">
      <c r="AA9179" s="160"/>
      <c r="AB9179" s="162"/>
      <c r="AC9179" s="162"/>
      <c r="AD9179" s="162">
        <f t="shared" si="163"/>
        <v>0</v>
      </c>
      <c r="AE9179" s="160">
        <v>9177</v>
      </c>
    </row>
    <row r="9180" spans="27:31" x14ac:dyDescent="0.25">
      <c r="AA9180" s="160"/>
      <c r="AB9180" s="162"/>
      <c r="AC9180" s="162"/>
      <c r="AD9180" s="162">
        <f t="shared" si="163"/>
        <v>0</v>
      </c>
      <c r="AE9180" s="160">
        <v>9178</v>
      </c>
    </row>
    <row r="9181" spans="27:31" x14ac:dyDescent="0.25">
      <c r="AA9181" s="160"/>
      <c r="AB9181" s="162"/>
      <c r="AC9181" s="162"/>
      <c r="AD9181" s="162">
        <f t="shared" si="163"/>
        <v>0</v>
      </c>
      <c r="AE9181" s="160">
        <v>9179</v>
      </c>
    </row>
    <row r="9182" spans="27:31" x14ac:dyDescent="0.25">
      <c r="AA9182" s="160"/>
      <c r="AB9182" s="162"/>
      <c r="AC9182" s="162"/>
      <c r="AD9182" s="162">
        <f t="shared" si="163"/>
        <v>0</v>
      </c>
      <c r="AE9182" s="160">
        <v>9180</v>
      </c>
    </row>
    <row r="9183" spans="27:31" x14ac:dyDescent="0.25">
      <c r="AA9183" s="160"/>
      <c r="AB9183" s="162"/>
      <c r="AC9183" s="162"/>
      <c r="AD9183" s="162">
        <f t="shared" si="163"/>
        <v>0</v>
      </c>
      <c r="AE9183" s="160">
        <v>9181</v>
      </c>
    </row>
    <row r="9184" spans="27:31" x14ac:dyDescent="0.25">
      <c r="AA9184" s="160"/>
      <c r="AB9184" s="162"/>
      <c r="AC9184" s="162"/>
      <c r="AD9184" s="162">
        <f t="shared" si="163"/>
        <v>0</v>
      </c>
      <c r="AE9184" s="160">
        <v>9182</v>
      </c>
    </row>
    <row r="9185" spans="27:31" x14ac:dyDescent="0.25">
      <c r="AA9185" s="160"/>
      <c r="AB9185" s="162"/>
      <c r="AC9185" s="162"/>
      <c r="AD9185" s="162">
        <f t="shared" si="163"/>
        <v>0</v>
      </c>
      <c r="AE9185" s="160">
        <v>9183</v>
      </c>
    </row>
    <row r="9186" spans="27:31" x14ac:dyDescent="0.25">
      <c r="AA9186" s="160"/>
      <c r="AB9186" s="162"/>
      <c r="AC9186" s="162"/>
      <c r="AD9186" s="162">
        <f t="shared" si="163"/>
        <v>0</v>
      </c>
      <c r="AE9186" s="160">
        <v>9184</v>
      </c>
    </row>
    <row r="9187" spans="27:31" x14ac:dyDescent="0.25">
      <c r="AA9187" s="160"/>
      <c r="AB9187" s="162"/>
      <c r="AC9187" s="162"/>
      <c r="AD9187" s="162">
        <f t="shared" si="163"/>
        <v>0</v>
      </c>
      <c r="AE9187" s="160">
        <v>9185</v>
      </c>
    </row>
    <row r="9188" spans="27:31" x14ac:dyDescent="0.25">
      <c r="AA9188" s="160"/>
      <c r="AB9188" s="162"/>
      <c r="AC9188" s="162"/>
      <c r="AD9188" s="162">
        <f t="shared" si="163"/>
        <v>0</v>
      </c>
      <c r="AE9188" s="160">
        <v>9186</v>
      </c>
    </row>
    <row r="9189" spans="27:31" x14ac:dyDescent="0.25">
      <c r="AA9189" s="160"/>
      <c r="AB9189" s="162"/>
      <c r="AC9189" s="162"/>
      <c r="AD9189" s="162">
        <f t="shared" si="163"/>
        <v>0</v>
      </c>
      <c r="AE9189" s="160">
        <v>9187</v>
      </c>
    </row>
    <row r="9190" spans="27:31" x14ac:dyDescent="0.25">
      <c r="AA9190" s="160"/>
      <c r="AB9190" s="162"/>
      <c r="AC9190" s="162"/>
      <c r="AD9190" s="162">
        <f t="shared" si="163"/>
        <v>0</v>
      </c>
      <c r="AE9190" s="160">
        <v>9188</v>
      </c>
    </row>
    <row r="9191" spans="27:31" x14ac:dyDescent="0.25">
      <c r="AA9191" s="160"/>
      <c r="AB9191" s="162"/>
      <c r="AC9191" s="162"/>
      <c r="AD9191" s="162">
        <f t="shared" si="163"/>
        <v>0</v>
      </c>
      <c r="AE9191" s="160">
        <v>9189</v>
      </c>
    </row>
    <row r="9192" spans="27:31" x14ac:dyDescent="0.25">
      <c r="AA9192" s="160"/>
      <c r="AB9192" s="162"/>
      <c r="AC9192" s="162"/>
      <c r="AD9192" s="162">
        <f t="shared" si="163"/>
        <v>0</v>
      </c>
      <c r="AE9192" s="160">
        <v>9190</v>
      </c>
    </row>
    <row r="9193" spans="27:31" x14ac:dyDescent="0.25">
      <c r="AA9193" s="160"/>
      <c r="AB9193" s="162"/>
      <c r="AC9193" s="162"/>
      <c r="AD9193" s="162">
        <f t="shared" si="163"/>
        <v>0</v>
      </c>
      <c r="AE9193" s="160">
        <v>9191</v>
      </c>
    </row>
    <row r="9194" spans="27:31" x14ac:dyDescent="0.25">
      <c r="AA9194" s="160"/>
      <c r="AB9194" s="162"/>
      <c r="AC9194" s="162"/>
      <c r="AD9194" s="162">
        <f t="shared" si="163"/>
        <v>0</v>
      </c>
      <c r="AE9194" s="160">
        <v>9192</v>
      </c>
    </row>
    <row r="9195" spans="27:31" x14ac:dyDescent="0.25">
      <c r="AA9195" s="160"/>
      <c r="AB9195" s="162"/>
      <c r="AC9195" s="162"/>
      <c r="AD9195" s="162">
        <f t="shared" si="163"/>
        <v>0</v>
      </c>
      <c r="AE9195" s="160">
        <v>9193</v>
      </c>
    </row>
    <row r="9196" spans="27:31" x14ac:dyDescent="0.25">
      <c r="AA9196" s="160"/>
      <c r="AB9196" s="162"/>
      <c r="AC9196" s="162"/>
      <c r="AD9196" s="162">
        <f t="shared" si="163"/>
        <v>0</v>
      </c>
      <c r="AE9196" s="160">
        <v>9194</v>
      </c>
    </row>
    <row r="9197" spans="27:31" x14ac:dyDescent="0.25">
      <c r="AA9197" s="160"/>
      <c r="AB9197" s="162"/>
      <c r="AC9197" s="162"/>
      <c r="AD9197" s="162">
        <f t="shared" si="163"/>
        <v>0</v>
      </c>
      <c r="AE9197" s="160">
        <v>9195</v>
      </c>
    </row>
    <row r="9198" spans="27:31" x14ac:dyDescent="0.25">
      <c r="AA9198" s="160"/>
      <c r="AB9198" s="162"/>
      <c r="AC9198" s="162"/>
      <c r="AD9198" s="162">
        <f t="shared" si="163"/>
        <v>0</v>
      </c>
      <c r="AE9198" s="160">
        <v>9196</v>
      </c>
    </row>
    <row r="9199" spans="27:31" x14ac:dyDescent="0.25">
      <c r="AA9199" s="160"/>
      <c r="AB9199" s="162"/>
      <c r="AC9199" s="162"/>
      <c r="AD9199" s="162">
        <f t="shared" si="163"/>
        <v>0</v>
      </c>
      <c r="AE9199" s="160">
        <v>9197</v>
      </c>
    </row>
    <row r="9200" spans="27:31" x14ac:dyDescent="0.25">
      <c r="AA9200" s="160"/>
      <c r="AB9200" s="162"/>
      <c r="AC9200" s="162"/>
      <c r="AD9200" s="162">
        <f t="shared" si="163"/>
        <v>0</v>
      </c>
      <c r="AE9200" s="160">
        <v>9198</v>
      </c>
    </row>
    <row r="9201" spans="27:31" x14ac:dyDescent="0.25">
      <c r="AA9201" s="160"/>
      <c r="AB9201" s="162"/>
      <c r="AC9201" s="162"/>
      <c r="AD9201" s="162">
        <f t="shared" si="163"/>
        <v>0</v>
      </c>
      <c r="AE9201" s="160">
        <v>9199</v>
      </c>
    </row>
    <row r="9202" spans="27:31" x14ac:dyDescent="0.25">
      <c r="AA9202" s="160"/>
      <c r="AB9202" s="162"/>
      <c r="AC9202" s="162"/>
      <c r="AD9202" s="162">
        <f t="shared" si="163"/>
        <v>0</v>
      </c>
      <c r="AE9202" s="160">
        <v>9200</v>
      </c>
    </row>
    <row r="9203" spans="27:31" x14ac:dyDescent="0.25">
      <c r="AA9203" s="160"/>
      <c r="AB9203" s="162"/>
      <c r="AC9203" s="162"/>
      <c r="AD9203" s="162">
        <f t="shared" si="163"/>
        <v>0</v>
      </c>
      <c r="AE9203" s="160">
        <v>9201</v>
      </c>
    </row>
    <row r="9204" spans="27:31" x14ac:dyDescent="0.25">
      <c r="AA9204" s="160"/>
      <c r="AB9204" s="162"/>
      <c r="AC9204" s="162"/>
      <c r="AD9204" s="162">
        <f t="shared" si="163"/>
        <v>0</v>
      </c>
      <c r="AE9204" s="160">
        <v>9202</v>
      </c>
    </row>
    <row r="9205" spans="27:31" x14ac:dyDescent="0.25">
      <c r="AA9205" s="160"/>
      <c r="AB9205" s="162"/>
      <c r="AC9205" s="162"/>
      <c r="AD9205" s="162">
        <f t="shared" si="163"/>
        <v>0</v>
      </c>
      <c r="AE9205" s="160">
        <v>9203</v>
      </c>
    </row>
    <row r="9206" spans="27:31" x14ac:dyDescent="0.25">
      <c r="AA9206" s="160"/>
      <c r="AB9206" s="162"/>
      <c r="AC9206" s="162"/>
      <c r="AD9206" s="162">
        <f t="shared" si="163"/>
        <v>0</v>
      </c>
      <c r="AE9206" s="160">
        <v>9204</v>
      </c>
    </row>
    <row r="9207" spans="27:31" x14ac:dyDescent="0.25">
      <c r="AA9207" s="160"/>
      <c r="AB9207" s="162"/>
      <c r="AC9207" s="162"/>
      <c r="AD9207" s="162">
        <f t="shared" si="163"/>
        <v>0</v>
      </c>
      <c r="AE9207" s="160">
        <v>9205</v>
      </c>
    </row>
    <row r="9208" spans="27:31" x14ac:dyDescent="0.25">
      <c r="AA9208" s="160"/>
      <c r="AB9208" s="162"/>
      <c r="AC9208" s="162"/>
      <c r="AD9208" s="162">
        <f t="shared" si="163"/>
        <v>0</v>
      </c>
      <c r="AE9208" s="160">
        <v>9206</v>
      </c>
    </row>
    <row r="9209" spans="27:31" x14ac:dyDescent="0.25">
      <c r="AA9209" s="160"/>
      <c r="AB9209" s="162"/>
      <c r="AC9209" s="162"/>
      <c r="AD9209" s="162">
        <f t="shared" si="163"/>
        <v>0</v>
      </c>
      <c r="AE9209" s="160">
        <v>9207</v>
      </c>
    </row>
    <row r="9210" spans="27:31" x14ac:dyDescent="0.25">
      <c r="AA9210" s="160"/>
      <c r="AB9210" s="162"/>
      <c r="AC9210" s="162"/>
      <c r="AD9210" s="162">
        <f t="shared" si="163"/>
        <v>0</v>
      </c>
      <c r="AE9210" s="160">
        <v>9208</v>
      </c>
    </row>
    <row r="9211" spans="27:31" x14ac:dyDescent="0.25">
      <c r="AA9211" s="160"/>
      <c r="AB9211" s="162"/>
      <c r="AC9211" s="162"/>
      <c r="AD9211" s="162">
        <f t="shared" si="163"/>
        <v>0</v>
      </c>
      <c r="AE9211" s="160">
        <v>9209</v>
      </c>
    </row>
    <row r="9212" spans="27:31" x14ac:dyDescent="0.25">
      <c r="AA9212" s="160"/>
      <c r="AB9212" s="162"/>
      <c r="AC9212" s="162"/>
      <c r="AD9212" s="162">
        <f t="shared" si="163"/>
        <v>0</v>
      </c>
      <c r="AE9212" s="160">
        <v>9210</v>
      </c>
    </row>
    <row r="9213" spans="27:31" x14ac:dyDescent="0.25">
      <c r="AA9213" s="160"/>
      <c r="AB9213" s="162"/>
      <c r="AC9213" s="162"/>
      <c r="AD9213" s="162">
        <f t="shared" si="163"/>
        <v>0</v>
      </c>
      <c r="AE9213" s="160">
        <v>9211</v>
      </c>
    </row>
    <row r="9214" spans="27:31" x14ac:dyDescent="0.25">
      <c r="AA9214" s="160"/>
      <c r="AB9214" s="162"/>
      <c r="AC9214" s="162"/>
      <c r="AD9214" s="162">
        <f t="shared" si="163"/>
        <v>0</v>
      </c>
      <c r="AE9214" s="160">
        <v>9212</v>
      </c>
    </row>
    <row r="9215" spans="27:31" x14ac:dyDescent="0.25">
      <c r="AA9215" s="160"/>
      <c r="AB9215" s="162"/>
      <c r="AC9215" s="162"/>
      <c r="AD9215" s="162">
        <f t="shared" si="163"/>
        <v>0</v>
      </c>
      <c r="AE9215" s="160">
        <v>9213</v>
      </c>
    </row>
    <row r="9216" spans="27:31" x14ac:dyDescent="0.25">
      <c r="AA9216" s="160"/>
      <c r="AB9216" s="162"/>
      <c r="AC9216" s="162"/>
      <c r="AD9216" s="162">
        <f t="shared" si="163"/>
        <v>0</v>
      </c>
      <c r="AE9216" s="160">
        <v>9214</v>
      </c>
    </row>
    <row r="9217" spans="27:31" x14ac:dyDescent="0.25">
      <c r="AA9217" s="160"/>
      <c r="AB9217" s="162"/>
      <c r="AC9217" s="162"/>
      <c r="AD9217" s="162">
        <f t="shared" si="163"/>
        <v>0</v>
      </c>
      <c r="AE9217" s="160">
        <v>9215</v>
      </c>
    </row>
    <row r="9218" spans="27:31" x14ac:dyDescent="0.25">
      <c r="AA9218" s="160"/>
      <c r="AB9218" s="162"/>
      <c r="AC9218" s="162"/>
      <c r="AD9218" s="162">
        <f t="shared" si="163"/>
        <v>0</v>
      </c>
      <c r="AE9218" s="160">
        <v>9216</v>
      </c>
    </row>
    <row r="9219" spans="27:31" x14ac:dyDescent="0.25">
      <c r="AA9219" s="160"/>
      <c r="AB9219" s="162"/>
      <c r="AC9219" s="162"/>
      <c r="AD9219" s="162">
        <f t="shared" si="163"/>
        <v>0</v>
      </c>
      <c r="AE9219" s="160">
        <v>9217</v>
      </c>
    </row>
    <row r="9220" spans="27:31" x14ac:dyDescent="0.25">
      <c r="AA9220" s="160"/>
      <c r="AB9220" s="162"/>
      <c r="AC9220" s="162"/>
      <c r="AD9220" s="162">
        <f t="shared" ref="AD9220:AD9283" si="164">AB9220+AC9220</f>
        <v>0</v>
      </c>
      <c r="AE9220" s="160">
        <v>9218</v>
      </c>
    </row>
    <row r="9221" spans="27:31" x14ac:dyDescent="0.25">
      <c r="AA9221" s="160"/>
      <c r="AB9221" s="162"/>
      <c r="AC9221" s="162"/>
      <c r="AD9221" s="162">
        <f t="shared" si="164"/>
        <v>0</v>
      </c>
      <c r="AE9221" s="160">
        <v>9219</v>
      </c>
    </row>
    <row r="9222" spans="27:31" x14ac:dyDescent="0.25">
      <c r="AA9222" s="160"/>
      <c r="AB9222" s="162"/>
      <c r="AC9222" s="162"/>
      <c r="AD9222" s="162">
        <f t="shared" si="164"/>
        <v>0</v>
      </c>
      <c r="AE9222" s="160">
        <v>9220</v>
      </c>
    </row>
    <row r="9223" spans="27:31" x14ac:dyDescent="0.25">
      <c r="AA9223" s="160"/>
      <c r="AB9223" s="162"/>
      <c r="AC9223" s="162"/>
      <c r="AD9223" s="162">
        <f t="shared" si="164"/>
        <v>0</v>
      </c>
      <c r="AE9223" s="160">
        <v>9221</v>
      </c>
    </row>
    <row r="9224" spans="27:31" x14ac:dyDescent="0.25">
      <c r="AA9224" s="160"/>
      <c r="AB9224" s="162"/>
      <c r="AC9224" s="162"/>
      <c r="AD9224" s="162">
        <f t="shared" si="164"/>
        <v>0</v>
      </c>
      <c r="AE9224" s="160">
        <v>9222</v>
      </c>
    </row>
    <row r="9225" spans="27:31" x14ac:dyDescent="0.25">
      <c r="AA9225" s="160"/>
      <c r="AB9225" s="162"/>
      <c r="AC9225" s="162"/>
      <c r="AD9225" s="162">
        <f t="shared" si="164"/>
        <v>0</v>
      </c>
      <c r="AE9225" s="160">
        <v>9223</v>
      </c>
    </row>
    <row r="9226" spans="27:31" x14ac:dyDescent="0.25">
      <c r="AA9226" s="160"/>
      <c r="AB9226" s="162"/>
      <c r="AC9226" s="162"/>
      <c r="AD9226" s="162">
        <f t="shared" si="164"/>
        <v>0</v>
      </c>
      <c r="AE9226" s="160">
        <v>9224</v>
      </c>
    </row>
    <row r="9227" spans="27:31" x14ac:dyDescent="0.25">
      <c r="AA9227" s="160"/>
      <c r="AB9227" s="162"/>
      <c r="AC9227" s="162"/>
      <c r="AD9227" s="162">
        <f t="shared" si="164"/>
        <v>0</v>
      </c>
      <c r="AE9227" s="160">
        <v>9225</v>
      </c>
    </row>
    <row r="9228" spans="27:31" x14ac:dyDescent="0.25">
      <c r="AA9228" s="160"/>
      <c r="AB9228" s="162"/>
      <c r="AC9228" s="162"/>
      <c r="AD9228" s="162">
        <f t="shared" si="164"/>
        <v>0</v>
      </c>
      <c r="AE9228" s="160">
        <v>9226</v>
      </c>
    </row>
    <row r="9229" spans="27:31" x14ac:dyDescent="0.25">
      <c r="AA9229" s="160"/>
      <c r="AB9229" s="162"/>
      <c r="AC9229" s="162"/>
      <c r="AD9229" s="162">
        <f t="shared" si="164"/>
        <v>0</v>
      </c>
      <c r="AE9229" s="160">
        <v>9227</v>
      </c>
    </row>
    <row r="9230" spans="27:31" x14ac:dyDescent="0.25">
      <c r="AA9230" s="160"/>
      <c r="AB9230" s="162"/>
      <c r="AC9230" s="162"/>
      <c r="AD9230" s="162">
        <f t="shared" si="164"/>
        <v>0</v>
      </c>
      <c r="AE9230" s="160">
        <v>9228</v>
      </c>
    </row>
    <row r="9231" spans="27:31" x14ac:dyDescent="0.25">
      <c r="AA9231" s="160"/>
      <c r="AB9231" s="162"/>
      <c r="AC9231" s="162"/>
      <c r="AD9231" s="162">
        <f t="shared" si="164"/>
        <v>0</v>
      </c>
      <c r="AE9231" s="160">
        <v>9229</v>
      </c>
    </row>
    <row r="9232" spans="27:31" x14ac:dyDescent="0.25">
      <c r="AA9232" s="160"/>
      <c r="AB9232" s="162"/>
      <c r="AC9232" s="162"/>
      <c r="AD9232" s="162">
        <f t="shared" si="164"/>
        <v>0</v>
      </c>
      <c r="AE9232" s="160">
        <v>9230</v>
      </c>
    </row>
    <row r="9233" spans="27:31" x14ac:dyDescent="0.25">
      <c r="AA9233" s="160"/>
      <c r="AB9233" s="162"/>
      <c r="AC9233" s="162"/>
      <c r="AD9233" s="162">
        <f t="shared" si="164"/>
        <v>0</v>
      </c>
      <c r="AE9233" s="160">
        <v>9231</v>
      </c>
    </row>
    <row r="9234" spans="27:31" x14ac:dyDescent="0.25">
      <c r="AA9234" s="160"/>
      <c r="AB9234" s="162"/>
      <c r="AC9234" s="162"/>
      <c r="AD9234" s="162">
        <f t="shared" si="164"/>
        <v>0</v>
      </c>
      <c r="AE9234" s="160">
        <v>9232</v>
      </c>
    </row>
    <row r="9235" spans="27:31" x14ac:dyDescent="0.25">
      <c r="AA9235" s="160"/>
      <c r="AB9235" s="162"/>
      <c r="AC9235" s="162"/>
      <c r="AD9235" s="162">
        <f t="shared" si="164"/>
        <v>0</v>
      </c>
      <c r="AE9235" s="160">
        <v>9233</v>
      </c>
    </row>
    <row r="9236" spans="27:31" x14ac:dyDescent="0.25">
      <c r="AA9236" s="160"/>
      <c r="AB9236" s="162"/>
      <c r="AC9236" s="162"/>
      <c r="AD9236" s="162">
        <f t="shared" si="164"/>
        <v>0</v>
      </c>
      <c r="AE9236" s="160">
        <v>9234</v>
      </c>
    </row>
    <row r="9237" spans="27:31" x14ac:dyDescent="0.25">
      <c r="AA9237" s="160"/>
      <c r="AB9237" s="162"/>
      <c r="AC9237" s="162"/>
      <c r="AD9237" s="162">
        <f t="shared" si="164"/>
        <v>0</v>
      </c>
      <c r="AE9237" s="160">
        <v>9235</v>
      </c>
    </row>
    <row r="9238" spans="27:31" x14ac:dyDescent="0.25">
      <c r="AA9238" s="160"/>
      <c r="AB9238" s="162"/>
      <c r="AC9238" s="162"/>
      <c r="AD9238" s="162">
        <f t="shared" si="164"/>
        <v>0</v>
      </c>
      <c r="AE9238" s="160">
        <v>9236</v>
      </c>
    </row>
    <row r="9239" spans="27:31" x14ac:dyDescent="0.25">
      <c r="AA9239" s="160"/>
      <c r="AB9239" s="162"/>
      <c r="AC9239" s="162"/>
      <c r="AD9239" s="162">
        <f t="shared" si="164"/>
        <v>0</v>
      </c>
      <c r="AE9239" s="160">
        <v>9237</v>
      </c>
    </row>
    <row r="9240" spans="27:31" x14ac:dyDescent="0.25">
      <c r="AA9240" s="160"/>
      <c r="AB9240" s="162"/>
      <c r="AC9240" s="162"/>
      <c r="AD9240" s="162">
        <f t="shared" si="164"/>
        <v>0</v>
      </c>
      <c r="AE9240" s="160">
        <v>9238</v>
      </c>
    </row>
    <row r="9241" spans="27:31" x14ac:dyDescent="0.25">
      <c r="AA9241" s="160"/>
      <c r="AB9241" s="162"/>
      <c r="AC9241" s="162"/>
      <c r="AD9241" s="162">
        <f t="shared" si="164"/>
        <v>0</v>
      </c>
      <c r="AE9241" s="160">
        <v>9239</v>
      </c>
    </row>
    <row r="9242" spans="27:31" x14ac:dyDescent="0.25">
      <c r="AA9242" s="160"/>
      <c r="AB9242" s="162"/>
      <c r="AC9242" s="162"/>
      <c r="AD9242" s="162">
        <f t="shared" si="164"/>
        <v>0</v>
      </c>
      <c r="AE9242" s="160">
        <v>9240</v>
      </c>
    </row>
    <row r="9243" spans="27:31" x14ac:dyDescent="0.25">
      <c r="AA9243" s="160"/>
      <c r="AB9243" s="162"/>
      <c r="AC9243" s="162"/>
      <c r="AD9243" s="162">
        <f t="shared" si="164"/>
        <v>0</v>
      </c>
      <c r="AE9243" s="160">
        <v>9241</v>
      </c>
    </row>
    <row r="9244" spans="27:31" x14ac:dyDescent="0.25">
      <c r="AA9244" s="160"/>
      <c r="AB9244" s="162"/>
      <c r="AC9244" s="162"/>
      <c r="AD9244" s="162">
        <f t="shared" si="164"/>
        <v>0</v>
      </c>
      <c r="AE9244" s="160">
        <v>9242</v>
      </c>
    </row>
    <row r="9245" spans="27:31" x14ac:dyDescent="0.25">
      <c r="AA9245" s="160"/>
      <c r="AB9245" s="162"/>
      <c r="AC9245" s="162"/>
      <c r="AD9245" s="162">
        <f t="shared" si="164"/>
        <v>0</v>
      </c>
      <c r="AE9245" s="160">
        <v>9243</v>
      </c>
    </row>
    <row r="9246" spans="27:31" x14ac:dyDescent="0.25">
      <c r="AA9246" s="160"/>
      <c r="AB9246" s="162"/>
      <c r="AC9246" s="162"/>
      <c r="AD9246" s="162">
        <f t="shared" si="164"/>
        <v>0</v>
      </c>
      <c r="AE9246" s="160">
        <v>9244</v>
      </c>
    </row>
    <row r="9247" spans="27:31" x14ac:dyDescent="0.25">
      <c r="AA9247" s="160"/>
      <c r="AB9247" s="162"/>
      <c r="AC9247" s="162"/>
      <c r="AD9247" s="162">
        <f t="shared" si="164"/>
        <v>0</v>
      </c>
      <c r="AE9247" s="160">
        <v>9245</v>
      </c>
    </row>
    <row r="9248" spans="27:31" x14ac:dyDescent="0.25">
      <c r="AA9248" s="160"/>
      <c r="AB9248" s="162"/>
      <c r="AC9248" s="162"/>
      <c r="AD9248" s="162">
        <f t="shared" si="164"/>
        <v>0</v>
      </c>
      <c r="AE9248" s="160">
        <v>9246</v>
      </c>
    </row>
    <row r="9249" spans="27:31" x14ac:dyDescent="0.25">
      <c r="AA9249" s="160"/>
      <c r="AB9249" s="162"/>
      <c r="AC9249" s="162"/>
      <c r="AD9249" s="162">
        <f t="shared" si="164"/>
        <v>0</v>
      </c>
      <c r="AE9249" s="160">
        <v>9247</v>
      </c>
    </row>
    <row r="9250" spans="27:31" x14ac:dyDescent="0.25">
      <c r="AA9250" s="160"/>
      <c r="AB9250" s="162"/>
      <c r="AC9250" s="162"/>
      <c r="AD9250" s="162">
        <f t="shared" si="164"/>
        <v>0</v>
      </c>
      <c r="AE9250" s="160">
        <v>9248</v>
      </c>
    </row>
    <row r="9251" spans="27:31" x14ac:dyDescent="0.25">
      <c r="AA9251" s="160"/>
      <c r="AB9251" s="162"/>
      <c r="AC9251" s="162"/>
      <c r="AD9251" s="162">
        <f t="shared" si="164"/>
        <v>0</v>
      </c>
      <c r="AE9251" s="160">
        <v>9249</v>
      </c>
    </row>
    <row r="9252" spans="27:31" x14ac:dyDescent="0.25">
      <c r="AA9252" s="160"/>
      <c r="AB9252" s="162"/>
      <c r="AC9252" s="162"/>
      <c r="AD9252" s="162">
        <f t="shared" si="164"/>
        <v>0</v>
      </c>
      <c r="AE9252" s="160">
        <v>9250</v>
      </c>
    </row>
    <row r="9253" spans="27:31" x14ac:dyDescent="0.25">
      <c r="AA9253" s="160"/>
      <c r="AB9253" s="162"/>
      <c r="AC9253" s="162"/>
      <c r="AD9253" s="162">
        <f t="shared" si="164"/>
        <v>0</v>
      </c>
      <c r="AE9253" s="160">
        <v>9251</v>
      </c>
    </row>
    <row r="9254" spans="27:31" x14ac:dyDescent="0.25">
      <c r="AA9254" s="160"/>
      <c r="AB9254" s="162"/>
      <c r="AC9254" s="162"/>
      <c r="AD9254" s="162">
        <f t="shared" si="164"/>
        <v>0</v>
      </c>
      <c r="AE9254" s="160">
        <v>9252</v>
      </c>
    </row>
    <row r="9255" spans="27:31" x14ac:dyDescent="0.25">
      <c r="AA9255" s="160"/>
      <c r="AB9255" s="162"/>
      <c r="AC9255" s="162"/>
      <c r="AD9255" s="162">
        <f t="shared" si="164"/>
        <v>0</v>
      </c>
      <c r="AE9255" s="160">
        <v>9253</v>
      </c>
    </row>
    <row r="9256" spans="27:31" x14ac:dyDescent="0.25">
      <c r="AA9256" s="160"/>
      <c r="AB9256" s="162"/>
      <c r="AC9256" s="162"/>
      <c r="AD9256" s="162">
        <f t="shared" si="164"/>
        <v>0</v>
      </c>
      <c r="AE9256" s="160">
        <v>9254</v>
      </c>
    </row>
    <row r="9257" spans="27:31" x14ac:dyDescent="0.25">
      <c r="AA9257" s="160"/>
      <c r="AB9257" s="162"/>
      <c r="AC9257" s="162"/>
      <c r="AD9257" s="162">
        <f t="shared" si="164"/>
        <v>0</v>
      </c>
      <c r="AE9257" s="160">
        <v>9255</v>
      </c>
    </row>
    <row r="9258" spans="27:31" x14ac:dyDescent="0.25">
      <c r="AA9258" s="160"/>
      <c r="AB9258" s="162"/>
      <c r="AC9258" s="162"/>
      <c r="AD9258" s="162">
        <f t="shared" si="164"/>
        <v>0</v>
      </c>
      <c r="AE9258" s="160">
        <v>9256</v>
      </c>
    </row>
    <row r="9259" spans="27:31" x14ac:dyDescent="0.25">
      <c r="AA9259" s="160"/>
      <c r="AB9259" s="162"/>
      <c r="AC9259" s="162"/>
      <c r="AD9259" s="162">
        <f t="shared" si="164"/>
        <v>0</v>
      </c>
      <c r="AE9259" s="160">
        <v>9257</v>
      </c>
    </row>
    <row r="9260" spans="27:31" x14ac:dyDescent="0.25">
      <c r="AA9260" s="160"/>
      <c r="AB9260" s="162"/>
      <c r="AC9260" s="162"/>
      <c r="AD9260" s="162">
        <f t="shared" si="164"/>
        <v>0</v>
      </c>
      <c r="AE9260" s="160">
        <v>9258</v>
      </c>
    </row>
    <row r="9261" spans="27:31" x14ac:dyDescent="0.25">
      <c r="AA9261" s="160"/>
      <c r="AB9261" s="162"/>
      <c r="AC9261" s="162"/>
      <c r="AD9261" s="162">
        <f t="shared" si="164"/>
        <v>0</v>
      </c>
      <c r="AE9261" s="160">
        <v>9259</v>
      </c>
    </row>
    <row r="9262" spans="27:31" x14ac:dyDescent="0.25">
      <c r="AA9262" s="160"/>
      <c r="AB9262" s="162"/>
      <c r="AC9262" s="162"/>
      <c r="AD9262" s="162">
        <f t="shared" si="164"/>
        <v>0</v>
      </c>
      <c r="AE9262" s="160">
        <v>9260</v>
      </c>
    </row>
    <row r="9263" spans="27:31" x14ac:dyDescent="0.25">
      <c r="AA9263" s="160"/>
      <c r="AB9263" s="162"/>
      <c r="AC9263" s="162"/>
      <c r="AD9263" s="162">
        <f t="shared" si="164"/>
        <v>0</v>
      </c>
      <c r="AE9263" s="160">
        <v>9261</v>
      </c>
    </row>
    <row r="9264" spans="27:31" x14ac:dyDescent="0.25">
      <c r="AA9264" s="160"/>
      <c r="AB9264" s="162"/>
      <c r="AC9264" s="162"/>
      <c r="AD9264" s="162">
        <f t="shared" si="164"/>
        <v>0</v>
      </c>
      <c r="AE9264" s="160">
        <v>9262</v>
      </c>
    </row>
    <row r="9265" spans="27:31" x14ac:dyDescent="0.25">
      <c r="AA9265" s="160"/>
      <c r="AB9265" s="162"/>
      <c r="AC9265" s="162"/>
      <c r="AD9265" s="162">
        <f t="shared" si="164"/>
        <v>0</v>
      </c>
      <c r="AE9265" s="160">
        <v>9263</v>
      </c>
    </row>
    <row r="9266" spans="27:31" x14ac:dyDescent="0.25">
      <c r="AA9266" s="160"/>
      <c r="AB9266" s="162"/>
      <c r="AC9266" s="162"/>
      <c r="AD9266" s="162">
        <f t="shared" si="164"/>
        <v>0</v>
      </c>
      <c r="AE9266" s="160">
        <v>9264</v>
      </c>
    </row>
    <row r="9267" spans="27:31" x14ac:dyDescent="0.25">
      <c r="AA9267" s="160"/>
      <c r="AB9267" s="162"/>
      <c r="AC9267" s="162"/>
      <c r="AD9267" s="162">
        <f t="shared" si="164"/>
        <v>0</v>
      </c>
      <c r="AE9267" s="160">
        <v>9265</v>
      </c>
    </row>
    <row r="9268" spans="27:31" x14ac:dyDescent="0.25">
      <c r="AA9268" s="160"/>
      <c r="AB9268" s="162"/>
      <c r="AC9268" s="162"/>
      <c r="AD9268" s="162">
        <f t="shared" si="164"/>
        <v>0</v>
      </c>
      <c r="AE9268" s="160">
        <v>9266</v>
      </c>
    </row>
    <row r="9269" spans="27:31" x14ac:dyDescent="0.25">
      <c r="AA9269" s="160"/>
      <c r="AB9269" s="162"/>
      <c r="AC9269" s="162"/>
      <c r="AD9269" s="162">
        <f t="shared" si="164"/>
        <v>0</v>
      </c>
      <c r="AE9269" s="160">
        <v>9267</v>
      </c>
    </row>
    <row r="9270" spans="27:31" x14ac:dyDescent="0.25">
      <c r="AA9270" s="160"/>
      <c r="AB9270" s="162"/>
      <c r="AC9270" s="162"/>
      <c r="AD9270" s="162">
        <f t="shared" si="164"/>
        <v>0</v>
      </c>
      <c r="AE9270" s="160">
        <v>9268</v>
      </c>
    </row>
    <row r="9271" spans="27:31" x14ac:dyDescent="0.25">
      <c r="AA9271" s="160"/>
      <c r="AB9271" s="162"/>
      <c r="AC9271" s="162"/>
      <c r="AD9271" s="162">
        <f t="shared" si="164"/>
        <v>0</v>
      </c>
      <c r="AE9271" s="160">
        <v>9269</v>
      </c>
    </row>
    <row r="9272" spans="27:31" x14ac:dyDescent="0.25">
      <c r="AA9272" s="160"/>
      <c r="AB9272" s="162"/>
      <c r="AC9272" s="162"/>
      <c r="AD9272" s="162">
        <f t="shared" si="164"/>
        <v>0</v>
      </c>
      <c r="AE9272" s="160">
        <v>9270</v>
      </c>
    </row>
    <row r="9273" spans="27:31" x14ac:dyDescent="0.25">
      <c r="AA9273" s="160"/>
      <c r="AB9273" s="162"/>
      <c r="AC9273" s="162"/>
      <c r="AD9273" s="162">
        <f t="shared" si="164"/>
        <v>0</v>
      </c>
      <c r="AE9273" s="160">
        <v>9271</v>
      </c>
    </row>
    <row r="9274" spans="27:31" x14ac:dyDescent="0.25">
      <c r="AA9274" s="160"/>
      <c r="AB9274" s="162"/>
      <c r="AC9274" s="162"/>
      <c r="AD9274" s="162">
        <f t="shared" si="164"/>
        <v>0</v>
      </c>
      <c r="AE9274" s="160">
        <v>9272</v>
      </c>
    </row>
    <row r="9275" spans="27:31" x14ac:dyDescent="0.25">
      <c r="AA9275" s="160"/>
      <c r="AB9275" s="162"/>
      <c r="AC9275" s="162"/>
      <c r="AD9275" s="162">
        <f t="shared" si="164"/>
        <v>0</v>
      </c>
      <c r="AE9275" s="160">
        <v>9273</v>
      </c>
    </row>
    <row r="9276" spans="27:31" x14ac:dyDescent="0.25">
      <c r="AA9276" s="160"/>
      <c r="AB9276" s="162"/>
      <c r="AC9276" s="162"/>
      <c r="AD9276" s="162">
        <f t="shared" si="164"/>
        <v>0</v>
      </c>
      <c r="AE9276" s="160">
        <v>9274</v>
      </c>
    </row>
    <row r="9277" spans="27:31" x14ac:dyDescent="0.25">
      <c r="AA9277" s="160"/>
      <c r="AB9277" s="162"/>
      <c r="AC9277" s="162"/>
      <c r="AD9277" s="162">
        <f t="shared" si="164"/>
        <v>0</v>
      </c>
      <c r="AE9277" s="160">
        <v>9275</v>
      </c>
    </row>
    <row r="9278" spans="27:31" x14ac:dyDescent="0.25">
      <c r="AA9278" s="160"/>
      <c r="AB9278" s="162"/>
      <c r="AC9278" s="162"/>
      <c r="AD9278" s="162">
        <f t="shared" si="164"/>
        <v>0</v>
      </c>
      <c r="AE9278" s="160">
        <v>9276</v>
      </c>
    </row>
    <row r="9279" spans="27:31" x14ac:dyDescent="0.25">
      <c r="AA9279" s="160"/>
      <c r="AB9279" s="162"/>
      <c r="AC9279" s="162"/>
      <c r="AD9279" s="162">
        <f t="shared" si="164"/>
        <v>0</v>
      </c>
      <c r="AE9279" s="160">
        <v>9277</v>
      </c>
    </row>
    <row r="9280" spans="27:31" x14ac:dyDescent="0.25">
      <c r="AA9280" s="160"/>
      <c r="AB9280" s="162"/>
      <c r="AC9280" s="162"/>
      <c r="AD9280" s="162">
        <f t="shared" si="164"/>
        <v>0</v>
      </c>
      <c r="AE9280" s="160">
        <v>9278</v>
      </c>
    </row>
    <row r="9281" spans="27:31" x14ac:dyDescent="0.25">
      <c r="AA9281" s="160"/>
      <c r="AB9281" s="162"/>
      <c r="AC9281" s="162"/>
      <c r="AD9281" s="162">
        <f t="shared" si="164"/>
        <v>0</v>
      </c>
      <c r="AE9281" s="160">
        <v>9279</v>
      </c>
    </row>
    <row r="9282" spans="27:31" x14ac:dyDescent="0.25">
      <c r="AA9282" s="160"/>
      <c r="AB9282" s="162"/>
      <c r="AC9282" s="162"/>
      <c r="AD9282" s="162">
        <f t="shared" si="164"/>
        <v>0</v>
      </c>
      <c r="AE9282" s="160">
        <v>9280</v>
      </c>
    </row>
    <row r="9283" spans="27:31" x14ac:dyDescent="0.25">
      <c r="AA9283" s="160"/>
      <c r="AB9283" s="162"/>
      <c r="AC9283" s="162"/>
      <c r="AD9283" s="162">
        <f t="shared" si="164"/>
        <v>0</v>
      </c>
      <c r="AE9283" s="160">
        <v>9281</v>
      </c>
    </row>
    <row r="9284" spans="27:31" x14ac:dyDescent="0.25">
      <c r="AA9284" s="160"/>
      <c r="AB9284" s="162"/>
      <c r="AC9284" s="162"/>
      <c r="AD9284" s="162">
        <f t="shared" ref="AD9284:AD9347" si="165">AB9284+AC9284</f>
        <v>0</v>
      </c>
      <c r="AE9284" s="160">
        <v>9282</v>
      </c>
    </row>
    <row r="9285" spans="27:31" x14ac:dyDescent="0.25">
      <c r="AA9285" s="160"/>
      <c r="AB9285" s="162"/>
      <c r="AC9285" s="162"/>
      <c r="AD9285" s="162">
        <f t="shared" si="165"/>
        <v>0</v>
      </c>
      <c r="AE9285" s="160">
        <v>9283</v>
      </c>
    </row>
    <row r="9286" spans="27:31" x14ac:dyDescent="0.25">
      <c r="AA9286" s="160"/>
      <c r="AB9286" s="162"/>
      <c r="AC9286" s="162"/>
      <c r="AD9286" s="162">
        <f t="shared" si="165"/>
        <v>0</v>
      </c>
      <c r="AE9286" s="160">
        <v>9284</v>
      </c>
    </row>
    <row r="9287" spans="27:31" x14ac:dyDescent="0.25">
      <c r="AA9287" s="160"/>
      <c r="AB9287" s="162"/>
      <c r="AC9287" s="162"/>
      <c r="AD9287" s="162">
        <f t="shared" si="165"/>
        <v>0</v>
      </c>
      <c r="AE9287" s="160">
        <v>9285</v>
      </c>
    </row>
    <row r="9288" spans="27:31" x14ac:dyDescent="0.25">
      <c r="AA9288" s="160"/>
      <c r="AB9288" s="162"/>
      <c r="AC9288" s="162"/>
      <c r="AD9288" s="162">
        <f t="shared" si="165"/>
        <v>0</v>
      </c>
      <c r="AE9288" s="160">
        <v>9286</v>
      </c>
    </row>
    <row r="9289" spans="27:31" x14ac:dyDescent="0.25">
      <c r="AA9289" s="160"/>
      <c r="AB9289" s="162"/>
      <c r="AC9289" s="162"/>
      <c r="AD9289" s="162">
        <f t="shared" si="165"/>
        <v>0</v>
      </c>
      <c r="AE9289" s="160">
        <v>9287</v>
      </c>
    </row>
    <row r="9290" spans="27:31" x14ac:dyDescent="0.25">
      <c r="AA9290" s="160"/>
      <c r="AB9290" s="162"/>
      <c r="AC9290" s="162"/>
      <c r="AD9290" s="162">
        <f t="shared" si="165"/>
        <v>0</v>
      </c>
      <c r="AE9290" s="160">
        <v>9288</v>
      </c>
    </row>
    <row r="9291" spans="27:31" x14ac:dyDescent="0.25">
      <c r="AA9291" s="160"/>
      <c r="AB9291" s="162"/>
      <c r="AC9291" s="162"/>
      <c r="AD9291" s="162">
        <f t="shared" si="165"/>
        <v>0</v>
      </c>
      <c r="AE9291" s="160">
        <v>9289</v>
      </c>
    </row>
    <row r="9292" spans="27:31" x14ac:dyDescent="0.25">
      <c r="AA9292" s="160"/>
      <c r="AB9292" s="162"/>
      <c r="AC9292" s="162"/>
      <c r="AD9292" s="162">
        <f t="shared" si="165"/>
        <v>0</v>
      </c>
      <c r="AE9292" s="160">
        <v>9290</v>
      </c>
    </row>
    <row r="9293" spans="27:31" x14ac:dyDescent="0.25">
      <c r="AA9293" s="160"/>
      <c r="AB9293" s="162"/>
      <c r="AC9293" s="162"/>
      <c r="AD9293" s="162">
        <f t="shared" si="165"/>
        <v>0</v>
      </c>
      <c r="AE9293" s="160">
        <v>9291</v>
      </c>
    </row>
    <row r="9294" spans="27:31" x14ac:dyDescent="0.25">
      <c r="AA9294" s="160"/>
      <c r="AB9294" s="162"/>
      <c r="AC9294" s="162"/>
      <c r="AD9294" s="162">
        <f t="shared" si="165"/>
        <v>0</v>
      </c>
      <c r="AE9294" s="160">
        <v>9292</v>
      </c>
    </row>
    <row r="9295" spans="27:31" x14ac:dyDescent="0.25">
      <c r="AA9295" s="160"/>
      <c r="AB9295" s="162"/>
      <c r="AC9295" s="162"/>
      <c r="AD9295" s="162">
        <f t="shared" si="165"/>
        <v>0</v>
      </c>
      <c r="AE9295" s="160">
        <v>9293</v>
      </c>
    </row>
    <row r="9296" spans="27:31" x14ac:dyDescent="0.25">
      <c r="AA9296" s="160"/>
      <c r="AB9296" s="162"/>
      <c r="AC9296" s="162"/>
      <c r="AD9296" s="162">
        <f t="shared" si="165"/>
        <v>0</v>
      </c>
      <c r="AE9296" s="160">
        <v>9294</v>
      </c>
    </row>
    <row r="9297" spans="27:31" x14ac:dyDescent="0.25">
      <c r="AA9297" s="160"/>
      <c r="AB9297" s="162"/>
      <c r="AC9297" s="162"/>
      <c r="AD9297" s="162">
        <f t="shared" si="165"/>
        <v>0</v>
      </c>
      <c r="AE9297" s="160">
        <v>9295</v>
      </c>
    </row>
    <row r="9298" spans="27:31" x14ac:dyDescent="0.25">
      <c r="AA9298" s="160"/>
      <c r="AB9298" s="162"/>
      <c r="AC9298" s="162"/>
      <c r="AD9298" s="162">
        <f t="shared" si="165"/>
        <v>0</v>
      </c>
      <c r="AE9298" s="160">
        <v>9296</v>
      </c>
    </row>
    <row r="9299" spans="27:31" x14ac:dyDescent="0.25">
      <c r="AA9299" s="160"/>
      <c r="AB9299" s="162"/>
      <c r="AC9299" s="162"/>
      <c r="AD9299" s="162">
        <f t="shared" si="165"/>
        <v>0</v>
      </c>
      <c r="AE9299" s="160">
        <v>9297</v>
      </c>
    </row>
    <row r="9300" spans="27:31" x14ac:dyDescent="0.25">
      <c r="AA9300" s="160"/>
      <c r="AB9300" s="162"/>
      <c r="AC9300" s="162"/>
      <c r="AD9300" s="162">
        <f t="shared" si="165"/>
        <v>0</v>
      </c>
      <c r="AE9300" s="160">
        <v>9298</v>
      </c>
    </row>
    <row r="9301" spans="27:31" x14ac:dyDescent="0.25">
      <c r="AA9301" s="160"/>
      <c r="AB9301" s="162"/>
      <c r="AC9301" s="162"/>
      <c r="AD9301" s="162">
        <f t="shared" si="165"/>
        <v>0</v>
      </c>
      <c r="AE9301" s="160">
        <v>9299</v>
      </c>
    </row>
    <row r="9302" spans="27:31" x14ac:dyDescent="0.25">
      <c r="AA9302" s="160"/>
      <c r="AB9302" s="162"/>
      <c r="AC9302" s="162"/>
      <c r="AD9302" s="162">
        <f t="shared" si="165"/>
        <v>0</v>
      </c>
      <c r="AE9302" s="160">
        <v>9300</v>
      </c>
    </row>
    <row r="9303" spans="27:31" x14ac:dyDescent="0.25">
      <c r="AA9303" s="160"/>
      <c r="AB9303" s="162"/>
      <c r="AC9303" s="162"/>
      <c r="AD9303" s="162">
        <f t="shared" si="165"/>
        <v>0</v>
      </c>
      <c r="AE9303" s="160">
        <v>9301</v>
      </c>
    </row>
    <row r="9304" spans="27:31" x14ac:dyDescent="0.25">
      <c r="AA9304" s="160"/>
      <c r="AB9304" s="162"/>
      <c r="AC9304" s="162"/>
      <c r="AD9304" s="162">
        <f t="shared" si="165"/>
        <v>0</v>
      </c>
      <c r="AE9304" s="160">
        <v>9302</v>
      </c>
    </row>
    <row r="9305" spans="27:31" x14ac:dyDescent="0.25">
      <c r="AA9305" s="160"/>
      <c r="AB9305" s="162"/>
      <c r="AC9305" s="162"/>
      <c r="AD9305" s="162">
        <f t="shared" si="165"/>
        <v>0</v>
      </c>
      <c r="AE9305" s="160">
        <v>9303</v>
      </c>
    </row>
    <row r="9306" spans="27:31" x14ac:dyDescent="0.25">
      <c r="AA9306" s="160"/>
      <c r="AB9306" s="162"/>
      <c r="AC9306" s="162"/>
      <c r="AD9306" s="162">
        <f t="shared" si="165"/>
        <v>0</v>
      </c>
      <c r="AE9306" s="160">
        <v>9304</v>
      </c>
    </row>
    <row r="9307" spans="27:31" x14ac:dyDescent="0.25">
      <c r="AA9307" s="160"/>
      <c r="AB9307" s="162"/>
      <c r="AC9307" s="162"/>
      <c r="AD9307" s="162">
        <f t="shared" si="165"/>
        <v>0</v>
      </c>
      <c r="AE9307" s="160">
        <v>9305</v>
      </c>
    </row>
    <row r="9308" spans="27:31" x14ac:dyDescent="0.25">
      <c r="AA9308" s="160"/>
      <c r="AB9308" s="162"/>
      <c r="AC9308" s="162"/>
      <c r="AD9308" s="162">
        <f t="shared" si="165"/>
        <v>0</v>
      </c>
      <c r="AE9308" s="160">
        <v>9306</v>
      </c>
    </row>
    <row r="9309" spans="27:31" x14ac:dyDescent="0.25">
      <c r="AA9309" s="160"/>
      <c r="AB9309" s="162"/>
      <c r="AC9309" s="162"/>
      <c r="AD9309" s="162">
        <f t="shared" si="165"/>
        <v>0</v>
      </c>
      <c r="AE9309" s="160">
        <v>9307</v>
      </c>
    </row>
    <row r="9310" spans="27:31" x14ac:dyDescent="0.25">
      <c r="AA9310" s="160"/>
      <c r="AB9310" s="162"/>
      <c r="AC9310" s="162"/>
      <c r="AD9310" s="162">
        <f t="shared" si="165"/>
        <v>0</v>
      </c>
      <c r="AE9310" s="160">
        <v>9308</v>
      </c>
    </row>
    <row r="9311" spans="27:31" x14ac:dyDescent="0.25">
      <c r="AA9311" s="160"/>
      <c r="AB9311" s="162"/>
      <c r="AC9311" s="162"/>
      <c r="AD9311" s="162">
        <f t="shared" si="165"/>
        <v>0</v>
      </c>
      <c r="AE9311" s="160">
        <v>9309</v>
      </c>
    </row>
    <row r="9312" spans="27:31" x14ac:dyDescent="0.25">
      <c r="AA9312" s="160"/>
      <c r="AB9312" s="162"/>
      <c r="AC9312" s="162"/>
      <c r="AD9312" s="162">
        <f t="shared" si="165"/>
        <v>0</v>
      </c>
      <c r="AE9312" s="160">
        <v>9310</v>
      </c>
    </row>
    <row r="9313" spans="27:31" x14ac:dyDescent="0.25">
      <c r="AA9313" s="160"/>
      <c r="AB9313" s="162"/>
      <c r="AC9313" s="162"/>
      <c r="AD9313" s="162">
        <f t="shared" si="165"/>
        <v>0</v>
      </c>
      <c r="AE9313" s="160">
        <v>9311</v>
      </c>
    </row>
    <row r="9314" spans="27:31" x14ac:dyDescent="0.25">
      <c r="AA9314" s="160"/>
      <c r="AB9314" s="162"/>
      <c r="AC9314" s="162"/>
      <c r="AD9314" s="162">
        <f t="shared" si="165"/>
        <v>0</v>
      </c>
      <c r="AE9314" s="160">
        <v>9312</v>
      </c>
    </row>
    <row r="9315" spans="27:31" x14ac:dyDescent="0.25">
      <c r="AA9315" s="160"/>
      <c r="AB9315" s="162"/>
      <c r="AC9315" s="162"/>
      <c r="AD9315" s="162">
        <f t="shared" si="165"/>
        <v>0</v>
      </c>
      <c r="AE9315" s="160">
        <v>9313</v>
      </c>
    </row>
    <row r="9316" spans="27:31" x14ac:dyDescent="0.25">
      <c r="AA9316" s="160"/>
      <c r="AB9316" s="162"/>
      <c r="AC9316" s="162"/>
      <c r="AD9316" s="162">
        <f t="shared" si="165"/>
        <v>0</v>
      </c>
      <c r="AE9316" s="160">
        <v>9314</v>
      </c>
    </row>
    <row r="9317" spans="27:31" x14ac:dyDescent="0.25">
      <c r="AA9317" s="160"/>
      <c r="AB9317" s="162"/>
      <c r="AC9317" s="162"/>
      <c r="AD9317" s="162">
        <f t="shared" si="165"/>
        <v>0</v>
      </c>
      <c r="AE9317" s="160">
        <v>9315</v>
      </c>
    </row>
    <row r="9318" spans="27:31" x14ac:dyDescent="0.25">
      <c r="AA9318" s="160"/>
      <c r="AB9318" s="162"/>
      <c r="AC9318" s="162"/>
      <c r="AD9318" s="162">
        <f t="shared" si="165"/>
        <v>0</v>
      </c>
      <c r="AE9318" s="160">
        <v>9316</v>
      </c>
    </row>
    <row r="9319" spans="27:31" x14ac:dyDescent="0.25">
      <c r="AA9319" s="160"/>
      <c r="AB9319" s="162"/>
      <c r="AC9319" s="162"/>
      <c r="AD9319" s="162">
        <f t="shared" si="165"/>
        <v>0</v>
      </c>
      <c r="AE9319" s="160">
        <v>9317</v>
      </c>
    </row>
    <row r="9320" spans="27:31" x14ac:dyDescent="0.25">
      <c r="AA9320" s="160"/>
      <c r="AB9320" s="162"/>
      <c r="AC9320" s="162"/>
      <c r="AD9320" s="162">
        <f t="shared" si="165"/>
        <v>0</v>
      </c>
      <c r="AE9320" s="160">
        <v>9318</v>
      </c>
    </row>
    <row r="9321" spans="27:31" x14ac:dyDescent="0.25">
      <c r="AA9321" s="160"/>
      <c r="AB9321" s="162"/>
      <c r="AC9321" s="162"/>
      <c r="AD9321" s="162">
        <f t="shared" si="165"/>
        <v>0</v>
      </c>
      <c r="AE9321" s="160">
        <v>9319</v>
      </c>
    </row>
    <row r="9322" spans="27:31" x14ac:dyDescent="0.25">
      <c r="AA9322" s="160"/>
      <c r="AB9322" s="162"/>
      <c r="AC9322" s="162"/>
      <c r="AD9322" s="162">
        <f t="shared" si="165"/>
        <v>0</v>
      </c>
      <c r="AE9322" s="160">
        <v>9320</v>
      </c>
    </row>
    <row r="9323" spans="27:31" x14ac:dyDescent="0.25">
      <c r="AA9323" s="160"/>
      <c r="AB9323" s="162"/>
      <c r="AC9323" s="162"/>
      <c r="AD9323" s="162">
        <f t="shared" si="165"/>
        <v>0</v>
      </c>
      <c r="AE9323" s="160">
        <v>9321</v>
      </c>
    </row>
    <row r="9324" spans="27:31" x14ac:dyDescent="0.25">
      <c r="AA9324" s="160"/>
      <c r="AB9324" s="162"/>
      <c r="AC9324" s="162"/>
      <c r="AD9324" s="162">
        <f t="shared" si="165"/>
        <v>0</v>
      </c>
      <c r="AE9324" s="160">
        <v>9322</v>
      </c>
    </row>
    <row r="9325" spans="27:31" x14ac:dyDescent="0.25">
      <c r="AA9325" s="160"/>
      <c r="AB9325" s="162"/>
      <c r="AC9325" s="162"/>
      <c r="AD9325" s="162">
        <f t="shared" si="165"/>
        <v>0</v>
      </c>
      <c r="AE9325" s="160">
        <v>9323</v>
      </c>
    </row>
    <row r="9326" spans="27:31" x14ac:dyDescent="0.25">
      <c r="AA9326" s="160"/>
      <c r="AB9326" s="162"/>
      <c r="AC9326" s="162"/>
      <c r="AD9326" s="162">
        <f t="shared" si="165"/>
        <v>0</v>
      </c>
      <c r="AE9326" s="160">
        <v>9324</v>
      </c>
    </row>
    <row r="9327" spans="27:31" x14ac:dyDescent="0.25">
      <c r="AA9327" s="160"/>
      <c r="AB9327" s="162"/>
      <c r="AC9327" s="162"/>
      <c r="AD9327" s="162">
        <f t="shared" si="165"/>
        <v>0</v>
      </c>
      <c r="AE9327" s="160">
        <v>9325</v>
      </c>
    </row>
    <row r="9328" spans="27:31" x14ac:dyDescent="0.25">
      <c r="AA9328" s="160"/>
      <c r="AB9328" s="162"/>
      <c r="AC9328" s="162"/>
      <c r="AD9328" s="162">
        <f t="shared" si="165"/>
        <v>0</v>
      </c>
      <c r="AE9328" s="160">
        <v>9326</v>
      </c>
    </row>
    <row r="9329" spans="27:31" x14ac:dyDescent="0.25">
      <c r="AA9329" s="160"/>
      <c r="AB9329" s="162"/>
      <c r="AC9329" s="162"/>
      <c r="AD9329" s="162">
        <f t="shared" si="165"/>
        <v>0</v>
      </c>
      <c r="AE9329" s="160">
        <v>9327</v>
      </c>
    </row>
    <row r="9330" spans="27:31" x14ac:dyDescent="0.25">
      <c r="AA9330" s="160"/>
      <c r="AB9330" s="162"/>
      <c r="AC9330" s="162"/>
      <c r="AD9330" s="162">
        <f t="shared" si="165"/>
        <v>0</v>
      </c>
      <c r="AE9330" s="160">
        <v>9328</v>
      </c>
    </row>
    <row r="9331" spans="27:31" x14ac:dyDescent="0.25">
      <c r="AA9331" s="160"/>
      <c r="AB9331" s="162"/>
      <c r="AC9331" s="162"/>
      <c r="AD9331" s="162">
        <f t="shared" si="165"/>
        <v>0</v>
      </c>
      <c r="AE9331" s="160">
        <v>9329</v>
      </c>
    </row>
    <row r="9332" spans="27:31" x14ac:dyDescent="0.25">
      <c r="AA9332" s="160"/>
      <c r="AB9332" s="162"/>
      <c r="AC9332" s="162"/>
      <c r="AD9332" s="162">
        <f t="shared" si="165"/>
        <v>0</v>
      </c>
      <c r="AE9332" s="160">
        <v>9330</v>
      </c>
    </row>
    <row r="9333" spans="27:31" x14ac:dyDescent="0.25">
      <c r="AA9333" s="160"/>
      <c r="AB9333" s="162"/>
      <c r="AC9333" s="162"/>
      <c r="AD9333" s="162">
        <f t="shared" si="165"/>
        <v>0</v>
      </c>
      <c r="AE9333" s="160">
        <v>9331</v>
      </c>
    </row>
    <row r="9334" spans="27:31" x14ac:dyDescent="0.25">
      <c r="AA9334" s="160"/>
      <c r="AB9334" s="162"/>
      <c r="AC9334" s="162"/>
      <c r="AD9334" s="162">
        <f t="shared" si="165"/>
        <v>0</v>
      </c>
      <c r="AE9334" s="160">
        <v>9332</v>
      </c>
    </row>
    <row r="9335" spans="27:31" x14ac:dyDescent="0.25">
      <c r="AA9335" s="160"/>
      <c r="AB9335" s="162"/>
      <c r="AC9335" s="162"/>
      <c r="AD9335" s="162">
        <f t="shared" si="165"/>
        <v>0</v>
      </c>
      <c r="AE9335" s="160">
        <v>9333</v>
      </c>
    </row>
    <row r="9336" spans="27:31" x14ac:dyDescent="0.25">
      <c r="AA9336" s="160"/>
      <c r="AB9336" s="162"/>
      <c r="AC9336" s="162"/>
      <c r="AD9336" s="162">
        <f t="shared" si="165"/>
        <v>0</v>
      </c>
      <c r="AE9336" s="160">
        <v>9334</v>
      </c>
    </row>
    <row r="9337" spans="27:31" x14ac:dyDescent="0.25">
      <c r="AA9337" s="160"/>
      <c r="AB9337" s="162"/>
      <c r="AC9337" s="162"/>
      <c r="AD9337" s="162">
        <f t="shared" si="165"/>
        <v>0</v>
      </c>
      <c r="AE9337" s="160">
        <v>9335</v>
      </c>
    </row>
    <row r="9338" spans="27:31" x14ac:dyDescent="0.25">
      <c r="AA9338" s="160"/>
      <c r="AB9338" s="162"/>
      <c r="AC9338" s="162"/>
      <c r="AD9338" s="162">
        <f t="shared" si="165"/>
        <v>0</v>
      </c>
      <c r="AE9338" s="160">
        <v>9336</v>
      </c>
    </row>
    <row r="9339" spans="27:31" x14ac:dyDescent="0.25">
      <c r="AA9339" s="160"/>
      <c r="AB9339" s="162"/>
      <c r="AC9339" s="162"/>
      <c r="AD9339" s="162">
        <f t="shared" si="165"/>
        <v>0</v>
      </c>
      <c r="AE9339" s="160">
        <v>9337</v>
      </c>
    </row>
    <row r="9340" spans="27:31" x14ac:dyDescent="0.25">
      <c r="AA9340" s="160"/>
      <c r="AB9340" s="162"/>
      <c r="AC9340" s="162"/>
      <c r="AD9340" s="162">
        <f t="shared" si="165"/>
        <v>0</v>
      </c>
      <c r="AE9340" s="160">
        <v>9338</v>
      </c>
    </row>
    <row r="9341" spans="27:31" x14ac:dyDescent="0.25">
      <c r="AA9341" s="160"/>
      <c r="AB9341" s="162"/>
      <c r="AC9341" s="162"/>
      <c r="AD9341" s="162">
        <f t="shared" si="165"/>
        <v>0</v>
      </c>
      <c r="AE9341" s="160">
        <v>9339</v>
      </c>
    </row>
    <row r="9342" spans="27:31" x14ac:dyDescent="0.25">
      <c r="AA9342" s="160"/>
      <c r="AB9342" s="162"/>
      <c r="AC9342" s="162"/>
      <c r="AD9342" s="162">
        <f t="shared" si="165"/>
        <v>0</v>
      </c>
      <c r="AE9342" s="160">
        <v>9340</v>
      </c>
    </row>
    <row r="9343" spans="27:31" x14ac:dyDescent="0.25">
      <c r="AA9343" s="160"/>
      <c r="AB9343" s="162"/>
      <c r="AC9343" s="162"/>
      <c r="AD9343" s="162">
        <f t="shared" si="165"/>
        <v>0</v>
      </c>
      <c r="AE9343" s="160">
        <v>9341</v>
      </c>
    </row>
    <row r="9344" spans="27:31" x14ac:dyDescent="0.25">
      <c r="AA9344" s="160"/>
      <c r="AB9344" s="162"/>
      <c r="AC9344" s="162"/>
      <c r="AD9344" s="162">
        <f t="shared" si="165"/>
        <v>0</v>
      </c>
      <c r="AE9344" s="160">
        <v>9342</v>
      </c>
    </row>
    <row r="9345" spans="27:31" x14ac:dyDescent="0.25">
      <c r="AA9345" s="160"/>
      <c r="AB9345" s="162"/>
      <c r="AC9345" s="162"/>
      <c r="AD9345" s="162">
        <f t="shared" si="165"/>
        <v>0</v>
      </c>
      <c r="AE9345" s="160">
        <v>9343</v>
      </c>
    </row>
    <row r="9346" spans="27:31" x14ac:dyDescent="0.25">
      <c r="AA9346" s="160"/>
      <c r="AB9346" s="162"/>
      <c r="AC9346" s="162"/>
      <c r="AD9346" s="162">
        <f t="shared" si="165"/>
        <v>0</v>
      </c>
      <c r="AE9346" s="160">
        <v>9344</v>
      </c>
    </row>
    <row r="9347" spans="27:31" x14ac:dyDescent="0.25">
      <c r="AA9347" s="160"/>
      <c r="AB9347" s="162"/>
      <c r="AC9347" s="162"/>
      <c r="AD9347" s="162">
        <f t="shared" si="165"/>
        <v>0</v>
      </c>
      <c r="AE9347" s="160">
        <v>9345</v>
      </c>
    </row>
    <row r="9348" spans="27:31" x14ac:dyDescent="0.25">
      <c r="AA9348" s="160"/>
      <c r="AB9348" s="162"/>
      <c r="AC9348" s="162"/>
      <c r="AD9348" s="162">
        <f t="shared" ref="AD9348:AD9411" si="166">AB9348+AC9348</f>
        <v>0</v>
      </c>
      <c r="AE9348" s="160">
        <v>9346</v>
      </c>
    </row>
    <row r="9349" spans="27:31" x14ac:dyDescent="0.25">
      <c r="AA9349" s="160"/>
      <c r="AB9349" s="162"/>
      <c r="AC9349" s="162"/>
      <c r="AD9349" s="162">
        <f t="shared" si="166"/>
        <v>0</v>
      </c>
      <c r="AE9349" s="160">
        <v>9347</v>
      </c>
    </row>
    <row r="9350" spans="27:31" x14ac:dyDescent="0.25">
      <c r="AA9350" s="160"/>
      <c r="AB9350" s="162"/>
      <c r="AC9350" s="162"/>
      <c r="AD9350" s="162">
        <f t="shared" si="166"/>
        <v>0</v>
      </c>
      <c r="AE9350" s="160">
        <v>9348</v>
      </c>
    </row>
    <row r="9351" spans="27:31" x14ac:dyDescent="0.25">
      <c r="AA9351" s="160"/>
      <c r="AB9351" s="162"/>
      <c r="AC9351" s="162"/>
      <c r="AD9351" s="162">
        <f t="shared" si="166"/>
        <v>0</v>
      </c>
      <c r="AE9351" s="160">
        <v>9349</v>
      </c>
    </row>
    <row r="9352" spans="27:31" x14ac:dyDescent="0.25">
      <c r="AA9352" s="160"/>
      <c r="AB9352" s="162"/>
      <c r="AC9352" s="162"/>
      <c r="AD9352" s="162">
        <f t="shared" si="166"/>
        <v>0</v>
      </c>
      <c r="AE9352" s="160">
        <v>9350</v>
      </c>
    </row>
    <row r="9353" spans="27:31" x14ac:dyDescent="0.25">
      <c r="AA9353" s="160"/>
      <c r="AB9353" s="162"/>
      <c r="AC9353" s="162"/>
      <c r="AD9353" s="162">
        <f t="shared" si="166"/>
        <v>0</v>
      </c>
      <c r="AE9353" s="160">
        <v>9351</v>
      </c>
    </row>
    <row r="9354" spans="27:31" x14ac:dyDescent="0.25">
      <c r="AA9354" s="160"/>
      <c r="AB9354" s="162"/>
      <c r="AC9354" s="162"/>
      <c r="AD9354" s="162">
        <f t="shared" si="166"/>
        <v>0</v>
      </c>
      <c r="AE9354" s="160">
        <v>9352</v>
      </c>
    </row>
    <row r="9355" spans="27:31" x14ac:dyDescent="0.25">
      <c r="AA9355" s="160"/>
      <c r="AB9355" s="162"/>
      <c r="AC9355" s="162"/>
      <c r="AD9355" s="162">
        <f t="shared" si="166"/>
        <v>0</v>
      </c>
      <c r="AE9355" s="160">
        <v>9353</v>
      </c>
    </row>
    <row r="9356" spans="27:31" x14ac:dyDescent="0.25">
      <c r="AA9356" s="160"/>
      <c r="AB9356" s="162"/>
      <c r="AC9356" s="162"/>
      <c r="AD9356" s="162">
        <f t="shared" si="166"/>
        <v>0</v>
      </c>
      <c r="AE9356" s="160">
        <v>9354</v>
      </c>
    </row>
    <row r="9357" spans="27:31" x14ac:dyDescent="0.25">
      <c r="AA9357" s="160"/>
      <c r="AB9357" s="162"/>
      <c r="AC9357" s="162"/>
      <c r="AD9357" s="162">
        <f t="shared" si="166"/>
        <v>0</v>
      </c>
      <c r="AE9357" s="160">
        <v>9355</v>
      </c>
    </row>
    <row r="9358" spans="27:31" x14ac:dyDescent="0.25">
      <c r="AA9358" s="160"/>
      <c r="AB9358" s="162"/>
      <c r="AC9358" s="162"/>
      <c r="AD9358" s="162">
        <f t="shared" si="166"/>
        <v>0</v>
      </c>
      <c r="AE9358" s="160">
        <v>9356</v>
      </c>
    </row>
    <row r="9359" spans="27:31" x14ac:dyDescent="0.25">
      <c r="AA9359" s="160"/>
      <c r="AB9359" s="162"/>
      <c r="AC9359" s="162"/>
      <c r="AD9359" s="162">
        <f t="shared" si="166"/>
        <v>0</v>
      </c>
      <c r="AE9359" s="160">
        <v>9357</v>
      </c>
    </row>
    <row r="9360" spans="27:31" x14ac:dyDescent="0.25">
      <c r="AA9360" s="160"/>
      <c r="AB9360" s="162"/>
      <c r="AC9360" s="162"/>
      <c r="AD9360" s="162">
        <f t="shared" si="166"/>
        <v>0</v>
      </c>
      <c r="AE9360" s="160">
        <v>9358</v>
      </c>
    </row>
    <row r="9361" spans="27:31" x14ac:dyDescent="0.25">
      <c r="AA9361" s="160"/>
      <c r="AB9361" s="162"/>
      <c r="AC9361" s="162"/>
      <c r="AD9361" s="162">
        <f t="shared" si="166"/>
        <v>0</v>
      </c>
      <c r="AE9361" s="160">
        <v>9359</v>
      </c>
    </row>
    <row r="9362" spans="27:31" x14ac:dyDescent="0.25">
      <c r="AA9362" s="160"/>
      <c r="AB9362" s="162"/>
      <c r="AC9362" s="162"/>
      <c r="AD9362" s="162">
        <f t="shared" si="166"/>
        <v>0</v>
      </c>
      <c r="AE9362" s="160">
        <v>9360</v>
      </c>
    </row>
    <row r="9363" spans="27:31" x14ac:dyDescent="0.25">
      <c r="AA9363" s="160"/>
      <c r="AB9363" s="162"/>
      <c r="AC9363" s="162"/>
      <c r="AD9363" s="162">
        <f t="shared" si="166"/>
        <v>0</v>
      </c>
      <c r="AE9363" s="160">
        <v>9361</v>
      </c>
    </row>
    <row r="9364" spans="27:31" x14ac:dyDescent="0.25">
      <c r="AA9364" s="160"/>
      <c r="AB9364" s="162"/>
      <c r="AC9364" s="162"/>
      <c r="AD9364" s="162">
        <f t="shared" si="166"/>
        <v>0</v>
      </c>
      <c r="AE9364" s="160">
        <v>9362</v>
      </c>
    </row>
    <row r="9365" spans="27:31" x14ac:dyDescent="0.25">
      <c r="AA9365" s="160"/>
      <c r="AB9365" s="162"/>
      <c r="AC9365" s="162"/>
      <c r="AD9365" s="162">
        <f t="shared" si="166"/>
        <v>0</v>
      </c>
      <c r="AE9365" s="160">
        <v>9363</v>
      </c>
    </row>
    <row r="9366" spans="27:31" x14ac:dyDescent="0.25">
      <c r="AA9366" s="160"/>
      <c r="AB9366" s="162"/>
      <c r="AC9366" s="162"/>
      <c r="AD9366" s="162">
        <f t="shared" si="166"/>
        <v>0</v>
      </c>
      <c r="AE9366" s="160">
        <v>9364</v>
      </c>
    </row>
    <row r="9367" spans="27:31" x14ac:dyDescent="0.25">
      <c r="AA9367" s="160"/>
      <c r="AB9367" s="162"/>
      <c r="AC9367" s="162"/>
      <c r="AD9367" s="162">
        <f t="shared" si="166"/>
        <v>0</v>
      </c>
      <c r="AE9367" s="160">
        <v>9365</v>
      </c>
    </row>
    <row r="9368" spans="27:31" x14ac:dyDescent="0.25">
      <c r="AA9368" s="160"/>
      <c r="AB9368" s="162"/>
      <c r="AC9368" s="162"/>
      <c r="AD9368" s="162">
        <f t="shared" si="166"/>
        <v>0</v>
      </c>
      <c r="AE9368" s="160">
        <v>9366</v>
      </c>
    </row>
    <row r="9369" spans="27:31" x14ac:dyDescent="0.25">
      <c r="AA9369" s="160"/>
      <c r="AB9369" s="162"/>
      <c r="AC9369" s="162"/>
      <c r="AD9369" s="162">
        <f t="shared" si="166"/>
        <v>0</v>
      </c>
      <c r="AE9369" s="160">
        <v>9367</v>
      </c>
    </row>
    <row r="9370" spans="27:31" x14ac:dyDescent="0.25">
      <c r="AA9370" s="160"/>
      <c r="AB9370" s="162"/>
      <c r="AC9370" s="162"/>
      <c r="AD9370" s="162">
        <f t="shared" si="166"/>
        <v>0</v>
      </c>
      <c r="AE9370" s="160">
        <v>9368</v>
      </c>
    </row>
    <row r="9371" spans="27:31" x14ac:dyDescent="0.25">
      <c r="AA9371" s="160"/>
      <c r="AB9371" s="162"/>
      <c r="AC9371" s="162"/>
      <c r="AD9371" s="162">
        <f t="shared" si="166"/>
        <v>0</v>
      </c>
      <c r="AE9371" s="160">
        <v>9369</v>
      </c>
    </row>
    <row r="9372" spans="27:31" x14ac:dyDescent="0.25">
      <c r="AA9372" s="160"/>
      <c r="AB9372" s="162"/>
      <c r="AC9372" s="162"/>
      <c r="AD9372" s="162">
        <f t="shared" si="166"/>
        <v>0</v>
      </c>
      <c r="AE9372" s="160">
        <v>9370</v>
      </c>
    </row>
    <row r="9373" spans="27:31" x14ac:dyDescent="0.25">
      <c r="AA9373" s="160"/>
      <c r="AB9373" s="162"/>
      <c r="AC9373" s="162"/>
      <c r="AD9373" s="162">
        <f t="shared" si="166"/>
        <v>0</v>
      </c>
      <c r="AE9373" s="160">
        <v>9371</v>
      </c>
    </row>
    <row r="9374" spans="27:31" x14ac:dyDescent="0.25">
      <c r="AA9374" s="160"/>
      <c r="AB9374" s="162"/>
      <c r="AC9374" s="162"/>
      <c r="AD9374" s="162">
        <f t="shared" si="166"/>
        <v>0</v>
      </c>
      <c r="AE9374" s="160">
        <v>9372</v>
      </c>
    </row>
    <row r="9375" spans="27:31" x14ac:dyDescent="0.25">
      <c r="AA9375" s="160"/>
      <c r="AB9375" s="162"/>
      <c r="AC9375" s="162"/>
      <c r="AD9375" s="162">
        <f t="shared" si="166"/>
        <v>0</v>
      </c>
      <c r="AE9375" s="160">
        <v>9373</v>
      </c>
    </row>
    <row r="9376" spans="27:31" x14ac:dyDescent="0.25">
      <c r="AA9376" s="160"/>
      <c r="AB9376" s="162"/>
      <c r="AC9376" s="162"/>
      <c r="AD9376" s="162">
        <f t="shared" si="166"/>
        <v>0</v>
      </c>
      <c r="AE9376" s="160">
        <v>9374</v>
      </c>
    </row>
    <row r="9377" spans="27:31" x14ac:dyDescent="0.25">
      <c r="AA9377" s="160"/>
      <c r="AB9377" s="162"/>
      <c r="AC9377" s="162"/>
      <c r="AD9377" s="162">
        <f t="shared" si="166"/>
        <v>0</v>
      </c>
      <c r="AE9377" s="160">
        <v>9375</v>
      </c>
    </row>
    <row r="9378" spans="27:31" x14ac:dyDescent="0.25">
      <c r="AA9378" s="160"/>
      <c r="AB9378" s="162"/>
      <c r="AC9378" s="162"/>
      <c r="AD9378" s="162">
        <f t="shared" si="166"/>
        <v>0</v>
      </c>
      <c r="AE9378" s="160">
        <v>9376</v>
      </c>
    </row>
    <row r="9379" spans="27:31" x14ac:dyDescent="0.25">
      <c r="AA9379" s="160"/>
      <c r="AB9379" s="162"/>
      <c r="AC9379" s="162"/>
      <c r="AD9379" s="162">
        <f t="shared" si="166"/>
        <v>0</v>
      </c>
      <c r="AE9379" s="160">
        <v>9377</v>
      </c>
    </row>
    <row r="9380" spans="27:31" x14ac:dyDescent="0.25">
      <c r="AA9380" s="160"/>
      <c r="AB9380" s="162"/>
      <c r="AC9380" s="162"/>
      <c r="AD9380" s="162">
        <f t="shared" si="166"/>
        <v>0</v>
      </c>
      <c r="AE9380" s="160">
        <v>9378</v>
      </c>
    </row>
    <row r="9381" spans="27:31" x14ac:dyDescent="0.25">
      <c r="AA9381" s="160"/>
      <c r="AB9381" s="162"/>
      <c r="AC9381" s="162"/>
      <c r="AD9381" s="162">
        <f t="shared" si="166"/>
        <v>0</v>
      </c>
      <c r="AE9381" s="160">
        <v>9379</v>
      </c>
    </row>
    <row r="9382" spans="27:31" x14ac:dyDescent="0.25">
      <c r="AA9382" s="160"/>
      <c r="AB9382" s="162"/>
      <c r="AC9382" s="162"/>
      <c r="AD9382" s="162">
        <f t="shared" si="166"/>
        <v>0</v>
      </c>
      <c r="AE9382" s="160">
        <v>9380</v>
      </c>
    </row>
    <row r="9383" spans="27:31" x14ac:dyDescent="0.25">
      <c r="AA9383" s="160"/>
      <c r="AB9383" s="162"/>
      <c r="AC9383" s="162"/>
      <c r="AD9383" s="162">
        <f t="shared" si="166"/>
        <v>0</v>
      </c>
      <c r="AE9383" s="160">
        <v>9381</v>
      </c>
    </row>
    <row r="9384" spans="27:31" x14ac:dyDescent="0.25">
      <c r="AA9384" s="160"/>
      <c r="AB9384" s="162"/>
      <c r="AC9384" s="162"/>
      <c r="AD9384" s="162">
        <f t="shared" si="166"/>
        <v>0</v>
      </c>
      <c r="AE9384" s="160">
        <v>9382</v>
      </c>
    </row>
    <row r="9385" spans="27:31" x14ac:dyDescent="0.25">
      <c r="AA9385" s="160"/>
      <c r="AB9385" s="162"/>
      <c r="AC9385" s="162"/>
      <c r="AD9385" s="162">
        <f t="shared" si="166"/>
        <v>0</v>
      </c>
      <c r="AE9385" s="160">
        <v>9383</v>
      </c>
    </row>
    <row r="9386" spans="27:31" x14ac:dyDescent="0.25">
      <c r="AA9386" s="160"/>
      <c r="AB9386" s="162"/>
      <c r="AC9386" s="162"/>
      <c r="AD9386" s="162">
        <f t="shared" si="166"/>
        <v>0</v>
      </c>
      <c r="AE9386" s="160">
        <v>9384</v>
      </c>
    </row>
    <row r="9387" spans="27:31" x14ac:dyDescent="0.25">
      <c r="AA9387" s="160"/>
      <c r="AB9387" s="162"/>
      <c r="AC9387" s="162"/>
      <c r="AD9387" s="162">
        <f t="shared" si="166"/>
        <v>0</v>
      </c>
      <c r="AE9387" s="160">
        <v>9385</v>
      </c>
    </row>
    <row r="9388" spans="27:31" x14ac:dyDescent="0.25">
      <c r="AA9388" s="160"/>
      <c r="AB9388" s="162"/>
      <c r="AC9388" s="162"/>
      <c r="AD9388" s="162">
        <f t="shared" si="166"/>
        <v>0</v>
      </c>
      <c r="AE9388" s="160">
        <v>9386</v>
      </c>
    </row>
    <row r="9389" spans="27:31" x14ac:dyDescent="0.25">
      <c r="AA9389" s="160"/>
      <c r="AB9389" s="162"/>
      <c r="AC9389" s="162"/>
      <c r="AD9389" s="162">
        <f t="shared" si="166"/>
        <v>0</v>
      </c>
      <c r="AE9389" s="160">
        <v>9387</v>
      </c>
    </row>
    <row r="9390" spans="27:31" x14ac:dyDescent="0.25">
      <c r="AA9390" s="160"/>
      <c r="AB9390" s="162"/>
      <c r="AC9390" s="162"/>
      <c r="AD9390" s="162">
        <f t="shared" si="166"/>
        <v>0</v>
      </c>
      <c r="AE9390" s="160">
        <v>9388</v>
      </c>
    </row>
    <row r="9391" spans="27:31" x14ac:dyDescent="0.25">
      <c r="AA9391" s="160"/>
      <c r="AB9391" s="162"/>
      <c r="AC9391" s="162"/>
      <c r="AD9391" s="162">
        <f t="shared" si="166"/>
        <v>0</v>
      </c>
      <c r="AE9391" s="160">
        <v>9389</v>
      </c>
    </row>
    <row r="9392" spans="27:31" x14ac:dyDescent="0.25">
      <c r="AA9392" s="160"/>
      <c r="AB9392" s="162"/>
      <c r="AC9392" s="162"/>
      <c r="AD9392" s="162">
        <f t="shared" si="166"/>
        <v>0</v>
      </c>
      <c r="AE9392" s="160">
        <v>9390</v>
      </c>
    </row>
    <row r="9393" spans="27:31" x14ac:dyDescent="0.25">
      <c r="AA9393" s="160"/>
      <c r="AB9393" s="162"/>
      <c r="AC9393" s="162"/>
      <c r="AD9393" s="162">
        <f t="shared" si="166"/>
        <v>0</v>
      </c>
      <c r="AE9393" s="160">
        <v>9391</v>
      </c>
    </row>
    <row r="9394" spans="27:31" x14ac:dyDescent="0.25">
      <c r="AA9394" s="160"/>
      <c r="AB9394" s="162"/>
      <c r="AC9394" s="162"/>
      <c r="AD9394" s="162">
        <f t="shared" si="166"/>
        <v>0</v>
      </c>
      <c r="AE9394" s="160">
        <v>9392</v>
      </c>
    </row>
    <row r="9395" spans="27:31" x14ac:dyDescent="0.25">
      <c r="AA9395" s="160"/>
      <c r="AB9395" s="162"/>
      <c r="AC9395" s="162"/>
      <c r="AD9395" s="162">
        <f t="shared" si="166"/>
        <v>0</v>
      </c>
      <c r="AE9395" s="160">
        <v>9393</v>
      </c>
    </row>
    <row r="9396" spans="27:31" x14ac:dyDescent="0.25">
      <c r="AA9396" s="160"/>
      <c r="AB9396" s="162"/>
      <c r="AC9396" s="162"/>
      <c r="AD9396" s="162">
        <f t="shared" si="166"/>
        <v>0</v>
      </c>
      <c r="AE9396" s="160">
        <v>9394</v>
      </c>
    </row>
    <row r="9397" spans="27:31" x14ac:dyDescent="0.25">
      <c r="AA9397" s="160"/>
      <c r="AB9397" s="162"/>
      <c r="AC9397" s="162"/>
      <c r="AD9397" s="162">
        <f t="shared" si="166"/>
        <v>0</v>
      </c>
      <c r="AE9397" s="160">
        <v>9395</v>
      </c>
    </row>
    <row r="9398" spans="27:31" x14ac:dyDescent="0.25">
      <c r="AA9398" s="160"/>
      <c r="AB9398" s="162"/>
      <c r="AC9398" s="162"/>
      <c r="AD9398" s="162">
        <f t="shared" si="166"/>
        <v>0</v>
      </c>
      <c r="AE9398" s="160">
        <v>9396</v>
      </c>
    </row>
    <row r="9399" spans="27:31" x14ac:dyDescent="0.25">
      <c r="AA9399" s="160"/>
      <c r="AB9399" s="162"/>
      <c r="AC9399" s="162"/>
      <c r="AD9399" s="162">
        <f t="shared" si="166"/>
        <v>0</v>
      </c>
      <c r="AE9399" s="160">
        <v>9397</v>
      </c>
    </row>
    <row r="9400" spans="27:31" x14ac:dyDescent="0.25">
      <c r="AA9400" s="160"/>
      <c r="AB9400" s="162"/>
      <c r="AC9400" s="162"/>
      <c r="AD9400" s="162">
        <f t="shared" si="166"/>
        <v>0</v>
      </c>
      <c r="AE9400" s="160">
        <v>9398</v>
      </c>
    </row>
    <row r="9401" spans="27:31" x14ac:dyDescent="0.25">
      <c r="AA9401" s="160"/>
      <c r="AB9401" s="162"/>
      <c r="AC9401" s="162"/>
      <c r="AD9401" s="162">
        <f t="shared" si="166"/>
        <v>0</v>
      </c>
      <c r="AE9401" s="160">
        <v>9399</v>
      </c>
    </row>
    <row r="9402" spans="27:31" x14ac:dyDescent="0.25">
      <c r="AA9402" s="160"/>
      <c r="AB9402" s="162"/>
      <c r="AC9402" s="162"/>
      <c r="AD9402" s="162">
        <f t="shared" si="166"/>
        <v>0</v>
      </c>
      <c r="AE9402" s="160">
        <v>9400</v>
      </c>
    </row>
    <row r="9403" spans="27:31" x14ac:dyDescent="0.25">
      <c r="AA9403" s="160"/>
      <c r="AB9403" s="162"/>
      <c r="AC9403" s="162"/>
      <c r="AD9403" s="162">
        <f t="shared" si="166"/>
        <v>0</v>
      </c>
      <c r="AE9403" s="160">
        <v>9401</v>
      </c>
    </row>
    <row r="9404" spans="27:31" x14ac:dyDescent="0.25">
      <c r="AA9404" s="160"/>
      <c r="AB9404" s="162"/>
      <c r="AC9404" s="162"/>
      <c r="AD9404" s="162">
        <f t="shared" si="166"/>
        <v>0</v>
      </c>
      <c r="AE9404" s="160">
        <v>9402</v>
      </c>
    </row>
    <row r="9405" spans="27:31" x14ac:dyDescent="0.25">
      <c r="AA9405" s="160"/>
      <c r="AB9405" s="162"/>
      <c r="AC9405" s="162"/>
      <c r="AD9405" s="162">
        <f t="shared" si="166"/>
        <v>0</v>
      </c>
      <c r="AE9405" s="160">
        <v>9403</v>
      </c>
    </row>
    <row r="9406" spans="27:31" x14ac:dyDescent="0.25">
      <c r="AA9406" s="160"/>
      <c r="AB9406" s="162"/>
      <c r="AC9406" s="162"/>
      <c r="AD9406" s="162">
        <f t="shared" si="166"/>
        <v>0</v>
      </c>
      <c r="AE9406" s="160">
        <v>9404</v>
      </c>
    </row>
    <row r="9407" spans="27:31" x14ac:dyDescent="0.25">
      <c r="AA9407" s="160"/>
      <c r="AB9407" s="162"/>
      <c r="AC9407" s="162"/>
      <c r="AD9407" s="162">
        <f t="shared" si="166"/>
        <v>0</v>
      </c>
      <c r="AE9407" s="160">
        <v>9405</v>
      </c>
    </row>
    <row r="9408" spans="27:31" x14ac:dyDescent="0.25">
      <c r="AA9408" s="160"/>
      <c r="AB9408" s="162"/>
      <c r="AC9408" s="162"/>
      <c r="AD9408" s="162">
        <f t="shared" si="166"/>
        <v>0</v>
      </c>
      <c r="AE9408" s="160">
        <v>9406</v>
      </c>
    </row>
    <row r="9409" spans="27:31" x14ac:dyDescent="0.25">
      <c r="AA9409" s="160"/>
      <c r="AB9409" s="162"/>
      <c r="AC9409" s="162"/>
      <c r="AD9409" s="162">
        <f t="shared" si="166"/>
        <v>0</v>
      </c>
      <c r="AE9409" s="160">
        <v>9407</v>
      </c>
    </row>
    <row r="9410" spans="27:31" x14ac:dyDescent="0.25">
      <c r="AA9410" s="160"/>
      <c r="AB9410" s="162"/>
      <c r="AC9410" s="162"/>
      <c r="AD9410" s="162">
        <f t="shared" si="166"/>
        <v>0</v>
      </c>
      <c r="AE9410" s="160">
        <v>9408</v>
      </c>
    </row>
    <row r="9411" spans="27:31" x14ac:dyDescent="0.25">
      <c r="AA9411" s="160"/>
      <c r="AB9411" s="162"/>
      <c r="AC9411" s="162"/>
      <c r="AD9411" s="162">
        <f t="shared" si="166"/>
        <v>0</v>
      </c>
      <c r="AE9411" s="160">
        <v>9409</v>
      </c>
    </row>
    <row r="9412" spans="27:31" x14ac:dyDescent="0.25">
      <c r="AA9412" s="160"/>
      <c r="AB9412" s="162"/>
      <c r="AC9412" s="162"/>
      <c r="AD9412" s="162">
        <f t="shared" ref="AD9412:AD9475" si="167">AB9412+AC9412</f>
        <v>0</v>
      </c>
      <c r="AE9412" s="160">
        <v>9410</v>
      </c>
    </row>
    <row r="9413" spans="27:31" x14ac:dyDescent="0.25">
      <c r="AA9413" s="160"/>
      <c r="AB9413" s="162"/>
      <c r="AC9413" s="162"/>
      <c r="AD9413" s="162">
        <f t="shared" si="167"/>
        <v>0</v>
      </c>
      <c r="AE9413" s="160">
        <v>9411</v>
      </c>
    </row>
    <row r="9414" spans="27:31" x14ac:dyDescent="0.25">
      <c r="AA9414" s="160"/>
      <c r="AB9414" s="162"/>
      <c r="AC9414" s="162"/>
      <c r="AD9414" s="162">
        <f t="shared" si="167"/>
        <v>0</v>
      </c>
      <c r="AE9414" s="160">
        <v>9412</v>
      </c>
    </row>
    <row r="9415" spans="27:31" x14ac:dyDescent="0.25">
      <c r="AA9415" s="160"/>
      <c r="AB9415" s="162"/>
      <c r="AC9415" s="162"/>
      <c r="AD9415" s="162">
        <f t="shared" si="167"/>
        <v>0</v>
      </c>
      <c r="AE9415" s="160">
        <v>9413</v>
      </c>
    </row>
    <row r="9416" spans="27:31" x14ac:dyDescent="0.25">
      <c r="AA9416" s="160"/>
      <c r="AB9416" s="162"/>
      <c r="AC9416" s="162"/>
      <c r="AD9416" s="162">
        <f t="shared" si="167"/>
        <v>0</v>
      </c>
      <c r="AE9416" s="160">
        <v>9414</v>
      </c>
    </row>
    <row r="9417" spans="27:31" x14ac:dyDescent="0.25">
      <c r="AA9417" s="160"/>
      <c r="AB9417" s="162"/>
      <c r="AC9417" s="162"/>
      <c r="AD9417" s="162">
        <f t="shared" si="167"/>
        <v>0</v>
      </c>
      <c r="AE9417" s="160">
        <v>9415</v>
      </c>
    </row>
    <row r="9418" spans="27:31" x14ac:dyDescent="0.25">
      <c r="AA9418" s="160"/>
      <c r="AB9418" s="162"/>
      <c r="AC9418" s="162"/>
      <c r="AD9418" s="162">
        <f t="shared" si="167"/>
        <v>0</v>
      </c>
      <c r="AE9418" s="160">
        <v>9416</v>
      </c>
    </row>
    <row r="9419" spans="27:31" x14ac:dyDescent="0.25">
      <c r="AA9419" s="160"/>
      <c r="AB9419" s="162"/>
      <c r="AC9419" s="162"/>
      <c r="AD9419" s="162">
        <f t="shared" si="167"/>
        <v>0</v>
      </c>
      <c r="AE9419" s="160">
        <v>9417</v>
      </c>
    </row>
    <row r="9420" spans="27:31" x14ac:dyDescent="0.25">
      <c r="AA9420" s="160"/>
      <c r="AB9420" s="162"/>
      <c r="AC9420" s="162"/>
      <c r="AD9420" s="162">
        <f t="shared" si="167"/>
        <v>0</v>
      </c>
      <c r="AE9420" s="160">
        <v>9418</v>
      </c>
    </row>
    <row r="9421" spans="27:31" x14ac:dyDescent="0.25">
      <c r="AA9421" s="160"/>
      <c r="AB9421" s="162"/>
      <c r="AC9421" s="162"/>
      <c r="AD9421" s="162">
        <f t="shared" si="167"/>
        <v>0</v>
      </c>
      <c r="AE9421" s="160">
        <v>9419</v>
      </c>
    </row>
    <row r="9422" spans="27:31" x14ac:dyDescent="0.25">
      <c r="AA9422" s="160"/>
      <c r="AB9422" s="162"/>
      <c r="AC9422" s="162"/>
      <c r="AD9422" s="162">
        <f t="shared" si="167"/>
        <v>0</v>
      </c>
      <c r="AE9422" s="160">
        <v>9420</v>
      </c>
    </row>
    <row r="9423" spans="27:31" x14ac:dyDescent="0.25">
      <c r="AA9423" s="160"/>
      <c r="AB9423" s="162"/>
      <c r="AC9423" s="162"/>
      <c r="AD9423" s="162">
        <f t="shared" si="167"/>
        <v>0</v>
      </c>
      <c r="AE9423" s="160">
        <v>9421</v>
      </c>
    </row>
    <row r="9424" spans="27:31" x14ac:dyDescent="0.25">
      <c r="AA9424" s="160"/>
      <c r="AB9424" s="162"/>
      <c r="AC9424" s="162"/>
      <c r="AD9424" s="162">
        <f t="shared" si="167"/>
        <v>0</v>
      </c>
      <c r="AE9424" s="160">
        <v>9422</v>
      </c>
    </row>
    <row r="9425" spans="27:31" x14ac:dyDescent="0.25">
      <c r="AA9425" s="160"/>
      <c r="AB9425" s="162"/>
      <c r="AC9425" s="162"/>
      <c r="AD9425" s="162">
        <f t="shared" si="167"/>
        <v>0</v>
      </c>
      <c r="AE9425" s="160">
        <v>9423</v>
      </c>
    </row>
    <row r="9426" spans="27:31" x14ac:dyDescent="0.25">
      <c r="AA9426" s="160"/>
      <c r="AB9426" s="162"/>
      <c r="AC9426" s="162"/>
      <c r="AD9426" s="162">
        <f t="shared" si="167"/>
        <v>0</v>
      </c>
      <c r="AE9426" s="160">
        <v>9424</v>
      </c>
    </row>
    <row r="9427" spans="27:31" x14ac:dyDescent="0.25">
      <c r="AA9427" s="160"/>
      <c r="AB9427" s="162"/>
      <c r="AC9427" s="162"/>
      <c r="AD9427" s="162">
        <f t="shared" si="167"/>
        <v>0</v>
      </c>
      <c r="AE9427" s="160">
        <v>9425</v>
      </c>
    </row>
    <row r="9428" spans="27:31" x14ac:dyDescent="0.25">
      <c r="AA9428" s="160"/>
      <c r="AB9428" s="162"/>
      <c r="AC9428" s="162"/>
      <c r="AD9428" s="162">
        <f t="shared" si="167"/>
        <v>0</v>
      </c>
      <c r="AE9428" s="160">
        <v>9426</v>
      </c>
    </row>
    <row r="9429" spans="27:31" x14ac:dyDescent="0.25">
      <c r="AA9429" s="160"/>
      <c r="AB9429" s="162"/>
      <c r="AC9429" s="162"/>
      <c r="AD9429" s="162">
        <f t="shared" si="167"/>
        <v>0</v>
      </c>
      <c r="AE9429" s="160">
        <v>9427</v>
      </c>
    </row>
    <row r="9430" spans="27:31" x14ac:dyDescent="0.25">
      <c r="AA9430" s="160"/>
      <c r="AB9430" s="162"/>
      <c r="AC9430" s="162"/>
      <c r="AD9430" s="162">
        <f t="shared" si="167"/>
        <v>0</v>
      </c>
      <c r="AE9430" s="160">
        <v>9428</v>
      </c>
    </row>
    <row r="9431" spans="27:31" x14ac:dyDescent="0.25">
      <c r="AA9431" s="160"/>
      <c r="AB9431" s="162"/>
      <c r="AC9431" s="162"/>
      <c r="AD9431" s="162">
        <f t="shared" si="167"/>
        <v>0</v>
      </c>
      <c r="AE9431" s="160">
        <v>9429</v>
      </c>
    </row>
    <row r="9432" spans="27:31" x14ac:dyDescent="0.25">
      <c r="AA9432" s="160"/>
      <c r="AB9432" s="162"/>
      <c r="AC9432" s="162"/>
      <c r="AD9432" s="162">
        <f t="shared" si="167"/>
        <v>0</v>
      </c>
      <c r="AE9432" s="160">
        <v>9430</v>
      </c>
    </row>
    <row r="9433" spans="27:31" x14ac:dyDescent="0.25">
      <c r="AA9433" s="160"/>
      <c r="AB9433" s="162"/>
      <c r="AC9433" s="162"/>
      <c r="AD9433" s="162">
        <f t="shared" si="167"/>
        <v>0</v>
      </c>
      <c r="AE9433" s="160">
        <v>9431</v>
      </c>
    </row>
    <row r="9434" spans="27:31" x14ac:dyDescent="0.25">
      <c r="AA9434" s="160"/>
      <c r="AB9434" s="162"/>
      <c r="AC9434" s="162"/>
      <c r="AD9434" s="162">
        <f t="shared" si="167"/>
        <v>0</v>
      </c>
      <c r="AE9434" s="160">
        <v>9432</v>
      </c>
    </row>
    <row r="9435" spans="27:31" x14ac:dyDescent="0.25">
      <c r="AA9435" s="160"/>
      <c r="AB9435" s="162"/>
      <c r="AC9435" s="162"/>
      <c r="AD9435" s="162">
        <f t="shared" si="167"/>
        <v>0</v>
      </c>
      <c r="AE9435" s="160">
        <v>9433</v>
      </c>
    </row>
    <row r="9436" spans="27:31" x14ac:dyDescent="0.25">
      <c r="AA9436" s="160"/>
      <c r="AB9436" s="162"/>
      <c r="AC9436" s="162"/>
      <c r="AD9436" s="162">
        <f t="shared" si="167"/>
        <v>0</v>
      </c>
      <c r="AE9436" s="160">
        <v>9434</v>
      </c>
    </row>
    <row r="9437" spans="27:31" x14ac:dyDescent="0.25">
      <c r="AA9437" s="160"/>
      <c r="AB9437" s="162"/>
      <c r="AC9437" s="162"/>
      <c r="AD9437" s="162">
        <f t="shared" si="167"/>
        <v>0</v>
      </c>
      <c r="AE9437" s="160">
        <v>9435</v>
      </c>
    </row>
    <row r="9438" spans="27:31" x14ac:dyDescent="0.25">
      <c r="AA9438" s="160"/>
      <c r="AB9438" s="162"/>
      <c r="AC9438" s="162"/>
      <c r="AD9438" s="162">
        <f t="shared" si="167"/>
        <v>0</v>
      </c>
      <c r="AE9438" s="160">
        <v>9436</v>
      </c>
    </row>
    <row r="9439" spans="27:31" x14ac:dyDescent="0.25">
      <c r="AA9439" s="160"/>
      <c r="AB9439" s="162"/>
      <c r="AC9439" s="162"/>
      <c r="AD9439" s="162">
        <f t="shared" si="167"/>
        <v>0</v>
      </c>
      <c r="AE9439" s="160">
        <v>9437</v>
      </c>
    </row>
    <row r="9440" spans="27:31" x14ac:dyDescent="0.25">
      <c r="AA9440" s="160"/>
      <c r="AB9440" s="162"/>
      <c r="AC9440" s="162"/>
      <c r="AD9440" s="162">
        <f t="shared" si="167"/>
        <v>0</v>
      </c>
      <c r="AE9440" s="160">
        <v>9438</v>
      </c>
    </row>
    <row r="9441" spans="27:31" x14ac:dyDescent="0.25">
      <c r="AA9441" s="160"/>
      <c r="AB9441" s="162"/>
      <c r="AC9441" s="162"/>
      <c r="AD9441" s="162">
        <f t="shared" si="167"/>
        <v>0</v>
      </c>
      <c r="AE9441" s="160">
        <v>9439</v>
      </c>
    </row>
    <row r="9442" spans="27:31" x14ac:dyDescent="0.25">
      <c r="AA9442" s="160"/>
      <c r="AB9442" s="162"/>
      <c r="AC9442" s="162"/>
      <c r="AD9442" s="162">
        <f t="shared" si="167"/>
        <v>0</v>
      </c>
      <c r="AE9442" s="160">
        <v>9440</v>
      </c>
    </row>
    <row r="9443" spans="27:31" x14ac:dyDescent="0.25">
      <c r="AA9443" s="160"/>
      <c r="AB9443" s="162"/>
      <c r="AC9443" s="162"/>
      <c r="AD9443" s="162">
        <f t="shared" si="167"/>
        <v>0</v>
      </c>
      <c r="AE9443" s="160">
        <v>9441</v>
      </c>
    </row>
    <row r="9444" spans="27:31" x14ac:dyDescent="0.25">
      <c r="AA9444" s="160"/>
      <c r="AB9444" s="162"/>
      <c r="AC9444" s="162"/>
      <c r="AD9444" s="162">
        <f t="shared" si="167"/>
        <v>0</v>
      </c>
      <c r="AE9444" s="160">
        <v>9442</v>
      </c>
    </row>
    <row r="9445" spans="27:31" x14ac:dyDescent="0.25">
      <c r="AA9445" s="160"/>
      <c r="AB9445" s="162"/>
      <c r="AC9445" s="162"/>
      <c r="AD9445" s="162">
        <f t="shared" si="167"/>
        <v>0</v>
      </c>
      <c r="AE9445" s="160">
        <v>9443</v>
      </c>
    </row>
    <row r="9446" spans="27:31" x14ac:dyDescent="0.25">
      <c r="AA9446" s="160"/>
      <c r="AB9446" s="162"/>
      <c r="AC9446" s="162"/>
      <c r="AD9446" s="162">
        <f t="shared" si="167"/>
        <v>0</v>
      </c>
      <c r="AE9446" s="160">
        <v>9444</v>
      </c>
    </row>
    <row r="9447" spans="27:31" x14ac:dyDescent="0.25">
      <c r="AA9447" s="160"/>
      <c r="AB9447" s="162"/>
      <c r="AC9447" s="162"/>
      <c r="AD9447" s="162">
        <f t="shared" si="167"/>
        <v>0</v>
      </c>
      <c r="AE9447" s="160">
        <v>9445</v>
      </c>
    </row>
    <row r="9448" spans="27:31" x14ac:dyDescent="0.25">
      <c r="AA9448" s="160"/>
      <c r="AB9448" s="162"/>
      <c r="AC9448" s="162"/>
      <c r="AD9448" s="162">
        <f t="shared" si="167"/>
        <v>0</v>
      </c>
      <c r="AE9448" s="160">
        <v>9446</v>
      </c>
    </row>
    <row r="9449" spans="27:31" x14ac:dyDescent="0.25">
      <c r="AA9449" s="160"/>
      <c r="AB9449" s="162"/>
      <c r="AC9449" s="162"/>
      <c r="AD9449" s="162">
        <f t="shared" si="167"/>
        <v>0</v>
      </c>
      <c r="AE9449" s="160">
        <v>9447</v>
      </c>
    </row>
    <row r="9450" spans="27:31" x14ac:dyDescent="0.25">
      <c r="AA9450" s="160"/>
      <c r="AB9450" s="162"/>
      <c r="AC9450" s="162"/>
      <c r="AD9450" s="162">
        <f t="shared" si="167"/>
        <v>0</v>
      </c>
      <c r="AE9450" s="160">
        <v>9448</v>
      </c>
    </row>
    <row r="9451" spans="27:31" x14ac:dyDescent="0.25">
      <c r="AA9451" s="160"/>
      <c r="AB9451" s="162"/>
      <c r="AC9451" s="162"/>
      <c r="AD9451" s="162">
        <f t="shared" si="167"/>
        <v>0</v>
      </c>
      <c r="AE9451" s="160">
        <v>9449</v>
      </c>
    </row>
    <row r="9452" spans="27:31" x14ac:dyDescent="0.25">
      <c r="AA9452" s="160"/>
      <c r="AB9452" s="162"/>
      <c r="AC9452" s="162"/>
      <c r="AD9452" s="162">
        <f t="shared" si="167"/>
        <v>0</v>
      </c>
      <c r="AE9452" s="160">
        <v>9450</v>
      </c>
    </row>
    <row r="9453" spans="27:31" x14ac:dyDescent="0.25">
      <c r="AA9453" s="160"/>
      <c r="AB9453" s="162"/>
      <c r="AC9453" s="162"/>
      <c r="AD9453" s="162">
        <f t="shared" si="167"/>
        <v>0</v>
      </c>
      <c r="AE9453" s="160">
        <v>9451</v>
      </c>
    </row>
    <row r="9454" spans="27:31" x14ac:dyDescent="0.25">
      <c r="AA9454" s="160"/>
      <c r="AB9454" s="162"/>
      <c r="AC9454" s="162"/>
      <c r="AD9454" s="162">
        <f t="shared" si="167"/>
        <v>0</v>
      </c>
      <c r="AE9454" s="160">
        <v>9452</v>
      </c>
    </row>
    <row r="9455" spans="27:31" x14ac:dyDescent="0.25">
      <c r="AA9455" s="160"/>
      <c r="AB9455" s="162"/>
      <c r="AC9455" s="162"/>
      <c r="AD9455" s="162">
        <f t="shared" si="167"/>
        <v>0</v>
      </c>
      <c r="AE9455" s="160">
        <v>9453</v>
      </c>
    </row>
    <row r="9456" spans="27:31" x14ac:dyDescent="0.25">
      <c r="AA9456" s="160"/>
      <c r="AB9456" s="162"/>
      <c r="AC9456" s="162"/>
      <c r="AD9456" s="162">
        <f t="shared" si="167"/>
        <v>0</v>
      </c>
      <c r="AE9456" s="160">
        <v>9454</v>
      </c>
    </row>
    <row r="9457" spans="27:31" x14ac:dyDescent="0.25">
      <c r="AA9457" s="160"/>
      <c r="AB9457" s="162"/>
      <c r="AC9457" s="162"/>
      <c r="AD9457" s="162">
        <f t="shared" si="167"/>
        <v>0</v>
      </c>
      <c r="AE9457" s="160">
        <v>9455</v>
      </c>
    </row>
    <row r="9458" spans="27:31" x14ac:dyDescent="0.25">
      <c r="AA9458" s="160"/>
      <c r="AB9458" s="162"/>
      <c r="AC9458" s="162"/>
      <c r="AD9458" s="162">
        <f t="shared" si="167"/>
        <v>0</v>
      </c>
      <c r="AE9458" s="160">
        <v>9456</v>
      </c>
    </row>
    <row r="9459" spans="27:31" x14ac:dyDescent="0.25">
      <c r="AA9459" s="160"/>
      <c r="AB9459" s="162"/>
      <c r="AC9459" s="162"/>
      <c r="AD9459" s="162">
        <f t="shared" si="167"/>
        <v>0</v>
      </c>
      <c r="AE9459" s="160">
        <v>9457</v>
      </c>
    </row>
    <row r="9460" spans="27:31" x14ac:dyDescent="0.25">
      <c r="AA9460" s="160"/>
      <c r="AB9460" s="162"/>
      <c r="AC9460" s="162"/>
      <c r="AD9460" s="162">
        <f t="shared" si="167"/>
        <v>0</v>
      </c>
      <c r="AE9460" s="160">
        <v>9458</v>
      </c>
    </row>
    <row r="9461" spans="27:31" x14ac:dyDescent="0.25">
      <c r="AA9461" s="160"/>
      <c r="AB9461" s="162"/>
      <c r="AC9461" s="162"/>
      <c r="AD9461" s="162">
        <f t="shared" si="167"/>
        <v>0</v>
      </c>
      <c r="AE9461" s="160">
        <v>9459</v>
      </c>
    </row>
    <row r="9462" spans="27:31" x14ac:dyDescent="0.25">
      <c r="AA9462" s="160"/>
      <c r="AB9462" s="162"/>
      <c r="AC9462" s="162"/>
      <c r="AD9462" s="162">
        <f t="shared" si="167"/>
        <v>0</v>
      </c>
      <c r="AE9462" s="160">
        <v>9460</v>
      </c>
    </row>
    <row r="9463" spans="27:31" x14ac:dyDescent="0.25">
      <c r="AA9463" s="160"/>
      <c r="AB9463" s="162"/>
      <c r="AC9463" s="162"/>
      <c r="AD9463" s="162">
        <f t="shared" si="167"/>
        <v>0</v>
      </c>
      <c r="AE9463" s="160">
        <v>9461</v>
      </c>
    </row>
    <row r="9464" spans="27:31" x14ac:dyDescent="0.25">
      <c r="AA9464" s="160"/>
      <c r="AB9464" s="162"/>
      <c r="AC9464" s="162"/>
      <c r="AD9464" s="162">
        <f t="shared" si="167"/>
        <v>0</v>
      </c>
      <c r="AE9464" s="160">
        <v>9462</v>
      </c>
    </row>
    <row r="9465" spans="27:31" x14ac:dyDescent="0.25">
      <c r="AA9465" s="160"/>
      <c r="AB9465" s="162"/>
      <c r="AC9465" s="162"/>
      <c r="AD9465" s="162">
        <f t="shared" si="167"/>
        <v>0</v>
      </c>
      <c r="AE9465" s="160">
        <v>9463</v>
      </c>
    </row>
    <row r="9466" spans="27:31" x14ac:dyDescent="0.25">
      <c r="AA9466" s="160"/>
      <c r="AB9466" s="162"/>
      <c r="AC9466" s="162"/>
      <c r="AD9466" s="162">
        <f t="shared" si="167"/>
        <v>0</v>
      </c>
      <c r="AE9466" s="160">
        <v>9464</v>
      </c>
    </row>
    <row r="9467" spans="27:31" x14ac:dyDescent="0.25">
      <c r="AA9467" s="160"/>
      <c r="AB9467" s="162"/>
      <c r="AC9467" s="162"/>
      <c r="AD9467" s="162">
        <f t="shared" si="167"/>
        <v>0</v>
      </c>
      <c r="AE9467" s="160">
        <v>9465</v>
      </c>
    </row>
    <row r="9468" spans="27:31" x14ac:dyDescent="0.25">
      <c r="AA9468" s="160"/>
      <c r="AB9468" s="162"/>
      <c r="AC9468" s="162"/>
      <c r="AD9468" s="162">
        <f t="shared" si="167"/>
        <v>0</v>
      </c>
      <c r="AE9468" s="160">
        <v>9466</v>
      </c>
    </row>
    <row r="9469" spans="27:31" x14ac:dyDescent="0.25">
      <c r="AA9469" s="160"/>
      <c r="AB9469" s="162"/>
      <c r="AC9469" s="162"/>
      <c r="AD9469" s="162">
        <f t="shared" si="167"/>
        <v>0</v>
      </c>
      <c r="AE9469" s="160">
        <v>9467</v>
      </c>
    </row>
    <row r="9470" spans="27:31" x14ac:dyDescent="0.25">
      <c r="AA9470" s="160"/>
      <c r="AB9470" s="162"/>
      <c r="AC9470" s="162"/>
      <c r="AD9470" s="162">
        <f t="shared" si="167"/>
        <v>0</v>
      </c>
      <c r="AE9470" s="160">
        <v>9468</v>
      </c>
    </row>
    <row r="9471" spans="27:31" x14ac:dyDescent="0.25">
      <c r="AA9471" s="160"/>
      <c r="AB9471" s="162"/>
      <c r="AC9471" s="162"/>
      <c r="AD9471" s="162">
        <f t="shared" si="167"/>
        <v>0</v>
      </c>
      <c r="AE9471" s="160">
        <v>9469</v>
      </c>
    </row>
    <row r="9472" spans="27:31" x14ac:dyDescent="0.25">
      <c r="AA9472" s="160"/>
      <c r="AB9472" s="162"/>
      <c r="AC9472" s="162"/>
      <c r="AD9472" s="162">
        <f t="shared" si="167"/>
        <v>0</v>
      </c>
      <c r="AE9472" s="160">
        <v>9470</v>
      </c>
    </row>
    <row r="9473" spans="27:31" x14ac:dyDescent="0.25">
      <c r="AA9473" s="160"/>
      <c r="AB9473" s="162"/>
      <c r="AC9473" s="162"/>
      <c r="AD9473" s="162">
        <f t="shared" si="167"/>
        <v>0</v>
      </c>
      <c r="AE9473" s="160">
        <v>9471</v>
      </c>
    </row>
    <row r="9474" spans="27:31" x14ac:dyDescent="0.25">
      <c r="AA9474" s="160"/>
      <c r="AB9474" s="162"/>
      <c r="AC9474" s="162"/>
      <c r="AD9474" s="162">
        <f t="shared" si="167"/>
        <v>0</v>
      </c>
      <c r="AE9474" s="160">
        <v>9472</v>
      </c>
    </row>
    <row r="9475" spans="27:31" x14ac:dyDescent="0.25">
      <c r="AA9475" s="160"/>
      <c r="AB9475" s="162"/>
      <c r="AC9475" s="162"/>
      <c r="AD9475" s="162">
        <f t="shared" si="167"/>
        <v>0</v>
      </c>
      <c r="AE9475" s="160">
        <v>9473</v>
      </c>
    </row>
    <row r="9476" spans="27:31" x14ac:dyDescent="0.25">
      <c r="AA9476" s="160"/>
      <c r="AB9476" s="162"/>
      <c r="AC9476" s="162"/>
      <c r="AD9476" s="162">
        <f t="shared" ref="AD9476:AD9539" si="168">AB9476+AC9476</f>
        <v>0</v>
      </c>
      <c r="AE9476" s="160">
        <v>9474</v>
      </c>
    </row>
    <row r="9477" spans="27:31" x14ac:dyDescent="0.25">
      <c r="AA9477" s="160"/>
      <c r="AB9477" s="162"/>
      <c r="AC9477" s="162"/>
      <c r="AD9477" s="162">
        <f t="shared" si="168"/>
        <v>0</v>
      </c>
      <c r="AE9477" s="160">
        <v>9475</v>
      </c>
    </row>
    <row r="9478" spans="27:31" x14ac:dyDescent="0.25">
      <c r="AA9478" s="160"/>
      <c r="AB9478" s="162"/>
      <c r="AC9478" s="162"/>
      <c r="AD9478" s="162">
        <f t="shared" si="168"/>
        <v>0</v>
      </c>
      <c r="AE9478" s="160">
        <v>9476</v>
      </c>
    </row>
    <row r="9479" spans="27:31" x14ac:dyDescent="0.25">
      <c r="AA9479" s="160"/>
      <c r="AB9479" s="162"/>
      <c r="AC9479" s="162"/>
      <c r="AD9479" s="162">
        <f t="shared" si="168"/>
        <v>0</v>
      </c>
      <c r="AE9479" s="160">
        <v>9477</v>
      </c>
    </row>
    <row r="9480" spans="27:31" x14ac:dyDescent="0.25">
      <c r="AA9480" s="160"/>
      <c r="AB9480" s="162"/>
      <c r="AC9480" s="162"/>
      <c r="AD9480" s="162">
        <f t="shared" si="168"/>
        <v>0</v>
      </c>
      <c r="AE9480" s="160">
        <v>9478</v>
      </c>
    </row>
    <row r="9481" spans="27:31" x14ac:dyDescent="0.25">
      <c r="AA9481" s="160"/>
      <c r="AB9481" s="162"/>
      <c r="AC9481" s="162"/>
      <c r="AD9481" s="162">
        <f t="shared" si="168"/>
        <v>0</v>
      </c>
      <c r="AE9481" s="160">
        <v>9479</v>
      </c>
    </row>
    <row r="9482" spans="27:31" x14ac:dyDescent="0.25">
      <c r="AA9482" s="160"/>
      <c r="AB9482" s="162"/>
      <c r="AC9482" s="162"/>
      <c r="AD9482" s="162">
        <f t="shared" si="168"/>
        <v>0</v>
      </c>
      <c r="AE9482" s="160">
        <v>9480</v>
      </c>
    </row>
    <row r="9483" spans="27:31" x14ac:dyDescent="0.25">
      <c r="AA9483" s="160"/>
      <c r="AB9483" s="162"/>
      <c r="AC9483" s="162"/>
      <c r="AD9483" s="162">
        <f t="shared" si="168"/>
        <v>0</v>
      </c>
      <c r="AE9483" s="160">
        <v>9481</v>
      </c>
    </row>
    <row r="9484" spans="27:31" x14ac:dyDescent="0.25">
      <c r="AA9484" s="160"/>
      <c r="AB9484" s="162"/>
      <c r="AC9484" s="162"/>
      <c r="AD9484" s="162">
        <f t="shared" si="168"/>
        <v>0</v>
      </c>
      <c r="AE9484" s="160">
        <v>9482</v>
      </c>
    </row>
    <row r="9485" spans="27:31" x14ac:dyDescent="0.25">
      <c r="AA9485" s="160"/>
      <c r="AB9485" s="162"/>
      <c r="AC9485" s="162"/>
      <c r="AD9485" s="162">
        <f t="shared" si="168"/>
        <v>0</v>
      </c>
      <c r="AE9485" s="160">
        <v>9483</v>
      </c>
    </row>
    <row r="9486" spans="27:31" x14ac:dyDescent="0.25">
      <c r="AA9486" s="160"/>
      <c r="AB9486" s="162"/>
      <c r="AC9486" s="162"/>
      <c r="AD9486" s="162">
        <f t="shared" si="168"/>
        <v>0</v>
      </c>
      <c r="AE9486" s="160">
        <v>9484</v>
      </c>
    </row>
    <row r="9487" spans="27:31" x14ac:dyDescent="0.25">
      <c r="AA9487" s="160"/>
      <c r="AB9487" s="162"/>
      <c r="AC9487" s="162"/>
      <c r="AD9487" s="162">
        <f t="shared" si="168"/>
        <v>0</v>
      </c>
      <c r="AE9487" s="160">
        <v>9485</v>
      </c>
    </row>
    <row r="9488" spans="27:31" x14ac:dyDescent="0.25">
      <c r="AA9488" s="160"/>
      <c r="AB9488" s="162"/>
      <c r="AC9488" s="162"/>
      <c r="AD9488" s="162">
        <f t="shared" si="168"/>
        <v>0</v>
      </c>
      <c r="AE9488" s="160">
        <v>9486</v>
      </c>
    </row>
    <row r="9489" spans="27:31" x14ac:dyDescent="0.25">
      <c r="AA9489" s="160"/>
      <c r="AB9489" s="162"/>
      <c r="AC9489" s="162"/>
      <c r="AD9489" s="162">
        <f t="shared" si="168"/>
        <v>0</v>
      </c>
      <c r="AE9489" s="160">
        <v>9487</v>
      </c>
    </row>
    <row r="9490" spans="27:31" x14ac:dyDescent="0.25">
      <c r="AA9490" s="160"/>
      <c r="AB9490" s="162"/>
      <c r="AC9490" s="162"/>
      <c r="AD9490" s="162">
        <f t="shared" si="168"/>
        <v>0</v>
      </c>
      <c r="AE9490" s="160">
        <v>9488</v>
      </c>
    </row>
    <row r="9491" spans="27:31" x14ac:dyDescent="0.25">
      <c r="AA9491" s="160"/>
      <c r="AB9491" s="162"/>
      <c r="AC9491" s="162"/>
      <c r="AD9491" s="162">
        <f t="shared" si="168"/>
        <v>0</v>
      </c>
      <c r="AE9491" s="160">
        <v>9489</v>
      </c>
    </row>
    <row r="9492" spans="27:31" x14ac:dyDescent="0.25">
      <c r="AA9492" s="160"/>
      <c r="AB9492" s="162"/>
      <c r="AC9492" s="162"/>
      <c r="AD9492" s="162">
        <f t="shared" si="168"/>
        <v>0</v>
      </c>
      <c r="AE9492" s="160">
        <v>9490</v>
      </c>
    </row>
    <row r="9493" spans="27:31" x14ac:dyDescent="0.25">
      <c r="AA9493" s="160"/>
      <c r="AB9493" s="162"/>
      <c r="AC9493" s="162"/>
      <c r="AD9493" s="162">
        <f t="shared" si="168"/>
        <v>0</v>
      </c>
      <c r="AE9493" s="160">
        <v>9491</v>
      </c>
    </row>
    <row r="9494" spans="27:31" x14ac:dyDescent="0.25">
      <c r="AA9494" s="160"/>
      <c r="AB9494" s="162"/>
      <c r="AC9494" s="162"/>
      <c r="AD9494" s="162">
        <f t="shared" si="168"/>
        <v>0</v>
      </c>
      <c r="AE9494" s="160">
        <v>9492</v>
      </c>
    </row>
    <row r="9495" spans="27:31" x14ac:dyDescent="0.25">
      <c r="AA9495" s="160"/>
      <c r="AB9495" s="162"/>
      <c r="AC9495" s="162"/>
      <c r="AD9495" s="162">
        <f t="shared" si="168"/>
        <v>0</v>
      </c>
      <c r="AE9495" s="160">
        <v>9493</v>
      </c>
    </row>
    <row r="9496" spans="27:31" x14ac:dyDescent="0.25">
      <c r="AA9496" s="160"/>
      <c r="AB9496" s="162"/>
      <c r="AC9496" s="162"/>
      <c r="AD9496" s="162">
        <f t="shared" si="168"/>
        <v>0</v>
      </c>
      <c r="AE9496" s="160">
        <v>9494</v>
      </c>
    </row>
    <row r="9497" spans="27:31" x14ac:dyDescent="0.25">
      <c r="AA9497" s="160"/>
      <c r="AB9497" s="162"/>
      <c r="AC9497" s="162"/>
      <c r="AD9497" s="162">
        <f t="shared" si="168"/>
        <v>0</v>
      </c>
      <c r="AE9497" s="160">
        <v>9495</v>
      </c>
    </row>
    <row r="9498" spans="27:31" x14ac:dyDescent="0.25">
      <c r="AA9498" s="160"/>
      <c r="AB9498" s="162"/>
      <c r="AC9498" s="162"/>
      <c r="AD9498" s="162">
        <f t="shared" si="168"/>
        <v>0</v>
      </c>
      <c r="AE9498" s="160">
        <v>9496</v>
      </c>
    </row>
    <row r="9499" spans="27:31" x14ac:dyDescent="0.25">
      <c r="AA9499" s="160"/>
      <c r="AB9499" s="162"/>
      <c r="AC9499" s="162"/>
      <c r="AD9499" s="162">
        <f t="shared" si="168"/>
        <v>0</v>
      </c>
      <c r="AE9499" s="160">
        <v>9497</v>
      </c>
    </row>
    <row r="9500" spans="27:31" x14ac:dyDescent="0.25">
      <c r="AA9500" s="160"/>
      <c r="AB9500" s="162"/>
      <c r="AC9500" s="162"/>
      <c r="AD9500" s="162">
        <f t="shared" si="168"/>
        <v>0</v>
      </c>
      <c r="AE9500" s="160">
        <v>9498</v>
      </c>
    </row>
    <row r="9501" spans="27:31" x14ac:dyDescent="0.25">
      <c r="AA9501" s="160"/>
      <c r="AB9501" s="162"/>
      <c r="AC9501" s="162"/>
      <c r="AD9501" s="162">
        <f t="shared" si="168"/>
        <v>0</v>
      </c>
      <c r="AE9501" s="160">
        <v>9499</v>
      </c>
    </row>
    <row r="9502" spans="27:31" x14ac:dyDescent="0.25">
      <c r="AA9502" s="160"/>
      <c r="AB9502" s="162"/>
      <c r="AC9502" s="162"/>
      <c r="AD9502" s="162">
        <f t="shared" si="168"/>
        <v>0</v>
      </c>
      <c r="AE9502" s="160">
        <v>9500</v>
      </c>
    </row>
    <row r="9503" spans="27:31" x14ac:dyDescent="0.25">
      <c r="AA9503" s="160"/>
      <c r="AB9503" s="162"/>
      <c r="AC9503" s="162"/>
      <c r="AD9503" s="162">
        <f t="shared" si="168"/>
        <v>0</v>
      </c>
      <c r="AE9503" s="160">
        <v>9501</v>
      </c>
    </row>
    <row r="9504" spans="27:31" x14ac:dyDescent="0.25">
      <c r="AA9504" s="160"/>
      <c r="AB9504" s="162"/>
      <c r="AC9504" s="162"/>
      <c r="AD9504" s="162">
        <f t="shared" si="168"/>
        <v>0</v>
      </c>
      <c r="AE9504" s="160">
        <v>9502</v>
      </c>
    </row>
    <row r="9505" spans="27:31" x14ac:dyDescent="0.25">
      <c r="AA9505" s="160"/>
      <c r="AB9505" s="162"/>
      <c r="AC9505" s="162"/>
      <c r="AD9505" s="162">
        <f t="shared" si="168"/>
        <v>0</v>
      </c>
      <c r="AE9505" s="160">
        <v>9503</v>
      </c>
    </row>
    <row r="9506" spans="27:31" x14ac:dyDescent="0.25">
      <c r="AA9506" s="160"/>
      <c r="AB9506" s="162"/>
      <c r="AC9506" s="162"/>
      <c r="AD9506" s="162">
        <f t="shared" si="168"/>
        <v>0</v>
      </c>
      <c r="AE9506" s="160">
        <v>9504</v>
      </c>
    </row>
    <row r="9507" spans="27:31" x14ac:dyDescent="0.25">
      <c r="AA9507" s="160"/>
      <c r="AB9507" s="162"/>
      <c r="AC9507" s="162"/>
      <c r="AD9507" s="162">
        <f t="shared" si="168"/>
        <v>0</v>
      </c>
      <c r="AE9507" s="160">
        <v>9505</v>
      </c>
    </row>
    <row r="9508" spans="27:31" x14ac:dyDescent="0.25">
      <c r="AA9508" s="160"/>
      <c r="AB9508" s="162"/>
      <c r="AC9508" s="162"/>
      <c r="AD9508" s="162">
        <f t="shared" si="168"/>
        <v>0</v>
      </c>
      <c r="AE9508" s="160">
        <v>9506</v>
      </c>
    </row>
    <row r="9509" spans="27:31" x14ac:dyDescent="0.25">
      <c r="AA9509" s="160"/>
      <c r="AB9509" s="162"/>
      <c r="AC9509" s="162"/>
      <c r="AD9509" s="162">
        <f t="shared" si="168"/>
        <v>0</v>
      </c>
      <c r="AE9509" s="160">
        <v>9507</v>
      </c>
    </row>
    <row r="9510" spans="27:31" x14ac:dyDescent="0.25">
      <c r="AA9510" s="160"/>
      <c r="AB9510" s="162"/>
      <c r="AC9510" s="162"/>
      <c r="AD9510" s="162">
        <f t="shared" si="168"/>
        <v>0</v>
      </c>
      <c r="AE9510" s="160">
        <v>9508</v>
      </c>
    </row>
    <row r="9511" spans="27:31" x14ac:dyDescent="0.25">
      <c r="AA9511" s="160"/>
      <c r="AB9511" s="162"/>
      <c r="AC9511" s="162"/>
      <c r="AD9511" s="162">
        <f t="shared" si="168"/>
        <v>0</v>
      </c>
      <c r="AE9511" s="160">
        <v>9509</v>
      </c>
    </row>
    <row r="9512" spans="27:31" x14ac:dyDescent="0.25">
      <c r="AA9512" s="160"/>
      <c r="AB9512" s="162"/>
      <c r="AC9512" s="162"/>
      <c r="AD9512" s="162">
        <f t="shared" si="168"/>
        <v>0</v>
      </c>
      <c r="AE9512" s="160">
        <v>9510</v>
      </c>
    </row>
    <row r="9513" spans="27:31" x14ac:dyDescent="0.25">
      <c r="AA9513" s="160"/>
      <c r="AB9513" s="162"/>
      <c r="AC9513" s="162"/>
      <c r="AD9513" s="162">
        <f t="shared" si="168"/>
        <v>0</v>
      </c>
      <c r="AE9513" s="160">
        <v>9511</v>
      </c>
    </row>
    <row r="9514" spans="27:31" x14ac:dyDescent="0.25">
      <c r="AA9514" s="160"/>
      <c r="AB9514" s="162"/>
      <c r="AC9514" s="162"/>
      <c r="AD9514" s="162">
        <f t="shared" si="168"/>
        <v>0</v>
      </c>
      <c r="AE9514" s="160">
        <v>9512</v>
      </c>
    </row>
    <row r="9515" spans="27:31" x14ac:dyDescent="0.25">
      <c r="AA9515" s="160"/>
      <c r="AB9515" s="162"/>
      <c r="AC9515" s="162"/>
      <c r="AD9515" s="162">
        <f t="shared" si="168"/>
        <v>0</v>
      </c>
      <c r="AE9515" s="160">
        <v>9513</v>
      </c>
    </row>
    <row r="9516" spans="27:31" x14ac:dyDescent="0.25">
      <c r="AA9516" s="160"/>
      <c r="AB9516" s="162"/>
      <c r="AC9516" s="162"/>
      <c r="AD9516" s="162">
        <f t="shared" si="168"/>
        <v>0</v>
      </c>
      <c r="AE9516" s="160">
        <v>9514</v>
      </c>
    </row>
    <row r="9517" spans="27:31" x14ac:dyDescent="0.25">
      <c r="AA9517" s="160"/>
      <c r="AB9517" s="162"/>
      <c r="AC9517" s="162"/>
      <c r="AD9517" s="162">
        <f t="shared" si="168"/>
        <v>0</v>
      </c>
      <c r="AE9517" s="160">
        <v>9515</v>
      </c>
    </row>
    <row r="9518" spans="27:31" x14ac:dyDescent="0.25">
      <c r="AA9518" s="160"/>
      <c r="AB9518" s="162"/>
      <c r="AC9518" s="162"/>
      <c r="AD9518" s="162">
        <f t="shared" si="168"/>
        <v>0</v>
      </c>
      <c r="AE9518" s="160">
        <v>9516</v>
      </c>
    </row>
    <row r="9519" spans="27:31" x14ac:dyDescent="0.25">
      <c r="AA9519" s="160"/>
      <c r="AB9519" s="162"/>
      <c r="AC9519" s="162"/>
      <c r="AD9519" s="162">
        <f t="shared" si="168"/>
        <v>0</v>
      </c>
      <c r="AE9519" s="160">
        <v>9517</v>
      </c>
    </row>
    <row r="9520" spans="27:31" x14ac:dyDescent="0.25">
      <c r="AA9520" s="160"/>
      <c r="AB9520" s="162"/>
      <c r="AC9520" s="162"/>
      <c r="AD9520" s="162">
        <f t="shared" si="168"/>
        <v>0</v>
      </c>
      <c r="AE9520" s="160">
        <v>9518</v>
      </c>
    </row>
    <row r="9521" spans="27:31" x14ac:dyDescent="0.25">
      <c r="AA9521" s="160"/>
      <c r="AB9521" s="162"/>
      <c r="AC9521" s="162"/>
      <c r="AD9521" s="162">
        <f t="shared" si="168"/>
        <v>0</v>
      </c>
      <c r="AE9521" s="160">
        <v>9519</v>
      </c>
    </row>
    <row r="9522" spans="27:31" x14ac:dyDescent="0.25">
      <c r="AA9522" s="160"/>
      <c r="AB9522" s="162"/>
      <c r="AC9522" s="162"/>
      <c r="AD9522" s="162">
        <f t="shared" si="168"/>
        <v>0</v>
      </c>
      <c r="AE9522" s="160">
        <v>9520</v>
      </c>
    </row>
    <row r="9523" spans="27:31" x14ac:dyDescent="0.25">
      <c r="AA9523" s="160"/>
      <c r="AB9523" s="162"/>
      <c r="AC9523" s="162"/>
      <c r="AD9523" s="162">
        <f t="shared" si="168"/>
        <v>0</v>
      </c>
      <c r="AE9523" s="160">
        <v>9521</v>
      </c>
    </row>
    <row r="9524" spans="27:31" x14ac:dyDescent="0.25">
      <c r="AA9524" s="160"/>
      <c r="AB9524" s="162"/>
      <c r="AC9524" s="162"/>
      <c r="AD9524" s="162">
        <f t="shared" si="168"/>
        <v>0</v>
      </c>
      <c r="AE9524" s="160">
        <v>9522</v>
      </c>
    </row>
    <row r="9525" spans="27:31" x14ac:dyDescent="0.25">
      <c r="AA9525" s="160"/>
      <c r="AB9525" s="162"/>
      <c r="AC9525" s="162"/>
      <c r="AD9525" s="162">
        <f t="shared" si="168"/>
        <v>0</v>
      </c>
      <c r="AE9525" s="160">
        <v>9523</v>
      </c>
    </row>
    <row r="9526" spans="27:31" x14ac:dyDescent="0.25">
      <c r="AA9526" s="160"/>
      <c r="AB9526" s="162"/>
      <c r="AC9526" s="162"/>
      <c r="AD9526" s="162">
        <f t="shared" si="168"/>
        <v>0</v>
      </c>
      <c r="AE9526" s="160">
        <v>9524</v>
      </c>
    </row>
    <row r="9527" spans="27:31" x14ac:dyDescent="0.25">
      <c r="AA9527" s="160"/>
      <c r="AB9527" s="162"/>
      <c r="AC9527" s="162"/>
      <c r="AD9527" s="162">
        <f t="shared" si="168"/>
        <v>0</v>
      </c>
      <c r="AE9527" s="160">
        <v>9525</v>
      </c>
    </row>
    <row r="9528" spans="27:31" x14ac:dyDescent="0.25">
      <c r="AA9528" s="160"/>
      <c r="AB9528" s="162"/>
      <c r="AC9528" s="162"/>
      <c r="AD9528" s="162">
        <f t="shared" si="168"/>
        <v>0</v>
      </c>
      <c r="AE9528" s="160">
        <v>9526</v>
      </c>
    </row>
    <row r="9529" spans="27:31" x14ac:dyDescent="0.25">
      <c r="AA9529" s="160"/>
      <c r="AB9529" s="162"/>
      <c r="AC9529" s="162"/>
      <c r="AD9529" s="162">
        <f t="shared" si="168"/>
        <v>0</v>
      </c>
      <c r="AE9529" s="160">
        <v>9527</v>
      </c>
    </row>
    <row r="9530" spans="27:31" x14ac:dyDescent="0.25">
      <c r="AA9530" s="160"/>
      <c r="AB9530" s="162"/>
      <c r="AC9530" s="162"/>
      <c r="AD9530" s="162">
        <f t="shared" si="168"/>
        <v>0</v>
      </c>
      <c r="AE9530" s="160">
        <v>9528</v>
      </c>
    </row>
    <row r="9531" spans="27:31" x14ac:dyDescent="0.25">
      <c r="AA9531" s="160"/>
      <c r="AB9531" s="162"/>
      <c r="AC9531" s="162"/>
      <c r="AD9531" s="162">
        <f t="shared" si="168"/>
        <v>0</v>
      </c>
      <c r="AE9531" s="160">
        <v>9529</v>
      </c>
    </row>
    <row r="9532" spans="27:31" x14ac:dyDescent="0.25">
      <c r="AA9532" s="160"/>
      <c r="AB9532" s="162"/>
      <c r="AC9532" s="162"/>
      <c r="AD9532" s="162">
        <f t="shared" si="168"/>
        <v>0</v>
      </c>
      <c r="AE9532" s="160">
        <v>9530</v>
      </c>
    </row>
    <row r="9533" spans="27:31" x14ac:dyDescent="0.25">
      <c r="AA9533" s="160"/>
      <c r="AB9533" s="162"/>
      <c r="AC9533" s="162"/>
      <c r="AD9533" s="162">
        <f t="shared" si="168"/>
        <v>0</v>
      </c>
      <c r="AE9533" s="160">
        <v>9531</v>
      </c>
    </row>
    <row r="9534" spans="27:31" x14ac:dyDescent="0.25">
      <c r="AA9534" s="160"/>
      <c r="AB9534" s="162"/>
      <c r="AC9534" s="162"/>
      <c r="AD9534" s="162">
        <f t="shared" si="168"/>
        <v>0</v>
      </c>
      <c r="AE9534" s="160">
        <v>9532</v>
      </c>
    </row>
    <row r="9535" spans="27:31" x14ac:dyDescent="0.25">
      <c r="AA9535" s="160"/>
      <c r="AB9535" s="162"/>
      <c r="AC9535" s="162"/>
      <c r="AD9535" s="162">
        <f t="shared" si="168"/>
        <v>0</v>
      </c>
      <c r="AE9535" s="160">
        <v>9533</v>
      </c>
    </row>
    <row r="9536" spans="27:31" x14ac:dyDescent="0.25">
      <c r="AA9536" s="160"/>
      <c r="AB9536" s="162"/>
      <c r="AC9536" s="162"/>
      <c r="AD9536" s="162">
        <f t="shared" si="168"/>
        <v>0</v>
      </c>
      <c r="AE9536" s="160">
        <v>9534</v>
      </c>
    </row>
    <row r="9537" spans="27:31" x14ac:dyDescent="0.25">
      <c r="AA9537" s="160"/>
      <c r="AB9537" s="162"/>
      <c r="AC9537" s="162"/>
      <c r="AD9537" s="162">
        <f t="shared" si="168"/>
        <v>0</v>
      </c>
      <c r="AE9537" s="160">
        <v>9535</v>
      </c>
    </row>
    <row r="9538" spans="27:31" x14ac:dyDescent="0.25">
      <c r="AA9538" s="160"/>
      <c r="AB9538" s="162"/>
      <c r="AC9538" s="162"/>
      <c r="AD9538" s="162">
        <f t="shared" si="168"/>
        <v>0</v>
      </c>
      <c r="AE9538" s="160">
        <v>9536</v>
      </c>
    </row>
    <row r="9539" spans="27:31" x14ac:dyDescent="0.25">
      <c r="AA9539" s="160"/>
      <c r="AB9539" s="162"/>
      <c r="AC9539" s="162"/>
      <c r="AD9539" s="162">
        <f t="shared" si="168"/>
        <v>0</v>
      </c>
      <c r="AE9539" s="160">
        <v>9537</v>
      </c>
    </row>
    <row r="9540" spans="27:31" x14ac:dyDescent="0.25">
      <c r="AA9540" s="160"/>
      <c r="AB9540" s="162"/>
      <c r="AC9540" s="162"/>
      <c r="AD9540" s="162">
        <f t="shared" ref="AD9540:AD9603" si="169">AB9540+AC9540</f>
        <v>0</v>
      </c>
      <c r="AE9540" s="160">
        <v>9538</v>
      </c>
    </row>
    <row r="9541" spans="27:31" x14ac:dyDescent="0.25">
      <c r="AA9541" s="160"/>
      <c r="AB9541" s="162"/>
      <c r="AC9541" s="162"/>
      <c r="AD9541" s="162">
        <f t="shared" si="169"/>
        <v>0</v>
      </c>
      <c r="AE9541" s="160">
        <v>9539</v>
      </c>
    </row>
    <row r="9542" spans="27:31" x14ac:dyDescent="0.25">
      <c r="AA9542" s="160"/>
      <c r="AB9542" s="162"/>
      <c r="AC9542" s="162"/>
      <c r="AD9542" s="162">
        <f t="shared" si="169"/>
        <v>0</v>
      </c>
      <c r="AE9542" s="160">
        <v>9540</v>
      </c>
    </row>
    <row r="9543" spans="27:31" x14ac:dyDescent="0.25">
      <c r="AA9543" s="160"/>
      <c r="AB9543" s="162"/>
      <c r="AC9543" s="162"/>
      <c r="AD9543" s="162">
        <f t="shared" si="169"/>
        <v>0</v>
      </c>
      <c r="AE9543" s="160">
        <v>9541</v>
      </c>
    </row>
    <row r="9544" spans="27:31" x14ac:dyDescent="0.25">
      <c r="AA9544" s="160"/>
      <c r="AB9544" s="162"/>
      <c r="AC9544" s="162"/>
      <c r="AD9544" s="162">
        <f t="shared" si="169"/>
        <v>0</v>
      </c>
      <c r="AE9544" s="160">
        <v>9542</v>
      </c>
    </row>
    <row r="9545" spans="27:31" x14ac:dyDescent="0.25">
      <c r="AA9545" s="160"/>
      <c r="AB9545" s="162"/>
      <c r="AC9545" s="162"/>
      <c r="AD9545" s="162">
        <f t="shared" si="169"/>
        <v>0</v>
      </c>
      <c r="AE9545" s="160">
        <v>9543</v>
      </c>
    </row>
    <row r="9546" spans="27:31" x14ac:dyDescent="0.25">
      <c r="AA9546" s="160"/>
      <c r="AB9546" s="162"/>
      <c r="AC9546" s="162"/>
      <c r="AD9546" s="162">
        <f t="shared" si="169"/>
        <v>0</v>
      </c>
      <c r="AE9546" s="160">
        <v>9544</v>
      </c>
    </row>
    <row r="9547" spans="27:31" x14ac:dyDescent="0.25">
      <c r="AA9547" s="160"/>
      <c r="AB9547" s="162"/>
      <c r="AC9547" s="162"/>
      <c r="AD9547" s="162">
        <f t="shared" si="169"/>
        <v>0</v>
      </c>
      <c r="AE9547" s="160">
        <v>9545</v>
      </c>
    </row>
    <row r="9548" spans="27:31" x14ac:dyDescent="0.25">
      <c r="AA9548" s="160"/>
      <c r="AB9548" s="162"/>
      <c r="AC9548" s="162"/>
      <c r="AD9548" s="162">
        <f t="shared" si="169"/>
        <v>0</v>
      </c>
      <c r="AE9548" s="160">
        <v>9546</v>
      </c>
    </row>
    <row r="9549" spans="27:31" x14ac:dyDescent="0.25">
      <c r="AA9549" s="160"/>
      <c r="AB9549" s="162"/>
      <c r="AC9549" s="162"/>
      <c r="AD9549" s="162">
        <f t="shared" si="169"/>
        <v>0</v>
      </c>
      <c r="AE9549" s="160">
        <v>9547</v>
      </c>
    </row>
    <row r="9550" spans="27:31" x14ac:dyDescent="0.25">
      <c r="AA9550" s="160"/>
      <c r="AB9550" s="162"/>
      <c r="AC9550" s="162"/>
      <c r="AD9550" s="162">
        <f t="shared" si="169"/>
        <v>0</v>
      </c>
      <c r="AE9550" s="160">
        <v>9548</v>
      </c>
    </row>
    <row r="9551" spans="27:31" x14ac:dyDescent="0.25">
      <c r="AA9551" s="160"/>
      <c r="AB9551" s="162"/>
      <c r="AC9551" s="162"/>
      <c r="AD9551" s="162">
        <f t="shared" si="169"/>
        <v>0</v>
      </c>
      <c r="AE9551" s="160">
        <v>9549</v>
      </c>
    </row>
    <row r="9552" spans="27:31" x14ac:dyDescent="0.25">
      <c r="AA9552" s="160"/>
      <c r="AB9552" s="162"/>
      <c r="AC9552" s="162"/>
      <c r="AD9552" s="162">
        <f t="shared" si="169"/>
        <v>0</v>
      </c>
      <c r="AE9552" s="160">
        <v>9550</v>
      </c>
    </row>
    <row r="9553" spans="27:31" x14ac:dyDescent="0.25">
      <c r="AA9553" s="160"/>
      <c r="AB9553" s="162"/>
      <c r="AC9553" s="162"/>
      <c r="AD9553" s="162">
        <f t="shared" si="169"/>
        <v>0</v>
      </c>
      <c r="AE9553" s="160">
        <v>9551</v>
      </c>
    </row>
    <row r="9554" spans="27:31" x14ac:dyDescent="0.25">
      <c r="AA9554" s="160"/>
      <c r="AB9554" s="162"/>
      <c r="AC9554" s="162"/>
      <c r="AD9554" s="162">
        <f t="shared" si="169"/>
        <v>0</v>
      </c>
      <c r="AE9554" s="160">
        <v>9552</v>
      </c>
    </row>
    <row r="9555" spans="27:31" x14ac:dyDescent="0.25">
      <c r="AA9555" s="160"/>
      <c r="AB9555" s="162"/>
      <c r="AC9555" s="162"/>
      <c r="AD9555" s="162">
        <f t="shared" si="169"/>
        <v>0</v>
      </c>
      <c r="AE9555" s="160">
        <v>9553</v>
      </c>
    </row>
    <row r="9556" spans="27:31" x14ac:dyDescent="0.25">
      <c r="AA9556" s="160"/>
      <c r="AB9556" s="162"/>
      <c r="AC9556" s="162"/>
      <c r="AD9556" s="162">
        <f t="shared" si="169"/>
        <v>0</v>
      </c>
      <c r="AE9556" s="160">
        <v>9554</v>
      </c>
    </row>
    <row r="9557" spans="27:31" x14ac:dyDescent="0.25">
      <c r="AA9557" s="160"/>
      <c r="AB9557" s="162"/>
      <c r="AC9557" s="162"/>
      <c r="AD9557" s="162">
        <f t="shared" si="169"/>
        <v>0</v>
      </c>
      <c r="AE9557" s="160">
        <v>9555</v>
      </c>
    </row>
    <row r="9558" spans="27:31" x14ac:dyDescent="0.25">
      <c r="AA9558" s="160"/>
      <c r="AB9558" s="162"/>
      <c r="AC9558" s="162"/>
      <c r="AD9558" s="162">
        <f t="shared" si="169"/>
        <v>0</v>
      </c>
      <c r="AE9558" s="160">
        <v>9556</v>
      </c>
    </row>
    <row r="9559" spans="27:31" x14ac:dyDescent="0.25">
      <c r="AA9559" s="160"/>
      <c r="AB9559" s="162"/>
      <c r="AC9559" s="162"/>
      <c r="AD9559" s="162">
        <f t="shared" si="169"/>
        <v>0</v>
      </c>
      <c r="AE9559" s="160">
        <v>9557</v>
      </c>
    </row>
    <row r="9560" spans="27:31" x14ac:dyDescent="0.25">
      <c r="AA9560" s="160"/>
      <c r="AB9560" s="162"/>
      <c r="AC9560" s="162"/>
      <c r="AD9560" s="162">
        <f t="shared" si="169"/>
        <v>0</v>
      </c>
      <c r="AE9560" s="160">
        <v>9558</v>
      </c>
    </row>
    <row r="9561" spans="27:31" x14ac:dyDescent="0.25">
      <c r="AA9561" s="160"/>
      <c r="AB9561" s="162"/>
      <c r="AC9561" s="162"/>
      <c r="AD9561" s="162">
        <f t="shared" si="169"/>
        <v>0</v>
      </c>
      <c r="AE9561" s="160">
        <v>9559</v>
      </c>
    </row>
    <row r="9562" spans="27:31" x14ac:dyDescent="0.25">
      <c r="AA9562" s="160"/>
      <c r="AB9562" s="162"/>
      <c r="AC9562" s="162"/>
      <c r="AD9562" s="162">
        <f t="shared" si="169"/>
        <v>0</v>
      </c>
      <c r="AE9562" s="160">
        <v>9560</v>
      </c>
    </row>
    <row r="9563" spans="27:31" x14ac:dyDescent="0.25">
      <c r="AA9563" s="160"/>
      <c r="AB9563" s="162"/>
      <c r="AC9563" s="162"/>
      <c r="AD9563" s="162">
        <f t="shared" si="169"/>
        <v>0</v>
      </c>
      <c r="AE9563" s="160">
        <v>9561</v>
      </c>
    </row>
    <row r="9564" spans="27:31" x14ac:dyDescent="0.25">
      <c r="AA9564" s="160"/>
      <c r="AB9564" s="162"/>
      <c r="AC9564" s="162"/>
      <c r="AD9564" s="162">
        <f t="shared" si="169"/>
        <v>0</v>
      </c>
      <c r="AE9564" s="160">
        <v>9562</v>
      </c>
    </row>
    <row r="9565" spans="27:31" x14ac:dyDescent="0.25">
      <c r="AA9565" s="160"/>
      <c r="AB9565" s="162"/>
      <c r="AC9565" s="162"/>
      <c r="AD9565" s="162">
        <f t="shared" si="169"/>
        <v>0</v>
      </c>
      <c r="AE9565" s="160">
        <v>9563</v>
      </c>
    </row>
    <row r="9566" spans="27:31" x14ac:dyDescent="0.25">
      <c r="AA9566" s="160"/>
      <c r="AB9566" s="162"/>
      <c r="AC9566" s="162"/>
      <c r="AD9566" s="162">
        <f t="shared" si="169"/>
        <v>0</v>
      </c>
      <c r="AE9566" s="160">
        <v>9564</v>
      </c>
    </row>
    <row r="9567" spans="27:31" x14ac:dyDescent="0.25">
      <c r="AA9567" s="160"/>
      <c r="AB9567" s="162"/>
      <c r="AC9567" s="162"/>
      <c r="AD9567" s="162">
        <f t="shared" si="169"/>
        <v>0</v>
      </c>
      <c r="AE9567" s="160">
        <v>9565</v>
      </c>
    </row>
    <row r="9568" spans="27:31" x14ac:dyDescent="0.25">
      <c r="AA9568" s="160"/>
      <c r="AB9568" s="162"/>
      <c r="AC9568" s="162"/>
      <c r="AD9568" s="162">
        <f t="shared" si="169"/>
        <v>0</v>
      </c>
      <c r="AE9568" s="160">
        <v>9566</v>
      </c>
    </row>
    <row r="9569" spans="27:31" x14ac:dyDescent="0.25">
      <c r="AA9569" s="160"/>
      <c r="AB9569" s="162"/>
      <c r="AC9569" s="162"/>
      <c r="AD9569" s="162">
        <f t="shared" si="169"/>
        <v>0</v>
      </c>
      <c r="AE9569" s="160">
        <v>9567</v>
      </c>
    </row>
    <row r="9570" spans="27:31" x14ac:dyDescent="0.25">
      <c r="AA9570" s="160"/>
      <c r="AB9570" s="162"/>
      <c r="AC9570" s="162"/>
      <c r="AD9570" s="162">
        <f t="shared" si="169"/>
        <v>0</v>
      </c>
      <c r="AE9570" s="160">
        <v>9568</v>
      </c>
    </row>
    <row r="9571" spans="27:31" x14ac:dyDescent="0.25">
      <c r="AA9571" s="160"/>
      <c r="AB9571" s="162"/>
      <c r="AC9571" s="162"/>
      <c r="AD9571" s="162">
        <f t="shared" si="169"/>
        <v>0</v>
      </c>
      <c r="AE9571" s="160">
        <v>9569</v>
      </c>
    </row>
    <row r="9572" spans="27:31" x14ac:dyDescent="0.25">
      <c r="AA9572" s="160"/>
      <c r="AB9572" s="162"/>
      <c r="AC9572" s="162"/>
      <c r="AD9572" s="162">
        <f t="shared" si="169"/>
        <v>0</v>
      </c>
      <c r="AE9572" s="160">
        <v>9570</v>
      </c>
    </row>
    <row r="9573" spans="27:31" x14ac:dyDescent="0.25">
      <c r="AA9573" s="160"/>
      <c r="AB9573" s="162"/>
      <c r="AC9573" s="162"/>
      <c r="AD9573" s="162">
        <f t="shared" si="169"/>
        <v>0</v>
      </c>
      <c r="AE9573" s="160">
        <v>9571</v>
      </c>
    </row>
    <row r="9574" spans="27:31" x14ac:dyDescent="0.25">
      <c r="AA9574" s="160"/>
      <c r="AB9574" s="162"/>
      <c r="AC9574" s="162"/>
      <c r="AD9574" s="162">
        <f t="shared" si="169"/>
        <v>0</v>
      </c>
      <c r="AE9574" s="160">
        <v>9572</v>
      </c>
    </row>
    <row r="9575" spans="27:31" x14ac:dyDescent="0.25">
      <c r="AA9575" s="160"/>
      <c r="AB9575" s="162"/>
      <c r="AC9575" s="162"/>
      <c r="AD9575" s="162">
        <f t="shared" si="169"/>
        <v>0</v>
      </c>
      <c r="AE9575" s="160">
        <v>9573</v>
      </c>
    </row>
    <row r="9576" spans="27:31" x14ac:dyDescent="0.25">
      <c r="AA9576" s="160"/>
      <c r="AB9576" s="162"/>
      <c r="AC9576" s="162"/>
      <c r="AD9576" s="162">
        <f t="shared" si="169"/>
        <v>0</v>
      </c>
      <c r="AE9576" s="160">
        <v>9574</v>
      </c>
    </row>
    <row r="9577" spans="27:31" x14ac:dyDescent="0.25">
      <c r="AA9577" s="160"/>
      <c r="AB9577" s="162"/>
      <c r="AC9577" s="162"/>
      <c r="AD9577" s="162">
        <f t="shared" si="169"/>
        <v>0</v>
      </c>
      <c r="AE9577" s="160">
        <v>9575</v>
      </c>
    </row>
    <row r="9578" spans="27:31" x14ac:dyDescent="0.25">
      <c r="AA9578" s="160"/>
      <c r="AB9578" s="162"/>
      <c r="AC9578" s="162"/>
      <c r="AD9578" s="162">
        <f t="shared" si="169"/>
        <v>0</v>
      </c>
      <c r="AE9578" s="160">
        <v>9576</v>
      </c>
    </row>
    <row r="9579" spans="27:31" x14ac:dyDescent="0.25">
      <c r="AA9579" s="160"/>
      <c r="AB9579" s="162"/>
      <c r="AC9579" s="162"/>
      <c r="AD9579" s="162">
        <f t="shared" si="169"/>
        <v>0</v>
      </c>
      <c r="AE9579" s="160">
        <v>9577</v>
      </c>
    </row>
    <row r="9580" spans="27:31" x14ac:dyDescent="0.25">
      <c r="AA9580" s="160"/>
      <c r="AB9580" s="162"/>
      <c r="AC9580" s="162"/>
      <c r="AD9580" s="162">
        <f t="shared" si="169"/>
        <v>0</v>
      </c>
      <c r="AE9580" s="160">
        <v>9578</v>
      </c>
    </row>
    <row r="9581" spans="27:31" x14ac:dyDescent="0.25">
      <c r="AA9581" s="160"/>
      <c r="AB9581" s="162"/>
      <c r="AC9581" s="162"/>
      <c r="AD9581" s="162">
        <f t="shared" si="169"/>
        <v>0</v>
      </c>
      <c r="AE9581" s="160">
        <v>9579</v>
      </c>
    </row>
    <row r="9582" spans="27:31" x14ac:dyDescent="0.25">
      <c r="AA9582" s="160"/>
      <c r="AB9582" s="162"/>
      <c r="AC9582" s="162"/>
      <c r="AD9582" s="162">
        <f t="shared" si="169"/>
        <v>0</v>
      </c>
      <c r="AE9582" s="160">
        <v>9580</v>
      </c>
    </row>
    <row r="9583" spans="27:31" x14ac:dyDescent="0.25">
      <c r="AA9583" s="160"/>
      <c r="AB9583" s="162"/>
      <c r="AC9583" s="162"/>
      <c r="AD9583" s="162">
        <f t="shared" si="169"/>
        <v>0</v>
      </c>
      <c r="AE9583" s="160">
        <v>9581</v>
      </c>
    </row>
    <row r="9584" spans="27:31" x14ac:dyDescent="0.25">
      <c r="AA9584" s="160"/>
      <c r="AB9584" s="162"/>
      <c r="AC9584" s="162"/>
      <c r="AD9584" s="162">
        <f t="shared" si="169"/>
        <v>0</v>
      </c>
      <c r="AE9584" s="160">
        <v>9582</v>
      </c>
    </row>
    <row r="9585" spans="27:31" x14ac:dyDescent="0.25">
      <c r="AA9585" s="160"/>
      <c r="AB9585" s="162"/>
      <c r="AC9585" s="162"/>
      <c r="AD9585" s="162">
        <f t="shared" si="169"/>
        <v>0</v>
      </c>
      <c r="AE9585" s="160">
        <v>9583</v>
      </c>
    </row>
    <row r="9586" spans="27:31" x14ac:dyDescent="0.25">
      <c r="AA9586" s="160"/>
      <c r="AB9586" s="162"/>
      <c r="AC9586" s="162"/>
      <c r="AD9586" s="162">
        <f t="shared" si="169"/>
        <v>0</v>
      </c>
      <c r="AE9586" s="160">
        <v>9584</v>
      </c>
    </row>
    <row r="9587" spans="27:31" x14ac:dyDescent="0.25">
      <c r="AA9587" s="160"/>
      <c r="AB9587" s="162"/>
      <c r="AC9587" s="162"/>
      <c r="AD9587" s="162">
        <f t="shared" si="169"/>
        <v>0</v>
      </c>
      <c r="AE9587" s="160">
        <v>9585</v>
      </c>
    </row>
    <row r="9588" spans="27:31" x14ac:dyDescent="0.25">
      <c r="AA9588" s="160"/>
      <c r="AB9588" s="162"/>
      <c r="AC9588" s="162"/>
      <c r="AD9588" s="162">
        <f t="shared" si="169"/>
        <v>0</v>
      </c>
      <c r="AE9588" s="160">
        <v>9586</v>
      </c>
    </row>
    <row r="9589" spans="27:31" x14ac:dyDescent="0.25">
      <c r="AA9589" s="160"/>
      <c r="AB9589" s="162"/>
      <c r="AC9589" s="162"/>
      <c r="AD9589" s="162">
        <f t="shared" si="169"/>
        <v>0</v>
      </c>
      <c r="AE9589" s="160">
        <v>9587</v>
      </c>
    </row>
    <row r="9590" spans="27:31" x14ac:dyDescent="0.25">
      <c r="AA9590" s="160"/>
      <c r="AB9590" s="162"/>
      <c r="AC9590" s="162"/>
      <c r="AD9590" s="162">
        <f t="shared" si="169"/>
        <v>0</v>
      </c>
      <c r="AE9590" s="160">
        <v>9588</v>
      </c>
    </row>
    <row r="9591" spans="27:31" x14ac:dyDescent="0.25">
      <c r="AA9591" s="160"/>
      <c r="AB9591" s="162"/>
      <c r="AC9591" s="162"/>
      <c r="AD9591" s="162">
        <f t="shared" si="169"/>
        <v>0</v>
      </c>
      <c r="AE9591" s="160">
        <v>9589</v>
      </c>
    </row>
    <row r="9592" spans="27:31" x14ac:dyDescent="0.25">
      <c r="AA9592" s="160"/>
      <c r="AB9592" s="162"/>
      <c r="AC9592" s="162"/>
      <c r="AD9592" s="162">
        <f t="shared" si="169"/>
        <v>0</v>
      </c>
      <c r="AE9592" s="160">
        <v>9590</v>
      </c>
    </row>
    <row r="9593" spans="27:31" x14ac:dyDescent="0.25">
      <c r="AA9593" s="160"/>
      <c r="AB9593" s="162"/>
      <c r="AC9593" s="162"/>
      <c r="AD9593" s="162">
        <f t="shared" si="169"/>
        <v>0</v>
      </c>
      <c r="AE9593" s="160">
        <v>9591</v>
      </c>
    </row>
    <row r="9594" spans="27:31" x14ac:dyDescent="0.25">
      <c r="AA9594" s="160"/>
      <c r="AB9594" s="162"/>
      <c r="AC9594" s="162"/>
      <c r="AD9594" s="162">
        <f t="shared" si="169"/>
        <v>0</v>
      </c>
      <c r="AE9594" s="160">
        <v>9592</v>
      </c>
    </row>
    <row r="9595" spans="27:31" x14ac:dyDescent="0.25">
      <c r="AA9595" s="160"/>
      <c r="AB9595" s="162"/>
      <c r="AC9595" s="162"/>
      <c r="AD9595" s="162">
        <f t="shared" si="169"/>
        <v>0</v>
      </c>
      <c r="AE9595" s="160">
        <v>9593</v>
      </c>
    </row>
    <row r="9596" spans="27:31" x14ac:dyDescent="0.25">
      <c r="AA9596" s="160"/>
      <c r="AB9596" s="162"/>
      <c r="AC9596" s="162"/>
      <c r="AD9596" s="162">
        <f t="shared" si="169"/>
        <v>0</v>
      </c>
      <c r="AE9596" s="160">
        <v>9594</v>
      </c>
    </row>
    <row r="9597" spans="27:31" x14ac:dyDescent="0.25">
      <c r="AA9597" s="160"/>
      <c r="AB9597" s="162"/>
      <c r="AC9597" s="162"/>
      <c r="AD9597" s="162">
        <f t="shared" si="169"/>
        <v>0</v>
      </c>
      <c r="AE9597" s="160">
        <v>9595</v>
      </c>
    </row>
    <row r="9598" spans="27:31" x14ac:dyDescent="0.25">
      <c r="AA9598" s="160"/>
      <c r="AB9598" s="162"/>
      <c r="AC9598" s="162"/>
      <c r="AD9598" s="162">
        <f t="shared" si="169"/>
        <v>0</v>
      </c>
      <c r="AE9598" s="160">
        <v>9596</v>
      </c>
    </row>
    <row r="9599" spans="27:31" x14ac:dyDescent="0.25">
      <c r="AA9599" s="160"/>
      <c r="AB9599" s="162"/>
      <c r="AC9599" s="162"/>
      <c r="AD9599" s="162">
        <f t="shared" si="169"/>
        <v>0</v>
      </c>
      <c r="AE9599" s="160">
        <v>9597</v>
      </c>
    </row>
    <row r="9600" spans="27:31" x14ac:dyDescent="0.25">
      <c r="AA9600" s="160"/>
      <c r="AB9600" s="162"/>
      <c r="AC9600" s="162"/>
      <c r="AD9600" s="162">
        <f t="shared" si="169"/>
        <v>0</v>
      </c>
      <c r="AE9600" s="160">
        <v>9598</v>
      </c>
    </row>
    <row r="9601" spans="27:31" x14ac:dyDescent="0.25">
      <c r="AA9601" s="160"/>
      <c r="AB9601" s="162"/>
      <c r="AC9601" s="162"/>
      <c r="AD9601" s="162">
        <f t="shared" si="169"/>
        <v>0</v>
      </c>
      <c r="AE9601" s="160">
        <v>9599</v>
      </c>
    </row>
    <row r="9602" spans="27:31" x14ac:dyDescent="0.25">
      <c r="AA9602" s="160"/>
      <c r="AB9602" s="162"/>
      <c r="AC9602" s="162"/>
      <c r="AD9602" s="162">
        <f t="shared" si="169"/>
        <v>0</v>
      </c>
      <c r="AE9602" s="160">
        <v>9600</v>
      </c>
    </row>
    <row r="9603" spans="27:31" x14ac:dyDescent="0.25">
      <c r="AA9603" s="160"/>
      <c r="AB9603" s="162"/>
      <c r="AC9603" s="162"/>
      <c r="AD9603" s="162">
        <f t="shared" si="169"/>
        <v>0</v>
      </c>
      <c r="AE9603" s="160">
        <v>9601</v>
      </c>
    </row>
    <row r="9604" spans="27:31" x14ac:dyDescent="0.25">
      <c r="AA9604" s="160"/>
      <c r="AB9604" s="162"/>
      <c r="AC9604" s="162"/>
      <c r="AD9604" s="162">
        <f t="shared" ref="AD9604:AD9667" si="170">AB9604+AC9604</f>
        <v>0</v>
      </c>
      <c r="AE9604" s="160">
        <v>9602</v>
      </c>
    </row>
    <row r="9605" spans="27:31" x14ac:dyDescent="0.25">
      <c r="AA9605" s="160"/>
      <c r="AB9605" s="162"/>
      <c r="AC9605" s="162"/>
      <c r="AD9605" s="162">
        <f t="shared" si="170"/>
        <v>0</v>
      </c>
      <c r="AE9605" s="160">
        <v>9603</v>
      </c>
    </row>
    <row r="9606" spans="27:31" x14ac:dyDescent="0.25">
      <c r="AA9606" s="160"/>
      <c r="AB9606" s="162"/>
      <c r="AC9606" s="162"/>
      <c r="AD9606" s="162">
        <f t="shared" si="170"/>
        <v>0</v>
      </c>
      <c r="AE9606" s="160">
        <v>9604</v>
      </c>
    </row>
    <row r="9607" spans="27:31" x14ac:dyDescent="0.25">
      <c r="AA9607" s="160"/>
      <c r="AB9607" s="162"/>
      <c r="AC9607" s="162"/>
      <c r="AD9607" s="162">
        <f t="shared" si="170"/>
        <v>0</v>
      </c>
      <c r="AE9607" s="160">
        <v>9605</v>
      </c>
    </row>
    <row r="9608" spans="27:31" x14ac:dyDescent="0.25">
      <c r="AA9608" s="160"/>
      <c r="AB9608" s="162"/>
      <c r="AC9608" s="162"/>
      <c r="AD9608" s="162">
        <f t="shared" si="170"/>
        <v>0</v>
      </c>
      <c r="AE9608" s="160">
        <v>9606</v>
      </c>
    </row>
    <row r="9609" spans="27:31" x14ac:dyDescent="0.25">
      <c r="AA9609" s="160"/>
      <c r="AB9609" s="162"/>
      <c r="AC9609" s="162"/>
      <c r="AD9609" s="162">
        <f t="shared" si="170"/>
        <v>0</v>
      </c>
      <c r="AE9609" s="160">
        <v>9607</v>
      </c>
    </row>
    <row r="9610" spans="27:31" x14ac:dyDescent="0.25">
      <c r="AA9610" s="160"/>
      <c r="AB9610" s="162"/>
      <c r="AC9610" s="162"/>
      <c r="AD9610" s="162">
        <f t="shared" si="170"/>
        <v>0</v>
      </c>
      <c r="AE9610" s="160">
        <v>9608</v>
      </c>
    </row>
    <row r="9611" spans="27:31" x14ac:dyDescent="0.25">
      <c r="AA9611" s="160"/>
      <c r="AB9611" s="162"/>
      <c r="AC9611" s="162"/>
      <c r="AD9611" s="162">
        <f t="shared" si="170"/>
        <v>0</v>
      </c>
      <c r="AE9611" s="160">
        <v>9609</v>
      </c>
    </row>
    <row r="9612" spans="27:31" x14ac:dyDescent="0.25">
      <c r="AA9612" s="160"/>
      <c r="AB9612" s="162"/>
      <c r="AC9612" s="162"/>
      <c r="AD9612" s="162">
        <f t="shared" si="170"/>
        <v>0</v>
      </c>
      <c r="AE9612" s="160">
        <v>9610</v>
      </c>
    </row>
    <row r="9613" spans="27:31" x14ac:dyDescent="0.25">
      <c r="AA9613" s="160"/>
      <c r="AB9613" s="162"/>
      <c r="AC9613" s="162"/>
      <c r="AD9613" s="162">
        <f t="shared" si="170"/>
        <v>0</v>
      </c>
      <c r="AE9613" s="160">
        <v>9611</v>
      </c>
    </row>
    <row r="9614" spans="27:31" x14ac:dyDescent="0.25">
      <c r="AA9614" s="160"/>
      <c r="AB9614" s="162"/>
      <c r="AC9614" s="162"/>
      <c r="AD9614" s="162">
        <f t="shared" si="170"/>
        <v>0</v>
      </c>
      <c r="AE9614" s="160">
        <v>9612</v>
      </c>
    </row>
    <row r="9615" spans="27:31" x14ac:dyDescent="0.25">
      <c r="AA9615" s="160"/>
      <c r="AB9615" s="162"/>
      <c r="AC9615" s="162"/>
      <c r="AD9615" s="162">
        <f t="shared" si="170"/>
        <v>0</v>
      </c>
      <c r="AE9615" s="160">
        <v>9613</v>
      </c>
    </row>
    <row r="9616" spans="27:31" x14ac:dyDescent="0.25">
      <c r="AA9616" s="160"/>
      <c r="AB9616" s="162"/>
      <c r="AC9616" s="162"/>
      <c r="AD9616" s="162">
        <f t="shared" si="170"/>
        <v>0</v>
      </c>
      <c r="AE9616" s="160">
        <v>9614</v>
      </c>
    </row>
    <row r="9617" spans="27:31" x14ac:dyDescent="0.25">
      <c r="AA9617" s="160"/>
      <c r="AB9617" s="162"/>
      <c r="AC9617" s="162"/>
      <c r="AD9617" s="162">
        <f t="shared" si="170"/>
        <v>0</v>
      </c>
      <c r="AE9617" s="160">
        <v>9615</v>
      </c>
    </row>
    <row r="9618" spans="27:31" x14ac:dyDescent="0.25">
      <c r="AA9618" s="160"/>
      <c r="AB9618" s="162"/>
      <c r="AC9618" s="162"/>
      <c r="AD9618" s="162">
        <f t="shared" si="170"/>
        <v>0</v>
      </c>
      <c r="AE9618" s="160">
        <v>9616</v>
      </c>
    </row>
    <row r="9619" spans="27:31" x14ac:dyDescent="0.25">
      <c r="AA9619" s="160"/>
      <c r="AB9619" s="162"/>
      <c r="AC9619" s="162"/>
      <c r="AD9619" s="162">
        <f t="shared" si="170"/>
        <v>0</v>
      </c>
      <c r="AE9619" s="160">
        <v>9617</v>
      </c>
    </row>
    <row r="9620" spans="27:31" x14ac:dyDescent="0.25">
      <c r="AA9620" s="160"/>
      <c r="AB9620" s="162"/>
      <c r="AC9620" s="162"/>
      <c r="AD9620" s="162">
        <f t="shared" si="170"/>
        <v>0</v>
      </c>
      <c r="AE9620" s="160">
        <v>9618</v>
      </c>
    </row>
    <row r="9621" spans="27:31" x14ac:dyDescent="0.25">
      <c r="AA9621" s="160"/>
      <c r="AB9621" s="162"/>
      <c r="AC9621" s="162"/>
      <c r="AD9621" s="162">
        <f t="shared" si="170"/>
        <v>0</v>
      </c>
      <c r="AE9621" s="160">
        <v>9619</v>
      </c>
    </row>
    <row r="9622" spans="27:31" x14ac:dyDescent="0.25">
      <c r="AA9622" s="160"/>
      <c r="AB9622" s="162"/>
      <c r="AC9622" s="162"/>
      <c r="AD9622" s="162">
        <f t="shared" si="170"/>
        <v>0</v>
      </c>
      <c r="AE9622" s="160">
        <v>9620</v>
      </c>
    </row>
    <row r="9623" spans="27:31" x14ac:dyDescent="0.25">
      <c r="AA9623" s="160"/>
      <c r="AB9623" s="162"/>
      <c r="AC9623" s="162"/>
      <c r="AD9623" s="162">
        <f t="shared" si="170"/>
        <v>0</v>
      </c>
      <c r="AE9623" s="160">
        <v>9621</v>
      </c>
    </row>
    <row r="9624" spans="27:31" x14ac:dyDescent="0.25">
      <c r="AA9624" s="160"/>
      <c r="AB9624" s="162"/>
      <c r="AC9624" s="162"/>
      <c r="AD9624" s="162">
        <f t="shared" si="170"/>
        <v>0</v>
      </c>
      <c r="AE9624" s="160">
        <v>9622</v>
      </c>
    </row>
    <row r="9625" spans="27:31" x14ac:dyDescent="0.25">
      <c r="AA9625" s="160"/>
      <c r="AB9625" s="162"/>
      <c r="AC9625" s="162"/>
      <c r="AD9625" s="162">
        <f t="shared" si="170"/>
        <v>0</v>
      </c>
      <c r="AE9625" s="160">
        <v>9623</v>
      </c>
    </row>
    <row r="9626" spans="27:31" x14ac:dyDescent="0.25">
      <c r="AA9626" s="160"/>
      <c r="AB9626" s="162"/>
      <c r="AC9626" s="162"/>
      <c r="AD9626" s="162">
        <f t="shared" si="170"/>
        <v>0</v>
      </c>
      <c r="AE9626" s="160">
        <v>9624</v>
      </c>
    </row>
    <row r="9627" spans="27:31" x14ac:dyDescent="0.25">
      <c r="AA9627" s="160"/>
      <c r="AB9627" s="162"/>
      <c r="AC9627" s="162"/>
      <c r="AD9627" s="162">
        <f t="shared" si="170"/>
        <v>0</v>
      </c>
      <c r="AE9627" s="160">
        <v>9625</v>
      </c>
    </row>
    <row r="9628" spans="27:31" x14ac:dyDescent="0.25">
      <c r="AA9628" s="160"/>
      <c r="AB9628" s="162"/>
      <c r="AC9628" s="162"/>
      <c r="AD9628" s="162">
        <f t="shared" si="170"/>
        <v>0</v>
      </c>
      <c r="AE9628" s="160">
        <v>9626</v>
      </c>
    </row>
    <row r="9629" spans="27:31" x14ac:dyDescent="0.25">
      <c r="AA9629" s="160"/>
      <c r="AB9629" s="162"/>
      <c r="AC9629" s="162"/>
      <c r="AD9629" s="162">
        <f t="shared" si="170"/>
        <v>0</v>
      </c>
      <c r="AE9629" s="160">
        <v>9627</v>
      </c>
    </row>
    <row r="9630" spans="27:31" x14ac:dyDescent="0.25">
      <c r="AA9630" s="160"/>
      <c r="AB9630" s="162"/>
      <c r="AC9630" s="162"/>
      <c r="AD9630" s="162">
        <f t="shared" si="170"/>
        <v>0</v>
      </c>
      <c r="AE9630" s="160">
        <v>9628</v>
      </c>
    </row>
    <row r="9631" spans="27:31" x14ac:dyDescent="0.25">
      <c r="AA9631" s="160"/>
      <c r="AB9631" s="162"/>
      <c r="AC9631" s="162"/>
      <c r="AD9631" s="162">
        <f t="shared" si="170"/>
        <v>0</v>
      </c>
      <c r="AE9631" s="160">
        <v>9629</v>
      </c>
    </row>
    <row r="9632" spans="27:31" x14ac:dyDescent="0.25">
      <c r="AA9632" s="160"/>
      <c r="AB9632" s="162"/>
      <c r="AC9632" s="162"/>
      <c r="AD9632" s="162">
        <f t="shared" si="170"/>
        <v>0</v>
      </c>
      <c r="AE9632" s="160">
        <v>9630</v>
      </c>
    </row>
    <row r="9633" spans="27:31" x14ac:dyDescent="0.25">
      <c r="AA9633" s="160"/>
      <c r="AB9633" s="162"/>
      <c r="AC9633" s="162"/>
      <c r="AD9633" s="162">
        <f t="shared" si="170"/>
        <v>0</v>
      </c>
      <c r="AE9633" s="160">
        <v>9631</v>
      </c>
    </row>
    <row r="9634" spans="27:31" x14ac:dyDescent="0.25">
      <c r="AA9634" s="160"/>
      <c r="AB9634" s="162"/>
      <c r="AC9634" s="162"/>
      <c r="AD9634" s="162">
        <f t="shared" si="170"/>
        <v>0</v>
      </c>
      <c r="AE9634" s="160">
        <v>9632</v>
      </c>
    </row>
    <row r="9635" spans="27:31" x14ac:dyDescent="0.25">
      <c r="AA9635" s="160"/>
      <c r="AB9635" s="162"/>
      <c r="AC9635" s="162"/>
      <c r="AD9635" s="162">
        <f t="shared" si="170"/>
        <v>0</v>
      </c>
      <c r="AE9635" s="160">
        <v>9633</v>
      </c>
    </row>
    <row r="9636" spans="27:31" x14ac:dyDescent="0.25">
      <c r="AA9636" s="160"/>
      <c r="AB9636" s="162"/>
      <c r="AC9636" s="162"/>
      <c r="AD9636" s="162">
        <f t="shared" si="170"/>
        <v>0</v>
      </c>
      <c r="AE9636" s="160">
        <v>9634</v>
      </c>
    </row>
    <row r="9637" spans="27:31" x14ac:dyDescent="0.25">
      <c r="AA9637" s="160"/>
      <c r="AB9637" s="162"/>
      <c r="AC9637" s="162"/>
      <c r="AD9637" s="162">
        <f t="shared" si="170"/>
        <v>0</v>
      </c>
      <c r="AE9637" s="160">
        <v>9635</v>
      </c>
    </row>
    <row r="9638" spans="27:31" x14ac:dyDescent="0.25">
      <c r="AA9638" s="160"/>
      <c r="AB9638" s="162"/>
      <c r="AC9638" s="162"/>
      <c r="AD9638" s="162">
        <f t="shared" si="170"/>
        <v>0</v>
      </c>
      <c r="AE9638" s="160">
        <v>9636</v>
      </c>
    </row>
    <row r="9639" spans="27:31" x14ac:dyDescent="0.25">
      <c r="AA9639" s="160"/>
      <c r="AB9639" s="162"/>
      <c r="AC9639" s="162"/>
      <c r="AD9639" s="162">
        <f t="shared" si="170"/>
        <v>0</v>
      </c>
      <c r="AE9639" s="160">
        <v>9637</v>
      </c>
    </row>
    <row r="9640" spans="27:31" x14ac:dyDescent="0.25">
      <c r="AA9640" s="160"/>
      <c r="AB9640" s="162"/>
      <c r="AC9640" s="162"/>
      <c r="AD9640" s="162">
        <f t="shared" si="170"/>
        <v>0</v>
      </c>
      <c r="AE9640" s="160">
        <v>9638</v>
      </c>
    </row>
    <row r="9641" spans="27:31" x14ac:dyDescent="0.25">
      <c r="AA9641" s="160"/>
      <c r="AB9641" s="162"/>
      <c r="AC9641" s="162"/>
      <c r="AD9641" s="162">
        <f t="shared" si="170"/>
        <v>0</v>
      </c>
      <c r="AE9641" s="160">
        <v>9639</v>
      </c>
    </row>
    <row r="9642" spans="27:31" x14ac:dyDescent="0.25">
      <c r="AA9642" s="160"/>
      <c r="AB9642" s="162"/>
      <c r="AC9642" s="162"/>
      <c r="AD9642" s="162">
        <f t="shared" si="170"/>
        <v>0</v>
      </c>
      <c r="AE9642" s="160">
        <v>9640</v>
      </c>
    </row>
    <row r="9643" spans="27:31" x14ac:dyDescent="0.25">
      <c r="AA9643" s="160"/>
      <c r="AB9643" s="162"/>
      <c r="AC9643" s="162"/>
      <c r="AD9643" s="162">
        <f t="shared" si="170"/>
        <v>0</v>
      </c>
      <c r="AE9643" s="160">
        <v>9641</v>
      </c>
    </row>
    <row r="9644" spans="27:31" x14ac:dyDescent="0.25">
      <c r="AA9644" s="160"/>
      <c r="AB9644" s="162"/>
      <c r="AC9644" s="162"/>
      <c r="AD9644" s="162">
        <f t="shared" si="170"/>
        <v>0</v>
      </c>
      <c r="AE9644" s="160">
        <v>9642</v>
      </c>
    </row>
    <row r="9645" spans="27:31" x14ac:dyDescent="0.25">
      <c r="AA9645" s="160"/>
      <c r="AB9645" s="162"/>
      <c r="AC9645" s="162"/>
      <c r="AD9645" s="162">
        <f t="shared" si="170"/>
        <v>0</v>
      </c>
      <c r="AE9645" s="160">
        <v>9643</v>
      </c>
    </row>
    <row r="9646" spans="27:31" x14ac:dyDescent="0.25">
      <c r="AA9646" s="160"/>
      <c r="AB9646" s="162"/>
      <c r="AC9646" s="162"/>
      <c r="AD9646" s="162">
        <f t="shared" si="170"/>
        <v>0</v>
      </c>
      <c r="AE9646" s="160">
        <v>9644</v>
      </c>
    </row>
    <row r="9647" spans="27:31" x14ac:dyDescent="0.25">
      <c r="AA9647" s="160"/>
      <c r="AB9647" s="162"/>
      <c r="AC9647" s="162"/>
      <c r="AD9647" s="162">
        <f t="shared" si="170"/>
        <v>0</v>
      </c>
      <c r="AE9647" s="160">
        <v>9645</v>
      </c>
    </row>
    <row r="9648" spans="27:31" x14ac:dyDescent="0.25">
      <c r="AA9648" s="160"/>
      <c r="AB9648" s="162"/>
      <c r="AC9648" s="162"/>
      <c r="AD9648" s="162">
        <f t="shared" si="170"/>
        <v>0</v>
      </c>
      <c r="AE9648" s="160">
        <v>9646</v>
      </c>
    </row>
    <row r="9649" spans="27:31" x14ac:dyDescent="0.25">
      <c r="AA9649" s="160"/>
      <c r="AB9649" s="162"/>
      <c r="AC9649" s="162"/>
      <c r="AD9649" s="162">
        <f t="shared" si="170"/>
        <v>0</v>
      </c>
      <c r="AE9649" s="160">
        <v>9647</v>
      </c>
    </row>
    <row r="9650" spans="27:31" x14ac:dyDescent="0.25">
      <c r="AA9650" s="160"/>
      <c r="AB9650" s="162"/>
      <c r="AC9650" s="162"/>
      <c r="AD9650" s="162">
        <f t="shared" si="170"/>
        <v>0</v>
      </c>
      <c r="AE9650" s="160">
        <v>9648</v>
      </c>
    </row>
    <row r="9651" spans="27:31" x14ac:dyDescent="0.25">
      <c r="AA9651" s="160"/>
      <c r="AB9651" s="162"/>
      <c r="AC9651" s="162"/>
      <c r="AD9651" s="162">
        <f t="shared" si="170"/>
        <v>0</v>
      </c>
      <c r="AE9651" s="160">
        <v>9649</v>
      </c>
    </row>
    <row r="9652" spans="27:31" x14ac:dyDescent="0.25">
      <c r="AA9652" s="160"/>
      <c r="AB9652" s="162"/>
      <c r="AC9652" s="162"/>
      <c r="AD9652" s="162">
        <f t="shared" si="170"/>
        <v>0</v>
      </c>
      <c r="AE9652" s="160">
        <v>9650</v>
      </c>
    </row>
    <row r="9653" spans="27:31" x14ac:dyDescent="0.25">
      <c r="AA9653" s="160"/>
      <c r="AB9653" s="162"/>
      <c r="AC9653" s="162"/>
      <c r="AD9653" s="162">
        <f t="shared" si="170"/>
        <v>0</v>
      </c>
      <c r="AE9653" s="160">
        <v>9651</v>
      </c>
    </row>
    <row r="9654" spans="27:31" x14ac:dyDescent="0.25">
      <c r="AA9654" s="160"/>
      <c r="AB9654" s="162"/>
      <c r="AC9654" s="162"/>
      <c r="AD9654" s="162">
        <f t="shared" si="170"/>
        <v>0</v>
      </c>
      <c r="AE9654" s="160">
        <v>9652</v>
      </c>
    </row>
    <row r="9655" spans="27:31" x14ac:dyDescent="0.25">
      <c r="AA9655" s="160"/>
      <c r="AB9655" s="162"/>
      <c r="AC9655" s="162"/>
      <c r="AD9655" s="162">
        <f t="shared" si="170"/>
        <v>0</v>
      </c>
      <c r="AE9655" s="160">
        <v>9653</v>
      </c>
    </row>
    <row r="9656" spans="27:31" x14ac:dyDescent="0.25">
      <c r="AA9656" s="160"/>
      <c r="AB9656" s="162"/>
      <c r="AC9656" s="162"/>
      <c r="AD9656" s="162">
        <f t="shared" si="170"/>
        <v>0</v>
      </c>
      <c r="AE9656" s="160">
        <v>9654</v>
      </c>
    </row>
    <row r="9657" spans="27:31" x14ac:dyDescent="0.25">
      <c r="AA9657" s="160"/>
      <c r="AB9657" s="162"/>
      <c r="AC9657" s="162"/>
      <c r="AD9657" s="162">
        <f t="shared" si="170"/>
        <v>0</v>
      </c>
      <c r="AE9657" s="160">
        <v>9655</v>
      </c>
    </row>
    <row r="9658" spans="27:31" x14ac:dyDescent="0.25">
      <c r="AA9658" s="160"/>
      <c r="AB9658" s="162"/>
      <c r="AC9658" s="162"/>
      <c r="AD9658" s="162">
        <f t="shared" si="170"/>
        <v>0</v>
      </c>
      <c r="AE9658" s="160">
        <v>9656</v>
      </c>
    </row>
    <row r="9659" spans="27:31" x14ac:dyDescent="0.25">
      <c r="AA9659" s="160"/>
      <c r="AB9659" s="162"/>
      <c r="AC9659" s="162"/>
      <c r="AD9659" s="162">
        <f t="shared" si="170"/>
        <v>0</v>
      </c>
      <c r="AE9659" s="160">
        <v>9657</v>
      </c>
    </row>
    <row r="9660" spans="27:31" x14ac:dyDescent="0.25">
      <c r="AA9660" s="160"/>
      <c r="AB9660" s="162"/>
      <c r="AC9660" s="162"/>
      <c r="AD9660" s="162">
        <f t="shared" si="170"/>
        <v>0</v>
      </c>
      <c r="AE9660" s="160">
        <v>9658</v>
      </c>
    </row>
    <row r="9661" spans="27:31" x14ac:dyDescent="0.25">
      <c r="AA9661" s="160"/>
      <c r="AB9661" s="162"/>
      <c r="AC9661" s="162"/>
      <c r="AD9661" s="162">
        <f t="shared" si="170"/>
        <v>0</v>
      </c>
      <c r="AE9661" s="160">
        <v>9659</v>
      </c>
    </row>
    <row r="9662" spans="27:31" x14ac:dyDescent="0.25">
      <c r="AA9662" s="160"/>
      <c r="AB9662" s="162"/>
      <c r="AC9662" s="162"/>
      <c r="AD9662" s="162">
        <f t="shared" si="170"/>
        <v>0</v>
      </c>
      <c r="AE9662" s="160">
        <v>9660</v>
      </c>
    </row>
    <row r="9663" spans="27:31" x14ac:dyDescent="0.25">
      <c r="AA9663" s="160"/>
      <c r="AB9663" s="162"/>
      <c r="AC9663" s="162"/>
      <c r="AD9663" s="162">
        <f t="shared" si="170"/>
        <v>0</v>
      </c>
      <c r="AE9663" s="160">
        <v>9661</v>
      </c>
    </row>
    <row r="9664" spans="27:31" x14ac:dyDescent="0.25">
      <c r="AA9664" s="160"/>
      <c r="AB9664" s="162"/>
      <c r="AC9664" s="162"/>
      <c r="AD9664" s="162">
        <f t="shared" si="170"/>
        <v>0</v>
      </c>
      <c r="AE9664" s="160">
        <v>9662</v>
      </c>
    </row>
    <row r="9665" spans="27:31" x14ac:dyDescent="0.25">
      <c r="AA9665" s="160"/>
      <c r="AB9665" s="162"/>
      <c r="AC9665" s="162"/>
      <c r="AD9665" s="162">
        <f t="shared" si="170"/>
        <v>0</v>
      </c>
      <c r="AE9665" s="160">
        <v>9663</v>
      </c>
    </row>
    <row r="9666" spans="27:31" x14ac:dyDescent="0.25">
      <c r="AA9666" s="160"/>
      <c r="AB9666" s="162"/>
      <c r="AC9666" s="162"/>
      <c r="AD9666" s="162">
        <f t="shared" si="170"/>
        <v>0</v>
      </c>
      <c r="AE9666" s="160">
        <v>9664</v>
      </c>
    </row>
    <row r="9667" spans="27:31" x14ac:dyDescent="0.25">
      <c r="AA9667" s="160"/>
      <c r="AB9667" s="162"/>
      <c r="AC9667" s="162"/>
      <c r="AD9667" s="162">
        <f t="shared" si="170"/>
        <v>0</v>
      </c>
      <c r="AE9667" s="160">
        <v>9665</v>
      </c>
    </row>
    <row r="9668" spans="27:31" x14ac:dyDescent="0.25">
      <c r="AA9668" s="160"/>
      <c r="AB9668" s="162"/>
      <c r="AC9668" s="162"/>
      <c r="AD9668" s="162">
        <f t="shared" ref="AD9668:AD9731" si="171">AB9668+AC9668</f>
        <v>0</v>
      </c>
      <c r="AE9668" s="160">
        <v>9666</v>
      </c>
    </row>
    <row r="9669" spans="27:31" x14ac:dyDescent="0.25">
      <c r="AA9669" s="160"/>
      <c r="AB9669" s="162"/>
      <c r="AC9669" s="162"/>
      <c r="AD9669" s="162">
        <f t="shared" si="171"/>
        <v>0</v>
      </c>
      <c r="AE9669" s="160">
        <v>9667</v>
      </c>
    </row>
    <row r="9670" spans="27:31" x14ac:dyDescent="0.25">
      <c r="AA9670" s="160"/>
      <c r="AB9670" s="162"/>
      <c r="AC9670" s="162"/>
      <c r="AD9670" s="162">
        <f t="shared" si="171"/>
        <v>0</v>
      </c>
      <c r="AE9670" s="160">
        <v>9668</v>
      </c>
    </row>
    <row r="9671" spans="27:31" x14ac:dyDescent="0.25">
      <c r="AA9671" s="160"/>
      <c r="AB9671" s="162"/>
      <c r="AC9671" s="162"/>
      <c r="AD9671" s="162">
        <f t="shared" si="171"/>
        <v>0</v>
      </c>
      <c r="AE9671" s="160">
        <v>9669</v>
      </c>
    </row>
    <row r="9672" spans="27:31" x14ac:dyDescent="0.25">
      <c r="AA9672" s="160"/>
      <c r="AB9672" s="162"/>
      <c r="AC9672" s="162"/>
      <c r="AD9672" s="162">
        <f t="shared" si="171"/>
        <v>0</v>
      </c>
      <c r="AE9672" s="160">
        <v>9670</v>
      </c>
    </row>
    <row r="9673" spans="27:31" x14ac:dyDescent="0.25">
      <c r="AA9673" s="160"/>
      <c r="AB9673" s="162"/>
      <c r="AC9673" s="162"/>
      <c r="AD9673" s="162">
        <f t="shared" si="171"/>
        <v>0</v>
      </c>
      <c r="AE9673" s="160">
        <v>9671</v>
      </c>
    </row>
    <row r="9674" spans="27:31" x14ac:dyDescent="0.25">
      <c r="AA9674" s="160"/>
      <c r="AB9674" s="162"/>
      <c r="AC9674" s="162"/>
      <c r="AD9674" s="162">
        <f t="shared" si="171"/>
        <v>0</v>
      </c>
      <c r="AE9674" s="160">
        <v>9672</v>
      </c>
    </row>
    <row r="9675" spans="27:31" x14ac:dyDescent="0.25">
      <c r="AA9675" s="160"/>
      <c r="AB9675" s="162"/>
      <c r="AC9675" s="162"/>
      <c r="AD9675" s="162">
        <f t="shared" si="171"/>
        <v>0</v>
      </c>
      <c r="AE9675" s="160">
        <v>9673</v>
      </c>
    </row>
    <row r="9676" spans="27:31" x14ac:dyDescent="0.25">
      <c r="AA9676" s="160"/>
      <c r="AB9676" s="162"/>
      <c r="AC9676" s="162"/>
      <c r="AD9676" s="162">
        <f t="shared" si="171"/>
        <v>0</v>
      </c>
      <c r="AE9676" s="160">
        <v>9674</v>
      </c>
    </row>
    <row r="9677" spans="27:31" x14ac:dyDescent="0.25">
      <c r="AA9677" s="160"/>
      <c r="AB9677" s="162"/>
      <c r="AC9677" s="162"/>
      <c r="AD9677" s="162">
        <f t="shared" si="171"/>
        <v>0</v>
      </c>
      <c r="AE9677" s="160">
        <v>9675</v>
      </c>
    </row>
    <row r="9678" spans="27:31" x14ac:dyDescent="0.25">
      <c r="AA9678" s="160"/>
      <c r="AB9678" s="162"/>
      <c r="AC9678" s="162"/>
      <c r="AD9678" s="162">
        <f t="shared" si="171"/>
        <v>0</v>
      </c>
      <c r="AE9678" s="160">
        <v>9676</v>
      </c>
    </row>
    <row r="9679" spans="27:31" x14ac:dyDescent="0.25">
      <c r="AA9679" s="160"/>
      <c r="AB9679" s="162"/>
      <c r="AC9679" s="162"/>
      <c r="AD9679" s="162">
        <f t="shared" si="171"/>
        <v>0</v>
      </c>
      <c r="AE9679" s="160">
        <v>9677</v>
      </c>
    </row>
    <row r="9680" spans="27:31" x14ac:dyDescent="0.25">
      <c r="AA9680" s="160"/>
      <c r="AB9680" s="162"/>
      <c r="AC9680" s="162"/>
      <c r="AD9680" s="162">
        <f t="shared" si="171"/>
        <v>0</v>
      </c>
      <c r="AE9680" s="160">
        <v>9678</v>
      </c>
    </row>
    <row r="9681" spans="27:31" x14ac:dyDescent="0.25">
      <c r="AA9681" s="160"/>
      <c r="AB9681" s="162"/>
      <c r="AC9681" s="162"/>
      <c r="AD9681" s="162">
        <f t="shared" si="171"/>
        <v>0</v>
      </c>
      <c r="AE9681" s="160">
        <v>9679</v>
      </c>
    </row>
    <row r="9682" spans="27:31" x14ac:dyDescent="0.25">
      <c r="AA9682" s="160"/>
      <c r="AB9682" s="162"/>
      <c r="AC9682" s="162"/>
      <c r="AD9682" s="162">
        <f t="shared" si="171"/>
        <v>0</v>
      </c>
      <c r="AE9682" s="160">
        <v>9680</v>
      </c>
    </row>
    <row r="9683" spans="27:31" x14ac:dyDescent="0.25">
      <c r="AA9683" s="160"/>
      <c r="AB9683" s="162"/>
      <c r="AC9683" s="162"/>
      <c r="AD9683" s="162">
        <f t="shared" si="171"/>
        <v>0</v>
      </c>
      <c r="AE9683" s="160">
        <v>9681</v>
      </c>
    </row>
    <row r="9684" spans="27:31" x14ac:dyDescent="0.25">
      <c r="AA9684" s="160"/>
      <c r="AB9684" s="162"/>
      <c r="AC9684" s="162"/>
      <c r="AD9684" s="162">
        <f t="shared" si="171"/>
        <v>0</v>
      </c>
      <c r="AE9684" s="160">
        <v>9682</v>
      </c>
    </row>
    <row r="9685" spans="27:31" x14ac:dyDescent="0.25">
      <c r="AA9685" s="160"/>
      <c r="AB9685" s="162"/>
      <c r="AC9685" s="162"/>
      <c r="AD9685" s="162">
        <f t="shared" si="171"/>
        <v>0</v>
      </c>
      <c r="AE9685" s="160">
        <v>9683</v>
      </c>
    </row>
    <row r="9686" spans="27:31" x14ac:dyDescent="0.25">
      <c r="AA9686" s="160"/>
      <c r="AB9686" s="162"/>
      <c r="AC9686" s="162"/>
      <c r="AD9686" s="162">
        <f t="shared" si="171"/>
        <v>0</v>
      </c>
      <c r="AE9686" s="160">
        <v>9684</v>
      </c>
    </row>
    <row r="9687" spans="27:31" x14ac:dyDescent="0.25">
      <c r="AA9687" s="160"/>
      <c r="AB9687" s="162"/>
      <c r="AC9687" s="162"/>
      <c r="AD9687" s="162">
        <f t="shared" si="171"/>
        <v>0</v>
      </c>
      <c r="AE9687" s="160">
        <v>9685</v>
      </c>
    </row>
    <row r="9688" spans="27:31" x14ac:dyDescent="0.25">
      <c r="AA9688" s="160"/>
      <c r="AB9688" s="162"/>
      <c r="AC9688" s="162"/>
      <c r="AD9688" s="162">
        <f t="shared" si="171"/>
        <v>0</v>
      </c>
      <c r="AE9688" s="160">
        <v>9686</v>
      </c>
    </row>
    <row r="9689" spans="27:31" x14ac:dyDescent="0.25">
      <c r="AA9689" s="160"/>
      <c r="AB9689" s="162"/>
      <c r="AC9689" s="162"/>
      <c r="AD9689" s="162">
        <f t="shared" si="171"/>
        <v>0</v>
      </c>
      <c r="AE9689" s="160">
        <v>9687</v>
      </c>
    </row>
    <row r="9690" spans="27:31" x14ac:dyDescent="0.25">
      <c r="AA9690" s="160"/>
      <c r="AB9690" s="162"/>
      <c r="AC9690" s="162"/>
      <c r="AD9690" s="162">
        <f t="shared" si="171"/>
        <v>0</v>
      </c>
      <c r="AE9690" s="160">
        <v>9688</v>
      </c>
    </row>
    <row r="9691" spans="27:31" x14ac:dyDescent="0.25">
      <c r="AA9691" s="160"/>
      <c r="AB9691" s="162"/>
      <c r="AC9691" s="162"/>
      <c r="AD9691" s="162">
        <f t="shared" si="171"/>
        <v>0</v>
      </c>
      <c r="AE9691" s="160">
        <v>9689</v>
      </c>
    </row>
    <row r="9692" spans="27:31" x14ac:dyDescent="0.25">
      <c r="AA9692" s="160"/>
      <c r="AB9692" s="162"/>
      <c r="AC9692" s="162"/>
      <c r="AD9692" s="162">
        <f t="shared" si="171"/>
        <v>0</v>
      </c>
      <c r="AE9692" s="160">
        <v>9690</v>
      </c>
    </row>
    <row r="9693" spans="27:31" x14ac:dyDescent="0.25">
      <c r="AA9693" s="160"/>
      <c r="AB9693" s="162"/>
      <c r="AC9693" s="162"/>
      <c r="AD9693" s="162">
        <f t="shared" si="171"/>
        <v>0</v>
      </c>
      <c r="AE9693" s="160">
        <v>9691</v>
      </c>
    </row>
    <row r="9694" spans="27:31" x14ac:dyDescent="0.25">
      <c r="AA9694" s="160"/>
      <c r="AB9694" s="162"/>
      <c r="AC9694" s="162"/>
      <c r="AD9694" s="162">
        <f t="shared" si="171"/>
        <v>0</v>
      </c>
      <c r="AE9694" s="160">
        <v>9692</v>
      </c>
    </row>
    <row r="9695" spans="27:31" x14ac:dyDescent="0.25">
      <c r="AA9695" s="160"/>
      <c r="AB9695" s="162"/>
      <c r="AC9695" s="162"/>
      <c r="AD9695" s="162">
        <f t="shared" si="171"/>
        <v>0</v>
      </c>
      <c r="AE9695" s="160">
        <v>9693</v>
      </c>
    </row>
    <row r="9696" spans="27:31" x14ac:dyDescent="0.25">
      <c r="AA9696" s="160"/>
      <c r="AB9696" s="162"/>
      <c r="AC9696" s="162"/>
      <c r="AD9696" s="162">
        <f t="shared" si="171"/>
        <v>0</v>
      </c>
      <c r="AE9696" s="160">
        <v>9694</v>
      </c>
    </row>
    <row r="9697" spans="27:31" x14ac:dyDescent="0.25">
      <c r="AA9697" s="160"/>
      <c r="AB9697" s="162"/>
      <c r="AC9697" s="162"/>
      <c r="AD9697" s="162">
        <f t="shared" si="171"/>
        <v>0</v>
      </c>
      <c r="AE9697" s="160">
        <v>9695</v>
      </c>
    </row>
    <row r="9698" spans="27:31" x14ac:dyDescent="0.25">
      <c r="AA9698" s="160"/>
      <c r="AB9698" s="162"/>
      <c r="AC9698" s="162"/>
      <c r="AD9698" s="162">
        <f t="shared" si="171"/>
        <v>0</v>
      </c>
      <c r="AE9698" s="160">
        <v>9696</v>
      </c>
    </row>
    <row r="9699" spans="27:31" x14ac:dyDescent="0.25">
      <c r="AA9699" s="160"/>
      <c r="AB9699" s="162"/>
      <c r="AC9699" s="162"/>
      <c r="AD9699" s="162">
        <f t="shared" si="171"/>
        <v>0</v>
      </c>
      <c r="AE9699" s="160">
        <v>9697</v>
      </c>
    </row>
    <row r="9700" spans="27:31" x14ac:dyDescent="0.25">
      <c r="AA9700" s="160"/>
      <c r="AB9700" s="162"/>
      <c r="AC9700" s="162"/>
      <c r="AD9700" s="162">
        <f t="shared" si="171"/>
        <v>0</v>
      </c>
      <c r="AE9700" s="160">
        <v>9698</v>
      </c>
    </row>
    <row r="9701" spans="27:31" x14ac:dyDescent="0.25">
      <c r="AA9701" s="160"/>
      <c r="AB9701" s="162"/>
      <c r="AC9701" s="162"/>
      <c r="AD9701" s="162">
        <f t="shared" si="171"/>
        <v>0</v>
      </c>
      <c r="AE9701" s="160">
        <v>9699</v>
      </c>
    </row>
    <row r="9702" spans="27:31" x14ac:dyDescent="0.25">
      <c r="AA9702" s="160"/>
      <c r="AB9702" s="162"/>
      <c r="AC9702" s="162"/>
      <c r="AD9702" s="162">
        <f t="shared" si="171"/>
        <v>0</v>
      </c>
      <c r="AE9702" s="160">
        <v>9700</v>
      </c>
    </row>
    <row r="9703" spans="27:31" x14ac:dyDescent="0.25">
      <c r="AA9703" s="160"/>
      <c r="AB9703" s="162"/>
      <c r="AC9703" s="162"/>
      <c r="AD9703" s="162">
        <f t="shared" si="171"/>
        <v>0</v>
      </c>
      <c r="AE9703" s="160">
        <v>9701</v>
      </c>
    </row>
    <row r="9704" spans="27:31" x14ac:dyDescent="0.25">
      <c r="AA9704" s="160"/>
      <c r="AB9704" s="162"/>
      <c r="AC9704" s="162"/>
      <c r="AD9704" s="162">
        <f t="shared" si="171"/>
        <v>0</v>
      </c>
      <c r="AE9704" s="160">
        <v>9702</v>
      </c>
    </row>
    <row r="9705" spans="27:31" x14ac:dyDescent="0.25">
      <c r="AA9705" s="160"/>
      <c r="AB9705" s="162"/>
      <c r="AC9705" s="162"/>
      <c r="AD9705" s="162">
        <f t="shared" si="171"/>
        <v>0</v>
      </c>
      <c r="AE9705" s="160">
        <v>9703</v>
      </c>
    </row>
    <row r="9706" spans="27:31" x14ac:dyDescent="0.25">
      <c r="AA9706" s="160"/>
      <c r="AB9706" s="162"/>
      <c r="AC9706" s="162"/>
      <c r="AD9706" s="162">
        <f t="shared" si="171"/>
        <v>0</v>
      </c>
      <c r="AE9706" s="160">
        <v>9704</v>
      </c>
    </row>
    <row r="9707" spans="27:31" x14ac:dyDescent="0.25">
      <c r="AA9707" s="160"/>
      <c r="AB9707" s="162"/>
      <c r="AC9707" s="162"/>
      <c r="AD9707" s="162">
        <f t="shared" si="171"/>
        <v>0</v>
      </c>
      <c r="AE9707" s="160">
        <v>9705</v>
      </c>
    </row>
    <row r="9708" spans="27:31" x14ac:dyDescent="0.25">
      <c r="AA9708" s="160"/>
      <c r="AB9708" s="162"/>
      <c r="AC9708" s="162"/>
      <c r="AD9708" s="162">
        <f t="shared" si="171"/>
        <v>0</v>
      </c>
      <c r="AE9708" s="160">
        <v>9706</v>
      </c>
    </row>
    <row r="9709" spans="27:31" x14ac:dyDescent="0.25">
      <c r="AA9709" s="160"/>
      <c r="AB9709" s="162"/>
      <c r="AC9709" s="162"/>
      <c r="AD9709" s="162">
        <f t="shared" si="171"/>
        <v>0</v>
      </c>
      <c r="AE9709" s="160">
        <v>9707</v>
      </c>
    </row>
    <row r="9710" spans="27:31" x14ac:dyDescent="0.25">
      <c r="AA9710" s="160"/>
      <c r="AB9710" s="162"/>
      <c r="AC9710" s="162"/>
      <c r="AD9710" s="162">
        <f t="shared" si="171"/>
        <v>0</v>
      </c>
      <c r="AE9710" s="160">
        <v>9708</v>
      </c>
    </row>
    <row r="9711" spans="27:31" x14ac:dyDescent="0.25">
      <c r="AA9711" s="160"/>
      <c r="AB9711" s="162"/>
      <c r="AC9711" s="162"/>
      <c r="AD9711" s="162">
        <f t="shared" si="171"/>
        <v>0</v>
      </c>
      <c r="AE9711" s="160">
        <v>9709</v>
      </c>
    </row>
    <row r="9712" spans="27:31" x14ac:dyDescent="0.25">
      <c r="AA9712" s="160"/>
      <c r="AB9712" s="162"/>
      <c r="AC9712" s="162"/>
      <c r="AD9712" s="162">
        <f t="shared" si="171"/>
        <v>0</v>
      </c>
      <c r="AE9712" s="160">
        <v>9710</v>
      </c>
    </row>
    <row r="9713" spans="27:31" x14ac:dyDescent="0.25">
      <c r="AA9713" s="160"/>
      <c r="AB9713" s="162"/>
      <c r="AC9713" s="162"/>
      <c r="AD9713" s="162">
        <f t="shared" si="171"/>
        <v>0</v>
      </c>
      <c r="AE9713" s="160">
        <v>9711</v>
      </c>
    </row>
    <row r="9714" spans="27:31" x14ac:dyDescent="0.25">
      <c r="AA9714" s="160"/>
      <c r="AB9714" s="162"/>
      <c r="AC9714" s="162"/>
      <c r="AD9714" s="162">
        <f t="shared" si="171"/>
        <v>0</v>
      </c>
      <c r="AE9714" s="160">
        <v>9712</v>
      </c>
    </row>
    <row r="9715" spans="27:31" x14ac:dyDescent="0.25">
      <c r="AA9715" s="160"/>
      <c r="AB9715" s="162"/>
      <c r="AC9715" s="162"/>
      <c r="AD9715" s="162">
        <f t="shared" si="171"/>
        <v>0</v>
      </c>
      <c r="AE9715" s="160">
        <v>9713</v>
      </c>
    </row>
    <row r="9716" spans="27:31" x14ac:dyDescent="0.25">
      <c r="AA9716" s="160"/>
      <c r="AB9716" s="162"/>
      <c r="AC9716" s="162"/>
      <c r="AD9716" s="162">
        <f t="shared" si="171"/>
        <v>0</v>
      </c>
      <c r="AE9716" s="160">
        <v>9714</v>
      </c>
    </row>
    <row r="9717" spans="27:31" x14ac:dyDescent="0.25">
      <c r="AA9717" s="160"/>
      <c r="AB9717" s="162"/>
      <c r="AC9717" s="162"/>
      <c r="AD9717" s="162">
        <f t="shared" si="171"/>
        <v>0</v>
      </c>
      <c r="AE9717" s="160">
        <v>9715</v>
      </c>
    </row>
    <row r="9718" spans="27:31" x14ac:dyDescent="0.25">
      <c r="AA9718" s="160"/>
      <c r="AB9718" s="162"/>
      <c r="AC9718" s="162"/>
      <c r="AD9718" s="162">
        <f t="shared" si="171"/>
        <v>0</v>
      </c>
      <c r="AE9718" s="160">
        <v>9716</v>
      </c>
    </row>
    <row r="9719" spans="27:31" x14ac:dyDescent="0.25">
      <c r="AA9719" s="160"/>
      <c r="AB9719" s="162"/>
      <c r="AC9719" s="162"/>
      <c r="AD9719" s="162">
        <f t="shared" si="171"/>
        <v>0</v>
      </c>
      <c r="AE9719" s="160">
        <v>9717</v>
      </c>
    </row>
    <row r="9720" spans="27:31" x14ac:dyDescent="0.25">
      <c r="AA9720" s="160"/>
      <c r="AB9720" s="162"/>
      <c r="AC9720" s="162"/>
      <c r="AD9720" s="162">
        <f t="shared" si="171"/>
        <v>0</v>
      </c>
      <c r="AE9720" s="160">
        <v>9718</v>
      </c>
    </row>
    <row r="9721" spans="27:31" x14ac:dyDescent="0.25">
      <c r="AA9721" s="160"/>
      <c r="AB9721" s="162"/>
      <c r="AC9721" s="162"/>
      <c r="AD9721" s="162">
        <f t="shared" si="171"/>
        <v>0</v>
      </c>
      <c r="AE9721" s="160">
        <v>9719</v>
      </c>
    </row>
    <row r="9722" spans="27:31" x14ac:dyDescent="0.25">
      <c r="AA9722" s="160"/>
      <c r="AB9722" s="162"/>
      <c r="AC9722" s="162"/>
      <c r="AD9722" s="162">
        <f t="shared" si="171"/>
        <v>0</v>
      </c>
      <c r="AE9722" s="160">
        <v>9720</v>
      </c>
    </row>
    <row r="9723" spans="27:31" x14ac:dyDescent="0.25">
      <c r="AA9723" s="160"/>
      <c r="AB9723" s="162"/>
      <c r="AC9723" s="162"/>
      <c r="AD9723" s="162">
        <f t="shared" si="171"/>
        <v>0</v>
      </c>
      <c r="AE9723" s="160">
        <v>9721</v>
      </c>
    </row>
    <row r="9724" spans="27:31" x14ac:dyDescent="0.25">
      <c r="AA9724" s="160"/>
      <c r="AB9724" s="162"/>
      <c r="AC9724" s="162"/>
      <c r="AD9724" s="162">
        <f t="shared" si="171"/>
        <v>0</v>
      </c>
      <c r="AE9724" s="160">
        <v>9722</v>
      </c>
    </row>
    <row r="9725" spans="27:31" x14ac:dyDescent="0.25">
      <c r="AA9725" s="160"/>
      <c r="AB9725" s="162"/>
      <c r="AC9725" s="162"/>
      <c r="AD9725" s="162">
        <f t="shared" si="171"/>
        <v>0</v>
      </c>
      <c r="AE9725" s="160">
        <v>9723</v>
      </c>
    </row>
    <row r="9726" spans="27:31" x14ac:dyDescent="0.25">
      <c r="AA9726" s="160"/>
      <c r="AB9726" s="162"/>
      <c r="AC9726" s="162"/>
      <c r="AD9726" s="162">
        <f t="shared" si="171"/>
        <v>0</v>
      </c>
      <c r="AE9726" s="160">
        <v>9724</v>
      </c>
    </row>
    <row r="9727" spans="27:31" x14ac:dyDescent="0.25">
      <c r="AA9727" s="160"/>
      <c r="AB9727" s="162"/>
      <c r="AC9727" s="162"/>
      <c r="AD9727" s="162">
        <f t="shared" si="171"/>
        <v>0</v>
      </c>
      <c r="AE9727" s="160">
        <v>9725</v>
      </c>
    </row>
    <row r="9728" spans="27:31" x14ac:dyDescent="0.25">
      <c r="AA9728" s="160"/>
      <c r="AB9728" s="162"/>
      <c r="AC9728" s="162"/>
      <c r="AD9728" s="162">
        <f t="shared" si="171"/>
        <v>0</v>
      </c>
      <c r="AE9728" s="160">
        <v>9726</v>
      </c>
    </row>
    <row r="9729" spans="27:31" x14ac:dyDescent="0.25">
      <c r="AA9729" s="160"/>
      <c r="AB9729" s="162"/>
      <c r="AC9729" s="162"/>
      <c r="AD9729" s="162">
        <f t="shared" si="171"/>
        <v>0</v>
      </c>
      <c r="AE9729" s="160">
        <v>9727</v>
      </c>
    </row>
    <row r="9730" spans="27:31" x14ac:dyDescent="0.25">
      <c r="AA9730" s="160"/>
      <c r="AB9730" s="162"/>
      <c r="AC9730" s="162"/>
      <c r="AD9730" s="162">
        <f t="shared" si="171"/>
        <v>0</v>
      </c>
      <c r="AE9730" s="160">
        <v>9728</v>
      </c>
    </row>
    <row r="9731" spans="27:31" x14ac:dyDescent="0.25">
      <c r="AA9731" s="160"/>
      <c r="AB9731" s="162"/>
      <c r="AC9731" s="162"/>
      <c r="AD9731" s="162">
        <f t="shared" si="171"/>
        <v>0</v>
      </c>
      <c r="AE9731" s="160">
        <v>9729</v>
      </c>
    </row>
    <row r="9732" spans="27:31" x14ac:dyDescent="0.25">
      <c r="AA9732" s="160"/>
      <c r="AB9732" s="162"/>
      <c r="AC9732" s="162"/>
      <c r="AD9732" s="162">
        <f t="shared" ref="AD9732:AD9795" si="172">AB9732+AC9732</f>
        <v>0</v>
      </c>
      <c r="AE9732" s="160">
        <v>9730</v>
      </c>
    </row>
    <row r="9733" spans="27:31" x14ac:dyDescent="0.25">
      <c r="AA9733" s="160"/>
      <c r="AB9733" s="162"/>
      <c r="AC9733" s="162"/>
      <c r="AD9733" s="162">
        <f t="shared" si="172"/>
        <v>0</v>
      </c>
      <c r="AE9733" s="160">
        <v>9731</v>
      </c>
    </row>
    <row r="9734" spans="27:31" x14ac:dyDescent="0.25">
      <c r="AA9734" s="160"/>
      <c r="AB9734" s="162"/>
      <c r="AC9734" s="162"/>
      <c r="AD9734" s="162">
        <f t="shared" si="172"/>
        <v>0</v>
      </c>
      <c r="AE9734" s="160">
        <v>9732</v>
      </c>
    </row>
    <row r="9735" spans="27:31" x14ac:dyDescent="0.25">
      <c r="AA9735" s="160"/>
      <c r="AB9735" s="162"/>
      <c r="AC9735" s="162"/>
      <c r="AD9735" s="162">
        <f t="shared" si="172"/>
        <v>0</v>
      </c>
      <c r="AE9735" s="160">
        <v>9733</v>
      </c>
    </row>
    <row r="9736" spans="27:31" x14ac:dyDescent="0.25">
      <c r="AA9736" s="160"/>
      <c r="AB9736" s="162"/>
      <c r="AC9736" s="162"/>
      <c r="AD9736" s="162">
        <f t="shared" si="172"/>
        <v>0</v>
      </c>
      <c r="AE9736" s="160">
        <v>9734</v>
      </c>
    </row>
    <row r="9737" spans="27:31" x14ac:dyDescent="0.25">
      <c r="AA9737" s="160"/>
      <c r="AB9737" s="162"/>
      <c r="AC9737" s="162"/>
      <c r="AD9737" s="162">
        <f t="shared" si="172"/>
        <v>0</v>
      </c>
      <c r="AE9737" s="160">
        <v>9735</v>
      </c>
    </row>
    <row r="9738" spans="27:31" x14ac:dyDescent="0.25">
      <c r="AA9738" s="160"/>
      <c r="AB9738" s="162"/>
      <c r="AC9738" s="162"/>
      <c r="AD9738" s="162">
        <f t="shared" si="172"/>
        <v>0</v>
      </c>
      <c r="AE9738" s="160">
        <v>9736</v>
      </c>
    </row>
    <row r="9739" spans="27:31" x14ac:dyDescent="0.25">
      <c r="AA9739" s="160"/>
      <c r="AB9739" s="162"/>
      <c r="AC9739" s="162"/>
      <c r="AD9739" s="162">
        <f t="shared" si="172"/>
        <v>0</v>
      </c>
      <c r="AE9739" s="160">
        <v>9737</v>
      </c>
    </row>
    <row r="9740" spans="27:31" x14ac:dyDescent="0.25">
      <c r="AA9740" s="160"/>
      <c r="AB9740" s="162"/>
      <c r="AC9740" s="162"/>
      <c r="AD9740" s="162">
        <f t="shared" si="172"/>
        <v>0</v>
      </c>
      <c r="AE9740" s="160">
        <v>9738</v>
      </c>
    </row>
    <row r="9741" spans="27:31" x14ac:dyDescent="0.25">
      <c r="AA9741" s="160"/>
      <c r="AB9741" s="162"/>
      <c r="AC9741" s="162"/>
      <c r="AD9741" s="162">
        <f t="shared" si="172"/>
        <v>0</v>
      </c>
      <c r="AE9741" s="160">
        <v>9739</v>
      </c>
    </row>
    <row r="9742" spans="27:31" x14ac:dyDescent="0.25">
      <c r="AA9742" s="160"/>
      <c r="AB9742" s="162"/>
      <c r="AC9742" s="162"/>
      <c r="AD9742" s="162">
        <f t="shared" si="172"/>
        <v>0</v>
      </c>
      <c r="AE9742" s="160">
        <v>9740</v>
      </c>
    </row>
    <row r="9743" spans="27:31" x14ac:dyDescent="0.25">
      <c r="AA9743" s="160"/>
      <c r="AB9743" s="162"/>
      <c r="AC9743" s="162"/>
      <c r="AD9743" s="162">
        <f t="shared" si="172"/>
        <v>0</v>
      </c>
      <c r="AE9743" s="160">
        <v>9741</v>
      </c>
    </row>
    <row r="9744" spans="27:31" x14ac:dyDescent="0.25">
      <c r="AA9744" s="160"/>
      <c r="AB9744" s="162"/>
      <c r="AC9744" s="162"/>
      <c r="AD9744" s="162">
        <f t="shared" si="172"/>
        <v>0</v>
      </c>
      <c r="AE9744" s="160">
        <v>9742</v>
      </c>
    </row>
    <row r="9745" spans="27:31" x14ac:dyDescent="0.25">
      <c r="AA9745" s="160"/>
      <c r="AB9745" s="162"/>
      <c r="AC9745" s="162"/>
      <c r="AD9745" s="162">
        <f t="shared" si="172"/>
        <v>0</v>
      </c>
      <c r="AE9745" s="160">
        <v>9743</v>
      </c>
    </row>
    <row r="9746" spans="27:31" x14ac:dyDescent="0.25">
      <c r="AA9746" s="160"/>
      <c r="AB9746" s="162"/>
      <c r="AC9746" s="162"/>
      <c r="AD9746" s="162">
        <f t="shared" si="172"/>
        <v>0</v>
      </c>
      <c r="AE9746" s="160">
        <v>9744</v>
      </c>
    </row>
    <row r="9747" spans="27:31" x14ac:dyDescent="0.25">
      <c r="AA9747" s="160"/>
      <c r="AB9747" s="162"/>
      <c r="AC9747" s="162"/>
      <c r="AD9747" s="162">
        <f t="shared" si="172"/>
        <v>0</v>
      </c>
      <c r="AE9747" s="160">
        <v>9745</v>
      </c>
    </row>
    <row r="9748" spans="27:31" x14ac:dyDescent="0.25">
      <c r="AA9748" s="160"/>
      <c r="AB9748" s="162"/>
      <c r="AC9748" s="162"/>
      <c r="AD9748" s="162">
        <f t="shared" si="172"/>
        <v>0</v>
      </c>
      <c r="AE9748" s="160">
        <v>9746</v>
      </c>
    </row>
    <row r="9749" spans="27:31" x14ac:dyDescent="0.25">
      <c r="AA9749" s="160"/>
      <c r="AB9749" s="162"/>
      <c r="AC9749" s="162"/>
      <c r="AD9749" s="162">
        <f t="shared" si="172"/>
        <v>0</v>
      </c>
      <c r="AE9749" s="160">
        <v>9747</v>
      </c>
    </row>
    <row r="9750" spans="27:31" x14ac:dyDescent="0.25">
      <c r="AA9750" s="160"/>
      <c r="AB9750" s="162"/>
      <c r="AC9750" s="162"/>
      <c r="AD9750" s="162">
        <f t="shared" si="172"/>
        <v>0</v>
      </c>
      <c r="AE9750" s="160">
        <v>9748</v>
      </c>
    </row>
    <row r="9751" spans="27:31" x14ac:dyDescent="0.25">
      <c r="AA9751" s="160"/>
      <c r="AB9751" s="162"/>
      <c r="AC9751" s="162"/>
      <c r="AD9751" s="162">
        <f t="shared" si="172"/>
        <v>0</v>
      </c>
      <c r="AE9751" s="160">
        <v>9749</v>
      </c>
    </row>
    <row r="9752" spans="27:31" x14ac:dyDescent="0.25">
      <c r="AA9752" s="160"/>
      <c r="AB9752" s="162"/>
      <c r="AC9752" s="162"/>
      <c r="AD9752" s="162">
        <f t="shared" si="172"/>
        <v>0</v>
      </c>
      <c r="AE9752" s="160">
        <v>9750</v>
      </c>
    </row>
    <row r="9753" spans="27:31" x14ac:dyDescent="0.25">
      <c r="AA9753" s="160"/>
      <c r="AB9753" s="162"/>
      <c r="AC9753" s="162"/>
      <c r="AD9753" s="162">
        <f t="shared" si="172"/>
        <v>0</v>
      </c>
      <c r="AE9753" s="160">
        <v>9751</v>
      </c>
    </row>
    <row r="9754" spans="27:31" x14ac:dyDescent="0.25">
      <c r="AA9754" s="160"/>
      <c r="AB9754" s="162"/>
      <c r="AC9754" s="162"/>
      <c r="AD9754" s="162">
        <f t="shared" si="172"/>
        <v>0</v>
      </c>
      <c r="AE9754" s="160">
        <v>9752</v>
      </c>
    </row>
    <row r="9755" spans="27:31" x14ac:dyDescent="0.25">
      <c r="AA9755" s="160"/>
      <c r="AB9755" s="162"/>
      <c r="AC9755" s="162"/>
      <c r="AD9755" s="162">
        <f t="shared" si="172"/>
        <v>0</v>
      </c>
      <c r="AE9755" s="160">
        <v>9753</v>
      </c>
    </row>
    <row r="9756" spans="27:31" x14ac:dyDescent="0.25">
      <c r="AA9756" s="160"/>
      <c r="AB9756" s="162"/>
      <c r="AC9756" s="162"/>
      <c r="AD9756" s="162">
        <f t="shared" si="172"/>
        <v>0</v>
      </c>
      <c r="AE9756" s="160">
        <v>9754</v>
      </c>
    </row>
    <row r="9757" spans="27:31" x14ac:dyDescent="0.25">
      <c r="AA9757" s="160"/>
      <c r="AB9757" s="162"/>
      <c r="AC9757" s="162"/>
      <c r="AD9757" s="162">
        <f t="shared" si="172"/>
        <v>0</v>
      </c>
      <c r="AE9757" s="160">
        <v>9755</v>
      </c>
    </row>
    <row r="9758" spans="27:31" x14ac:dyDescent="0.25">
      <c r="AA9758" s="160"/>
      <c r="AB9758" s="162"/>
      <c r="AC9758" s="162"/>
      <c r="AD9758" s="162">
        <f t="shared" si="172"/>
        <v>0</v>
      </c>
      <c r="AE9758" s="160">
        <v>9756</v>
      </c>
    </row>
    <row r="9759" spans="27:31" x14ac:dyDescent="0.25">
      <c r="AA9759" s="160"/>
      <c r="AB9759" s="162"/>
      <c r="AC9759" s="162"/>
      <c r="AD9759" s="162">
        <f t="shared" si="172"/>
        <v>0</v>
      </c>
      <c r="AE9759" s="160">
        <v>9757</v>
      </c>
    </row>
    <row r="9760" spans="27:31" x14ac:dyDescent="0.25">
      <c r="AA9760" s="160"/>
      <c r="AB9760" s="162"/>
      <c r="AC9760" s="162"/>
      <c r="AD9760" s="162">
        <f t="shared" si="172"/>
        <v>0</v>
      </c>
      <c r="AE9760" s="160">
        <v>9758</v>
      </c>
    </row>
    <row r="9761" spans="27:31" x14ac:dyDescent="0.25">
      <c r="AA9761" s="160"/>
      <c r="AB9761" s="162"/>
      <c r="AC9761" s="162"/>
      <c r="AD9761" s="162">
        <f t="shared" si="172"/>
        <v>0</v>
      </c>
      <c r="AE9761" s="160">
        <v>9759</v>
      </c>
    </row>
    <row r="9762" spans="27:31" x14ac:dyDescent="0.25">
      <c r="AA9762" s="160"/>
      <c r="AB9762" s="162"/>
      <c r="AC9762" s="162"/>
      <c r="AD9762" s="162">
        <f t="shared" si="172"/>
        <v>0</v>
      </c>
      <c r="AE9762" s="160">
        <v>9760</v>
      </c>
    </row>
    <row r="9763" spans="27:31" x14ac:dyDescent="0.25">
      <c r="AA9763" s="160"/>
      <c r="AB9763" s="162"/>
      <c r="AC9763" s="162"/>
      <c r="AD9763" s="162">
        <f t="shared" si="172"/>
        <v>0</v>
      </c>
      <c r="AE9763" s="160">
        <v>9761</v>
      </c>
    </row>
    <row r="9764" spans="27:31" x14ac:dyDescent="0.25">
      <c r="AA9764" s="160"/>
      <c r="AB9764" s="162"/>
      <c r="AC9764" s="162"/>
      <c r="AD9764" s="162">
        <f t="shared" si="172"/>
        <v>0</v>
      </c>
      <c r="AE9764" s="160">
        <v>9762</v>
      </c>
    </row>
    <row r="9765" spans="27:31" x14ac:dyDescent="0.25">
      <c r="AA9765" s="160"/>
      <c r="AB9765" s="162"/>
      <c r="AC9765" s="162"/>
      <c r="AD9765" s="162">
        <f t="shared" si="172"/>
        <v>0</v>
      </c>
      <c r="AE9765" s="160">
        <v>9763</v>
      </c>
    </row>
    <row r="9766" spans="27:31" x14ac:dyDescent="0.25">
      <c r="AA9766" s="160"/>
      <c r="AB9766" s="162"/>
      <c r="AC9766" s="162"/>
      <c r="AD9766" s="162">
        <f t="shared" si="172"/>
        <v>0</v>
      </c>
      <c r="AE9766" s="160">
        <v>9764</v>
      </c>
    </row>
    <row r="9767" spans="27:31" x14ac:dyDescent="0.25">
      <c r="AA9767" s="160"/>
      <c r="AB9767" s="162"/>
      <c r="AC9767" s="162"/>
      <c r="AD9767" s="162">
        <f t="shared" si="172"/>
        <v>0</v>
      </c>
      <c r="AE9767" s="160">
        <v>9765</v>
      </c>
    </row>
    <row r="9768" spans="27:31" x14ac:dyDescent="0.25">
      <c r="AA9768" s="160"/>
      <c r="AB9768" s="162"/>
      <c r="AC9768" s="162"/>
      <c r="AD9768" s="162">
        <f t="shared" si="172"/>
        <v>0</v>
      </c>
      <c r="AE9768" s="160">
        <v>9766</v>
      </c>
    </row>
    <row r="9769" spans="27:31" x14ac:dyDescent="0.25">
      <c r="AA9769" s="160"/>
      <c r="AB9769" s="162"/>
      <c r="AC9769" s="162"/>
      <c r="AD9769" s="162">
        <f t="shared" si="172"/>
        <v>0</v>
      </c>
      <c r="AE9769" s="160">
        <v>9767</v>
      </c>
    </row>
    <row r="9770" spans="27:31" x14ac:dyDescent="0.25">
      <c r="AA9770" s="160"/>
      <c r="AB9770" s="162"/>
      <c r="AC9770" s="162"/>
      <c r="AD9770" s="162">
        <f t="shared" si="172"/>
        <v>0</v>
      </c>
      <c r="AE9770" s="160">
        <v>9768</v>
      </c>
    </row>
    <row r="9771" spans="27:31" x14ac:dyDescent="0.25">
      <c r="AA9771" s="160"/>
      <c r="AB9771" s="162"/>
      <c r="AC9771" s="162"/>
      <c r="AD9771" s="162">
        <f t="shared" si="172"/>
        <v>0</v>
      </c>
      <c r="AE9771" s="160">
        <v>9769</v>
      </c>
    </row>
    <row r="9772" spans="27:31" x14ac:dyDescent="0.25">
      <c r="AA9772" s="160"/>
      <c r="AB9772" s="162"/>
      <c r="AC9772" s="162"/>
      <c r="AD9772" s="162">
        <f t="shared" si="172"/>
        <v>0</v>
      </c>
      <c r="AE9772" s="160">
        <v>9770</v>
      </c>
    </row>
    <row r="9773" spans="27:31" x14ac:dyDescent="0.25">
      <c r="AA9773" s="160"/>
      <c r="AB9773" s="162"/>
      <c r="AC9773" s="162"/>
      <c r="AD9773" s="162">
        <f t="shared" si="172"/>
        <v>0</v>
      </c>
      <c r="AE9773" s="160">
        <v>9771</v>
      </c>
    </row>
    <row r="9774" spans="27:31" x14ac:dyDescent="0.25">
      <c r="AA9774" s="160"/>
      <c r="AB9774" s="162"/>
      <c r="AC9774" s="162"/>
      <c r="AD9774" s="162">
        <f t="shared" si="172"/>
        <v>0</v>
      </c>
      <c r="AE9774" s="160">
        <v>9772</v>
      </c>
    </row>
    <row r="9775" spans="27:31" x14ac:dyDescent="0.25">
      <c r="AA9775" s="160"/>
      <c r="AB9775" s="162"/>
      <c r="AC9775" s="162"/>
      <c r="AD9775" s="162">
        <f t="shared" si="172"/>
        <v>0</v>
      </c>
      <c r="AE9775" s="160">
        <v>9773</v>
      </c>
    </row>
    <row r="9776" spans="27:31" x14ac:dyDescent="0.25">
      <c r="AA9776" s="160"/>
      <c r="AB9776" s="162"/>
      <c r="AC9776" s="162"/>
      <c r="AD9776" s="162">
        <f t="shared" si="172"/>
        <v>0</v>
      </c>
      <c r="AE9776" s="160">
        <v>9774</v>
      </c>
    </row>
    <row r="9777" spans="27:31" x14ac:dyDescent="0.25">
      <c r="AA9777" s="160"/>
      <c r="AB9777" s="162"/>
      <c r="AC9777" s="162"/>
      <c r="AD9777" s="162">
        <f t="shared" si="172"/>
        <v>0</v>
      </c>
      <c r="AE9777" s="160">
        <v>9775</v>
      </c>
    </row>
    <row r="9778" spans="27:31" x14ac:dyDescent="0.25">
      <c r="AA9778" s="160"/>
      <c r="AB9778" s="162"/>
      <c r="AC9778" s="162"/>
      <c r="AD9778" s="162">
        <f t="shared" si="172"/>
        <v>0</v>
      </c>
      <c r="AE9778" s="160">
        <v>9776</v>
      </c>
    </row>
    <row r="9779" spans="27:31" x14ac:dyDescent="0.25">
      <c r="AA9779" s="160"/>
      <c r="AB9779" s="162"/>
      <c r="AC9779" s="162"/>
      <c r="AD9779" s="162">
        <f t="shared" si="172"/>
        <v>0</v>
      </c>
      <c r="AE9779" s="160">
        <v>9777</v>
      </c>
    </row>
    <row r="9780" spans="27:31" x14ac:dyDescent="0.25">
      <c r="AA9780" s="160"/>
      <c r="AB9780" s="162"/>
      <c r="AC9780" s="162"/>
      <c r="AD9780" s="162">
        <f t="shared" si="172"/>
        <v>0</v>
      </c>
      <c r="AE9780" s="160">
        <v>9778</v>
      </c>
    </row>
    <row r="9781" spans="27:31" x14ac:dyDescent="0.25">
      <c r="AA9781" s="160"/>
      <c r="AB9781" s="162"/>
      <c r="AC9781" s="162"/>
      <c r="AD9781" s="162">
        <f t="shared" si="172"/>
        <v>0</v>
      </c>
      <c r="AE9781" s="160">
        <v>9779</v>
      </c>
    </row>
    <row r="9782" spans="27:31" x14ac:dyDescent="0.25">
      <c r="AA9782" s="160"/>
      <c r="AB9782" s="162"/>
      <c r="AC9782" s="162"/>
      <c r="AD9782" s="162">
        <f t="shared" si="172"/>
        <v>0</v>
      </c>
      <c r="AE9782" s="160">
        <v>9780</v>
      </c>
    </row>
    <row r="9783" spans="27:31" x14ac:dyDescent="0.25">
      <c r="AA9783" s="160"/>
      <c r="AB9783" s="162"/>
      <c r="AC9783" s="162"/>
      <c r="AD9783" s="162">
        <f t="shared" si="172"/>
        <v>0</v>
      </c>
      <c r="AE9783" s="160">
        <v>9781</v>
      </c>
    </row>
    <row r="9784" spans="27:31" x14ac:dyDescent="0.25">
      <c r="AA9784" s="160"/>
      <c r="AB9784" s="162"/>
      <c r="AC9784" s="162"/>
      <c r="AD9784" s="162">
        <f t="shared" si="172"/>
        <v>0</v>
      </c>
      <c r="AE9784" s="160">
        <v>9782</v>
      </c>
    </row>
    <row r="9785" spans="27:31" x14ac:dyDescent="0.25">
      <c r="AA9785" s="160"/>
      <c r="AB9785" s="162"/>
      <c r="AC9785" s="162"/>
      <c r="AD9785" s="162">
        <f t="shared" si="172"/>
        <v>0</v>
      </c>
      <c r="AE9785" s="160">
        <v>9783</v>
      </c>
    </row>
    <row r="9786" spans="27:31" x14ac:dyDescent="0.25">
      <c r="AA9786" s="160"/>
      <c r="AB9786" s="162"/>
      <c r="AC9786" s="162"/>
      <c r="AD9786" s="162">
        <f t="shared" si="172"/>
        <v>0</v>
      </c>
      <c r="AE9786" s="160">
        <v>9784</v>
      </c>
    </row>
    <row r="9787" spans="27:31" x14ac:dyDescent="0.25">
      <c r="AA9787" s="160"/>
      <c r="AB9787" s="162"/>
      <c r="AC9787" s="162"/>
      <c r="AD9787" s="162">
        <f t="shared" si="172"/>
        <v>0</v>
      </c>
      <c r="AE9787" s="160">
        <v>9785</v>
      </c>
    </row>
    <row r="9788" spans="27:31" x14ac:dyDescent="0.25">
      <c r="AA9788" s="160"/>
      <c r="AB9788" s="162"/>
      <c r="AC9788" s="162"/>
      <c r="AD9788" s="162">
        <f t="shared" si="172"/>
        <v>0</v>
      </c>
      <c r="AE9788" s="160">
        <v>9786</v>
      </c>
    </row>
    <row r="9789" spans="27:31" x14ac:dyDescent="0.25">
      <c r="AA9789" s="160"/>
      <c r="AB9789" s="162"/>
      <c r="AC9789" s="162"/>
      <c r="AD9789" s="162">
        <f t="shared" si="172"/>
        <v>0</v>
      </c>
      <c r="AE9789" s="160">
        <v>9787</v>
      </c>
    </row>
    <row r="9790" spans="27:31" x14ac:dyDescent="0.25">
      <c r="AA9790" s="160"/>
      <c r="AB9790" s="162"/>
      <c r="AC9790" s="162"/>
      <c r="AD9790" s="162">
        <f t="shared" si="172"/>
        <v>0</v>
      </c>
      <c r="AE9790" s="160">
        <v>9788</v>
      </c>
    </row>
    <row r="9791" spans="27:31" x14ac:dyDescent="0.25">
      <c r="AA9791" s="160"/>
      <c r="AB9791" s="162"/>
      <c r="AC9791" s="162"/>
      <c r="AD9791" s="162">
        <f t="shared" si="172"/>
        <v>0</v>
      </c>
      <c r="AE9791" s="160">
        <v>9789</v>
      </c>
    </row>
    <row r="9792" spans="27:31" x14ac:dyDescent="0.25">
      <c r="AA9792" s="160"/>
      <c r="AB9792" s="162"/>
      <c r="AC9792" s="162"/>
      <c r="AD9792" s="162">
        <f t="shared" si="172"/>
        <v>0</v>
      </c>
      <c r="AE9792" s="160">
        <v>9790</v>
      </c>
    </row>
    <row r="9793" spans="27:31" x14ac:dyDescent="0.25">
      <c r="AA9793" s="160"/>
      <c r="AB9793" s="162"/>
      <c r="AC9793" s="162"/>
      <c r="AD9793" s="162">
        <f t="shared" si="172"/>
        <v>0</v>
      </c>
      <c r="AE9793" s="160">
        <v>9791</v>
      </c>
    </row>
    <row r="9794" spans="27:31" x14ac:dyDescent="0.25">
      <c r="AA9794" s="160"/>
      <c r="AB9794" s="162"/>
      <c r="AC9794" s="162"/>
      <c r="AD9794" s="162">
        <f t="shared" si="172"/>
        <v>0</v>
      </c>
      <c r="AE9794" s="160">
        <v>9792</v>
      </c>
    </row>
    <row r="9795" spans="27:31" x14ac:dyDescent="0.25">
      <c r="AA9795" s="160"/>
      <c r="AB9795" s="162"/>
      <c r="AC9795" s="162"/>
      <c r="AD9795" s="162">
        <f t="shared" si="172"/>
        <v>0</v>
      </c>
      <c r="AE9795" s="160">
        <v>9793</v>
      </c>
    </row>
    <row r="9796" spans="27:31" x14ac:dyDescent="0.25">
      <c r="AA9796" s="160"/>
      <c r="AB9796" s="162"/>
      <c r="AC9796" s="162"/>
      <c r="AD9796" s="162">
        <f t="shared" ref="AD9796:AD9859" si="173">AB9796+AC9796</f>
        <v>0</v>
      </c>
      <c r="AE9796" s="160">
        <v>9794</v>
      </c>
    </row>
    <row r="9797" spans="27:31" x14ac:dyDescent="0.25">
      <c r="AA9797" s="160"/>
      <c r="AB9797" s="162"/>
      <c r="AC9797" s="162"/>
      <c r="AD9797" s="162">
        <f t="shared" si="173"/>
        <v>0</v>
      </c>
      <c r="AE9797" s="160">
        <v>9795</v>
      </c>
    </row>
    <row r="9798" spans="27:31" x14ac:dyDescent="0.25">
      <c r="AA9798" s="160"/>
      <c r="AB9798" s="162"/>
      <c r="AC9798" s="162"/>
      <c r="AD9798" s="162">
        <f t="shared" si="173"/>
        <v>0</v>
      </c>
      <c r="AE9798" s="160">
        <v>9796</v>
      </c>
    </row>
    <row r="9799" spans="27:31" x14ac:dyDescent="0.25">
      <c r="AA9799" s="160"/>
      <c r="AB9799" s="162"/>
      <c r="AC9799" s="162"/>
      <c r="AD9799" s="162">
        <f t="shared" si="173"/>
        <v>0</v>
      </c>
      <c r="AE9799" s="160">
        <v>9797</v>
      </c>
    </row>
    <row r="9800" spans="27:31" x14ac:dyDescent="0.25">
      <c r="AA9800" s="160"/>
      <c r="AB9800" s="162"/>
      <c r="AC9800" s="162"/>
      <c r="AD9800" s="162">
        <f t="shared" si="173"/>
        <v>0</v>
      </c>
      <c r="AE9800" s="160">
        <v>9798</v>
      </c>
    </row>
    <row r="9801" spans="27:31" x14ac:dyDescent="0.25">
      <c r="AA9801" s="160"/>
      <c r="AB9801" s="162"/>
      <c r="AC9801" s="162"/>
      <c r="AD9801" s="162">
        <f t="shared" si="173"/>
        <v>0</v>
      </c>
      <c r="AE9801" s="160">
        <v>9799</v>
      </c>
    </row>
    <row r="9802" spans="27:31" x14ac:dyDescent="0.25">
      <c r="AA9802" s="160"/>
      <c r="AB9802" s="162"/>
      <c r="AC9802" s="162"/>
      <c r="AD9802" s="162">
        <f t="shared" si="173"/>
        <v>0</v>
      </c>
      <c r="AE9802" s="160">
        <v>9800</v>
      </c>
    </row>
    <row r="9803" spans="27:31" x14ac:dyDescent="0.25">
      <c r="AA9803" s="160"/>
      <c r="AB9803" s="162"/>
      <c r="AC9803" s="162"/>
      <c r="AD9803" s="162">
        <f t="shared" si="173"/>
        <v>0</v>
      </c>
      <c r="AE9803" s="160">
        <v>9801</v>
      </c>
    </row>
    <row r="9804" spans="27:31" x14ac:dyDescent="0.25">
      <c r="AA9804" s="160"/>
      <c r="AB9804" s="162"/>
      <c r="AC9804" s="162"/>
      <c r="AD9804" s="162">
        <f t="shared" si="173"/>
        <v>0</v>
      </c>
      <c r="AE9804" s="160">
        <v>9802</v>
      </c>
    </row>
    <row r="9805" spans="27:31" x14ac:dyDescent="0.25">
      <c r="AA9805" s="160"/>
      <c r="AB9805" s="162"/>
      <c r="AC9805" s="162"/>
      <c r="AD9805" s="162">
        <f t="shared" si="173"/>
        <v>0</v>
      </c>
      <c r="AE9805" s="160">
        <v>9803</v>
      </c>
    </row>
    <row r="9806" spans="27:31" x14ac:dyDescent="0.25">
      <c r="AA9806" s="160"/>
      <c r="AB9806" s="162"/>
      <c r="AC9806" s="162"/>
      <c r="AD9806" s="162">
        <f t="shared" si="173"/>
        <v>0</v>
      </c>
      <c r="AE9806" s="160">
        <v>9804</v>
      </c>
    </row>
    <row r="9807" spans="27:31" x14ac:dyDescent="0.25">
      <c r="AA9807" s="160"/>
      <c r="AB9807" s="162"/>
      <c r="AC9807" s="162"/>
      <c r="AD9807" s="162">
        <f t="shared" si="173"/>
        <v>0</v>
      </c>
      <c r="AE9807" s="160">
        <v>9805</v>
      </c>
    </row>
    <row r="9808" spans="27:31" x14ac:dyDescent="0.25">
      <c r="AA9808" s="160"/>
      <c r="AB9808" s="162"/>
      <c r="AC9808" s="162"/>
      <c r="AD9808" s="162">
        <f t="shared" si="173"/>
        <v>0</v>
      </c>
      <c r="AE9808" s="160">
        <v>9806</v>
      </c>
    </row>
    <row r="9809" spans="27:31" x14ac:dyDescent="0.25">
      <c r="AA9809" s="160"/>
      <c r="AB9809" s="162"/>
      <c r="AC9809" s="162"/>
      <c r="AD9809" s="162">
        <f t="shared" si="173"/>
        <v>0</v>
      </c>
      <c r="AE9809" s="160">
        <v>9807</v>
      </c>
    </row>
    <row r="9810" spans="27:31" x14ac:dyDescent="0.25">
      <c r="AA9810" s="160"/>
      <c r="AB9810" s="162"/>
      <c r="AC9810" s="162"/>
      <c r="AD9810" s="162">
        <f t="shared" si="173"/>
        <v>0</v>
      </c>
      <c r="AE9810" s="160">
        <v>9808</v>
      </c>
    </row>
    <row r="9811" spans="27:31" x14ac:dyDescent="0.25">
      <c r="AA9811" s="160"/>
      <c r="AB9811" s="162"/>
      <c r="AC9811" s="162"/>
      <c r="AD9811" s="162">
        <f t="shared" si="173"/>
        <v>0</v>
      </c>
      <c r="AE9811" s="160">
        <v>9809</v>
      </c>
    </row>
    <row r="9812" spans="27:31" x14ac:dyDescent="0.25">
      <c r="AA9812" s="160"/>
      <c r="AB9812" s="162"/>
      <c r="AC9812" s="162"/>
      <c r="AD9812" s="162">
        <f t="shared" si="173"/>
        <v>0</v>
      </c>
      <c r="AE9812" s="160">
        <v>9810</v>
      </c>
    </row>
    <row r="9813" spans="27:31" x14ac:dyDescent="0.25">
      <c r="AA9813" s="160"/>
      <c r="AB9813" s="162"/>
      <c r="AC9813" s="162"/>
      <c r="AD9813" s="162">
        <f t="shared" si="173"/>
        <v>0</v>
      </c>
      <c r="AE9813" s="160">
        <v>9811</v>
      </c>
    </row>
    <row r="9814" spans="27:31" x14ac:dyDescent="0.25">
      <c r="AA9814" s="160"/>
      <c r="AB9814" s="162"/>
      <c r="AC9814" s="162"/>
      <c r="AD9814" s="162">
        <f t="shared" si="173"/>
        <v>0</v>
      </c>
      <c r="AE9814" s="160">
        <v>9812</v>
      </c>
    </row>
    <row r="9815" spans="27:31" x14ac:dyDescent="0.25">
      <c r="AA9815" s="160"/>
      <c r="AB9815" s="162"/>
      <c r="AC9815" s="162"/>
      <c r="AD9815" s="162">
        <f t="shared" si="173"/>
        <v>0</v>
      </c>
      <c r="AE9815" s="160">
        <v>9813</v>
      </c>
    </row>
    <row r="9816" spans="27:31" x14ac:dyDescent="0.25">
      <c r="AA9816" s="160"/>
      <c r="AB9816" s="162"/>
      <c r="AC9816" s="162"/>
      <c r="AD9816" s="162">
        <f t="shared" si="173"/>
        <v>0</v>
      </c>
      <c r="AE9816" s="160">
        <v>9814</v>
      </c>
    </row>
    <row r="9817" spans="27:31" x14ac:dyDescent="0.25">
      <c r="AA9817" s="160"/>
      <c r="AB9817" s="162"/>
      <c r="AC9817" s="162"/>
      <c r="AD9817" s="162">
        <f t="shared" si="173"/>
        <v>0</v>
      </c>
      <c r="AE9817" s="160">
        <v>9815</v>
      </c>
    </row>
    <row r="9818" spans="27:31" x14ac:dyDescent="0.25">
      <c r="AA9818" s="160"/>
      <c r="AB9818" s="162"/>
      <c r="AC9818" s="162"/>
      <c r="AD9818" s="162">
        <f t="shared" si="173"/>
        <v>0</v>
      </c>
      <c r="AE9818" s="160">
        <v>9816</v>
      </c>
    </row>
    <row r="9819" spans="27:31" x14ac:dyDescent="0.25">
      <c r="AA9819" s="160"/>
      <c r="AB9819" s="162"/>
      <c r="AC9819" s="162"/>
      <c r="AD9819" s="162">
        <f t="shared" si="173"/>
        <v>0</v>
      </c>
      <c r="AE9819" s="160">
        <v>9817</v>
      </c>
    </row>
    <row r="9820" spans="27:31" x14ac:dyDescent="0.25">
      <c r="AA9820" s="160"/>
      <c r="AB9820" s="162"/>
      <c r="AC9820" s="162"/>
      <c r="AD9820" s="162">
        <f t="shared" si="173"/>
        <v>0</v>
      </c>
      <c r="AE9820" s="160">
        <v>9818</v>
      </c>
    </row>
    <row r="9821" spans="27:31" x14ac:dyDescent="0.25">
      <c r="AA9821" s="160"/>
      <c r="AB9821" s="162"/>
      <c r="AC9821" s="162"/>
      <c r="AD9821" s="162">
        <f t="shared" si="173"/>
        <v>0</v>
      </c>
      <c r="AE9821" s="160">
        <v>9819</v>
      </c>
    </row>
    <row r="9822" spans="27:31" x14ac:dyDescent="0.25">
      <c r="AA9822" s="160"/>
      <c r="AB9822" s="162"/>
      <c r="AC9822" s="162"/>
      <c r="AD9822" s="162">
        <f t="shared" si="173"/>
        <v>0</v>
      </c>
      <c r="AE9822" s="160">
        <v>9820</v>
      </c>
    </row>
    <row r="9823" spans="27:31" x14ac:dyDescent="0.25">
      <c r="AA9823" s="160"/>
      <c r="AB9823" s="162"/>
      <c r="AC9823" s="162"/>
      <c r="AD9823" s="162">
        <f t="shared" si="173"/>
        <v>0</v>
      </c>
      <c r="AE9823" s="160">
        <v>9821</v>
      </c>
    </row>
    <row r="9824" spans="27:31" x14ac:dyDescent="0.25">
      <c r="AA9824" s="160"/>
      <c r="AB9824" s="162"/>
      <c r="AC9824" s="162"/>
      <c r="AD9824" s="162">
        <f t="shared" si="173"/>
        <v>0</v>
      </c>
      <c r="AE9824" s="160">
        <v>9822</v>
      </c>
    </row>
    <row r="9825" spans="27:31" x14ac:dyDescent="0.25">
      <c r="AA9825" s="160"/>
      <c r="AB9825" s="162"/>
      <c r="AC9825" s="162"/>
      <c r="AD9825" s="162">
        <f t="shared" si="173"/>
        <v>0</v>
      </c>
      <c r="AE9825" s="160">
        <v>9823</v>
      </c>
    </row>
    <row r="9826" spans="27:31" x14ac:dyDescent="0.25">
      <c r="AA9826" s="160"/>
      <c r="AB9826" s="162"/>
      <c r="AC9826" s="162"/>
      <c r="AD9826" s="162">
        <f t="shared" si="173"/>
        <v>0</v>
      </c>
      <c r="AE9826" s="160">
        <v>9824</v>
      </c>
    </row>
    <row r="9827" spans="27:31" x14ac:dyDescent="0.25">
      <c r="AA9827" s="160"/>
      <c r="AB9827" s="162"/>
      <c r="AC9827" s="162"/>
      <c r="AD9827" s="162">
        <f t="shared" si="173"/>
        <v>0</v>
      </c>
      <c r="AE9827" s="160">
        <v>9825</v>
      </c>
    </row>
    <row r="9828" spans="27:31" x14ac:dyDescent="0.25">
      <c r="AA9828" s="160"/>
      <c r="AB9828" s="162"/>
      <c r="AC9828" s="162"/>
      <c r="AD9828" s="162">
        <f t="shared" si="173"/>
        <v>0</v>
      </c>
      <c r="AE9828" s="160">
        <v>9826</v>
      </c>
    </row>
    <row r="9829" spans="27:31" x14ac:dyDescent="0.25">
      <c r="AA9829" s="160"/>
      <c r="AB9829" s="162"/>
      <c r="AC9829" s="162"/>
      <c r="AD9829" s="162">
        <f t="shared" si="173"/>
        <v>0</v>
      </c>
      <c r="AE9829" s="160">
        <v>9827</v>
      </c>
    </row>
    <row r="9830" spans="27:31" x14ac:dyDescent="0.25">
      <c r="AA9830" s="160"/>
      <c r="AB9830" s="162"/>
      <c r="AC9830" s="162"/>
      <c r="AD9830" s="162">
        <f t="shared" si="173"/>
        <v>0</v>
      </c>
      <c r="AE9830" s="160">
        <v>9828</v>
      </c>
    </row>
    <row r="9831" spans="27:31" x14ac:dyDescent="0.25">
      <c r="AA9831" s="160"/>
      <c r="AB9831" s="162"/>
      <c r="AC9831" s="162"/>
      <c r="AD9831" s="162">
        <f t="shared" si="173"/>
        <v>0</v>
      </c>
      <c r="AE9831" s="160">
        <v>9829</v>
      </c>
    </row>
    <row r="9832" spans="27:31" x14ac:dyDescent="0.25">
      <c r="AA9832" s="160"/>
      <c r="AB9832" s="162"/>
      <c r="AC9832" s="162"/>
      <c r="AD9832" s="162">
        <f t="shared" si="173"/>
        <v>0</v>
      </c>
      <c r="AE9832" s="160">
        <v>9830</v>
      </c>
    </row>
    <row r="9833" spans="27:31" x14ac:dyDescent="0.25">
      <c r="AA9833" s="160"/>
      <c r="AB9833" s="162"/>
      <c r="AC9833" s="162"/>
      <c r="AD9833" s="162">
        <f t="shared" si="173"/>
        <v>0</v>
      </c>
      <c r="AE9833" s="160">
        <v>9831</v>
      </c>
    </row>
    <row r="9834" spans="27:31" x14ac:dyDescent="0.25">
      <c r="AA9834" s="160"/>
      <c r="AB9834" s="162"/>
      <c r="AC9834" s="162"/>
      <c r="AD9834" s="162">
        <f t="shared" si="173"/>
        <v>0</v>
      </c>
      <c r="AE9834" s="160">
        <v>9832</v>
      </c>
    </row>
    <row r="9835" spans="27:31" x14ac:dyDescent="0.25">
      <c r="AA9835" s="160"/>
      <c r="AB9835" s="162"/>
      <c r="AC9835" s="162"/>
      <c r="AD9835" s="162">
        <f t="shared" si="173"/>
        <v>0</v>
      </c>
      <c r="AE9835" s="160">
        <v>9833</v>
      </c>
    </row>
    <row r="9836" spans="27:31" x14ac:dyDescent="0.25">
      <c r="AA9836" s="160"/>
      <c r="AB9836" s="162"/>
      <c r="AC9836" s="162"/>
      <c r="AD9836" s="162">
        <f t="shared" si="173"/>
        <v>0</v>
      </c>
      <c r="AE9836" s="160">
        <v>9834</v>
      </c>
    </row>
    <row r="9837" spans="27:31" x14ac:dyDescent="0.25">
      <c r="AA9837" s="160"/>
      <c r="AB9837" s="162"/>
      <c r="AC9837" s="162"/>
      <c r="AD9837" s="162">
        <f t="shared" si="173"/>
        <v>0</v>
      </c>
      <c r="AE9837" s="160">
        <v>9835</v>
      </c>
    </row>
    <row r="9838" spans="27:31" x14ac:dyDescent="0.25">
      <c r="AA9838" s="160"/>
      <c r="AB9838" s="162"/>
      <c r="AC9838" s="162"/>
      <c r="AD9838" s="162">
        <f t="shared" si="173"/>
        <v>0</v>
      </c>
      <c r="AE9838" s="160">
        <v>9836</v>
      </c>
    </row>
    <row r="9839" spans="27:31" x14ac:dyDescent="0.25">
      <c r="AA9839" s="160"/>
      <c r="AB9839" s="162"/>
      <c r="AC9839" s="162"/>
      <c r="AD9839" s="162">
        <f t="shared" si="173"/>
        <v>0</v>
      </c>
      <c r="AE9839" s="160">
        <v>9837</v>
      </c>
    </row>
    <row r="9840" spans="27:31" x14ac:dyDescent="0.25">
      <c r="AA9840" s="160"/>
      <c r="AB9840" s="162"/>
      <c r="AC9840" s="162"/>
      <c r="AD9840" s="162">
        <f t="shared" si="173"/>
        <v>0</v>
      </c>
      <c r="AE9840" s="160">
        <v>9838</v>
      </c>
    </row>
    <row r="9841" spans="27:31" x14ac:dyDescent="0.25">
      <c r="AA9841" s="160"/>
      <c r="AB9841" s="162"/>
      <c r="AC9841" s="162"/>
      <c r="AD9841" s="162">
        <f t="shared" si="173"/>
        <v>0</v>
      </c>
      <c r="AE9841" s="160">
        <v>9839</v>
      </c>
    </row>
    <row r="9842" spans="27:31" x14ac:dyDescent="0.25">
      <c r="AA9842" s="160"/>
      <c r="AB9842" s="162"/>
      <c r="AC9842" s="162"/>
      <c r="AD9842" s="162">
        <f t="shared" si="173"/>
        <v>0</v>
      </c>
      <c r="AE9842" s="160">
        <v>9840</v>
      </c>
    </row>
    <row r="9843" spans="27:31" x14ac:dyDescent="0.25">
      <c r="AA9843" s="160"/>
      <c r="AB9843" s="162"/>
      <c r="AC9843" s="162"/>
      <c r="AD9843" s="162">
        <f t="shared" si="173"/>
        <v>0</v>
      </c>
      <c r="AE9843" s="160">
        <v>9841</v>
      </c>
    </row>
    <row r="9844" spans="27:31" x14ac:dyDescent="0.25">
      <c r="AA9844" s="160"/>
      <c r="AB9844" s="162"/>
      <c r="AC9844" s="162"/>
      <c r="AD9844" s="162">
        <f t="shared" si="173"/>
        <v>0</v>
      </c>
      <c r="AE9844" s="160">
        <v>9842</v>
      </c>
    </row>
    <row r="9845" spans="27:31" x14ac:dyDescent="0.25">
      <c r="AA9845" s="160"/>
      <c r="AB9845" s="162"/>
      <c r="AC9845" s="162"/>
      <c r="AD9845" s="162">
        <f t="shared" si="173"/>
        <v>0</v>
      </c>
      <c r="AE9845" s="160">
        <v>9843</v>
      </c>
    </row>
    <row r="9846" spans="27:31" x14ac:dyDescent="0.25">
      <c r="AA9846" s="160"/>
      <c r="AB9846" s="162"/>
      <c r="AC9846" s="162"/>
      <c r="AD9846" s="162">
        <f t="shared" si="173"/>
        <v>0</v>
      </c>
      <c r="AE9846" s="160">
        <v>9844</v>
      </c>
    </row>
    <row r="9847" spans="27:31" x14ac:dyDescent="0.25">
      <c r="AA9847" s="160"/>
      <c r="AB9847" s="162"/>
      <c r="AC9847" s="162"/>
      <c r="AD9847" s="162">
        <f t="shared" si="173"/>
        <v>0</v>
      </c>
      <c r="AE9847" s="160">
        <v>9845</v>
      </c>
    </row>
    <row r="9848" spans="27:31" x14ac:dyDescent="0.25">
      <c r="AA9848" s="160"/>
      <c r="AB9848" s="162"/>
      <c r="AC9848" s="162"/>
      <c r="AD9848" s="162">
        <f t="shared" si="173"/>
        <v>0</v>
      </c>
      <c r="AE9848" s="160">
        <v>9846</v>
      </c>
    </row>
    <row r="9849" spans="27:31" x14ac:dyDescent="0.25">
      <c r="AA9849" s="160"/>
      <c r="AB9849" s="162"/>
      <c r="AC9849" s="162"/>
      <c r="AD9849" s="162">
        <f t="shared" si="173"/>
        <v>0</v>
      </c>
      <c r="AE9849" s="160">
        <v>9847</v>
      </c>
    </row>
    <row r="9850" spans="27:31" x14ac:dyDescent="0.25">
      <c r="AA9850" s="160"/>
      <c r="AB9850" s="162"/>
      <c r="AC9850" s="162"/>
      <c r="AD9850" s="162">
        <f t="shared" si="173"/>
        <v>0</v>
      </c>
      <c r="AE9850" s="160">
        <v>9848</v>
      </c>
    </row>
    <row r="9851" spans="27:31" x14ac:dyDescent="0.25">
      <c r="AA9851" s="160"/>
      <c r="AB9851" s="162"/>
      <c r="AC9851" s="162"/>
      <c r="AD9851" s="162">
        <f t="shared" si="173"/>
        <v>0</v>
      </c>
      <c r="AE9851" s="160">
        <v>9849</v>
      </c>
    </row>
    <row r="9852" spans="27:31" x14ac:dyDescent="0.25">
      <c r="AA9852" s="160"/>
      <c r="AB9852" s="162"/>
      <c r="AC9852" s="162"/>
      <c r="AD9852" s="162">
        <f t="shared" si="173"/>
        <v>0</v>
      </c>
      <c r="AE9852" s="160">
        <v>9850</v>
      </c>
    </row>
    <row r="9853" spans="27:31" x14ac:dyDescent="0.25">
      <c r="AA9853" s="160"/>
      <c r="AB9853" s="162"/>
      <c r="AC9853" s="162"/>
      <c r="AD9853" s="162">
        <f t="shared" si="173"/>
        <v>0</v>
      </c>
      <c r="AE9853" s="160">
        <v>9851</v>
      </c>
    </row>
    <row r="9854" spans="27:31" x14ac:dyDescent="0.25">
      <c r="AA9854" s="160"/>
      <c r="AB9854" s="162"/>
      <c r="AC9854" s="162"/>
      <c r="AD9854" s="162">
        <f t="shared" si="173"/>
        <v>0</v>
      </c>
      <c r="AE9854" s="160">
        <v>9852</v>
      </c>
    </row>
    <row r="9855" spans="27:31" x14ac:dyDescent="0.25">
      <c r="AA9855" s="160"/>
      <c r="AB9855" s="162"/>
      <c r="AC9855" s="162"/>
      <c r="AD9855" s="162">
        <f t="shared" si="173"/>
        <v>0</v>
      </c>
      <c r="AE9855" s="160">
        <v>9853</v>
      </c>
    </row>
    <row r="9856" spans="27:31" x14ac:dyDescent="0.25">
      <c r="AA9856" s="160"/>
      <c r="AB9856" s="162"/>
      <c r="AC9856" s="162"/>
      <c r="AD9856" s="162">
        <f t="shared" si="173"/>
        <v>0</v>
      </c>
      <c r="AE9856" s="160">
        <v>9854</v>
      </c>
    </row>
    <row r="9857" spans="27:31" x14ac:dyDescent="0.25">
      <c r="AA9857" s="160"/>
      <c r="AB9857" s="162"/>
      <c r="AC9857" s="162"/>
      <c r="AD9857" s="162">
        <f t="shared" si="173"/>
        <v>0</v>
      </c>
      <c r="AE9857" s="160">
        <v>9855</v>
      </c>
    </row>
    <row r="9858" spans="27:31" x14ac:dyDescent="0.25">
      <c r="AA9858" s="160"/>
      <c r="AB9858" s="162"/>
      <c r="AC9858" s="162"/>
      <c r="AD9858" s="162">
        <f t="shared" si="173"/>
        <v>0</v>
      </c>
      <c r="AE9858" s="160">
        <v>9856</v>
      </c>
    </row>
    <row r="9859" spans="27:31" x14ac:dyDescent="0.25">
      <c r="AA9859" s="160"/>
      <c r="AB9859" s="162"/>
      <c r="AC9859" s="162"/>
      <c r="AD9859" s="162">
        <f t="shared" si="173"/>
        <v>0</v>
      </c>
      <c r="AE9859" s="160">
        <v>9857</v>
      </c>
    </row>
    <row r="9860" spans="27:31" x14ac:dyDescent="0.25">
      <c r="AA9860" s="160"/>
      <c r="AB9860" s="162"/>
      <c r="AC9860" s="162"/>
      <c r="AD9860" s="162">
        <f t="shared" ref="AD9860:AD9923" si="174">AB9860+AC9860</f>
        <v>0</v>
      </c>
      <c r="AE9860" s="160">
        <v>9858</v>
      </c>
    </row>
    <row r="9861" spans="27:31" x14ac:dyDescent="0.25">
      <c r="AA9861" s="160"/>
      <c r="AB9861" s="162"/>
      <c r="AC9861" s="162"/>
      <c r="AD9861" s="162">
        <f t="shared" si="174"/>
        <v>0</v>
      </c>
      <c r="AE9861" s="160">
        <v>9859</v>
      </c>
    </row>
    <row r="9862" spans="27:31" x14ac:dyDescent="0.25">
      <c r="AA9862" s="160"/>
      <c r="AB9862" s="162"/>
      <c r="AC9862" s="162"/>
      <c r="AD9862" s="162">
        <f t="shared" si="174"/>
        <v>0</v>
      </c>
      <c r="AE9862" s="160">
        <v>9860</v>
      </c>
    </row>
    <row r="9863" spans="27:31" x14ac:dyDescent="0.25">
      <c r="AA9863" s="160"/>
      <c r="AB9863" s="162"/>
      <c r="AC9863" s="162"/>
      <c r="AD9863" s="162">
        <f t="shared" si="174"/>
        <v>0</v>
      </c>
      <c r="AE9863" s="160">
        <v>9861</v>
      </c>
    </row>
    <row r="9864" spans="27:31" x14ac:dyDescent="0.25">
      <c r="AA9864" s="160"/>
      <c r="AB9864" s="162"/>
      <c r="AC9864" s="162"/>
      <c r="AD9864" s="162">
        <f t="shared" si="174"/>
        <v>0</v>
      </c>
      <c r="AE9864" s="160">
        <v>9862</v>
      </c>
    </row>
    <row r="9865" spans="27:31" x14ac:dyDescent="0.25">
      <c r="AA9865" s="160"/>
      <c r="AB9865" s="162"/>
      <c r="AC9865" s="162"/>
      <c r="AD9865" s="162">
        <f t="shared" si="174"/>
        <v>0</v>
      </c>
      <c r="AE9865" s="160">
        <v>9863</v>
      </c>
    </row>
    <row r="9866" spans="27:31" x14ac:dyDescent="0.25">
      <c r="AA9866" s="160"/>
      <c r="AB9866" s="162"/>
      <c r="AC9866" s="162"/>
      <c r="AD9866" s="162">
        <f t="shared" si="174"/>
        <v>0</v>
      </c>
      <c r="AE9866" s="160">
        <v>9864</v>
      </c>
    </row>
    <row r="9867" spans="27:31" x14ac:dyDescent="0.25">
      <c r="AA9867" s="160"/>
      <c r="AB9867" s="162"/>
      <c r="AC9867" s="162"/>
      <c r="AD9867" s="162">
        <f t="shared" si="174"/>
        <v>0</v>
      </c>
      <c r="AE9867" s="160">
        <v>9865</v>
      </c>
    </row>
    <row r="9868" spans="27:31" x14ac:dyDescent="0.25">
      <c r="AA9868" s="160"/>
      <c r="AB9868" s="162"/>
      <c r="AC9868" s="162"/>
      <c r="AD9868" s="162">
        <f t="shared" si="174"/>
        <v>0</v>
      </c>
      <c r="AE9868" s="160">
        <v>9866</v>
      </c>
    </row>
    <row r="9869" spans="27:31" x14ac:dyDescent="0.25">
      <c r="AA9869" s="160"/>
      <c r="AB9869" s="162"/>
      <c r="AC9869" s="162"/>
      <c r="AD9869" s="162">
        <f t="shared" si="174"/>
        <v>0</v>
      </c>
      <c r="AE9869" s="160">
        <v>9867</v>
      </c>
    </row>
    <row r="9870" spans="27:31" x14ac:dyDescent="0.25">
      <c r="AA9870" s="160"/>
      <c r="AB9870" s="162"/>
      <c r="AC9870" s="162"/>
      <c r="AD9870" s="162">
        <f t="shared" si="174"/>
        <v>0</v>
      </c>
      <c r="AE9870" s="160">
        <v>9868</v>
      </c>
    </row>
    <row r="9871" spans="27:31" x14ac:dyDescent="0.25">
      <c r="AA9871" s="160"/>
      <c r="AB9871" s="162"/>
      <c r="AC9871" s="162"/>
      <c r="AD9871" s="162">
        <f t="shared" si="174"/>
        <v>0</v>
      </c>
      <c r="AE9871" s="160">
        <v>9869</v>
      </c>
    </row>
    <row r="9872" spans="27:31" x14ac:dyDescent="0.25">
      <c r="AA9872" s="160"/>
      <c r="AB9872" s="162"/>
      <c r="AC9872" s="162"/>
      <c r="AD9872" s="162">
        <f t="shared" si="174"/>
        <v>0</v>
      </c>
      <c r="AE9872" s="160">
        <v>9870</v>
      </c>
    </row>
    <row r="9873" spans="27:31" x14ac:dyDescent="0.25">
      <c r="AA9873" s="160"/>
      <c r="AB9873" s="162"/>
      <c r="AC9873" s="162"/>
      <c r="AD9873" s="162">
        <f t="shared" si="174"/>
        <v>0</v>
      </c>
      <c r="AE9873" s="160">
        <v>9871</v>
      </c>
    </row>
    <row r="9874" spans="27:31" x14ac:dyDescent="0.25">
      <c r="AA9874" s="160"/>
      <c r="AB9874" s="162"/>
      <c r="AC9874" s="162"/>
      <c r="AD9874" s="162">
        <f t="shared" si="174"/>
        <v>0</v>
      </c>
      <c r="AE9874" s="160">
        <v>9872</v>
      </c>
    </row>
    <row r="9875" spans="27:31" x14ac:dyDescent="0.25">
      <c r="AA9875" s="160"/>
      <c r="AB9875" s="162"/>
      <c r="AC9875" s="162"/>
      <c r="AD9875" s="162">
        <f t="shared" si="174"/>
        <v>0</v>
      </c>
      <c r="AE9875" s="160">
        <v>9873</v>
      </c>
    </row>
    <row r="9876" spans="27:31" x14ac:dyDescent="0.25">
      <c r="AA9876" s="160"/>
      <c r="AB9876" s="162"/>
      <c r="AC9876" s="162"/>
      <c r="AD9876" s="162">
        <f t="shared" si="174"/>
        <v>0</v>
      </c>
      <c r="AE9876" s="160">
        <v>9874</v>
      </c>
    </row>
    <row r="9877" spans="27:31" x14ac:dyDescent="0.25">
      <c r="AA9877" s="160"/>
      <c r="AB9877" s="162"/>
      <c r="AC9877" s="162"/>
      <c r="AD9877" s="162">
        <f t="shared" si="174"/>
        <v>0</v>
      </c>
      <c r="AE9877" s="160">
        <v>9875</v>
      </c>
    </row>
    <row r="9878" spans="27:31" x14ac:dyDescent="0.25">
      <c r="AA9878" s="160"/>
      <c r="AB9878" s="162"/>
      <c r="AC9878" s="162"/>
      <c r="AD9878" s="162">
        <f t="shared" si="174"/>
        <v>0</v>
      </c>
      <c r="AE9878" s="160">
        <v>9876</v>
      </c>
    </row>
    <row r="9879" spans="27:31" x14ac:dyDescent="0.25">
      <c r="AA9879" s="160"/>
      <c r="AB9879" s="162"/>
      <c r="AC9879" s="162"/>
      <c r="AD9879" s="162">
        <f t="shared" si="174"/>
        <v>0</v>
      </c>
      <c r="AE9879" s="160">
        <v>9877</v>
      </c>
    </row>
    <row r="9880" spans="27:31" x14ac:dyDescent="0.25">
      <c r="AA9880" s="160"/>
      <c r="AB9880" s="162"/>
      <c r="AC9880" s="162"/>
      <c r="AD9880" s="162">
        <f t="shared" si="174"/>
        <v>0</v>
      </c>
      <c r="AE9880" s="160">
        <v>9878</v>
      </c>
    </row>
    <row r="9881" spans="27:31" x14ac:dyDescent="0.25">
      <c r="AA9881" s="160"/>
      <c r="AB9881" s="162"/>
      <c r="AC9881" s="162"/>
      <c r="AD9881" s="162">
        <f t="shared" si="174"/>
        <v>0</v>
      </c>
      <c r="AE9881" s="160">
        <v>9879</v>
      </c>
    </row>
    <row r="9882" spans="27:31" x14ac:dyDescent="0.25">
      <c r="AA9882" s="160"/>
      <c r="AB9882" s="162"/>
      <c r="AC9882" s="162"/>
      <c r="AD9882" s="162">
        <f t="shared" si="174"/>
        <v>0</v>
      </c>
      <c r="AE9882" s="160">
        <v>9880</v>
      </c>
    </row>
    <row r="9883" spans="27:31" x14ac:dyDescent="0.25">
      <c r="AA9883" s="160"/>
      <c r="AB9883" s="162"/>
      <c r="AC9883" s="162"/>
      <c r="AD9883" s="162">
        <f t="shared" si="174"/>
        <v>0</v>
      </c>
      <c r="AE9883" s="160">
        <v>9881</v>
      </c>
    </row>
    <row r="9884" spans="27:31" x14ac:dyDescent="0.25">
      <c r="AA9884" s="160"/>
      <c r="AB9884" s="162"/>
      <c r="AC9884" s="162"/>
      <c r="AD9884" s="162">
        <f t="shared" si="174"/>
        <v>0</v>
      </c>
      <c r="AE9884" s="160">
        <v>9882</v>
      </c>
    </row>
    <row r="9885" spans="27:31" x14ac:dyDescent="0.25">
      <c r="AA9885" s="160"/>
      <c r="AB9885" s="162"/>
      <c r="AC9885" s="162"/>
      <c r="AD9885" s="162">
        <f t="shared" si="174"/>
        <v>0</v>
      </c>
      <c r="AE9885" s="160">
        <v>9883</v>
      </c>
    </row>
    <row r="9886" spans="27:31" x14ac:dyDescent="0.25">
      <c r="AA9886" s="160"/>
      <c r="AB9886" s="162"/>
      <c r="AC9886" s="162"/>
      <c r="AD9886" s="162">
        <f t="shared" si="174"/>
        <v>0</v>
      </c>
      <c r="AE9886" s="160">
        <v>9884</v>
      </c>
    </row>
    <row r="9887" spans="27:31" x14ac:dyDescent="0.25">
      <c r="AA9887" s="160"/>
      <c r="AB9887" s="162"/>
      <c r="AC9887" s="162"/>
      <c r="AD9887" s="162">
        <f t="shared" si="174"/>
        <v>0</v>
      </c>
      <c r="AE9887" s="160">
        <v>9885</v>
      </c>
    </row>
    <row r="9888" spans="27:31" x14ac:dyDescent="0.25">
      <c r="AA9888" s="160"/>
      <c r="AB9888" s="162"/>
      <c r="AC9888" s="162"/>
      <c r="AD9888" s="162">
        <f t="shared" si="174"/>
        <v>0</v>
      </c>
      <c r="AE9888" s="160">
        <v>9886</v>
      </c>
    </row>
    <row r="9889" spans="27:31" x14ac:dyDescent="0.25">
      <c r="AA9889" s="160"/>
      <c r="AB9889" s="162"/>
      <c r="AC9889" s="162"/>
      <c r="AD9889" s="162">
        <f t="shared" si="174"/>
        <v>0</v>
      </c>
      <c r="AE9889" s="160">
        <v>9887</v>
      </c>
    </row>
    <row r="9890" spans="27:31" x14ac:dyDescent="0.25">
      <c r="AA9890" s="160"/>
      <c r="AB9890" s="162"/>
      <c r="AC9890" s="162"/>
      <c r="AD9890" s="162">
        <f t="shared" si="174"/>
        <v>0</v>
      </c>
      <c r="AE9890" s="160">
        <v>9888</v>
      </c>
    </row>
    <row r="9891" spans="27:31" x14ac:dyDescent="0.25">
      <c r="AA9891" s="160"/>
      <c r="AB9891" s="162"/>
      <c r="AC9891" s="162"/>
      <c r="AD9891" s="162">
        <f t="shared" si="174"/>
        <v>0</v>
      </c>
      <c r="AE9891" s="160">
        <v>9889</v>
      </c>
    </row>
    <row r="9892" spans="27:31" x14ac:dyDescent="0.25">
      <c r="AA9892" s="160"/>
      <c r="AB9892" s="162"/>
      <c r="AC9892" s="162"/>
      <c r="AD9892" s="162">
        <f t="shared" si="174"/>
        <v>0</v>
      </c>
      <c r="AE9892" s="160">
        <v>9890</v>
      </c>
    </row>
    <row r="9893" spans="27:31" x14ac:dyDescent="0.25">
      <c r="AA9893" s="160"/>
      <c r="AB9893" s="162"/>
      <c r="AC9893" s="162"/>
      <c r="AD9893" s="162">
        <f t="shared" si="174"/>
        <v>0</v>
      </c>
      <c r="AE9893" s="160">
        <v>9891</v>
      </c>
    </row>
    <row r="9894" spans="27:31" x14ac:dyDescent="0.25">
      <c r="AA9894" s="160"/>
      <c r="AB9894" s="162"/>
      <c r="AC9894" s="162"/>
      <c r="AD9894" s="162">
        <f t="shared" si="174"/>
        <v>0</v>
      </c>
      <c r="AE9894" s="160">
        <v>9892</v>
      </c>
    </row>
    <row r="9895" spans="27:31" x14ac:dyDescent="0.25">
      <c r="AA9895" s="160"/>
      <c r="AB9895" s="162"/>
      <c r="AC9895" s="162"/>
      <c r="AD9895" s="162">
        <f t="shared" si="174"/>
        <v>0</v>
      </c>
      <c r="AE9895" s="160">
        <v>9893</v>
      </c>
    </row>
    <row r="9896" spans="27:31" x14ac:dyDescent="0.25">
      <c r="AA9896" s="160"/>
      <c r="AB9896" s="162"/>
      <c r="AC9896" s="162"/>
      <c r="AD9896" s="162">
        <f t="shared" si="174"/>
        <v>0</v>
      </c>
      <c r="AE9896" s="160">
        <v>9894</v>
      </c>
    </row>
    <row r="9897" spans="27:31" x14ac:dyDescent="0.25">
      <c r="AA9897" s="160"/>
      <c r="AB9897" s="162"/>
      <c r="AC9897" s="162"/>
      <c r="AD9897" s="162">
        <f t="shared" si="174"/>
        <v>0</v>
      </c>
      <c r="AE9897" s="160">
        <v>9895</v>
      </c>
    </row>
    <row r="9898" spans="27:31" x14ac:dyDescent="0.25">
      <c r="AA9898" s="160"/>
      <c r="AB9898" s="162"/>
      <c r="AC9898" s="162"/>
      <c r="AD9898" s="162">
        <f t="shared" si="174"/>
        <v>0</v>
      </c>
      <c r="AE9898" s="160">
        <v>9896</v>
      </c>
    </row>
    <row r="9899" spans="27:31" x14ac:dyDescent="0.25">
      <c r="AA9899" s="160"/>
      <c r="AB9899" s="162"/>
      <c r="AC9899" s="162"/>
      <c r="AD9899" s="162">
        <f t="shared" si="174"/>
        <v>0</v>
      </c>
      <c r="AE9899" s="160">
        <v>9897</v>
      </c>
    </row>
    <row r="9900" spans="27:31" x14ac:dyDescent="0.25">
      <c r="AA9900" s="160"/>
      <c r="AB9900" s="162"/>
      <c r="AC9900" s="162"/>
      <c r="AD9900" s="162">
        <f t="shared" si="174"/>
        <v>0</v>
      </c>
      <c r="AE9900" s="160">
        <v>9898</v>
      </c>
    </row>
    <row r="9901" spans="27:31" x14ac:dyDescent="0.25">
      <c r="AA9901" s="160"/>
      <c r="AB9901" s="162"/>
      <c r="AC9901" s="162"/>
      <c r="AD9901" s="162">
        <f t="shared" si="174"/>
        <v>0</v>
      </c>
      <c r="AE9901" s="160">
        <v>9899</v>
      </c>
    </row>
    <row r="9902" spans="27:31" x14ac:dyDescent="0.25">
      <c r="AA9902" s="160"/>
      <c r="AB9902" s="162"/>
      <c r="AC9902" s="162"/>
      <c r="AD9902" s="162">
        <f t="shared" si="174"/>
        <v>0</v>
      </c>
      <c r="AE9902" s="160">
        <v>9900</v>
      </c>
    </row>
    <row r="9903" spans="27:31" x14ac:dyDescent="0.25">
      <c r="AA9903" s="160"/>
      <c r="AB9903" s="162"/>
      <c r="AC9903" s="162"/>
      <c r="AD9903" s="162">
        <f t="shared" si="174"/>
        <v>0</v>
      </c>
      <c r="AE9903" s="160">
        <v>9901</v>
      </c>
    </row>
    <row r="9904" spans="27:31" x14ac:dyDescent="0.25">
      <c r="AA9904" s="160"/>
      <c r="AB9904" s="162"/>
      <c r="AC9904" s="162"/>
      <c r="AD9904" s="162">
        <f t="shared" si="174"/>
        <v>0</v>
      </c>
      <c r="AE9904" s="160">
        <v>9902</v>
      </c>
    </row>
    <row r="9905" spans="27:31" x14ac:dyDescent="0.25">
      <c r="AA9905" s="160"/>
      <c r="AB9905" s="162"/>
      <c r="AC9905" s="162"/>
      <c r="AD9905" s="162">
        <f t="shared" si="174"/>
        <v>0</v>
      </c>
      <c r="AE9905" s="160">
        <v>9903</v>
      </c>
    </row>
    <row r="9906" spans="27:31" x14ac:dyDescent="0.25">
      <c r="AA9906" s="160"/>
      <c r="AB9906" s="162"/>
      <c r="AC9906" s="162"/>
      <c r="AD9906" s="162">
        <f t="shared" si="174"/>
        <v>0</v>
      </c>
      <c r="AE9906" s="160">
        <v>9904</v>
      </c>
    </row>
    <row r="9907" spans="27:31" x14ac:dyDescent="0.25">
      <c r="AA9907" s="160"/>
      <c r="AB9907" s="162"/>
      <c r="AC9907" s="162"/>
      <c r="AD9907" s="162">
        <f t="shared" si="174"/>
        <v>0</v>
      </c>
      <c r="AE9907" s="160">
        <v>9905</v>
      </c>
    </row>
    <row r="9908" spans="27:31" x14ac:dyDescent="0.25">
      <c r="AA9908" s="160"/>
      <c r="AB9908" s="162"/>
      <c r="AC9908" s="162"/>
      <c r="AD9908" s="162">
        <f t="shared" si="174"/>
        <v>0</v>
      </c>
      <c r="AE9908" s="160">
        <v>9906</v>
      </c>
    </row>
    <row r="9909" spans="27:31" x14ac:dyDescent="0.25">
      <c r="AA9909" s="160"/>
      <c r="AB9909" s="162"/>
      <c r="AC9909" s="162"/>
      <c r="AD9909" s="162">
        <f t="shared" si="174"/>
        <v>0</v>
      </c>
      <c r="AE9909" s="160">
        <v>9907</v>
      </c>
    </row>
    <row r="9910" spans="27:31" x14ac:dyDescent="0.25">
      <c r="AA9910" s="160"/>
      <c r="AB9910" s="162"/>
      <c r="AC9910" s="162"/>
      <c r="AD9910" s="162">
        <f t="shared" si="174"/>
        <v>0</v>
      </c>
      <c r="AE9910" s="160">
        <v>9908</v>
      </c>
    </row>
    <row r="9911" spans="27:31" x14ac:dyDescent="0.25">
      <c r="AA9911" s="160"/>
      <c r="AB9911" s="162"/>
      <c r="AC9911" s="162"/>
      <c r="AD9911" s="162">
        <f t="shared" si="174"/>
        <v>0</v>
      </c>
      <c r="AE9911" s="160">
        <v>9909</v>
      </c>
    </row>
    <row r="9912" spans="27:31" x14ac:dyDescent="0.25">
      <c r="AA9912" s="160"/>
      <c r="AB9912" s="162"/>
      <c r="AC9912" s="162"/>
      <c r="AD9912" s="162">
        <f t="shared" si="174"/>
        <v>0</v>
      </c>
      <c r="AE9912" s="160">
        <v>9910</v>
      </c>
    </row>
    <row r="9913" spans="27:31" x14ac:dyDescent="0.25">
      <c r="AA9913" s="160"/>
      <c r="AB9913" s="162"/>
      <c r="AC9913" s="162"/>
      <c r="AD9913" s="162">
        <f t="shared" si="174"/>
        <v>0</v>
      </c>
      <c r="AE9913" s="160">
        <v>9911</v>
      </c>
    </row>
    <row r="9914" spans="27:31" x14ac:dyDescent="0.25">
      <c r="AA9914" s="160"/>
      <c r="AB9914" s="162"/>
      <c r="AC9914" s="162"/>
      <c r="AD9914" s="162">
        <f t="shared" si="174"/>
        <v>0</v>
      </c>
      <c r="AE9914" s="160">
        <v>9912</v>
      </c>
    </row>
    <row r="9915" spans="27:31" x14ac:dyDescent="0.25">
      <c r="AA9915" s="160"/>
      <c r="AB9915" s="162"/>
      <c r="AC9915" s="162"/>
      <c r="AD9915" s="162">
        <f t="shared" si="174"/>
        <v>0</v>
      </c>
      <c r="AE9915" s="160">
        <v>9913</v>
      </c>
    </row>
    <row r="9916" spans="27:31" x14ac:dyDescent="0.25">
      <c r="AA9916" s="160"/>
      <c r="AB9916" s="162"/>
      <c r="AC9916" s="162"/>
      <c r="AD9916" s="162">
        <f t="shared" si="174"/>
        <v>0</v>
      </c>
      <c r="AE9916" s="160">
        <v>9914</v>
      </c>
    </row>
    <row r="9917" spans="27:31" x14ac:dyDescent="0.25">
      <c r="AA9917" s="160"/>
      <c r="AB9917" s="162"/>
      <c r="AC9917" s="162"/>
      <c r="AD9917" s="162">
        <f t="shared" si="174"/>
        <v>0</v>
      </c>
      <c r="AE9917" s="160">
        <v>9915</v>
      </c>
    </row>
    <row r="9918" spans="27:31" x14ac:dyDescent="0.25">
      <c r="AA9918" s="160"/>
      <c r="AB9918" s="162"/>
      <c r="AC9918" s="162"/>
      <c r="AD9918" s="162">
        <f t="shared" si="174"/>
        <v>0</v>
      </c>
      <c r="AE9918" s="160">
        <v>9916</v>
      </c>
    </row>
    <row r="9919" spans="27:31" x14ac:dyDescent="0.25">
      <c r="AA9919" s="160"/>
      <c r="AB9919" s="162"/>
      <c r="AC9919" s="162"/>
      <c r="AD9919" s="162">
        <f t="shared" si="174"/>
        <v>0</v>
      </c>
      <c r="AE9919" s="160">
        <v>9917</v>
      </c>
    </row>
    <row r="9920" spans="27:31" x14ac:dyDescent="0.25">
      <c r="AA9920" s="160"/>
      <c r="AB9920" s="162"/>
      <c r="AC9920" s="162"/>
      <c r="AD9920" s="162">
        <f t="shared" si="174"/>
        <v>0</v>
      </c>
      <c r="AE9920" s="160">
        <v>9918</v>
      </c>
    </row>
    <row r="9921" spans="27:31" x14ac:dyDescent="0.25">
      <c r="AA9921" s="160"/>
      <c r="AB9921" s="162"/>
      <c r="AC9921" s="162"/>
      <c r="AD9921" s="162">
        <f t="shared" si="174"/>
        <v>0</v>
      </c>
      <c r="AE9921" s="160">
        <v>9919</v>
      </c>
    </row>
    <row r="9922" spans="27:31" x14ac:dyDescent="0.25">
      <c r="AA9922" s="160"/>
      <c r="AB9922" s="162"/>
      <c r="AC9922" s="162"/>
      <c r="AD9922" s="162">
        <f t="shared" si="174"/>
        <v>0</v>
      </c>
      <c r="AE9922" s="160">
        <v>9920</v>
      </c>
    </row>
    <row r="9923" spans="27:31" x14ac:dyDescent="0.25">
      <c r="AA9923" s="160"/>
      <c r="AB9923" s="162"/>
      <c r="AC9923" s="162"/>
      <c r="AD9923" s="162">
        <f t="shared" si="174"/>
        <v>0</v>
      </c>
      <c r="AE9923" s="160">
        <v>9921</v>
      </c>
    </row>
    <row r="9924" spans="27:31" x14ac:dyDescent="0.25">
      <c r="AA9924" s="160"/>
      <c r="AB9924" s="162"/>
      <c r="AC9924" s="162"/>
      <c r="AD9924" s="162">
        <f t="shared" ref="AD9924:AD9987" si="175">AB9924+AC9924</f>
        <v>0</v>
      </c>
      <c r="AE9924" s="160">
        <v>9922</v>
      </c>
    </row>
    <row r="9925" spans="27:31" x14ac:dyDescent="0.25">
      <c r="AA9925" s="160"/>
      <c r="AB9925" s="162"/>
      <c r="AC9925" s="162"/>
      <c r="AD9925" s="162">
        <f t="shared" si="175"/>
        <v>0</v>
      </c>
      <c r="AE9925" s="160">
        <v>9923</v>
      </c>
    </row>
    <row r="9926" spans="27:31" x14ac:dyDescent="0.25">
      <c r="AA9926" s="160"/>
      <c r="AB9926" s="162"/>
      <c r="AC9926" s="162"/>
      <c r="AD9926" s="162">
        <f t="shared" si="175"/>
        <v>0</v>
      </c>
      <c r="AE9926" s="160">
        <v>9924</v>
      </c>
    </row>
    <row r="9927" spans="27:31" x14ac:dyDescent="0.25">
      <c r="AA9927" s="160"/>
      <c r="AB9927" s="162"/>
      <c r="AC9927" s="162"/>
      <c r="AD9927" s="162">
        <f t="shared" si="175"/>
        <v>0</v>
      </c>
      <c r="AE9927" s="160">
        <v>9925</v>
      </c>
    </row>
    <row r="9928" spans="27:31" x14ac:dyDescent="0.25">
      <c r="AA9928" s="160"/>
      <c r="AB9928" s="162"/>
      <c r="AC9928" s="162"/>
      <c r="AD9928" s="162">
        <f t="shared" si="175"/>
        <v>0</v>
      </c>
      <c r="AE9928" s="160">
        <v>9926</v>
      </c>
    </row>
    <row r="9929" spans="27:31" x14ac:dyDescent="0.25">
      <c r="AA9929" s="160"/>
      <c r="AB9929" s="162"/>
      <c r="AC9929" s="162"/>
      <c r="AD9929" s="162">
        <f t="shared" si="175"/>
        <v>0</v>
      </c>
      <c r="AE9929" s="160">
        <v>9927</v>
      </c>
    </row>
    <row r="9930" spans="27:31" x14ac:dyDescent="0.25">
      <c r="AA9930" s="160"/>
      <c r="AB9930" s="162"/>
      <c r="AC9930" s="162"/>
      <c r="AD9930" s="162">
        <f t="shared" si="175"/>
        <v>0</v>
      </c>
      <c r="AE9930" s="160">
        <v>9928</v>
      </c>
    </row>
    <row r="9931" spans="27:31" x14ac:dyDescent="0.25">
      <c r="AA9931" s="160"/>
      <c r="AB9931" s="162"/>
      <c r="AC9931" s="162"/>
      <c r="AD9931" s="162">
        <f t="shared" si="175"/>
        <v>0</v>
      </c>
      <c r="AE9931" s="160">
        <v>9929</v>
      </c>
    </row>
    <row r="9932" spans="27:31" x14ac:dyDescent="0.25">
      <c r="AA9932" s="160"/>
      <c r="AB9932" s="162"/>
      <c r="AC9932" s="162"/>
      <c r="AD9932" s="162">
        <f t="shared" si="175"/>
        <v>0</v>
      </c>
      <c r="AE9932" s="160">
        <v>9930</v>
      </c>
    </row>
    <row r="9933" spans="27:31" x14ac:dyDescent="0.25">
      <c r="AA9933" s="160"/>
      <c r="AB9933" s="162"/>
      <c r="AC9933" s="162"/>
      <c r="AD9933" s="162">
        <f t="shared" si="175"/>
        <v>0</v>
      </c>
      <c r="AE9933" s="160">
        <v>9931</v>
      </c>
    </row>
    <row r="9934" spans="27:31" x14ac:dyDescent="0.25">
      <c r="AA9934" s="160"/>
      <c r="AB9934" s="162"/>
      <c r="AC9934" s="162"/>
      <c r="AD9934" s="162">
        <f t="shared" si="175"/>
        <v>0</v>
      </c>
      <c r="AE9934" s="160">
        <v>9932</v>
      </c>
    </row>
    <row r="9935" spans="27:31" x14ac:dyDescent="0.25">
      <c r="AA9935" s="160"/>
      <c r="AB9935" s="162"/>
      <c r="AC9935" s="162"/>
      <c r="AD9935" s="162">
        <f t="shared" si="175"/>
        <v>0</v>
      </c>
      <c r="AE9935" s="160">
        <v>9933</v>
      </c>
    </row>
    <row r="9936" spans="27:31" x14ac:dyDescent="0.25">
      <c r="AA9936" s="160"/>
      <c r="AB9936" s="162"/>
      <c r="AC9936" s="162"/>
      <c r="AD9936" s="162">
        <f t="shared" si="175"/>
        <v>0</v>
      </c>
      <c r="AE9936" s="160">
        <v>9934</v>
      </c>
    </row>
    <row r="9937" spans="27:31" x14ac:dyDescent="0.25">
      <c r="AA9937" s="160"/>
      <c r="AB9937" s="162"/>
      <c r="AC9937" s="162"/>
      <c r="AD9937" s="162">
        <f t="shared" si="175"/>
        <v>0</v>
      </c>
      <c r="AE9937" s="160">
        <v>9935</v>
      </c>
    </row>
    <row r="9938" spans="27:31" x14ac:dyDescent="0.25">
      <c r="AA9938" s="160"/>
      <c r="AB9938" s="162"/>
      <c r="AC9938" s="162"/>
      <c r="AD9938" s="162">
        <f t="shared" si="175"/>
        <v>0</v>
      </c>
      <c r="AE9938" s="160">
        <v>9936</v>
      </c>
    </row>
    <row r="9939" spans="27:31" x14ac:dyDescent="0.25">
      <c r="AA9939" s="160"/>
      <c r="AB9939" s="162"/>
      <c r="AC9939" s="162"/>
      <c r="AD9939" s="162">
        <f t="shared" si="175"/>
        <v>0</v>
      </c>
      <c r="AE9939" s="160">
        <v>9937</v>
      </c>
    </row>
    <row r="9940" spans="27:31" x14ac:dyDescent="0.25">
      <c r="AA9940" s="160"/>
      <c r="AB9940" s="162"/>
      <c r="AC9940" s="162"/>
      <c r="AD9940" s="162">
        <f t="shared" si="175"/>
        <v>0</v>
      </c>
      <c r="AE9940" s="160">
        <v>9938</v>
      </c>
    </row>
    <row r="9941" spans="27:31" x14ac:dyDescent="0.25">
      <c r="AA9941" s="160"/>
      <c r="AB9941" s="162"/>
      <c r="AC9941" s="162"/>
      <c r="AD9941" s="162">
        <f t="shared" si="175"/>
        <v>0</v>
      </c>
      <c r="AE9941" s="160">
        <v>9939</v>
      </c>
    </row>
    <row r="9942" spans="27:31" x14ac:dyDescent="0.25">
      <c r="AA9942" s="160"/>
      <c r="AB9942" s="162"/>
      <c r="AC9942" s="162"/>
      <c r="AD9942" s="162">
        <f t="shared" si="175"/>
        <v>0</v>
      </c>
      <c r="AE9942" s="160">
        <v>9940</v>
      </c>
    </row>
    <row r="9943" spans="27:31" x14ac:dyDescent="0.25">
      <c r="AA9943" s="160"/>
      <c r="AB9943" s="162"/>
      <c r="AC9943" s="162"/>
      <c r="AD9943" s="162">
        <f t="shared" si="175"/>
        <v>0</v>
      </c>
      <c r="AE9943" s="160">
        <v>9941</v>
      </c>
    </row>
    <row r="9944" spans="27:31" x14ac:dyDescent="0.25">
      <c r="AA9944" s="160"/>
      <c r="AB9944" s="162"/>
      <c r="AC9944" s="162"/>
      <c r="AD9944" s="162">
        <f t="shared" si="175"/>
        <v>0</v>
      </c>
      <c r="AE9944" s="160">
        <v>9942</v>
      </c>
    </row>
    <row r="9945" spans="27:31" x14ac:dyDescent="0.25">
      <c r="AA9945" s="160"/>
      <c r="AB9945" s="162"/>
      <c r="AC9945" s="162"/>
      <c r="AD9945" s="162">
        <f t="shared" si="175"/>
        <v>0</v>
      </c>
      <c r="AE9945" s="160">
        <v>9943</v>
      </c>
    </row>
    <row r="9946" spans="27:31" x14ac:dyDescent="0.25">
      <c r="AA9946" s="160"/>
      <c r="AB9946" s="162"/>
      <c r="AC9946" s="162"/>
      <c r="AD9946" s="162">
        <f t="shared" si="175"/>
        <v>0</v>
      </c>
      <c r="AE9946" s="160">
        <v>9944</v>
      </c>
    </row>
    <row r="9947" spans="27:31" x14ac:dyDescent="0.25">
      <c r="AA9947" s="160"/>
      <c r="AB9947" s="162"/>
      <c r="AC9947" s="162"/>
      <c r="AD9947" s="162">
        <f t="shared" si="175"/>
        <v>0</v>
      </c>
      <c r="AE9947" s="160">
        <v>9945</v>
      </c>
    </row>
    <row r="9948" spans="27:31" x14ac:dyDescent="0.25">
      <c r="AA9948" s="160"/>
      <c r="AB9948" s="162"/>
      <c r="AC9948" s="162"/>
      <c r="AD9948" s="162">
        <f t="shared" si="175"/>
        <v>0</v>
      </c>
      <c r="AE9948" s="160">
        <v>9946</v>
      </c>
    </row>
    <row r="9949" spans="27:31" x14ac:dyDescent="0.25">
      <c r="AA9949" s="160"/>
      <c r="AB9949" s="162"/>
      <c r="AC9949" s="162"/>
      <c r="AD9949" s="162">
        <f t="shared" si="175"/>
        <v>0</v>
      </c>
      <c r="AE9949" s="160">
        <v>9947</v>
      </c>
    </row>
    <row r="9950" spans="27:31" x14ac:dyDescent="0.25">
      <c r="AA9950" s="160"/>
      <c r="AB9950" s="162"/>
      <c r="AC9950" s="162"/>
      <c r="AD9950" s="162">
        <f t="shared" si="175"/>
        <v>0</v>
      </c>
      <c r="AE9950" s="160">
        <v>9948</v>
      </c>
    </row>
    <row r="9951" spans="27:31" x14ac:dyDescent="0.25">
      <c r="AA9951" s="160"/>
      <c r="AB9951" s="162"/>
      <c r="AC9951" s="162"/>
      <c r="AD9951" s="162">
        <f t="shared" si="175"/>
        <v>0</v>
      </c>
      <c r="AE9951" s="160">
        <v>9949</v>
      </c>
    </row>
    <row r="9952" spans="27:31" x14ac:dyDescent="0.25">
      <c r="AA9952" s="160"/>
      <c r="AB9952" s="162"/>
      <c r="AC9952" s="162"/>
      <c r="AD9952" s="162">
        <f t="shared" si="175"/>
        <v>0</v>
      </c>
      <c r="AE9952" s="160">
        <v>9950</v>
      </c>
    </row>
    <row r="9953" spans="27:31" x14ac:dyDescent="0.25">
      <c r="AA9953" s="160"/>
      <c r="AB9953" s="162"/>
      <c r="AC9953" s="162"/>
      <c r="AD9953" s="162">
        <f t="shared" si="175"/>
        <v>0</v>
      </c>
      <c r="AE9953" s="160">
        <v>9951</v>
      </c>
    </row>
    <row r="9954" spans="27:31" x14ac:dyDescent="0.25">
      <c r="AA9954" s="160"/>
      <c r="AB9954" s="162"/>
      <c r="AC9954" s="162"/>
      <c r="AD9954" s="162">
        <f t="shared" si="175"/>
        <v>0</v>
      </c>
      <c r="AE9954" s="160">
        <v>9952</v>
      </c>
    </row>
    <row r="9955" spans="27:31" x14ac:dyDescent="0.25">
      <c r="AA9955" s="160"/>
      <c r="AB9955" s="162"/>
      <c r="AC9955" s="162"/>
      <c r="AD9955" s="162">
        <f t="shared" si="175"/>
        <v>0</v>
      </c>
      <c r="AE9955" s="160">
        <v>9953</v>
      </c>
    </row>
    <row r="9956" spans="27:31" x14ac:dyDescent="0.25">
      <c r="AA9956" s="160"/>
      <c r="AB9956" s="162"/>
      <c r="AC9956" s="162"/>
      <c r="AD9956" s="162">
        <f t="shared" si="175"/>
        <v>0</v>
      </c>
      <c r="AE9956" s="160">
        <v>9954</v>
      </c>
    </row>
    <row r="9957" spans="27:31" x14ac:dyDescent="0.25">
      <c r="AA9957" s="160"/>
      <c r="AB9957" s="162"/>
      <c r="AC9957" s="162"/>
      <c r="AD9957" s="162">
        <f t="shared" si="175"/>
        <v>0</v>
      </c>
      <c r="AE9957" s="160">
        <v>9955</v>
      </c>
    </row>
    <row r="9958" spans="27:31" x14ac:dyDescent="0.25">
      <c r="AA9958" s="160"/>
      <c r="AB9958" s="162"/>
      <c r="AC9958" s="162"/>
      <c r="AD9958" s="162">
        <f t="shared" si="175"/>
        <v>0</v>
      </c>
      <c r="AE9958" s="160">
        <v>9956</v>
      </c>
    </row>
    <row r="9959" spans="27:31" x14ac:dyDescent="0.25">
      <c r="AA9959" s="160"/>
      <c r="AB9959" s="162"/>
      <c r="AC9959" s="162"/>
      <c r="AD9959" s="162">
        <f t="shared" si="175"/>
        <v>0</v>
      </c>
      <c r="AE9959" s="160">
        <v>9957</v>
      </c>
    </row>
    <row r="9960" spans="27:31" x14ac:dyDescent="0.25">
      <c r="AA9960" s="160"/>
      <c r="AB9960" s="162"/>
      <c r="AC9960" s="162"/>
      <c r="AD9960" s="162">
        <f t="shared" si="175"/>
        <v>0</v>
      </c>
      <c r="AE9960" s="160">
        <v>9958</v>
      </c>
    </row>
    <row r="9961" spans="27:31" x14ac:dyDescent="0.25">
      <c r="AA9961" s="160"/>
      <c r="AB9961" s="162"/>
      <c r="AC9961" s="162"/>
      <c r="AD9961" s="162">
        <f t="shared" si="175"/>
        <v>0</v>
      </c>
      <c r="AE9961" s="160">
        <v>9959</v>
      </c>
    </row>
    <row r="9962" spans="27:31" x14ac:dyDescent="0.25">
      <c r="AA9962" s="160"/>
      <c r="AB9962" s="162"/>
      <c r="AC9962" s="162"/>
      <c r="AD9962" s="162">
        <f t="shared" si="175"/>
        <v>0</v>
      </c>
      <c r="AE9962" s="160">
        <v>9960</v>
      </c>
    </row>
    <row r="9963" spans="27:31" x14ac:dyDescent="0.25">
      <c r="AA9963" s="160"/>
      <c r="AB9963" s="162"/>
      <c r="AC9963" s="162"/>
      <c r="AD9963" s="162">
        <f t="shared" si="175"/>
        <v>0</v>
      </c>
      <c r="AE9963" s="160">
        <v>9961</v>
      </c>
    </row>
    <row r="9964" spans="27:31" x14ac:dyDescent="0.25">
      <c r="AA9964" s="160"/>
      <c r="AB9964" s="162"/>
      <c r="AC9964" s="162"/>
      <c r="AD9964" s="162">
        <f t="shared" si="175"/>
        <v>0</v>
      </c>
      <c r="AE9964" s="160">
        <v>9962</v>
      </c>
    </row>
    <row r="9965" spans="27:31" x14ac:dyDescent="0.25">
      <c r="AA9965" s="160"/>
      <c r="AB9965" s="162"/>
      <c r="AC9965" s="162"/>
      <c r="AD9965" s="162">
        <f t="shared" si="175"/>
        <v>0</v>
      </c>
      <c r="AE9965" s="160">
        <v>9963</v>
      </c>
    </row>
    <row r="9966" spans="27:31" x14ac:dyDescent="0.25">
      <c r="AA9966" s="160"/>
      <c r="AB9966" s="162"/>
      <c r="AC9966" s="162"/>
      <c r="AD9966" s="162">
        <f t="shared" si="175"/>
        <v>0</v>
      </c>
      <c r="AE9966" s="160">
        <v>9964</v>
      </c>
    </row>
    <row r="9967" spans="27:31" x14ac:dyDescent="0.25">
      <c r="AA9967" s="160"/>
      <c r="AB9967" s="162"/>
      <c r="AC9967" s="162"/>
      <c r="AD9967" s="162">
        <f t="shared" si="175"/>
        <v>0</v>
      </c>
      <c r="AE9967" s="160">
        <v>9965</v>
      </c>
    </row>
    <row r="9968" spans="27:31" x14ac:dyDescent="0.25">
      <c r="AA9968" s="160"/>
      <c r="AB9968" s="162"/>
      <c r="AC9968" s="162"/>
      <c r="AD9968" s="162">
        <f t="shared" si="175"/>
        <v>0</v>
      </c>
      <c r="AE9968" s="160">
        <v>9966</v>
      </c>
    </row>
    <row r="9969" spans="27:31" x14ac:dyDescent="0.25">
      <c r="AA9969" s="160"/>
      <c r="AB9969" s="162"/>
      <c r="AC9969" s="162"/>
      <c r="AD9969" s="162">
        <f t="shared" si="175"/>
        <v>0</v>
      </c>
      <c r="AE9969" s="160">
        <v>9967</v>
      </c>
    </row>
    <row r="9970" spans="27:31" x14ac:dyDescent="0.25">
      <c r="AA9970" s="160"/>
      <c r="AB9970" s="162"/>
      <c r="AC9970" s="162"/>
      <c r="AD9970" s="162">
        <f t="shared" si="175"/>
        <v>0</v>
      </c>
      <c r="AE9970" s="160">
        <v>9968</v>
      </c>
    </row>
    <row r="9971" spans="27:31" x14ac:dyDescent="0.25">
      <c r="AA9971" s="160"/>
      <c r="AB9971" s="162"/>
      <c r="AC9971" s="162"/>
      <c r="AD9971" s="162">
        <f t="shared" si="175"/>
        <v>0</v>
      </c>
      <c r="AE9971" s="160">
        <v>9969</v>
      </c>
    </row>
    <row r="9972" spans="27:31" x14ac:dyDescent="0.25">
      <c r="AA9972" s="160"/>
      <c r="AB9972" s="162"/>
      <c r="AC9972" s="162"/>
      <c r="AD9972" s="162">
        <f t="shared" si="175"/>
        <v>0</v>
      </c>
      <c r="AE9972" s="160">
        <v>9970</v>
      </c>
    </row>
    <row r="9973" spans="27:31" x14ac:dyDescent="0.25">
      <c r="AA9973" s="160"/>
      <c r="AB9973" s="162"/>
      <c r="AC9973" s="162"/>
      <c r="AD9973" s="162">
        <f t="shared" si="175"/>
        <v>0</v>
      </c>
      <c r="AE9973" s="160">
        <v>9971</v>
      </c>
    </row>
    <row r="9974" spans="27:31" x14ac:dyDescent="0.25">
      <c r="AA9974" s="160"/>
      <c r="AB9974" s="162"/>
      <c r="AC9974" s="162"/>
      <c r="AD9974" s="162">
        <f t="shared" si="175"/>
        <v>0</v>
      </c>
      <c r="AE9974" s="160">
        <v>9972</v>
      </c>
    </row>
    <row r="9975" spans="27:31" x14ac:dyDescent="0.25">
      <c r="AA9975" s="160"/>
      <c r="AB9975" s="162"/>
      <c r="AC9975" s="162"/>
      <c r="AD9975" s="162">
        <f t="shared" si="175"/>
        <v>0</v>
      </c>
      <c r="AE9975" s="160">
        <v>9973</v>
      </c>
    </row>
    <row r="9976" spans="27:31" x14ac:dyDescent="0.25">
      <c r="AA9976" s="160"/>
      <c r="AB9976" s="162"/>
      <c r="AC9976" s="162"/>
      <c r="AD9976" s="162">
        <f t="shared" si="175"/>
        <v>0</v>
      </c>
      <c r="AE9976" s="160">
        <v>9974</v>
      </c>
    </row>
    <row r="9977" spans="27:31" x14ac:dyDescent="0.25">
      <c r="AA9977" s="160"/>
      <c r="AB9977" s="162"/>
      <c r="AC9977" s="162"/>
      <c r="AD9977" s="162">
        <f t="shared" si="175"/>
        <v>0</v>
      </c>
      <c r="AE9977" s="160">
        <v>9975</v>
      </c>
    </row>
    <row r="9978" spans="27:31" x14ac:dyDescent="0.25">
      <c r="AA9978" s="160"/>
      <c r="AB9978" s="162"/>
      <c r="AC9978" s="162"/>
      <c r="AD9978" s="162">
        <f t="shared" si="175"/>
        <v>0</v>
      </c>
      <c r="AE9978" s="160">
        <v>9976</v>
      </c>
    </row>
    <row r="9979" spans="27:31" x14ac:dyDescent="0.25">
      <c r="AA9979" s="160"/>
      <c r="AB9979" s="162"/>
      <c r="AC9979" s="162"/>
      <c r="AD9979" s="162">
        <f t="shared" si="175"/>
        <v>0</v>
      </c>
      <c r="AE9979" s="160">
        <v>9977</v>
      </c>
    </row>
    <row r="9980" spans="27:31" x14ac:dyDescent="0.25">
      <c r="AA9980" s="160"/>
      <c r="AB9980" s="162"/>
      <c r="AC9980" s="162"/>
      <c r="AD9980" s="162">
        <f t="shared" si="175"/>
        <v>0</v>
      </c>
      <c r="AE9980" s="160">
        <v>9978</v>
      </c>
    </row>
    <row r="9981" spans="27:31" x14ac:dyDescent="0.25">
      <c r="AA9981" s="160"/>
      <c r="AB9981" s="162"/>
      <c r="AC9981" s="162"/>
      <c r="AD9981" s="162">
        <f t="shared" si="175"/>
        <v>0</v>
      </c>
      <c r="AE9981" s="160">
        <v>9979</v>
      </c>
    </row>
    <row r="9982" spans="27:31" x14ac:dyDescent="0.25">
      <c r="AA9982" s="160"/>
      <c r="AB9982" s="162"/>
      <c r="AC9982" s="162"/>
      <c r="AD9982" s="162">
        <f t="shared" si="175"/>
        <v>0</v>
      </c>
      <c r="AE9982" s="160">
        <v>9980</v>
      </c>
    </row>
    <row r="9983" spans="27:31" x14ac:dyDescent="0.25">
      <c r="AA9983" s="160"/>
      <c r="AB9983" s="162"/>
      <c r="AC9983" s="162"/>
      <c r="AD9983" s="162">
        <f t="shared" si="175"/>
        <v>0</v>
      </c>
      <c r="AE9983" s="160">
        <v>9981</v>
      </c>
    </row>
    <row r="9984" spans="27:31" x14ac:dyDescent="0.25">
      <c r="AA9984" s="160"/>
      <c r="AB9984" s="162"/>
      <c r="AC9984" s="162"/>
      <c r="AD9984" s="162">
        <f t="shared" si="175"/>
        <v>0</v>
      </c>
      <c r="AE9984" s="160">
        <v>9982</v>
      </c>
    </row>
    <row r="9985" spans="27:31" x14ac:dyDescent="0.25">
      <c r="AA9985" s="160"/>
      <c r="AB9985" s="162"/>
      <c r="AC9985" s="162"/>
      <c r="AD9985" s="162">
        <f t="shared" si="175"/>
        <v>0</v>
      </c>
      <c r="AE9985" s="160">
        <v>9983</v>
      </c>
    </row>
    <row r="9986" spans="27:31" x14ac:dyDescent="0.25">
      <c r="AA9986" s="160"/>
      <c r="AB9986" s="162"/>
      <c r="AC9986" s="162"/>
      <c r="AD9986" s="162">
        <f t="shared" si="175"/>
        <v>0</v>
      </c>
      <c r="AE9986" s="160">
        <v>9984</v>
      </c>
    </row>
    <row r="9987" spans="27:31" x14ac:dyDescent="0.25">
      <c r="AA9987" s="160"/>
      <c r="AB9987" s="162"/>
      <c r="AC9987" s="162"/>
      <c r="AD9987" s="162">
        <f t="shared" si="175"/>
        <v>0</v>
      </c>
      <c r="AE9987" s="160">
        <v>9985</v>
      </c>
    </row>
    <row r="9988" spans="27:31" x14ac:dyDescent="0.25">
      <c r="AA9988" s="160"/>
      <c r="AB9988" s="162"/>
      <c r="AC9988" s="162"/>
      <c r="AD9988" s="162">
        <f t="shared" ref="AD9988:AD10002" si="176">AB9988+AC9988</f>
        <v>0</v>
      </c>
      <c r="AE9988" s="160">
        <v>9986</v>
      </c>
    </row>
    <row r="9989" spans="27:31" x14ac:dyDescent="0.25">
      <c r="AA9989" s="160"/>
      <c r="AB9989" s="162"/>
      <c r="AC9989" s="162"/>
      <c r="AD9989" s="162">
        <f t="shared" si="176"/>
        <v>0</v>
      </c>
      <c r="AE9989" s="160">
        <v>9987</v>
      </c>
    </row>
    <row r="9990" spans="27:31" x14ac:dyDescent="0.25">
      <c r="AA9990" s="160"/>
      <c r="AB9990" s="162"/>
      <c r="AC9990" s="162"/>
      <c r="AD9990" s="162">
        <f t="shared" si="176"/>
        <v>0</v>
      </c>
      <c r="AE9990" s="160">
        <v>9988</v>
      </c>
    </row>
    <row r="9991" spans="27:31" x14ac:dyDescent="0.25">
      <c r="AA9991" s="160"/>
      <c r="AB9991" s="162"/>
      <c r="AC9991" s="162"/>
      <c r="AD9991" s="162">
        <f t="shared" si="176"/>
        <v>0</v>
      </c>
      <c r="AE9991" s="160">
        <v>9989</v>
      </c>
    </row>
    <row r="9992" spans="27:31" x14ac:dyDescent="0.25">
      <c r="AA9992" s="160"/>
      <c r="AB9992" s="162"/>
      <c r="AC9992" s="162"/>
      <c r="AD9992" s="162">
        <f t="shared" si="176"/>
        <v>0</v>
      </c>
      <c r="AE9992" s="160">
        <v>9990</v>
      </c>
    </row>
    <row r="9993" spans="27:31" x14ac:dyDescent="0.25">
      <c r="AA9993" s="160"/>
      <c r="AB9993" s="162"/>
      <c r="AC9993" s="162"/>
      <c r="AD9993" s="162">
        <f t="shared" si="176"/>
        <v>0</v>
      </c>
      <c r="AE9993" s="160">
        <v>9991</v>
      </c>
    </row>
    <row r="9994" spans="27:31" x14ac:dyDescent="0.25">
      <c r="AA9994" s="160"/>
      <c r="AB9994" s="162"/>
      <c r="AC9994" s="162"/>
      <c r="AD9994" s="162">
        <f t="shared" si="176"/>
        <v>0</v>
      </c>
      <c r="AE9994" s="160">
        <v>9992</v>
      </c>
    </row>
    <row r="9995" spans="27:31" x14ac:dyDescent="0.25">
      <c r="AA9995" s="160"/>
      <c r="AB9995" s="162"/>
      <c r="AC9995" s="162"/>
      <c r="AD9995" s="162">
        <f t="shared" si="176"/>
        <v>0</v>
      </c>
      <c r="AE9995" s="160">
        <v>9993</v>
      </c>
    </row>
    <row r="9996" spans="27:31" x14ac:dyDescent="0.25">
      <c r="AA9996" s="160"/>
      <c r="AB9996" s="162"/>
      <c r="AC9996" s="162"/>
      <c r="AD9996" s="162">
        <f t="shared" si="176"/>
        <v>0</v>
      </c>
      <c r="AE9996" s="160">
        <v>9994</v>
      </c>
    </row>
    <row r="9997" spans="27:31" x14ac:dyDescent="0.25">
      <c r="AA9997" s="160"/>
      <c r="AB9997" s="162"/>
      <c r="AC9997" s="162"/>
      <c r="AD9997" s="162">
        <f t="shared" si="176"/>
        <v>0</v>
      </c>
      <c r="AE9997" s="160">
        <v>9995</v>
      </c>
    </row>
    <row r="9998" spans="27:31" x14ac:dyDescent="0.25">
      <c r="AA9998" s="160"/>
      <c r="AB9998" s="162"/>
      <c r="AC9998" s="162"/>
      <c r="AD9998" s="162">
        <f t="shared" si="176"/>
        <v>0</v>
      </c>
      <c r="AE9998" s="160">
        <v>9996</v>
      </c>
    </row>
    <row r="9999" spans="27:31" x14ac:dyDescent="0.25">
      <c r="AA9999" s="160"/>
      <c r="AB9999" s="162"/>
      <c r="AC9999" s="162"/>
      <c r="AD9999" s="162">
        <f t="shared" si="176"/>
        <v>0</v>
      </c>
      <c r="AE9999" s="160">
        <v>9997</v>
      </c>
    </row>
    <row r="10000" spans="27:31" x14ac:dyDescent="0.25">
      <c r="AA10000" s="160"/>
      <c r="AB10000" s="162"/>
      <c r="AC10000" s="162"/>
      <c r="AD10000" s="162">
        <f t="shared" si="176"/>
        <v>0</v>
      </c>
      <c r="AE10000" s="160">
        <v>9998</v>
      </c>
    </row>
    <row r="10001" spans="27:31" x14ac:dyDescent="0.25">
      <c r="AA10001" s="160"/>
      <c r="AB10001" s="162"/>
      <c r="AC10001" s="162"/>
      <c r="AD10001" s="162">
        <f t="shared" si="176"/>
        <v>0</v>
      </c>
      <c r="AE10001" s="160">
        <v>9999</v>
      </c>
    </row>
    <row r="10002" spans="27:31" x14ac:dyDescent="0.25">
      <c r="AA10002" s="160"/>
      <c r="AB10002" s="162"/>
      <c r="AC10002" s="162"/>
      <c r="AD10002" s="162">
        <f t="shared" si="176"/>
        <v>0</v>
      </c>
      <c r="AE10002" s="160">
        <v>10000</v>
      </c>
    </row>
  </sheetData>
  <autoFilter ref="U2:V2" xr:uid="{E8919302-64C3-408E-B061-A9EA99115C10}">
    <sortState xmlns:xlrd2="http://schemas.microsoft.com/office/spreadsheetml/2017/richdata2" ref="U3:V293">
      <sortCondition descending="1" ref="V2"/>
    </sortState>
  </autoFilter>
  <sortState xmlns:xlrd2="http://schemas.microsoft.com/office/spreadsheetml/2017/richdata2" ref="X3:Y293">
    <sortCondition descending="1" ref="Y3:Y293"/>
  </sortState>
  <mergeCells count="7">
    <mergeCell ref="O1:P1"/>
    <mergeCell ref="R1:S1"/>
    <mergeCell ref="AB1:AC1"/>
    <mergeCell ref="K1:L1"/>
    <mergeCell ref="H1:I1"/>
    <mergeCell ref="E1:F1"/>
    <mergeCell ref="B1:C1"/>
  </mergeCells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2B22-B730-4180-A662-18DA85376A91}">
  <sheetPr codeName="工作表5">
    <tabColor theme="5" tint="0.79998168889431442"/>
  </sheetPr>
  <dimension ref="A2:K15"/>
  <sheetViews>
    <sheetView view="pageBreakPreview" zoomScale="196" zoomScaleNormal="200" zoomScaleSheetLayoutView="196" workbookViewId="0">
      <selection activeCell="D5" sqref="D5"/>
    </sheetView>
  </sheetViews>
  <sheetFormatPr defaultRowHeight="15.75" customHeight="1" x14ac:dyDescent="0.25"/>
  <cols>
    <col min="1" max="1" width="16.875" style="1" bestFit="1" customWidth="1"/>
    <col min="2" max="2" width="10.875" style="1" customWidth="1"/>
    <col min="3" max="3" width="12" style="1" customWidth="1"/>
    <col min="4" max="6" width="11.125" style="1" customWidth="1"/>
    <col min="7" max="7" width="4.5" style="78" customWidth="1"/>
    <col min="8" max="8" width="17.75" style="78" customWidth="1"/>
    <col min="9" max="11" width="17.75" style="1" customWidth="1"/>
    <col min="12" max="16384" width="9" style="1"/>
  </cols>
  <sheetData>
    <row r="2" spans="1:11" ht="24.75" customHeight="1" x14ac:dyDescent="0.25">
      <c r="A2" s="35" t="s">
        <v>32</v>
      </c>
      <c r="B2" s="35" t="s">
        <v>33</v>
      </c>
      <c r="C2" s="78"/>
      <c r="D2" s="79" t="s">
        <v>5</v>
      </c>
      <c r="E2" s="79" t="s">
        <v>115</v>
      </c>
      <c r="F2" s="80" t="s">
        <v>117</v>
      </c>
      <c r="H2" s="22" t="s">
        <v>8</v>
      </c>
      <c r="I2" s="11" t="s">
        <v>9</v>
      </c>
      <c r="J2" s="11" t="s">
        <v>7</v>
      </c>
      <c r="K2" s="11" t="s">
        <v>10</v>
      </c>
    </row>
    <row r="3" spans="1:11" ht="66" customHeight="1" x14ac:dyDescent="0.25">
      <c r="A3" s="36" t="s">
        <v>38</v>
      </c>
      <c r="B3" s="37" t="s">
        <v>39</v>
      </c>
      <c r="C3" s="78"/>
      <c r="D3" s="79" t="str" cm="1">
        <f t="array" ref="D3:F3">[1]!'FITXN*1.TF-ID,Name,price'</f>
        <v>FITXN*1</v>
      </c>
      <c r="E3" s="79" t="str">
        <v>台股指數近月</v>
      </c>
      <c r="F3" s="81">
        <v>23191</v>
      </c>
      <c r="H3" s="24" t="s">
        <v>22</v>
      </c>
      <c r="I3" s="24" t="s">
        <v>23</v>
      </c>
      <c r="J3" s="24" t="s">
        <v>19</v>
      </c>
      <c r="K3" s="24" t="s">
        <v>21</v>
      </c>
    </row>
    <row r="4" spans="1:11" ht="15.75" customHeight="1" x14ac:dyDescent="0.25">
      <c r="A4" s="36" t="s">
        <v>118</v>
      </c>
      <c r="B4" s="37" t="s">
        <v>119</v>
      </c>
      <c r="C4" s="78"/>
      <c r="D4" s="79" t="str" cm="1">
        <f t="array" ref="D4:F4">[1]!'FITXN08.TF-ID,Name,price'</f>
        <v>FITXN08</v>
      </c>
      <c r="E4" s="79" t="str">
        <v>台股指數085</v>
      </c>
      <c r="F4" s="81">
        <v>23191</v>
      </c>
    </row>
    <row r="5" spans="1:11" ht="15.75" customHeight="1" x14ac:dyDescent="0.25">
      <c r="A5" s="36" t="s">
        <v>93</v>
      </c>
      <c r="B5" s="37" t="s">
        <v>94</v>
      </c>
      <c r="C5" s="78"/>
      <c r="D5" s="79" t="str" cm="1">
        <f t="array" ref="D5:F5">[1]!'TSE.TW-ID,Name,price'</f>
        <v>TSE</v>
      </c>
      <c r="E5" s="79" t="str">
        <v>加權指數</v>
      </c>
      <c r="F5" s="81">
        <v>23383.13</v>
      </c>
    </row>
    <row r="6" spans="1:11" ht="15.75" customHeight="1" x14ac:dyDescent="0.25">
      <c r="A6" s="36" t="s">
        <v>95</v>
      </c>
      <c r="B6" s="37" t="s">
        <v>96</v>
      </c>
      <c r="C6" s="1" t="s">
        <v>121</v>
      </c>
    </row>
    <row r="7" spans="1:11" ht="15.75" customHeight="1" x14ac:dyDescent="0.25">
      <c r="A7" s="39" t="s">
        <v>97</v>
      </c>
      <c r="B7" s="39" t="s">
        <v>98</v>
      </c>
      <c r="C7" s="39" t="s">
        <v>120</v>
      </c>
    </row>
    <row r="8" spans="1:11" ht="15.75" customHeight="1" x14ac:dyDescent="0.25">
      <c r="A8" s="36" t="s">
        <v>99</v>
      </c>
      <c r="B8" s="37" t="s">
        <v>122</v>
      </c>
      <c r="C8" s="78"/>
    </row>
    <row r="9" spans="1:11" ht="15.75" customHeight="1" x14ac:dyDescent="0.25">
      <c r="A9" s="36" t="s">
        <v>101</v>
      </c>
      <c r="B9" s="37" t="s">
        <v>102</v>
      </c>
      <c r="C9" s="78"/>
    </row>
    <row r="10" spans="1:11" ht="15.75" customHeight="1" x14ac:dyDescent="0.25">
      <c r="A10" s="36" t="s">
        <v>103</v>
      </c>
      <c r="B10" s="37" t="s">
        <v>104</v>
      </c>
      <c r="C10" s="78"/>
    </row>
    <row r="11" spans="1:11" ht="15.75" customHeight="1" x14ac:dyDescent="0.25">
      <c r="A11" s="36" t="s">
        <v>105</v>
      </c>
      <c r="B11" s="37" t="s">
        <v>106</v>
      </c>
      <c r="C11" s="78"/>
    </row>
    <row r="12" spans="1:11" ht="15.75" customHeight="1" x14ac:dyDescent="0.25">
      <c r="A12" s="39" t="s">
        <v>107</v>
      </c>
      <c r="B12" s="39" t="s">
        <v>123</v>
      </c>
      <c r="C12" s="78"/>
    </row>
    <row r="13" spans="1:11" ht="15.75" customHeight="1" x14ac:dyDescent="0.25">
      <c r="A13" s="36" t="s">
        <v>109</v>
      </c>
      <c r="B13" s="37" t="s">
        <v>110</v>
      </c>
      <c r="C13" s="78"/>
    </row>
    <row r="14" spans="1:11" ht="15.75" customHeight="1" x14ac:dyDescent="0.25">
      <c r="A14" s="36" t="s">
        <v>111</v>
      </c>
      <c r="B14" s="37" t="s">
        <v>112</v>
      </c>
      <c r="C14" s="78"/>
    </row>
    <row r="15" spans="1:11" ht="15.75" customHeight="1" x14ac:dyDescent="0.25">
      <c r="A15" s="36" t="s">
        <v>113</v>
      </c>
      <c r="B15" s="37" t="s">
        <v>114</v>
      </c>
      <c r="C15" s="78"/>
    </row>
  </sheetData>
  <phoneticPr fontId="2" type="noConversion"/>
  <pageMargins left="0.7" right="0.7" top="0.75" bottom="0.75" header="0.3" footer="0.3"/>
  <pageSetup paperSize="9" scale="5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5B0F6-CFF2-47A1-B31A-6F051242C899}">
  <sheetPr codeName="工作表8"/>
  <dimension ref="A1:G39"/>
  <sheetViews>
    <sheetView zoomScale="140" zoomScaleNormal="140" workbookViewId="0">
      <selection activeCell="H11" sqref="H11"/>
    </sheetView>
  </sheetViews>
  <sheetFormatPr defaultRowHeight="16.5" x14ac:dyDescent="0.25"/>
  <cols>
    <col min="1" max="1" width="20.5" style="29" bestFit="1" customWidth="1"/>
    <col min="2" max="2" width="10.25" style="29" customWidth="1"/>
    <col min="3" max="3" width="9.75" style="29" customWidth="1"/>
    <col min="4" max="4" width="14.125" style="29" customWidth="1"/>
    <col min="5" max="6" width="11.875" style="29" customWidth="1"/>
    <col min="7" max="7" width="9" style="29"/>
  </cols>
  <sheetData>
    <row r="1" spans="1:6" ht="17.25" thickBot="1" x14ac:dyDescent="0.3">
      <c r="A1" s="32" t="s">
        <v>32</v>
      </c>
      <c r="B1" s="32" t="s">
        <v>33</v>
      </c>
      <c r="C1" s="32" t="s">
        <v>34</v>
      </c>
      <c r="D1" s="32" t="s">
        <v>35</v>
      </c>
      <c r="E1" s="32" t="s">
        <v>36</v>
      </c>
      <c r="F1" s="32" t="s">
        <v>37</v>
      </c>
    </row>
    <row r="2" spans="1:6" ht="17.25" thickBot="1" x14ac:dyDescent="0.3">
      <c r="A2" s="33" t="s">
        <v>38</v>
      </c>
      <c r="B2" s="33" t="s">
        <v>39</v>
      </c>
      <c r="C2" s="33" t="s">
        <v>40</v>
      </c>
      <c r="D2" s="33">
        <v>200</v>
      </c>
      <c r="E2" s="34">
        <v>357000</v>
      </c>
      <c r="F2" s="34">
        <v>274000</v>
      </c>
    </row>
    <row r="3" spans="1:6" ht="17.25" thickBot="1" x14ac:dyDescent="0.3">
      <c r="A3" s="30" t="s">
        <v>41</v>
      </c>
      <c r="B3" s="30" t="s">
        <v>42</v>
      </c>
      <c r="C3" s="30" t="s">
        <v>40</v>
      </c>
      <c r="D3" s="30">
        <v>50</v>
      </c>
      <c r="E3" s="31">
        <v>89250</v>
      </c>
      <c r="F3" s="31">
        <v>68500</v>
      </c>
    </row>
    <row r="4" spans="1:6" ht="17.25" thickBot="1" x14ac:dyDescent="0.3">
      <c r="A4" s="30" t="s">
        <v>43</v>
      </c>
      <c r="B4" s="30" t="s">
        <v>44</v>
      </c>
      <c r="C4" s="30" t="s">
        <v>40</v>
      </c>
      <c r="D4" s="30">
        <v>50</v>
      </c>
      <c r="E4" s="31">
        <v>89250</v>
      </c>
      <c r="F4" s="31">
        <v>68500</v>
      </c>
    </row>
    <row r="5" spans="1:6" ht="17.25" thickBot="1" x14ac:dyDescent="0.3">
      <c r="A5" s="30" t="s">
        <v>45</v>
      </c>
      <c r="B5" s="30" t="s">
        <v>46</v>
      </c>
      <c r="C5" s="30" t="s">
        <v>40</v>
      </c>
      <c r="D5" s="30">
        <v>50</v>
      </c>
      <c r="E5" s="31">
        <v>89250</v>
      </c>
      <c r="F5" s="31">
        <v>68500</v>
      </c>
    </row>
    <row r="6" spans="1:6" ht="17.25" thickBot="1" x14ac:dyDescent="0.3">
      <c r="A6" s="30" t="s">
        <v>47</v>
      </c>
      <c r="B6" s="30" t="s">
        <v>48</v>
      </c>
      <c r="C6" s="30" t="s">
        <v>40</v>
      </c>
      <c r="D6" s="30">
        <v>50</v>
      </c>
      <c r="E6" s="31">
        <v>89250</v>
      </c>
      <c r="F6" s="31">
        <v>68500</v>
      </c>
    </row>
    <row r="7" spans="1:6" ht="17.25" thickBot="1" x14ac:dyDescent="0.3">
      <c r="A7" s="30" t="s">
        <v>49</v>
      </c>
      <c r="B7" s="30" t="s">
        <v>50</v>
      </c>
      <c r="C7" s="30" t="s">
        <v>40</v>
      </c>
      <c r="D7" s="30">
        <v>50</v>
      </c>
      <c r="E7" s="31">
        <v>89250</v>
      </c>
      <c r="F7" s="31">
        <v>68500</v>
      </c>
    </row>
    <row r="8" spans="1:6" ht="17.25" thickBot="1" x14ac:dyDescent="0.3">
      <c r="A8" s="30" t="s">
        <v>51</v>
      </c>
      <c r="B8" s="30" t="s">
        <v>52</v>
      </c>
      <c r="C8" s="30" t="s">
        <v>40</v>
      </c>
      <c r="D8" s="30">
        <v>50</v>
      </c>
      <c r="E8" s="31">
        <v>89000</v>
      </c>
      <c r="F8" s="31">
        <v>68250</v>
      </c>
    </row>
    <row r="9" spans="1:6" ht="17.25" thickBot="1" x14ac:dyDescent="0.3">
      <c r="A9" s="30" t="s">
        <v>53</v>
      </c>
      <c r="B9" s="30" t="s">
        <v>54</v>
      </c>
      <c r="C9" s="30" t="s">
        <v>40</v>
      </c>
      <c r="D9" s="30">
        <v>10</v>
      </c>
      <c r="E9" s="31">
        <v>17850</v>
      </c>
      <c r="F9" s="31">
        <v>13700</v>
      </c>
    </row>
    <row r="10" spans="1:6" ht="17.25" thickBot="1" x14ac:dyDescent="0.3">
      <c r="A10" s="30" t="s">
        <v>55</v>
      </c>
      <c r="B10" s="30" t="s">
        <v>56</v>
      </c>
      <c r="C10" s="30" t="s">
        <v>40</v>
      </c>
      <c r="D10" s="30">
        <v>4000</v>
      </c>
      <c r="E10" s="31">
        <v>428000</v>
      </c>
      <c r="F10" s="31">
        <v>329000</v>
      </c>
    </row>
    <row r="11" spans="1:6" ht="17.25" thickBot="1" x14ac:dyDescent="0.3">
      <c r="A11" s="30" t="s">
        <v>57</v>
      </c>
      <c r="B11" s="30" t="s">
        <v>58</v>
      </c>
      <c r="C11" s="30" t="s">
        <v>40</v>
      </c>
      <c r="D11" s="30">
        <v>500</v>
      </c>
      <c r="E11" s="31">
        <v>53500</v>
      </c>
      <c r="F11" s="31">
        <v>41125</v>
      </c>
    </row>
    <row r="12" spans="1:6" ht="17.25" thickBot="1" x14ac:dyDescent="0.3">
      <c r="A12" s="30" t="s">
        <v>59</v>
      </c>
      <c r="B12" s="30" t="s">
        <v>60</v>
      </c>
      <c r="C12" s="30" t="s">
        <v>40</v>
      </c>
      <c r="D12" s="30">
        <v>1000</v>
      </c>
      <c r="E12" s="31">
        <v>150000</v>
      </c>
      <c r="F12" s="31">
        <v>115000</v>
      </c>
    </row>
    <row r="13" spans="1:6" ht="17.25" thickBot="1" x14ac:dyDescent="0.3">
      <c r="A13" s="30" t="s">
        <v>61</v>
      </c>
      <c r="B13" s="30" t="s">
        <v>62</v>
      </c>
      <c r="C13" s="30" t="s">
        <v>40</v>
      </c>
      <c r="D13" s="30">
        <v>250</v>
      </c>
      <c r="E13" s="31">
        <v>37500</v>
      </c>
      <c r="F13" s="31">
        <v>28750</v>
      </c>
    </row>
    <row r="14" spans="1:6" ht="17.25" thickBot="1" x14ac:dyDescent="0.3">
      <c r="A14" s="30" t="s">
        <v>63</v>
      </c>
      <c r="B14" s="30" t="s">
        <v>64</v>
      </c>
      <c r="C14" s="30" t="s">
        <v>40</v>
      </c>
      <c r="D14" s="30">
        <v>100</v>
      </c>
      <c r="E14" s="31">
        <v>103000</v>
      </c>
      <c r="F14" s="31">
        <v>79000</v>
      </c>
    </row>
    <row r="15" spans="1:6" ht="17.25" thickBot="1" x14ac:dyDescent="0.3">
      <c r="A15" s="30" t="s">
        <v>65</v>
      </c>
      <c r="B15" s="30" t="s">
        <v>66</v>
      </c>
      <c r="C15" s="30" t="s">
        <v>40</v>
      </c>
      <c r="D15" s="30">
        <v>4000</v>
      </c>
      <c r="E15" s="31">
        <v>79000</v>
      </c>
      <c r="F15" s="31">
        <v>61000</v>
      </c>
    </row>
    <row r="16" spans="1:6" ht="17.25" thickBot="1" x14ac:dyDescent="0.3">
      <c r="A16" s="30" t="s">
        <v>67</v>
      </c>
      <c r="B16" s="30" t="s">
        <v>68</v>
      </c>
      <c r="C16" s="30" t="s">
        <v>40</v>
      </c>
      <c r="D16" s="30">
        <v>50</v>
      </c>
      <c r="E16" s="31">
        <v>37000</v>
      </c>
      <c r="F16" s="31">
        <v>28000</v>
      </c>
    </row>
    <row r="17" spans="1:6" ht="17.25" thickBot="1" x14ac:dyDescent="0.3">
      <c r="A17" s="30" t="s">
        <v>69</v>
      </c>
      <c r="B17" s="30" t="s">
        <v>70</v>
      </c>
      <c r="C17" s="30" t="s">
        <v>40</v>
      </c>
      <c r="D17" s="30">
        <v>50</v>
      </c>
      <c r="E17" s="31">
        <v>15000</v>
      </c>
      <c r="F17" s="31">
        <v>12000</v>
      </c>
    </row>
    <row r="18" spans="1:6" ht="17.25" thickBot="1" x14ac:dyDescent="0.3">
      <c r="A18" s="30" t="s">
        <v>71</v>
      </c>
      <c r="B18" s="30" t="s">
        <v>72</v>
      </c>
      <c r="C18" s="30" t="s">
        <v>40</v>
      </c>
      <c r="D18" s="30">
        <v>100</v>
      </c>
      <c r="E18" s="31">
        <v>95000</v>
      </c>
      <c r="F18" s="31">
        <v>73000</v>
      </c>
    </row>
    <row r="19" spans="1:6" ht="17.25" thickBot="1" x14ac:dyDescent="0.3">
      <c r="A19" s="30" t="s">
        <v>73</v>
      </c>
      <c r="B19" s="30" t="s">
        <v>74</v>
      </c>
      <c r="C19" s="30" t="s">
        <v>40</v>
      </c>
      <c r="D19" s="30">
        <v>200</v>
      </c>
      <c r="E19" s="31">
        <v>57000</v>
      </c>
      <c r="F19" s="31">
        <v>44000</v>
      </c>
    </row>
    <row r="20" spans="1:6" ht="17.25" thickBot="1" x14ac:dyDescent="0.3">
      <c r="A20" s="30" t="s">
        <v>75</v>
      </c>
      <c r="B20" s="30" t="s">
        <v>76</v>
      </c>
      <c r="C20" s="30" t="s">
        <v>40</v>
      </c>
      <c r="D20" s="30">
        <v>20</v>
      </c>
      <c r="E20" s="31">
        <v>77000</v>
      </c>
      <c r="F20" s="31">
        <v>59000</v>
      </c>
    </row>
    <row r="21" spans="1:6" ht="17.25" thickBot="1" x14ac:dyDescent="0.3">
      <c r="A21" s="30" t="s">
        <v>77</v>
      </c>
      <c r="B21" s="30" t="s">
        <v>78</v>
      </c>
      <c r="C21" s="30" t="s">
        <v>40</v>
      </c>
      <c r="D21" s="30">
        <v>50</v>
      </c>
      <c r="E21" s="31">
        <v>98000</v>
      </c>
      <c r="F21" s="31">
        <v>75000</v>
      </c>
    </row>
    <row r="22" spans="1:6" ht="17.25" thickBot="1" x14ac:dyDescent="0.3">
      <c r="A22" s="30" t="s">
        <v>79</v>
      </c>
      <c r="B22" s="30" t="s">
        <v>80</v>
      </c>
      <c r="C22" s="30" t="s">
        <v>40</v>
      </c>
      <c r="D22" s="30">
        <v>200</v>
      </c>
      <c r="E22" s="31">
        <v>103000</v>
      </c>
      <c r="F22" s="31">
        <v>79000</v>
      </c>
    </row>
    <row r="23" spans="1:6" ht="17.25" thickBot="1" x14ac:dyDescent="0.3">
      <c r="A23" s="30" t="s">
        <v>81</v>
      </c>
      <c r="B23" s="30" t="s">
        <v>82</v>
      </c>
      <c r="C23" s="30" t="s">
        <v>40</v>
      </c>
      <c r="D23" s="30">
        <v>50</v>
      </c>
      <c r="E23" s="31">
        <v>32000</v>
      </c>
      <c r="F23" s="31">
        <v>24000</v>
      </c>
    </row>
    <row r="24" spans="1:6" ht="17.25" thickBot="1" x14ac:dyDescent="0.3">
      <c r="A24" s="30" t="s">
        <v>83</v>
      </c>
      <c r="B24" s="30" t="s">
        <v>84</v>
      </c>
      <c r="C24" s="30" t="s">
        <v>40</v>
      </c>
      <c r="D24" s="30">
        <v>10</v>
      </c>
      <c r="E24" s="31">
        <v>15000</v>
      </c>
      <c r="F24" s="31">
        <v>12000</v>
      </c>
    </row>
    <row r="25" spans="1:6" ht="17.25" thickBot="1" x14ac:dyDescent="0.3">
      <c r="A25" s="30" t="s">
        <v>85</v>
      </c>
      <c r="B25" s="30" t="s">
        <v>86</v>
      </c>
      <c r="C25" s="30" t="s">
        <v>40</v>
      </c>
      <c r="D25" s="30">
        <v>1000</v>
      </c>
      <c r="E25" s="31">
        <v>19000</v>
      </c>
      <c r="F25" s="31">
        <v>15000</v>
      </c>
    </row>
    <row r="26" spans="1:6" ht="17.25" thickBot="1" x14ac:dyDescent="0.3">
      <c r="A26" s="30" t="s">
        <v>87</v>
      </c>
      <c r="B26" s="30" t="s">
        <v>88</v>
      </c>
      <c r="C26" s="30" t="s">
        <v>40</v>
      </c>
      <c r="D26" s="30">
        <v>50</v>
      </c>
      <c r="E26" s="31">
        <v>27000</v>
      </c>
      <c r="F26" s="31">
        <v>21000</v>
      </c>
    </row>
    <row r="27" spans="1:6" ht="17.25" thickBot="1" x14ac:dyDescent="0.3">
      <c r="A27" s="30" t="s">
        <v>89</v>
      </c>
      <c r="B27" s="30" t="s">
        <v>90</v>
      </c>
      <c r="C27" s="30" t="s">
        <v>40</v>
      </c>
      <c r="D27" s="30">
        <v>80</v>
      </c>
      <c r="E27" s="31">
        <v>64000</v>
      </c>
      <c r="F27" s="31">
        <v>49000</v>
      </c>
    </row>
    <row r="28" spans="1:6" ht="17.25" thickBot="1" x14ac:dyDescent="0.3">
      <c r="A28" s="30" t="s">
        <v>91</v>
      </c>
      <c r="B28" s="30" t="s">
        <v>92</v>
      </c>
      <c r="C28" s="30" t="s">
        <v>40</v>
      </c>
      <c r="D28" s="30">
        <v>50</v>
      </c>
      <c r="E28" s="158" t="s">
        <v>116</v>
      </c>
      <c r="F28" s="159"/>
    </row>
    <row r="29" spans="1:6" ht="17.25" thickBot="1" x14ac:dyDescent="0.3">
      <c r="A29" s="33" t="s">
        <v>93</v>
      </c>
      <c r="B29" s="33" t="s">
        <v>94</v>
      </c>
      <c r="C29" s="30" t="s">
        <v>40</v>
      </c>
      <c r="D29" s="30">
        <v>50</v>
      </c>
      <c r="E29" s="158" t="s">
        <v>116</v>
      </c>
      <c r="F29" s="159"/>
    </row>
    <row r="30" spans="1:6" ht="17.25" thickBot="1" x14ac:dyDescent="0.3">
      <c r="A30" s="33" t="s">
        <v>95</v>
      </c>
      <c r="B30" s="33" t="s">
        <v>96</v>
      </c>
      <c r="C30" s="30" t="s">
        <v>40</v>
      </c>
      <c r="D30" s="30">
        <v>50</v>
      </c>
      <c r="E30" s="158" t="s">
        <v>116</v>
      </c>
      <c r="F30" s="159"/>
    </row>
    <row r="31" spans="1:6" ht="17.25" thickBot="1" x14ac:dyDescent="0.3">
      <c r="A31" s="33" t="s">
        <v>97</v>
      </c>
      <c r="B31" s="33" t="s">
        <v>98</v>
      </c>
      <c r="C31" s="30" t="s">
        <v>40</v>
      </c>
      <c r="D31" s="30">
        <v>50</v>
      </c>
      <c r="E31" s="158" t="s">
        <v>116</v>
      </c>
      <c r="F31" s="159"/>
    </row>
    <row r="32" spans="1:6" ht="17.25" thickBot="1" x14ac:dyDescent="0.3">
      <c r="A32" s="33" t="s">
        <v>99</v>
      </c>
      <c r="B32" s="33" t="s">
        <v>100</v>
      </c>
      <c r="C32" s="30" t="s">
        <v>40</v>
      </c>
      <c r="D32" s="30">
        <v>50</v>
      </c>
      <c r="E32" s="158" t="s">
        <v>116</v>
      </c>
      <c r="F32" s="159"/>
    </row>
    <row r="33" spans="1:6" ht="17.25" thickBot="1" x14ac:dyDescent="0.3">
      <c r="A33" s="33" t="s">
        <v>101</v>
      </c>
      <c r="B33" s="33" t="s">
        <v>102</v>
      </c>
      <c r="C33" s="30" t="s">
        <v>40</v>
      </c>
      <c r="D33" s="30">
        <v>50</v>
      </c>
      <c r="E33" s="158" t="s">
        <v>116</v>
      </c>
      <c r="F33" s="159"/>
    </row>
    <row r="34" spans="1:6" ht="17.25" thickBot="1" x14ac:dyDescent="0.3">
      <c r="A34" s="33" t="s">
        <v>103</v>
      </c>
      <c r="B34" s="33" t="s">
        <v>104</v>
      </c>
      <c r="C34" s="30" t="s">
        <v>40</v>
      </c>
      <c r="D34" s="30">
        <v>50</v>
      </c>
      <c r="E34" s="158" t="s">
        <v>116</v>
      </c>
      <c r="F34" s="159"/>
    </row>
    <row r="35" spans="1:6" ht="17.25" thickBot="1" x14ac:dyDescent="0.3">
      <c r="A35" s="33" t="s">
        <v>105</v>
      </c>
      <c r="B35" s="33" t="s">
        <v>106</v>
      </c>
      <c r="C35" s="30" t="s">
        <v>40</v>
      </c>
      <c r="D35" s="30">
        <v>50</v>
      </c>
      <c r="E35" s="158" t="s">
        <v>116</v>
      </c>
      <c r="F35" s="159"/>
    </row>
    <row r="36" spans="1:6" ht="17.25" thickBot="1" x14ac:dyDescent="0.3">
      <c r="A36" s="33" t="s">
        <v>107</v>
      </c>
      <c r="B36" s="33" t="s">
        <v>108</v>
      </c>
      <c r="C36" s="30" t="s">
        <v>40</v>
      </c>
      <c r="D36" s="30">
        <v>50</v>
      </c>
      <c r="E36" s="158" t="s">
        <v>116</v>
      </c>
      <c r="F36" s="159"/>
    </row>
    <row r="37" spans="1:6" ht="17.25" thickBot="1" x14ac:dyDescent="0.3">
      <c r="A37" s="33" t="s">
        <v>109</v>
      </c>
      <c r="B37" s="33" t="s">
        <v>110</v>
      </c>
      <c r="C37" s="30" t="s">
        <v>40</v>
      </c>
      <c r="D37" s="30">
        <v>50</v>
      </c>
      <c r="E37" s="158" t="s">
        <v>116</v>
      </c>
      <c r="F37" s="159"/>
    </row>
    <row r="38" spans="1:6" ht="17.25" thickBot="1" x14ac:dyDescent="0.3">
      <c r="A38" s="30" t="s">
        <v>111</v>
      </c>
      <c r="B38" s="30" t="s">
        <v>112</v>
      </c>
      <c r="C38" s="30" t="s">
        <v>40</v>
      </c>
      <c r="D38" s="30">
        <v>1000</v>
      </c>
      <c r="E38" s="158" t="s">
        <v>116</v>
      </c>
      <c r="F38" s="159"/>
    </row>
    <row r="39" spans="1:6" ht="17.25" thickBot="1" x14ac:dyDescent="0.3">
      <c r="A39" s="30" t="s">
        <v>113</v>
      </c>
      <c r="B39" s="30" t="s">
        <v>114</v>
      </c>
      <c r="C39" s="30" t="s">
        <v>40</v>
      </c>
      <c r="D39" s="30">
        <v>250</v>
      </c>
      <c r="E39" s="158" t="s">
        <v>116</v>
      </c>
      <c r="F39" s="159"/>
    </row>
  </sheetData>
  <mergeCells count="12">
    <mergeCell ref="E39:F39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</mergeCells>
  <phoneticPr fontId="2" type="noConversion"/>
  <hyperlinks>
    <hyperlink ref="E28" r:id="rId1" location="introMargin_1" display="https://www.yuantafutures.com.tw/margin_01 - introMargin_1" xr:uid="{883AE911-6973-489C-98C3-E5BD58CB5768}"/>
    <hyperlink ref="E29" r:id="rId2" location="introMargin_1" display="https://www.yuantafutures.com.tw/margin_01 - introMargin_1" xr:uid="{9F9C60A0-F5D0-46DF-9A05-CAA2F68F455F}"/>
    <hyperlink ref="E30" r:id="rId3" location="introMargin_1" display="https://www.yuantafutures.com.tw/margin_01 - introMargin_1" xr:uid="{16FA8941-9A9F-4660-8516-B62B37E33FB1}"/>
    <hyperlink ref="E31" r:id="rId4" location="introMargin_1" display="https://www.yuantafutures.com.tw/margin_01 - introMargin_1" xr:uid="{7DDDFA40-763E-458B-B6CD-17C273EA46AC}"/>
    <hyperlink ref="E32" r:id="rId5" location="introMargin_1" display="https://www.yuantafutures.com.tw/margin_01 - introMargin_1" xr:uid="{92CB6AE4-ECE8-4F4A-AC0E-721FB4D49D7D}"/>
    <hyperlink ref="E33" r:id="rId6" location="introMargin_1" display="https://www.yuantafutures.com.tw/margin_01 - introMargin_1" xr:uid="{FCF0612D-A933-477F-916C-B6D7EA5A6157}"/>
    <hyperlink ref="E34" r:id="rId7" location="introMargin_1" display="https://www.yuantafutures.com.tw/margin_01 - introMargin_1" xr:uid="{0042EC08-DF0E-42CC-8144-BC8A98565328}"/>
    <hyperlink ref="E35" r:id="rId8" location="introMargin_1" display="https://www.yuantafutures.com.tw/margin_01 - introMargin_1" xr:uid="{1018B0DC-A90B-4ACE-9F41-5338461D82BB}"/>
    <hyperlink ref="E36" r:id="rId9" location="introMargin_1" display="https://www.yuantafutures.com.tw/margin_01 - introMargin_1" xr:uid="{39F559E6-4128-4ADE-BEF5-6E8E0A78C64D}"/>
    <hyperlink ref="E37" r:id="rId10" location="introMargin_1" display="https://www.yuantafutures.com.tw/margin_01 - introMargin_1" xr:uid="{3F1A4EA2-8B5D-48C5-A275-50FDF6934293}"/>
    <hyperlink ref="E38" r:id="rId11" location="introMargin_1" display="https://www.yuantafutures.com.tw/margin_01 - introMargin_1" xr:uid="{F7C5497A-5268-4F5A-8404-A2FC0852A893}"/>
    <hyperlink ref="E39" r:id="rId12" location="introMargin_1" display="https://www.yuantafutures.com.tw/margin_01 - introMargin_1" xr:uid="{284EE962-306C-4391-8CE4-45A40F5D28B3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13801-6F9D-47CF-BF08-C085DBE9E991}">
  <sheetPr codeName="工作表4"/>
  <dimension ref="B1:AP42"/>
  <sheetViews>
    <sheetView zoomScale="320" zoomScaleNormal="320" workbookViewId="0">
      <selection activeCell="C3" sqref="C3"/>
    </sheetView>
  </sheetViews>
  <sheetFormatPr defaultRowHeight="18" customHeight="1" x14ac:dyDescent="0.25"/>
  <cols>
    <col min="1" max="1" width="3.625" style="13" customWidth="1"/>
    <col min="2" max="2" width="5.125" style="13" customWidth="1"/>
    <col min="3" max="3" width="4.875" style="13" customWidth="1"/>
    <col min="4" max="42" width="4.375" style="13" customWidth="1"/>
    <col min="43" max="16384" width="9" style="13"/>
  </cols>
  <sheetData>
    <row r="1" spans="2:42" ht="18" customHeight="1" x14ac:dyDescent="0.25">
      <c r="C1" s="14" t="s">
        <v>17</v>
      </c>
    </row>
    <row r="2" spans="2:42" ht="18" customHeight="1" x14ac:dyDescent="0.25">
      <c r="B2" s="14" t="s">
        <v>13</v>
      </c>
      <c r="C2" s="15">
        <v>21500</v>
      </c>
      <c r="D2" s="16">
        <v>21550</v>
      </c>
      <c r="E2" s="16">
        <v>21600</v>
      </c>
      <c r="F2" s="16">
        <v>21650</v>
      </c>
      <c r="G2" s="16">
        <v>21700</v>
      </c>
      <c r="H2" s="16">
        <v>21750</v>
      </c>
      <c r="I2" s="16">
        <v>21800</v>
      </c>
      <c r="J2" s="16">
        <v>21850</v>
      </c>
      <c r="K2" s="16">
        <v>21900</v>
      </c>
      <c r="L2" s="16">
        <v>21950</v>
      </c>
      <c r="M2" s="16">
        <v>22000</v>
      </c>
      <c r="N2" s="16">
        <v>22050</v>
      </c>
      <c r="O2" s="16">
        <v>22100</v>
      </c>
      <c r="P2" s="16">
        <v>22150</v>
      </c>
      <c r="Q2" s="16">
        <v>22200</v>
      </c>
      <c r="R2" s="16">
        <v>22250</v>
      </c>
      <c r="S2" s="16">
        <v>22300</v>
      </c>
      <c r="T2" s="16">
        <v>22350</v>
      </c>
      <c r="U2" s="16">
        <v>22400</v>
      </c>
      <c r="V2" s="16">
        <v>22450</v>
      </c>
      <c r="W2" s="16">
        <v>22500</v>
      </c>
      <c r="X2" s="17">
        <v>22550</v>
      </c>
      <c r="Y2" s="16">
        <v>22600</v>
      </c>
      <c r="Z2" s="16">
        <v>22650</v>
      </c>
      <c r="AA2" s="16">
        <v>22700</v>
      </c>
      <c r="AB2" s="16">
        <v>22750</v>
      </c>
      <c r="AC2" s="16">
        <v>22800</v>
      </c>
      <c r="AD2" s="16">
        <v>22850</v>
      </c>
      <c r="AE2" s="16">
        <v>22900</v>
      </c>
      <c r="AF2" s="16">
        <v>22950</v>
      </c>
      <c r="AG2" s="16">
        <v>23000</v>
      </c>
      <c r="AH2" s="16">
        <v>23050</v>
      </c>
      <c r="AI2" s="16">
        <v>23100</v>
      </c>
      <c r="AJ2" s="16">
        <v>23150</v>
      </c>
      <c r="AK2" s="16">
        <v>23200</v>
      </c>
      <c r="AL2" s="16">
        <v>23250</v>
      </c>
      <c r="AM2" s="16">
        <v>23300</v>
      </c>
      <c r="AN2" s="16">
        <v>23350</v>
      </c>
      <c r="AO2" s="16">
        <v>23400</v>
      </c>
      <c r="AP2" s="16">
        <v>23500</v>
      </c>
    </row>
    <row r="3" spans="2:42" ht="18" customHeight="1" x14ac:dyDescent="0.25">
      <c r="B3" s="15">
        <v>21500</v>
      </c>
      <c r="C3" s="19">
        <f>'CallPut(週三)'!U18+'CallPut(週三)'!V18+'CallPut(週三)'!W18+'CallPut(週三)'!X18</f>
        <v>-40.57680000000002</v>
      </c>
      <c r="D3" s="18" t="s">
        <v>16</v>
      </c>
      <c r="E3" s="18" t="s">
        <v>16</v>
      </c>
      <c r="F3" s="18" t="s">
        <v>16</v>
      </c>
      <c r="G3" s="18" t="s">
        <v>16</v>
      </c>
      <c r="H3" s="18" t="s">
        <v>16</v>
      </c>
      <c r="I3" s="18" t="s">
        <v>16</v>
      </c>
      <c r="J3" s="18" t="s">
        <v>16</v>
      </c>
      <c r="K3" s="18" t="s">
        <v>16</v>
      </c>
      <c r="L3" s="18" t="s">
        <v>16</v>
      </c>
      <c r="M3" s="18" t="s">
        <v>16</v>
      </c>
      <c r="N3" s="18" t="s">
        <v>16</v>
      </c>
      <c r="O3" s="18" t="s">
        <v>16</v>
      </c>
      <c r="P3" s="18" t="s">
        <v>16</v>
      </c>
      <c r="Q3" s="18" t="s">
        <v>16</v>
      </c>
      <c r="R3" s="18" t="s">
        <v>16</v>
      </c>
      <c r="S3" s="18" t="s">
        <v>16</v>
      </c>
      <c r="T3" s="18" t="s">
        <v>16</v>
      </c>
      <c r="U3" s="18" t="s">
        <v>16</v>
      </c>
      <c r="V3" s="18" t="s">
        <v>16</v>
      </c>
      <c r="W3" s="18" t="s">
        <v>16</v>
      </c>
      <c r="X3" s="18" t="s">
        <v>16</v>
      </c>
      <c r="Y3" s="18" t="s">
        <v>16</v>
      </c>
      <c r="Z3" s="18" t="s">
        <v>16</v>
      </c>
      <c r="AA3" s="18" t="s">
        <v>16</v>
      </c>
      <c r="AB3" s="18" t="s">
        <v>16</v>
      </c>
      <c r="AC3" s="18" t="s">
        <v>16</v>
      </c>
      <c r="AD3" s="18" t="s">
        <v>16</v>
      </c>
      <c r="AE3" s="18" t="s">
        <v>16</v>
      </c>
      <c r="AF3" s="18" t="s">
        <v>16</v>
      </c>
      <c r="AG3" s="18" t="s">
        <v>16</v>
      </c>
      <c r="AH3" s="18" t="s">
        <v>16</v>
      </c>
      <c r="AI3" s="18" t="s">
        <v>16</v>
      </c>
      <c r="AJ3" s="18" t="s">
        <v>16</v>
      </c>
      <c r="AK3" s="18" t="s">
        <v>16</v>
      </c>
      <c r="AL3" s="18" t="s">
        <v>16</v>
      </c>
      <c r="AM3" s="18" t="s">
        <v>16</v>
      </c>
      <c r="AN3" s="18" t="s">
        <v>16</v>
      </c>
      <c r="AO3" s="18" t="s">
        <v>16</v>
      </c>
      <c r="AP3" s="18" t="s">
        <v>16</v>
      </c>
    </row>
    <row r="4" spans="2:42" ht="18" customHeight="1" x14ac:dyDescent="0.25">
      <c r="B4" s="16">
        <v>21550</v>
      </c>
      <c r="C4" s="18" t="s">
        <v>16</v>
      </c>
      <c r="D4" s="18" t="s">
        <v>16</v>
      </c>
      <c r="E4" s="18" t="s">
        <v>16</v>
      </c>
      <c r="F4" s="18" t="s">
        <v>16</v>
      </c>
      <c r="G4" s="18" t="s">
        <v>16</v>
      </c>
      <c r="H4" s="18" t="s">
        <v>16</v>
      </c>
      <c r="I4" s="18" t="s">
        <v>16</v>
      </c>
      <c r="J4" s="18" t="s">
        <v>16</v>
      </c>
      <c r="K4" s="18" t="s">
        <v>16</v>
      </c>
      <c r="L4" s="18" t="s">
        <v>16</v>
      </c>
      <c r="M4" s="18" t="s">
        <v>16</v>
      </c>
      <c r="N4" s="18" t="s">
        <v>16</v>
      </c>
      <c r="O4" s="18" t="s">
        <v>16</v>
      </c>
      <c r="P4" s="18" t="s">
        <v>16</v>
      </c>
      <c r="Q4" s="18" t="s">
        <v>16</v>
      </c>
      <c r="R4" s="18" t="s">
        <v>16</v>
      </c>
      <c r="S4" s="18" t="s">
        <v>16</v>
      </c>
      <c r="T4" s="18" t="s">
        <v>16</v>
      </c>
      <c r="U4" s="18" t="s">
        <v>16</v>
      </c>
      <c r="V4" s="18" t="s">
        <v>16</v>
      </c>
      <c r="W4" s="18" t="s">
        <v>16</v>
      </c>
      <c r="X4" s="18" t="s">
        <v>16</v>
      </c>
      <c r="Y4" s="18" t="s">
        <v>16</v>
      </c>
      <c r="Z4" s="18" t="s">
        <v>16</v>
      </c>
      <c r="AA4" s="18" t="s">
        <v>16</v>
      </c>
      <c r="AB4" s="18" t="s">
        <v>16</v>
      </c>
      <c r="AC4" s="18" t="s">
        <v>16</v>
      </c>
      <c r="AD4" s="18" t="s">
        <v>16</v>
      </c>
      <c r="AE4" s="18" t="s">
        <v>16</v>
      </c>
      <c r="AF4" s="18" t="s">
        <v>16</v>
      </c>
      <c r="AG4" s="18" t="s">
        <v>16</v>
      </c>
      <c r="AH4" s="18" t="s">
        <v>16</v>
      </c>
      <c r="AI4" s="18" t="s">
        <v>16</v>
      </c>
      <c r="AJ4" s="18" t="s">
        <v>16</v>
      </c>
      <c r="AK4" s="18" t="s">
        <v>16</v>
      </c>
      <c r="AL4" s="18" t="s">
        <v>16</v>
      </c>
      <c r="AM4" s="18" t="s">
        <v>16</v>
      </c>
      <c r="AN4" s="18" t="s">
        <v>16</v>
      </c>
      <c r="AO4" s="18" t="s">
        <v>16</v>
      </c>
      <c r="AP4" s="18" t="s">
        <v>16</v>
      </c>
    </row>
    <row r="5" spans="2:42" ht="18" customHeight="1" x14ac:dyDescent="0.25">
      <c r="B5" s="16">
        <v>21600</v>
      </c>
      <c r="C5" s="18" t="s">
        <v>16</v>
      </c>
      <c r="D5" s="18" t="s">
        <v>16</v>
      </c>
      <c r="E5" s="18" t="s">
        <v>16</v>
      </c>
      <c r="F5" s="18" t="s">
        <v>16</v>
      </c>
      <c r="G5" s="18" t="s">
        <v>16</v>
      </c>
      <c r="H5" s="18" t="s">
        <v>16</v>
      </c>
      <c r="I5" s="18" t="s">
        <v>16</v>
      </c>
      <c r="J5" s="18" t="s">
        <v>16</v>
      </c>
      <c r="K5" s="18" t="s">
        <v>16</v>
      </c>
      <c r="L5" s="18" t="s">
        <v>16</v>
      </c>
      <c r="M5" s="18" t="s">
        <v>16</v>
      </c>
      <c r="N5" s="18" t="s">
        <v>16</v>
      </c>
      <c r="O5" s="18" t="s">
        <v>16</v>
      </c>
      <c r="P5" s="18" t="s">
        <v>16</v>
      </c>
      <c r="Q5" s="18" t="s">
        <v>16</v>
      </c>
      <c r="R5" s="18" t="s">
        <v>16</v>
      </c>
      <c r="S5" s="18" t="s">
        <v>16</v>
      </c>
      <c r="T5" s="18" t="s">
        <v>16</v>
      </c>
      <c r="U5" s="18" t="s">
        <v>16</v>
      </c>
      <c r="V5" s="18" t="s">
        <v>16</v>
      </c>
      <c r="W5" s="18" t="s">
        <v>16</v>
      </c>
      <c r="X5" s="18" t="s">
        <v>16</v>
      </c>
      <c r="Y5" s="18" t="s">
        <v>16</v>
      </c>
      <c r="Z5" s="18" t="s">
        <v>16</v>
      </c>
      <c r="AA5" s="18" t="s">
        <v>16</v>
      </c>
      <c r="AB5" s="18" t="s">
        <v>16</v>
      </c>
      <c r="AC5" s="18" t="s">
        <v>16</v>
      </c>
      <c r="AD5" s="18" t="s">
        <v>16</v>
      </c>
      <c r="AE5" s="18" t="s">
        <v>16</v>
      </c>
      <c r="AF5" s="18" t="s">
        <v>16</v>
      </c>
      <c r="AG5" s="18" t="s">
        <v>16</v>
      </c>
      <c r="AH5" s="18" t="s">
        <v>16</v>
      </c>
      <c r="AI5" s="18" t="s">
        <v>16</v>
      </c>
      <c r="AJ5" s="18" t="s">
        <v>16</v>
      </c>
      <c r="AK5" s="18" t="s">
        <v>16</v>
      </c>
      <c r="AL5" s="18" t="s">
        <v>16</v>
      </c>
      <c r="AM5" s="18" t="s">
        <v>16</v>
      </c>
      <c r="AN5" s="18" t="s">
        <v>16</v>
      </c>
      <c r="AO5" s="18" t="s">
        <v>16</v>
      </c>
      <c r="AP5" s="18" t="s">
        <v>16</v>
      </c>
    </row>
    <row r="6" spans="2:42" ht="18" customHeight="1" x14ac:dyDescent="0.25">
      <c r="B6" s="16">
        <v>21650</v>
      </c>
      <c r="C6" s="18" t="s">
        <v>16</v>
      </c>
      <c r="D6" s="18" t="s">
        <v>16</v>
      </c>
      <c r="E6" s="18" t="s">
        <v>16</v>
      </c>
      <c r="F6" s="18" t="s">
        <v>16</v>
      </c>
      <c r="G6" s="18" t="s">
        <v>16</v>
      </c>
      <c r="H6" s="18" t="s">
        <v>16</v>
      </c>
      <c r="I6" s="18" t="s">
        <v>16</v>
      </c>
      <c r="J6" s="18" t="s">
        <v>16</v>
      </c>
      <c r="K6" s="18" t="s">
        <v>16</v>
      </c>
      <c r="L6" s="18" t="s">
        <v>16</v>
      </c>
      <c r="M6" s="18" t="s">
        <v>16</v>
      </c>
      <c r="N6" s="18" t="s">
        <v>16</v>
      </c>
      <c r="O6" s="18" t="s">
        <v>16</v>
      </c>
      <c r="P6" s="18" t="s">
        <v>16</v>
      </c>
      <c r="Q6" s="18" t="s">
        <v>16</v>
      </c>
      <c r="R6" s="18" t="s">
        <v>16</v>
      </c>
      <c r="S6" s="18" t="s">
        <v>16</v>
      </c>
      <c r="T6" s="18" t="s">
        <v>16</v>
      </c>
      <c r="U6" s="18" t="s">
        <v>16</v>
      </c>
      <c r="V6" s="18" t="s">
        <v>16</v>
      </c>
      <c r="W6" s="18" t="s">
        <v>16</v>
      </c>
      <c r="X6" s="18" t="s">
        <v>16</v>
      </c>
      <c r="Y6" s="18" t="s">
        <v>16</v>
      </c>
      <c r="Z6" s="18" t="s">
        <v>16</v>
      </c>
      <c r="AA6" s="18" t="s">
        <v>16</v>
      </c>
      <c r="AB6" s="18" t="s">
        <v>16</v>
      </c>
      <c r="AC6" s="18" t="s">
        <v>16</v>
      </c>
      <c r="AD6" s="18" t="s">
        <v>16</v>
      </c>
      <c r="AE6" s="18" t="s">
        <v>16</v>
      </c>
      <c r="AF6" s="18" t="s">
        <v>16</v>
      </c>
      <c r="AG6" s="18" t="s">
        <v>16</v>
      </c>
      <c r="AH6" s="18" t="s">
        <v>16</v>
      </c>
      <c r="AI6" s="18" t="s">
        <v>16</v>
      </c>
      <c r="AJ6" s="18" t="s">
        <v>16</v>
      </c>
      <c r="AK6" s="18" t="s">
        <v>16</v>
      </c>
      <c r="AL6" s="18" t="s">
        <v>16</v>
      </c>
      <c r="AM6" s="18" t="s">
        <v>16</v>
      </c>
      <c r="AN6" s="18" t="s">
        <v>16</v>
      </c>
      <c r="AO6" s="18" t="s">
        <v>16</v>
      </c>
      <c r="AP6" s="18" t="s">
        <v>16</v>
      </c>
    </row>
    <row r="7" spans="2:42" ht="18" customHeight="1" x14ac:dyDescent="0.25">
      <c r="B7" s="16">
        <v>21700</v>
      </c>
      <c r="C7" s="18" t="s">
        <v>16</v>
      </c>
      <c r="D7" s="18" t="s">
        <v>16</v>
      </c>
      <c r="E7" s="18" t="s">
        <v>16</v>
      </c>
      <c r="F7" s="18" t="s">
        <v>16</v>
      </c>
      <c r="G7" s="18" t="s">
        <v>16</v>
      </c>
      <c r="H7" s="18" t="s">
        <v>16</v>
      </c>
      <c r="I7" s="18" t="s">
        <v>16</v>
      </c>
      <c r="J7" s="18" t="s">
        <v>16</v>
      </c>
      <c r="K7" s="18" t="s">
        <v>16</v>
      </c>
      <c r="L7" s="18" t="s">
        <v>16</v>
      </c>
      <c r="M7" s="18" t="s">
        <v>16</v>
      </c>
      <c r="N7" s="18" t="s">
        <v>16</v>
      </c>
      <c r="O7" s="18" t="s">
        <v>16</v>
      </c>
      <c r="P7" s="18" t="s">
        <v>16</v>
      </c>
      <c r="Q7" s="18" t="s">
        <v>16</v>
      </c>
      <c r="R7" s="18" t="s">
        <v>16</v>
      </c>
      <c r="S7" s="18" t="s">
        <v>16</v>
      </c>
      <c r="T7" s="18" t="s">
        <v>16</v>
      </c>
      <c r="U7" s="18" t="s">
        <v>16</v>
      </c>
      <c r="V7" s="18" t="s">
        <v>16</v>
      </c>
      <c r="W7" s="18" t="s">
        <v>16</v>
      </c>
      <c r="X7" s="18" t="s">
        <v>16</v>
      </c>
      <c r="Y7" s="18" t="s">
        <v>16</v>
      </c>
      <c r="Z7" s="18" t="s">
        <v>16</v>
      </c>
      <c r="AA7" s="18" t="s">
        <v>16</v>
      </c>
      <c r="AB7" s="18" t="s">
        <v>16</v>
      </c>
      <c r="AC7" s="18" t="s">
        <v>16</v>
      </c>
      <c r="AD7" s="18" t="s">
        <v>16</v>
      </c>
      <c r="AE7" s="18" t="s">
        <v>16</v>
      </c>
      <c r="AF7" s="18" t="s">
        <v>16</v>
      </c>
      <c r="AG7" s="18" t="s">
        <v>16</v>
      </c>
      <c r="AH7" s="18" t="s">
        <v>16</v>
      </c>
      <c r="AI7" s="18" t="s">
        <v>16</v>
      </c>
      <c r="AJ7" s="18" t="s">
        <v>16</v>
      </c>
      <c r="AK7" s="18" t="s">
        <v>16</v>
      </c>
      <c r="AL7" s="18" t="s">
        <v>16</v>
      </c>
      <c r="AM7" s="18" t="s">
        <v>16</v>
      </c>
      <c r="AN7" s="18" t="s">
        <v>16</v>
      </c>
      <c r="AO7" s="18" t="s">
        <v>16</v>
      </c>
      <c r="AP7" s="18" t="s">
        <v>16</v>
      </c>
    </row>
    <row r="8" spans="2:42" ht="18" customHeight="1" x14ac:dyDescent="0.25">
      <c r="B8" s="16">
        <v>21750</v>
      </c>
      <c r="C8" s="18" t="s">
        <v>16</v>
      </c>
      <c r="D8" s="18" t="s">
        <v>16</v>
      </c>
      <c r="E8" s="18" t="s">
        <v>16</v>
      </c>
      <c r="F8" s="18" t="s">
        <v>16</v>
      </c>
      <c r="G8" s="18" t="s">
        <v>16</v>
      </c>
      <c r="H8" s="18" t="s">
        <v>16</v>
      </c>
      <c r="I8" s="18" t="s">
        <v>16</v>
      </c>
      <c r="J8" s="18" t="s">
        <v>16</v>
      </c>
      <c r="K8" s="18" t="s">
        <v>16</v>
      </c>
      <c r="L8" s="18" t="s">
        <v>16</v>
      </c>
      <c r="M8" s="18" t="s">
        <v>16</v>
      </c>
      <c r="N8" s="18" t="s">
        <v>16</v>
      </c>
      <c r="O8" s="18" t="s">
        <v>16</v>
      </c>
      <c r="P8" s="18" t="s">
        <v>16</v>
      </c>
      <c r="Q8" s="18" t="s">
        <v>16</v>
      </c>
      <c r="R8" s="18" t="s">
        <v>16</v>
      </c>
      <c r="S8" s="18" t="s">
        <v>16</v>
      </c>
      <c r="T8" s="18" t="s">
        <v>16</v>
      </c>
      <c r="U8" s="18" t="s">
        <v>16</v>
      </c>
      <c r="V8" s="18" t="s">
        <v>16</v>
      </c>
      <c r="W8" s="18" t="s">
        <v>16</v>
      </c>
      <c r="X8" s="18" t="s">
        <v>16</v>
      </c>
      <c r="Y8" s="18" t="s">
        <v>16</v>
      </c>
      <c r="Z8" s="18" t="s">
        <v>16</v>
      </c>
      <c r="AA8" s="18" t="s">
        <v>16</v>
      </c>
      <c r="AB8" s="18" t="s">
        <v>16</v>
      </c>
      <c r="AC8" s="18" t="s">
        <v>16</v>
      </c>
      <c r="AD8" s="18" t="s">
        <v>16</v>
      </c>
      <c r="AE8" s="18" t="s">
        <v>16</v>
      </c>
      <c r="AF8" s="18" t="s">
        <v>16</v>
      </c>
      <c r="AG8" s="18" t="s">
        <v>16</v>
      </c>
      <c r="AH8" s="18" t="s">
        <v>16</v>
      </c>
      <c r="AI8" s="18" t="s">
        <v>16</v>
      </c>
      <c r="AJ8" s="18" t="s">
        <v>16</v>
      </c>
      <c r="AK8" s="18" t="s">
        <v>16</v>
      </c>
      <c r="AL8" s="18" t="s">
        <v>16</v>
      </c>
      <c r="AM8" s="18" t="s">
        <v>16</v>
      </c>
      <c r="AN8" s="18" t="s">
        <v>16</v>
      </c>
      <c r="AO8" s="18" t="s">
        <v>16</v>
      </c>
      <c r="AP8" s="18" t="s">
        <v>16</v>
      </c>
    </row>
    <row r="9" spans="2:42" ht="18" customHeight="1" x14ac:dyDescent="0.25">
      <c r="B9" s="16">
        <v>21800</v>
      </c>
      <c r="C9" s="18" t="s">
        <v>16</v>
      </c>
      <c r="D9" s="18" t="s">
        <v>16</v>
      </c>
      <c r="E9" s="18" t="s">
        <v>16</v>
      </c>
      <c r="F9" s="18" t="s">
        <v>16</v>
      </c>
      <c r="G9" s="18" t="s">
        <v>16</v>
      </c>
      <c r="H9" s="18" t="s">
        <v>16</v>
      </c>
      <c r="I9" s="18" t="s">
        <v>16</v>
      </c>
      <c r="J9" s="18" t="s">
        <v>16</v>
      </c>
      <c r="K9" s="18" t="s">
        <v>16</v>
      </c>
      <c r="L9" s="18" t="s">
        <v>16</v>
      </c>
      <c r="M9" s="18" t="s">
        <v>16</v>
      </c>
      <c r="N9" s="18" t="s">
        <v>16</v>
      </c>
      <c r="O9" s="18" t="s">
        <v>16</v>
      </c>
      <c r="P9" s="18" t="s">
        <v>16</v>
      </c>
      <c r="Q9" s="18" t="s">
        <v>16</v>
      </c>
      <c r="R9" s="18" t="s">
        <v>16</v>
      </c>
      <c r="S9" s="18" t="s">
        <v>16</v>
      </c>
      <c r="T9" s="18" t="s">
        <v>16</v>
      </c>
      <c r="U9" s="18" t="s">
        <v>16</v>
      </c>
      <c r="V9" s="18" t="s">
        <v>16</v>
      </c>
      <c r="W9" s="18" t="s">
        <v>16</v>
      </c>
      <c r="X9" s="18" t="s">
        <v>16</v>
      </c>
      <c r="Y9" s="18" t="s">
        <v>16</v>
      </c>
      <c r="Z9" s="18" t="s">
        <v>16</v>
      </c>
      <c r="AA9" s="18" t="s">
        <v>16</v>
      </c>
      <c r="AB9" s="18" t="s">
        <v>16</v>
      </c>
      <c r="AC9" s="18" t="s">
        <v>16</v>
      </c>
      <c r="AD9" s="18" t="s">
        <v>16</v>
      </c>
      <c r="AE9" s="18" t="s">
        <v>16</v>
      </c>
      <c r="AF9" s="18" t="s">
        <v>16</v>
      </c>
      <c r="AG9" s="18" t="s">
        <v>16</v>
      </c>
      <c r="AH9" s="18" t="s">
        <v>16</v>
      </c>
      <c r="AI9" s="18" t="s">
        <v>16</v>
      </c>
      <c r="AJ9" s="18" t="s">
        <v>16</v>
      </c>
      <c r="AK9" s="18" t="s">
        <v>16</v>
      </c>
      <c r="AL9" s="18" t="s">
        <v>16</v>
      </c>
      <c r="AM9" s="18" t="s">
        <v>16</v>
      </c>
      <c r="AN9" s="18" t="s">
        <v>16</v>
      </c>
      <c r="AO9" s="18" t="s">
        <v>16</v>
      </c>
      <c r="AP9" s="18" t="s">
        <v>16</v>
      </c>
    </row>
    <row r="10" spans="2:42" ht="18" customHeight="1" x14ac:dyDescent="0.25">
      <c r="B10" s="16">
        <v>21850</v>
      </c>
      <c r="C10" s="18" t="s">
        <v>16</v>
      </c>
      <c r="D10" s="18" t="s">
        <v>16</v>
      </c>
      <c r="E10" s="18" t="s">
        <v>16</v>
      </c>
      <c r="F10" s="18" t="s">
        <v>16</v>
      </c>
      <c r="G10" s="18" t="s">
        <v>16</v>
      </c>
      <c r="H10" s="18" t="s">
        <v>16</v>
      </c>
      <c r="I10" s="18" t="s">
        <v>16</v>
      </c>
      <c r="J10" s="18" t="s">
        <v>16</v>
      </c>
      <c r="K10" s="18" t="s">
        <v>16</v>
      </c>
      <c r="L10" s="18" t="s">
        <v>16</v>
      </c>
      <c r="M10" s="18" t="s">
        <v>16</v>
      </c>
      <c r="N10" s="18" t="s">
        <v>16</v>
      </c>
      <c r="O10" s="18" t="s">
        <v>16</v>
      </c>
      <c r="P10" s="18" t="s">
        <v>16</v>
      </c>
      <c r="Q10" s="18" t="s">
        <v>16</v>
      </c>
      <c r="R10" s="18" t="s">
        <v>16</v>
      </c>
      <c r="S10" s="18" t="s">
        <v>16</v>
      </c>
      <c r="T10" s="18" t="s">
        <v>16</v>
      </c>
      <c r="U10" s="18" t="s">
        <v>16</v>
      </c>
      <c r="V10" s="18" t="s">
        <v>16</v>
      </c>
      <c r="W10" s="18" t="s">
        <v>16</v>
      </c>
      <c r="X10" s="18" t="s">
        <v>16</v>
      </c>
      <c r="Y10" s="18" t="s">
        <v>16</v>
      </c>
      <c r="Z10" s="18" t="s">
        <v>16</v>
      </c>
      <c r="AA10" s="18" t="s">
        <v>16</v>
      </c>
      <c r="AB10" s="18" t="s">
        <v>16</v>
      </c>
      <c r="AC10" s="18" t="s">
        <v>16</v>
      </c>
      <c r="AD10" s="18" t="s">
        <v>16</v>
      </c>
      <c r="AE10" s="18" t="s">
        <v>16</v>
      </c>
      <c r="AF10" s="18" t="s">
        <v>16</v>
      </c>
      <c r="AG10" s="18" t="s">
        <v>16</v>
      </c>
      <c r="AH10" s="18" t="s">
        <v>16</v>
      </c>
      <c r="AI10" s="18" t="s">
        <v>16</v>
      </c>
      <c r="AJ10" s="18" t="s">
        <v>16</v>
      </c>
      <c r="AK10" s="18" t="s">
        <v>16</v>
      </c>
      <c r="AL10" s="18" t="s">
        <v>16</v>
      </c>
      <c r="AM10" s="18" t="s">
        <v>16</v>
      </c>
      <c r="AN10" s="18" t="s">
        <v>16</v>
      </c>
      <c r="AO10" s="18" t="s">
        <v>16</v>
      </c>
      <c r="AP10" s="18" t="s">
        <v>16</v>
      </c>
    </row>
    <row r="11" spans="2:42" ht="18" customHeight="1" x14ac:dyDescent="0.25">
      <c r="B11" s="16">
        <v>21900</v>
      </c>
      <c r="C11" s="18" t="s">
        <v>16</v>
      </c>
      <c r="D11" s="18" t="s">
        <v>16</v>
      </c>
      <c r="E11" s="18" t="s">
        <v>16</v>
      </c>
      <c r="F11" s="18" t="s">
        <v>16</v>
      </c>
      <c r="G11" s="18" t="s">
        <v>16</v>
      </c>
      <c r="H11" s="18" t="s">
        <v>16</v>
      </c>
      <c r="I11" s="18" t="s">
        <v>16</v>
      </c>
      <c r="J11" s="18" t="s">
        <v>16</v>
      </c>
      <c r="K11" s="18" t="s">
        <v>16</v>
      </c>
      <c r="L11" s="18" t="s">
        <v>16</v>
      </c>
      <c r="M11" s="18" t="s">
        <v>16</v>
      </c>
      <c r="N11" s="18" t="s">
        <v>16</v>
      </c>
      <c r="O11" s="18" t="s">
        <v>16</v>
      </c>
      <c r="P11" s="18" t="s">
        <v>16</v>
      </c>
      <c r="Q11" s="18" t="s">
        <v>16</v>
      </c>
      <c r="R11" s="18" t="s">
        <v>16</v>
      </c>
      <c r="S11" s="18" t="s">
        <v>16</v>
      </c>
      <c r="T11" s="18" t="s">
        <v>16</v>
      </c>
      <c r="U11" s="18" t="s">
        <v>16</v>
      </c>
      <c r="V11" s="18" t="s">
        <v>16</v>
      </c>
      <c r="W11" s="18" t="s">
        <v>16</v>
      </c>
      <c r="X11" s="18" t="s">
        <v>16</v>
      </c>
      <c r="Y11" s="18" t="s">
        <v>16</v>
      </c>
      <c r="Z11" s="18" t="s">
        <v>16</v>
      </c>
      <c r="AA11" s="18" t="s">
        <v>16</v>
      </c>
      <c r="AB11" s="18" t="s">
        <v>16</v>
      </c>
      <c r="AC11" s="18" t="s">
        <v>16</v>
      </c>
      <c r="AD11" s="18" t="s">
        <v>16</v>
      </c>
      <c r="AE11" s="18" t="s">
        <v>16</v>
      </c>
      <c r="AF11" s="18" t="s">
        <v>16</v>
      </c>
      <c r="AG11" s="18" t="s">
        <v>16</v>
      </c>
      <c r="AH11" s="18" t="s">
        <v>16</v>
      </c>
      <c r="AI11" s="18" t="s">
        <v>16</v>
      </c>
      <c r="AJ11" s="18" t="s">
        <v>16</v>
      </c>
      <c r="AK11" s="18" t="s">
        <v>16</v>
      </c>
      <c r="AL11" s="18" t="s">
        <v>16</v>
      </c>
      <c r="AM11" s="18" t="s">
        <v>16</v>
      </c>
      <c r="AN11" s="18" t="s">
        <v>16</v>
      </c>
      <c r="AO11" s="18" t="s">
        <v>16</v>
      </c>
      <c r="AP11" s="18" t="s">
        <v>16</v>
      </c>
    </row>
    <row r="12" spans="2:42" ht="18" customHeight="1" x14ac:dyDescent="0.25">
      <c r="B12" s="16">
        <v>21950</v>
      </c>
      <c r="C12" s="18" t="s">
        <v>16</v>
      </c>
      <c r="D12" s="18" t="s">
        <v>16</v>
      </c>
      <c r="E12" s="18" t="s">
        <v>16</v>
      </c>
      <c r="F12" s="18" t="s">
        <v>16</v>
      </c>
      <c r="G12" s="18" t="s">
        <v>16</v>
      </c>
      <c r="H12" s="18" t="s">
        <v>16</v>
      </c>
      <c r="I12" s="18" t="s">
        <v>16</v>
      </c>
      <c r="J12" s="18" t="s">
        <v>16</v>
      </c>
      <c r="K12" s="18" t="s">
        <v>16</v>
      </c>
      <c r="L12" s="18" t="s">
        <v>16</v>
      </c>
      <c r="M12" s="18" t="s">
        <v>16</v>
      </c>
      <c r="N12" s="18" t="s">
        <v>16</v>
      </c>
      <c r="O12" s="18" t="s">
        <v>16</v>
      </c>
      <c r="P12" s="18" t="s">
        <v>16</v>
      </c>
      <c r="Q12" s="18" t="s">
        <v>16</v>
      </c>
      <c r="R12" s="18" t="s">
        <v>16</v>
      </c>
      <c r="S12" s="18" t="s">
        <v>16</v>
      </c>
      <c r="T12" s="18" t="s">
        <v>16</v>
      </c>
      <c r="U12" s="18" t="s">
        <v>16</v>
      </c>
      <c r="V12" s="18" t="s">
        <v>16</v>
      </c>
      <c r="W12" s="18" t="s">
        <v>16</v>
      </c>
      <c r="X12" s="18" t="s">
        <v>16</v>
      </c>
      <c r="Y12" s="18" t="s">
        <v>16</v>
      </c>
      <c r="Z12" s="18" t="s">
        <v>16</v>
      </c>
      <c r="AA12" s="18" t="s">
        <v>16</v>
      </c>
      <c r="AB12" s="18" t="s">
        <v>16</v>
      </c>
      <c r="AC12" s="18" t="s">
        <v>16</v>
      </c>
      <c r="AD12" s="18" t="s">
        <v>16</v>
      </c>
      <c r="AE12" s="18" t="s">
        <v>16</v>
      </c>
      <c r="AF12" s="18" t="s">
        <v>16</v>
      </c>
      <c r="AG12" s="18" t="s">
        <v>16</v>
      </c>
      <c r="AH12" s="18" t="s">
        <v>16</v>
      </c>
      <c r="AI12" s="18" t="s">
        <v>16</v>
      </c>
      <c r="AJ12" s="18" t="s">
        <v>16</v>
      </c>
      <c r="AK12" s="18" t="s">
        <v>16</v>
      </c>
      <c r="AL12" s="18" t="s">
        <v>16</v>
      </c>
      <c r="AM12" s="18" t="s">
        <v>16</v>
      </c>
      <c r="AN12" s="18" t="s">
        <v>16</v>
      </c>
      <c r="AO12" s="18" t="s">
        <v>16</v>
      </c>
      <c r="AP12" s="18" t="s">
        <v>16</v>
      </c>
    </row>
    <row r="13" spans="2:42" ht="18" customHeight="1" x14ac:dyDescent="0.25">
      <c r="B13" s="16">
        <v>22000</v>
      </c>
      <c r="C13" s="18" t="s">
        <v>16</v>
      </c>
      <c r="D13" s="18" t="s">
        <v>16</v>
      </c>
      <c r="E13" s="18" t="s">
        <v>16</v>
      </c>
      <c r="F13" s="18" t="s">
        <v>16</v>
      </c>
      <c r="G13" s="18" t="s">
        <v>16</v>
      </c>
      <c r="H13" s="18" t="s">
        <v>16</v>
      </c>
      <c r="I13" s="18" t="s">
        <v>16</v>
      </c>
      <c r="J13" s="18" t="s">
        <v>16</v>
      </c>
      <c r="K13" s="18" t="s">
        <v>16</v>
      </c>
      <c r="L13" s="18" t="s">
        <v>16</v>
      </c>
      <c r="M13" s="18" t="s">
        <v>16</v>
      </c>
      <c r="N13" s="18" t="s">
        <v>16</v>
      </c>
      <c r="O13" s="18" t="s">
        <v>16</v>
      </c>
      <c r="P13" s="18" t="s">
        <v>16</v>
      </c>
      <c r="Q13" s="18" t="s">
        <v>16</v>
      </c>
      <c r="R13" s="18" t="s">
        <v>16</v>
      </c>
      <c r="S13" s="18" t="s">
        <v>16</v>
      </c>
      <c r="T13" s="18" t="s">
        <v>16</v>
      </c>
      <c r="U13" s="18" t="s">
        <v>16</v>
      </c>
      <c r="V13" s="18" t="s">
        <v>16</v>
      </c>
      <c r="W13" s="18" t="s">
        <v>16</v>
      </c>
      <c r="X13" s="18" t="s">
        <v>16</v>
      </c>
      <c r="Y13" s="18" t="s">
        <v>16</v>
      </c>
      <c r="Z13" s="18" t="s">
        <v>16</v>
      </c>
      <c r="AA13" s="18" t="s">
        <v>16</v>
      </c>
      <c r="AB13" s="18" t="s">
        <v>16</v>
      </c>
      <c r="AC13" s="18" t="s">
        <v>16</v>
      </c>
      <c r="AD13" s="18" t="s">
        <v>16</v>
      </c>
      <c r="AE13" s="18" t="s">
        <v>16</v>
      </c>
      <c r="AF13" s="18" t="s">
        <v>16</v>
      </c>
      <c r="AG13" s="18" t="s">
        <v>16</v>
      </c>
      <c r="AH13" s="18" t="s">
        <v>16</v>
      </c>
      <c r="AI13" s="18" t="s">
        <v>16</v>
      </c>
      <c r="AJ13" s="18" t="s">
        <v>16</v>
      </c>
      <c r="AK13" s="18" t="s">
        <v>16</v>
      </c>
      <c r="AL13" s="18" t="s">
        <v>16</v>
      </c>
      <c r="AM13" s="18" t="s">
        <v>16</v>
      </c>
      <c r="AN13" s="18" t="s">
        <v>16</v>
      </c>
      <c r="AO13" s="18" t="s">
        <v>16</v>
      </c>
      <c r="AP13" s="18" t="s">
        <v>16</v>
      </c>
    </row>
    <row r="14" spans="2:42" ht="18" customHeight="1" x14ac:dyDescent="0.25">
      <c r="B14" s="16">
        <v>22050</v>
      </c>
      <c r="C14" s="18" t="s">
        <v>16</v>
      </c>
      <c r="D14" s="18" t="s">
        <v>16</v>
      </c>
      <c r="E14" s="18" t="s">
        <v>16</v>
      </c>
      <c r="F14" s="18" t="s">
        <v>16</v>
      </c>
      <c r="G14" s="18" t="s">
        <v>16</v>
      </c>
      <c r="H14" s="18" t="s">
        <v>16</v>
      </c>
      <c r="I14" s="18" t="s">
        <v>16</v>
      </c>
      <c r="J14" s="18" t="s">
        <v>16</v>
      </c>
      <c r="K14" s="18" t="s">
        <v>16</v>
      </c>
      <c r="L14" s="18" t="s">
        <v>16</v>
      </c>
      <c r="M14" s="18" t="s">
        <v>16</v>
      </c>
      <c r="N14" s="18" t="s">
        <v>16</v>
      </c>
      <c r="O14" s="18" t="s">
        <v>16</v>
      </c>
      <c r="P14" s="18" t="s">
        <v>16</v>
      </c>
      <c r="Q14" s="18" t="s">
        <v>16</v>
      </c>
      <c r="R14" s="18" t="s">
        <v>16</v>
      </c>
      <c r="S14" s="18" t="s">
        <v>16</v>
      </c>
      <c r="T14" s="18" t="s">
        <v>16</v>
      </c>
      <c r="U14" s="18" t="s">
        <v>16</v>
      </c>
      <c r="V14" s="18" t="s">
        <v>16</v>
      </c>
      <c r="W14" s="18" t="s">
        <v>16</v>
      </c>
      <c r="X14" s="18" t="s">
        <v>16</v>
      </c>
      <c r="Y14" s="18" t="s">
        <v>16</v>
      </c>
      <c r="Z14" s="18" t="s">
        <v>16</v>
      </c>
      <c r="AA14" s="18" t="s">
        <v>16</v>
      </c>
      <c r="AB14" s="18" t="s">
        <v>16</v>
      </c>
      <c r="AC14" s="18" t="s">
        <v>16</v>
      </c>
      <c r="AD14" s="18" t="s">
        <v>16</v>
      </c>
      <c r="AE14" s="18" t="s">
        <v>16</v>
      </c>
      <c r="AF14" s="18" t="s">
        <v>16</v>
      </c>
      <c r="AG14" s="18" t="s">
        <v>16</v>
      </c>
      <c r="AH14" s="18" t="s">
        <v>16</v>
      </c>
      <c r="AI14" s="18" t="s">
        <v>16</v>
      </c>
      <c r="AJ14" s="18" t="s">
        <v>16</v>
      </c>
      <c r="AK14" s="18" t="s">
        <v>16</v>
      </c>
      <c r="AL14" s="18" t="s">
        <v>16</v>
      </c>
      <c r="AM14" s="18" t="s">
        <v>16</v>
      </c>
      <c r="AN14" s="18" t="s">
        <v>16</v>
      </c>
      <c r="AO14" s="18" t="s">
        <v>16</v>
      </c>
      <c r="AP14" s="18" t="s">
        <v>16</v>
      </c>
    </row>
    <row r="15" spans="2:42" ht="18" customHeight="1" x14ac:dyDescent="0.25">
      <c r="B15" s="16">
        <v>22100</v>
      </c>
      <c r="C15" s="18" t="s">
        <v>16</v>
      </c>
      <c r="D15" s="18" t="s">
        <v>16</v>
      </c>
      <c r="E15" s="18" t="s">
        <v>16</v>
      </c>
      <c r="F15" s="18" t="s">
        <v>16</v>
      </c>
      <c r="G15" s="18" t="s">
        <v>16</v>
      </c>
      <c r="H15" s="18" t="s">
        <v>16</v>
      </c>
      <c r="I15" s="18" t="s">
        <v>16</v>
      </c>
      <c r="J15" s="18" t="s">
        <v>16</v>
      </c>
      <c r="K15" s="18" t="s">
        <v>16</v>
      </c>
      <c r="L15" s="18" t="s">
        <v>16</v>
      </c>
      <c r="M15" s="18" t="s">
        <v>16</v>
      </c>
      <c r="N15" s="18" t="s">
        <v>16</v>
      </c>
      <c r="O15" s="18" t="s">
        <v>16</v>
      </c>
      <c r="P15" s="18" t="s">
        <v>16</v>
      </c>
      <c r="Q15" s="18" t="s">
        <v>16</v>
      </c>
      <c r="R15" s="18" t="s">
        <v>16</v>
      </c>
      <c r="S15" s="18" t="s">
        <v>16</v>
      </c>
      <c r="T15" s="18" t="s">
        <v>16</v>
      </c>
      <c r="U15" s="18" t="s">
        <v>16</v>
      </c>
      <c r="V15" s="18" t="s">
        <v>16</v>
      </c>
      <c r="W15" s="18" t="s">
        <v>16</v>
      </c>
      <c r="X15" s="18" t="s">
        <v>16</v>
      </c>
      <c r="Y15" s="18" t="s">
        <v>16</v>
      </c>
      <c r="Z15" s="18" t="s">
        <v>16</v>
      </c>
      <c r="AA15" s="18" t="s">
        <v>16</v>
      </c>
      <c r="AB15" s="18" t="s">
        <v>16</v>
      </c>
      <c r="AC15" s="18" t="s">
        <v>16</v>
      </c>
      <c r="AD15" s="18" t="s">
        <v>16</v>
      </c>
      <c r="AE15" s="18" t="s">
        <v>16</v>
      </c>
      <c r="AF15" s="18" t="s">
        <v>16</v>
      </c>
      <c r="AG15" s="18" t="s">
        <v>16</v>
      </c>
      <c r="AH15" s="18" t="s">
        <v>16</v>
      </c>
      <c r="AI15" s="18" t="s">
        <v>16</v>
      </c>
      <c r="AJ15" s="18" t="s">
        <v>16</v>
      </c>
      <c r="AK15" s="18" t="s">
        <v>16</v>
      </c>
      <c r="AL15" s="18" t="s">
        <v>16</v>
      </c>
      <c r="AM15" s="18" t="s">
        <v>16</v>
      </c>
      <c r="AN15" s="18" t="s">
        <v>16</v>
      </c>
      <c r="AO15" s="18" t="s">
        <v>16</v>
      </c>
      <c r="AP15" s="18" t="s">
        <v>16</v>
      </c>
    </row>
    <row r="16" spans="2:42" ht="18" customHeight="1" x14ac:dyDescent="0.25">
      <c r="B16" s="16">
        <v>22150</v>
      </c>
      <c r="C16" s="18" t="s">
        <v>16</v>
      </c>
      <c r="D16" s="18" t="s">
        <v>16</v>
      </c>
      <c r="E16" s="18" t="s">
        <v>16</v>
      </c>
      <c r="F16" s="18" t="s">
        <v>16</v>
      </c>
      <c r="G16" s="18" t="s">
        <v>16</v>
      </c>
      <c r="H16" s="18" t="s">
        <v>16</v>
      </c>
      <c r="I16" s="18" t="s">
        <v>16</v>
      </c>
      <c r="J16" s="18" t="s">
        <v>16</v>
      </c>
      <c r="K16" s="18" t="s">
        <v>16</v>
      </c>
      <c r="L16" s="18" t="s">
        <v>16</v>
      </c>
      <c r="M16" s="18" t="s">
        <v>16</v>
      </c>
      <c r="N16" s="18" t="s">
        <v>16</v>
      </c>
      <c r="O16" s="18" t="s">
        <v>16</v>
      </c>
      <c r="P16" s="18" t="s">
        <v>16</v>
      </c>
      <c r="Q16" s="18" t="s">
        <v>16</v>
      </c>
      <c r="R16" s="18" t="s">
        <v>16</v>
      </c>
      <c r="S16" s="18" t="s">
        <v>16</v>
      </c>
      <c r="T16" s="18" t="s">
        <v>16</v>
      </c>
      <c r="U16" s="18" t="s">
        <v>16</v>
      </c>
      <c r="V16" s="18" t="s">
        <v>16</v>
      </c>
      <c r="W16" s="18" t="s">
        <v>16</v>
      </c>
      <c r="X16" s="18" t="s">
        <v>16</v>
      </c>
      <c r="Y16" s="18" t="s">
        <v>16</v>
      </c>
      <c r="Z16" s="18" t="s">
        <v>16</v>
      </c>
      <c r="AA16" s="18" t="s">
        <v>16</v>
      </c>
      <c r="AB16" s="18" t="s">
        <v>16</v>
      </c>
      <c r="AC16" s="18" t="s">
        <v>16</v>
      </c>
      <c r="AD16" s="18" t="s">
        <v>16</v>
      </c>
      <c r="AE16" s="18" t="s">
        <v>16</v>
      </c>
      <c r="AF16" s="18" t="s">
        <v>16</v>
      </c>
      <c r="AG16" s="18" t="s">
        <v>16</v>
      </c>
      <c r="AH16" s="18" t="s">
        <v>16</v>
      </c>
      <c r="AI16" s="18" t="s">
        <v>16</v>
      </c>
      <c r="AJ16" s="18" t="s">
        <v>16</v>
      </c>
      <c r="AK16" s="18" t="s">
        <v>16</v>
      </c>
      <c r="AL16" s="18" t="s">
        <v>16</v>
      </c>
      <c r="AM16" s="18" t="s">
        <v>16</v>
      </c>
      <c r="AN16" s="18" t="s">
        <v>16</v>
      </c>
      <c r="AO16" s="18" t="s">
        <v>16</v>
      </c>
      <c r="AP16" s="18" t="s">
        <v>16</v>
      </c>
    </row>
    <row r="17" spans="2:42" ht="18" customHeight="1" x14ac:dyDescent="0.25">
      <c r="B17" s="16">
        <v>22200</v>
      </c>
      <c r="C17" s="18" t="s">
        <v>16</v>
      </c>
      <c r="D17" s="18" t="s">
        <v>16</v>
      </c>
      <c r="E17" s="18" t="s">
        <v>16</v>
      </c>
      <c r="F17" s="18" t="s">
        <v>16</v>
      </c>
      <c r="G17" s="18" t="s">
        <v>16</v>
      </c>
      <c r="H17" s="18" t="s">
        <v>16</v>
      </c>
      <c r="I17" s="18" t="s">
        <v>16</v>
      </c>
      <c r="J17" s="18" t="s">
        <v>16</v>
      </c>
      <c r="K17" s="18" t="s">
        <v>16</v>
      </c>
      <c r="L17" s="18" t="s">
        <v>16</v>
      </c>
      <c r="M17" s="18" t="s">
        <v>16</v>
      </c>
      <c r="N17" s="18" t="s">
        <v>16</v>
      </c>
      <c r="O17" s="18" t="s">
        <v>16</v>
      </c>
      <c r="P17" s="18" t="s">
        <v>16</v>
      </c>
      <c r="Q17" s="18" t="s">
        <v>16</v>
      </c>
      <c r="R17" s="18" t="s">
        <v>16</v>
      </c>
      <c r="S17" s="18" t="s">
        <v>16</v>
      </c>
      <c r="T17" s="18" t="s">
        <v>16</v>
      </c>
      <c r="U17" s="18" t="s">
        <v>16</v>
      </c>
      <c r="V17" s="18" t="s">
        <v>16</v>
      </c>
      <c r="W17" s="18" t="s">
        <v>16</v>
      </c>
      <c r="X17" s="18" t="s">
        <v>16</v>
      </c>
      <c r="Y17" s="18" t="s">
        <v>16</v>
      </c>
      <c r="Z17" s="18" t="s">
        <v>16</v>
      </c>
      <c r="AA17" s="18" t="s">
        <v>16</v>
      </c>
      <c r="AB17" s="18" t="s">
        <v>16</v>
      </c>
      <c r="AC17" s="18" t="s">
        <v>16</v>
      </c>
      <c r="AD17" s="18" t="s">
        <v>16</v>
      </c>
      <c r="AE17" s="18" t="s">
        <v>16</v>
      </c>
      <c r="AF17" s="18" t="s">
        <v>16</v>
      </c>
      <c r="AG17" s="18" t="s">
        <v>16</v>
      </c>
      <c r="AH17" s="18" t="s">
        <v>16</v>
      </c>
      <c r="AI17" s="18" t="s">
        <v>16</v>
      </c>
      <c r="AJ17" s="18" t="s">
        <v>16</v>
      </c>
      <c r="AK17" s="18" t="s">
        <v>16</v>
      </c>
      <c r="AL17" s="18" t="s">
        <v>16</v>
      </c>
      <c r="AM17" s="18" t="s">
        <v>16</v>
      </c>
      <c r="AN17" s="18" t="s">
        <v>16</v>
      </c>
      <c r="AO17" s="18" t="s">
        <v>16</v>
      </c>
      <c r="AP17" s="18" t="s">
        <v>16</v>
      </c>
    </row>
    <row r="18" spans="2:42" ht="18" customHeight="1" x14ac:dyDescent="0.25">
      <c r="B18" s="16">
        <v>22250</v>
      </c>
      <c r="C18" s="18" t="s">
        <v>16</v>
      </c>
      <c r="D18" s="18" t="s">
        <v>16</v>
      </c>
      <c r="E18" s="18" t="s">
        <v>16</v>
      </c>
      <c r="F18" s="18" t="s">
        <v>16</v>
      </c>
      <c r="G18" s="18" t="s">
        <v>16</v>
      </c>
      <c r="H18" s="18" t="s">
        <v>16</v>
      </c>
      <c r="I18" s="18" t="s">
        <v>16</v>
      </c>
      <c r="J18" s="18" t="s">
        <v>16</v>
      </c>
      <c r="K18" s="18" t="s">
        <v>16</v>
      </c>
      <c r="L18" s="18" t="s">
        <v>16</v>
      </c>
      <c r="M18" s="18" t="s">
        <v>16</v>
      </c>
      <c r="N18" s="18" t="s">
        <v>16</v>
      </c>
      <c r="O18" s="18" t="s">
        <v>16</v>
      </c>
      <c r="P18" s="18" t="s">
        <v>16</v>
      </c>
      <c r="Q18" s="18" t="s">
        <v>16</v>
      </c>
      <c r="R18" s="18" t="s">
        <v>16</v>
      </c>
      <c r="S18" s="18" t="s">
        <v>16</v>
      </c>
      <c r="T18" s="18" t="s">
        <v>16</v>
      </c>
      <c r="U18" s="18" t="s">
        <v>16</v>
      </c>
      <c r="V18" s="18" t="s">
        <v>16</v>
      </c>
      <c r="W18" s="18" t="s">
        <v>16</v>
      </c>
      <c r="X18" s="18" t="s">
        <v>16</v>
      </c>
      <c r="Y18" s="18" t="s">
        <v>16</v>
      </c>
      <c r="Z18" s="18" t="s">
        <v>16</v>
      </c>
      <c r="AA18" s="18" t="s">
        <v>16</v>
      </c>
      <c r="AB18" s="18" t="s">
        <v>16</v>
      </c>
      <c r="AC18" s="18" t="s">
        <v>16</v>
      </c>
      <c r="AD18" s="18" t="s">
        <v>16</v>
      </c>
      <c r="AE18" s="18" t="s">
        <v>16</v>
      </c>
      <c r="AF18" s="18" t="s">
        <v>16</v>
      </c>
      <c r="AG18" s="18" t="s">
        <v>16</v>
      </c>
      <c r="AH18" s="18" t="s">
        <v>16</v>
      </c>
      <c r="AI18" s="18" t="s">
        <v>16</v>
      </c>
      <c r="AJ18" s="18" t="s">
        <v>16</v>
      </c>
      <c r="AK18" s="18" t="s">
        <v>16</v>
      </c>
      <c r="AL18" s="18" t="s">
        <v>16</v>
      </c>
      <c r="AM18" s="18" t="s">
        <v>16</v>
      </c>
      <c r="AN18" s="18" t="s">
        <v>16</v>
      </c>
      <c r="AO18" s="18" t="s">
        <v>16</v>
      </c>
      <c r="AP18" s="18" t="s">
        <v>16</v>
      </c>
    </row>
    <row r="19" spans="2:42" ht="18" customHeight="1" x14ac:dyDescent="0.25">
      <c r="B19" s="16">
        <v>22300</v>
      </c>
      <c r="C19" s="18" t="s">
        <v>16</v>
      </c>
      <c r="D19" s="18" t="s">
        <v>16</v>
      </c>
      <c r="E19" s="18" t="s">
        <v>16</v>
      </c>
      <c r="F19" s="18" t="s">
        <v>16</v>
      </c>
      <c r="G19" s="18" t="s">
        <v>16</v>
      </c>
      <c r="H19" s="18" t="s">
        <v>16</v>
      </c>
      <c r="I19" s="18" t="s">
        <v>16</v>
      </c>
      <c r="J19" s="18" t="s">
        <v>16</v>
      </c>
      <c r="K19" s="18" t="s">
        <v>16</v>
      </c>
      <c r="L19" s="18" t="s">
        <v>16</v>
      </c>
      <c r="M19" s="18" t="s">
        <v>16</v>
      </c>
      <c r="N19" s="18" t="s">
        <v>16</v>
      </c>
      <c r="O19" s="18" t="s">
        <v>16</v>
      </c>
      <c r="P19" s="18" t="s">
        <v>16</v>
      </c>
      <c r="Q19" s="18" t="s">
        <v>16</v>
      </c>
      <c r="R19" s="18" t="s">
        <v>16</v>
      </c>
      <c r="S19" s="18" t="s">
        <v>16</v>
      </c>
      <c r="T19" s="18" t="s">
        <v>16</v>
      </c>
      <c r="U19" s="18" t="s">
        <v>16</v>
      </c>
      <c r="V19" s="18" t="s">
        <v>16</v>
      </c>
      <c r="W19" s="18" t="s">
        <v>16</v>
      </c>
      <c r="X19" s="18" t="s">
        <v>16</v>
      </c>
      <c r="Y19" s="18" t="s">
        <v>16</v>
      </c>
      <c r="Z19" s="18" t="s">
        <v>16</v>
      </c>
      <c r="AA19" s="18" t="s">
        <v>16</v>
      </c>
      <c r="AB19" s="18" t="s">
        <v>16</v>
      </c>
      <c r="AC19" s="18" t="s">
        <v>16</v>
      </c>
      <c r="AD19" s="18" t="s">
        <v>16</v>
      </c>
      <c r="AE19" s="18" t="s">
        <v>16</v>
      </c>
      <c r="AF19" s="18" t="s">
        <v>16</v>
      </c>
      <c r="AG19" s="18" t="s">
        <v>16</v>
      </c>
      <c r="AH19" s="18" t="s">
        <v>16</v>
      </c>
      <c r="AI19" s="18" t="s">
        <v>16</v>
      </c>
      <c r="AJ19" s="18" t="s">
        <v>16</v>
      </c>
      <c r="AK19" s="18" t="s">
        <v>16</v>
      </c>
      <c r="AL19" s="18" t="s">
        <v>16</v>
      </c>
      <c r="AM19" s="18" t="s">
        <v>16</v>
      </c>
      <c r="AN19" s="18" t="s">
        <v>16</v>
      </c>
      <c r="AO19" s="18" t="s">
        <v>16</v>
      </c>
      <c r="AP19" s="18" t="s">
        <v>16</v>
      </c>
    </row>
    <row r="20" spans="2:42" ht="18" customHeight="1" x14ac:dyDescent="0.25">
      <c r="B20" s="16">
        <v>22350</v>
      </c>
      <c r="C20" s="18" t="s">
        <v>16</v>
      </c>
      <c r="D20" s="18" t="s">
        <v>16</v>
      </c>
      <c r="E20" s="18" t="s">
        <v>16</v>
      </c>
      <c r="F20" s="18" t="s">
        <v>16</v>
      </c>
      <c r="G20" s="18" t="s">
        <v>16</v>
      </c>
      <c r="H20" s="18" t="s">
        <v>16</v>
      </c>
      <c r="I20" s="18" t="s">
        <v>16</v>
      </c>
      <c r="J20" s="18" t="s">
        <v>16</v>
      </c>
      <c r="K20" s="18" t="s">
        <v>16</v>
      </c>
      <c r="L20" s="18" t="s">
        <v>16</v>
      </c>
      <c r="M20" s="18" t="s">
        <v>16</v>
      </c>
      <c r="N20" s="18" t="s">
        <v>16</v>
      </c>
      <c r="O20" s="18" t="s">
        <v>16</v>
      </c>
      <c r="P20" s="18" t="s">
        <v>16</v>
      </c>
      <c r="Q20" s="18" t="s">
        <v>16</v>
      </c>
      <c r="R20" s="18" t="s">
        <v>16</v>
      </c>
      <c r="S20" s="18" t="s">
        <v>16</v>
      </c>
      <c r="T20" s="18" t="s">
        <v>16</v>
      </c>
      <c r="U20" s="18" t="s">
        <v>16</v>
      </c>
      <c r="V20" s="18" t="s">
        <v>16</v>
      </c>
      <c r="W20" s="18" t="s">
        <v>16</v>
      </c>
      <c r="X20" s="18" t="s">
        <v>16</v>
      </c>
      <c r="Y20" s="18" t="s">
        <v>16</v>
      </c>
      <c r="Z20" s="18" t="s">
        <v>16</v>
      </c>
      <c r="AA20" s="18" t="s">
        <v>16</v>
      </c>
      <c r="AB20" s="18" t="s">
        <v>16</v>
      </c>
      <c r="AC20" s="18" t="s">
        <v>16</v>
      </c>
      <c r="AD20" s="18" t="s">
        <v>16</v>
      </c>
      <c r="AE20" s="18" t="s">
        <v>16</v>
      </c>
      <c r="AF20" s="18" t="s">
        <v>16</v>
      </c>
      <c r="AG20" s="18" t="s">
        <v>16</v>
      </c>
      <c r="AH20" s="18" t="s">
        <v>16</v>
      </c>
      <c r="AI20" s="18" t="s">
        <v>16</v>
      </c>
      <c r="AJ20" s="18" t="s">
        <v>16</v>
      </c>
      <c r="AK20" s="18" t="s">
        <v>16</v>
      </c>
      <c r="AL20" s="18" t="s">
        <v>16</v>
      </c>
      <c r="AM20" s="18" t="s">
        <v>16</v>
      </c>
      <c r="AN20" s="18" t="s">
        <v>16</v>
      </c>
      <c r="AO20" s="18" t="s">
        <v>16</v>
      </c>
      <c r="AP20" s="18" t="s">
        <v>16</v>
      </c>
    </row>
    <row r="21" spans="2:42" ht="18" customHeight="1" x14ac:dyDescent="0.25">
      <c r="B21" s="16">
        <v>22400</v>
      </c>
      <c r="C21" s="18" t="s">
        <v>16</v>
      </c>
      <c r="D21" s="18" t="s">
        <v>16</v>
      </c>
      <c r="E21" s="18" t="s">
        <v>16</v>
      </c>
      <c r="F21" s="18" t="s">
        <v>16</v>
      </c>
      <c r="G21" s="18" t="s">
        <v>16</v>
      </c>
      <c r="H21" s="18" t="s">
        <v>16</v>
      </c>
      <c r="I21" s="18" t="s">
        <v>16</v>
      </c>
      <c r="J21" s="18" t="s">
        <v>16</v>
      </c>
      <c r="K21" s="18" t="s">
        <v>16</v>
      </c>
      <c r="L21" s="18" t="s">
        <v>16</v>
      </c>
      <c r="M21" s="18" t="s">
        <v>16</v>
      </c>
      <c r="N21" s="18" t="s">
        <v>16</v>
      </c>
      <c r="O21" s="18" t="s">
        <v>16</v>
      </c>
      <c r="P21" s="18" t="s">
        <v>16</v>
      </c>
      <c r="Q21" s="18" t="s">
        <v>16</v>
      </c>
      <c r="R21" s="18" t="s">
        <v>16</v>
      </c>
      <c r="S21" s="18" t="s">
        <v>16</v>
      </c>
      <c r="T21" s="18" t="s">
        <v>16</v>
      </c>
      <c r="U21" s="18" t="s">
        <v>16</v>
      </c>
      <c r="V21" s="18" t="s">
        <v>16</v>
      </c>
      <c r="W21" s="18" t="s">
        <v>16</v>
      </c>
      <c r="X21" s="18" t="s">
        <v>16</v>
      </c>
      <c r="Y21" s="18" t="s">
        <v>16</v>
      </c>
      <c r="Z21" s="18" t="s">
        <v>16</v>
      </c>
      <c r="AA21" s="18" t="s">
        <v>16</v>
      </c>
      <c r="AB21" s="18" t="s">
        <v>16</v>
      </c>
      <c r="AC21" s="18" t="s">
        <v>16</v>
      </c>
      <c r="AD21" s="18" t="s">
        <v>16</v>
      </c>
      <c r="AE21" s="18" t="s">
        <v>16</v>
      </c>
      <c r="AF21" s="18" t="s">
        <v>16</v>
      </c>
      <c r="AG21" s="18" t="s">
        <v>16</v>
      </c>
      <c r="AH21" s="18" t="s">
        <v>16</v>
      </c>
      <c r="AI21" s="18" t="s">
        <v>16</v>
      </c>
      <c r="AJ21" s="18" t="s">
        <v>16</v>
      </c>
      <c r="AK21" s="18" t="s">
        <v>16</v>
      </c>
      <c r="AL21" s="18" t="s">
        <v>16</v>
      </c>
      <c r="AM21" s="18" t="s">
        <v>16</v>
      </c>
      <c r="AN21" s="18" t="s">
        <v>16</v>
      </c>
      <c r="AO21" s="18" t="s">
        <v>16</v>
      </c>
      <c r="AP21" s="18" t="s">
        <v>16</v>
      </c>
    </row>
    <row r="22" spans="2:42" ht="18" customHeight="1" x14ac:dyDescent="0.25">
      <c r="B22" s="16">
        <v>22450</v>
      </c>
      <c r="C22" s="18" t="s">
        <v>16</v>
      </c>
      <c r="D22" s="18" t="s">
        <v>16</v>
      </c>
      <c r="E22" s="18" t="s">
        <v>16</v>
      </c>
      <c r="F22" s="18" t="s">
        <v>16</v>
      </c>
      <c r="G22" s="18" t="s">
        <v>16</v>
      </c>
      <c r="H22" s="18" t="s">
        <v>16</v>
      </c>
      <c r="I22" s="18" t="s">
        <v>16</v>
      </c>
      <c r="J22" s="18" t="s">
        <v>16</v>
      </c>
      <c r="K22" s="18" t="s">
        <v>16</v>
      </c>
      <c r="L22" s="18" t="s">
        <v>16</v>
      </c>
      <c r="M22" s="18" t="s">
        <v>16</v>
      </c>
      <c r="N22" s="18" t="s">
        <v>16</v>
      </c>
      <c r="O22" s="18" t="s">
        <v>16</v>
      </c>
      <c r="P22" s="18" t="s">
        <v>16</v>
      </c>
      <c r="Q22" s="18" t="s">
        <v>16</v>
      </c>
      <c r="R22" s="18" t="s">
        <v>16</v>
      </c>
      <c r="S22" s="18" t="s">
        <v>16</v>
      </c>
      <c r="T22" s="18" t="s">
        <v>16</v>
      </c>
      <c r="U22" s="18" t="s">
        <v>16</v>
      </c>
      <c r="V22" s="18" t="s">
        <v>16</v>
      </c>
      <c r="W22" s="18" t="s">
        <v>16</v>
      </c>
      <c r="X22" s="18" t="s">
        <v>16</v>
      </c>
      <c r="Y22" s="18" t="s">
        <v>16</v>
      </c>
      <c r="Z22" s="18" t="s">
        <v>16</v>
      </c>
      <c r="AA22" s="18" t="s">
        <v>16</v>
      </c>
      <c r="AB22" s="18" t="s">
        <v>16</v>
      </c>
      <c r="AC22" s="18" t="s">
        <v>16</v>
      </c>
      <c r="AD22" s="18" t="s">
        <v>16</v>
      </c>
      <c r="AE22" s="18" t="s">
        <v>16</v>
      </c>
      <c r="AF22" s="18" t="s">
        <v>16</v>
      </c>
      <c r="AG22" s="18" t="s">
        <v>16</v>
      </c>
      <c r="AH22" s="18" t="s">
        <v>16</v>
      </c>
      <c r="AI22" s="18" t="s">
        <v>16</v>
      </c>
      <c r="AJ22" s="18" t="s">
        <v>16</v>
      </c>
      <c r="AK22" s="18" t="s">
        <v>16</v>
      </c>
      <c r="AL22" s="18" t="s">
        <v>16</v>
      </c>
      <c r="AM22" s="18" t="s">
        <v>16</v>
      </c>
      <c r="AN22" s="18" t="s">
        <v>16</v>
      </c>
      <c r="AO22" s="18" t="s">
        <v>16</v>
      </c>
      <c r="AP22" s="18" t="s">
        <v>16</v>
      </c>
    </row>
    <row r="23" spans="2:42" ht="18" customHeight="1" x14ac:dyDescent="0.25">
      <c r="B23" s="16">
        <v>22500</v>
      </c>
      <c r="C23" s="18" t="s">
        <v>16</v>
      </c>
      <c r="D23" s="18" t="s">
        <v>16</v>
      </c>
      <c r="E23" s="18" t="s">
        <v>16</v>
      </c>
      <c r="F23" s="18" t="s">
        <v>16</v>
      </c>
      <c r="G23" s="18" t="s">
        <v>16</v>
      </c>
      <c r="H23" s="18" t="s">
        <v>16</v>
      </c>
      <c r="I23" s="18" t="s">
        <v>16</v>
      </c>
      <c r="J23" s="18" t="s">
        <v>16</v>
      </c>
      <c r="K23" s="18" t="s">
        <v>16</v>
      </c>
      <c r="L23" s="18" t="s">
        <v>16</v>
      </c>
      <c r="M23" s="18" t="s">
        <v>16</v>
      </c>
      <c r="N23" s="18" t="s">
        <v>16</v>
      </c>
      <c r="O23" s="18" t="s">
        <v>16</v>
      </c>
      <c r="P23" s="18" t="s">
        <v>16</v>
      </c>
      <c r="Q23" s="18" t="s">
        <v>16</v>
      </c>
      <c r="R23" s="18" t="s">
        <v>16</v>
      </c>
      <c r="S23" s="18" t="s">
        <v>16</v>
      </c>
      <c r="T23" s="18" t="s">
        <v>16</v>
      </c>
      <c r="U23" s="18" t="s">
        <v>16</v>
      </c>
      <c r="V23" s="18" t="s">
        <v>16</v>
      </c>
      <c r="W23" s="18" t="s">
        <v>16</v>
      </c>
      <c r="X23" s="18" t="s">
        <v>16</v>
      </c>
      <c r="Y23" s="18" t="s">
        <v>16</v>
      </c>
      <c r="Z23" s="18" t="s">
        <v>16</v>
      </c>
      <c r="AA23" s="18" t="s">
        <v>16</v>
      </c>
      <c r="AB23" s="18" t="s">
        <v>16</v>
      </c>
      <c r="AC23" s="18" t="s">
        <v>16</v>
      </c>
      <c r="AD23" s="18" t="s">
        <v>16</v>
      </c>
      <c r="AE23" s="18" t="s">
        <v>16</v>
      </c>
      <c r="AF23" s="18" t="s">
        <v>16</v>
      </c>
      <c r="AG23" s="18" t="s">
        <v>16</v>
      </c>
      <c r="AH23" s="18" t="s">
        <v>16</v>
      </c>
      <c r="AI23" s="18" t="s">
        <v>16</v>
      </c>
      <c r="AJ23" s="18" t="s">
        <v>16</v>
      </c>
      <c r="AK23" s="18" t="s">
        <v>16</v>
      </c>
      <c r="AL23" s="18" t="s">
        <v>16</v>
      </c>
      <c r="AM23" s="18" t="s">
        <v>16</v>
      </c>
      <c r="AN23" s="18" t="s">
        <v>16</v>
      </c>
      <c r="AO23" s="18" t="s">
        <v>16</v>
      </c>
      <c r="AP23" s="18" t="s">
        <v>16</v>
      </c>
    </row>
    <row r="24" spans="2:42" ht="18" customHeight="1" x14ac:dyDescent="0.25">
      <c r="B24" s="17">
        <v>22550</v>
      </c>
      <c r="C24" s="18" t="s">
        <v>16</v>
      </c>
      <c r="D24" s="18" t="s">
        <v>16</v>
      </c>
      <c r="E24" s="18" t="s">
        <v>16</v>
      </c>
      <c r="F24" s="18" t="s">
        <v>16</v>
      </c>
      <c r="G24" s="18" t="s">
        <v>16</v>
      </c>
      <c r="H24" s="18" t="s">
        <v>16</v>
      </c>
      <c r="I24" s="18" t="s">
        <v>16</v>
      </c>
      <c r="J24" s="18" t="s">
        <v>16</v>
      </c>
      <c r="K24" s="18" t="s">
        <v>16</v>
      </c>
      <c r="L24" s="18" t="s">
        <v>16</v>
      </c>
      <c r="M24" s="18" t="s">
        <v>16</v>
      </c>
      <c r="N24" s="18" t="s">
        <v>16</v>
      </c>
      <c r="O24" s="18" t="s">
        <v>16</v>
      </c>
      <c r="P24" s="18" t="s">
        <v>16</v>
      </c>
      <c r="Q24" s="18" t="s">
        <v>16</v>
      </c>
      <c r="R24" s="18" t="s">
        <v>16</v>
      </c>
      <c r="S24" s="18" t="s">
        <v>16</v>
      </c>
      <c r="T24" s="18" t="s">
        <v>16</v>
      </c>
      <c r="U24" s="18" t="s">
        <v>16</v>
      </c>
      <c r="V24" s="18" t="s">
        <v>16</v>
      </c>
      <c r="W24" s="18" t="s">
        <v>16</v>
      </c>
      <c r="X24" s="18" t="s">
        <v>16</v>
      </c>
      <c r="Y24" s="18" t="s">
        <v>16</v>
      </c>
      <c r="Z24" s="18" t="s">
        <v>16</v>
      </c>
      <c r="AA24" s="18" t="s">
        <v>16</v>
      </c>
      <c r="AB24" s="18" t="s">
        <v>16</v>
      </c>
      <c r="AC24" s="18" t="s">
        <v>16</v>
      </c>
      <c r="AD24" s="18" t="s">
        <v>16</v>
      </c>
      <c r="AE24" s="18" t="s">
        <v>16</v>
      </c>
      <c r="AF24" s="18" t="s">
        <v>16</v>
      </c>
      <c r="AG24" s="18" t="s">
        <v>16</v>
      </c>
      <c r="AH24" s="18" t="s">
        <v>16</v>
      </c>
      <c r="AI24" s="18" t="s">
        <v>16</v>
      </c>
      <c r="AJ24" s="18" t="s">
        <v>16</v>
      </c>
      <c r="AK24" s="18" t="s">
        <v>16</v>
      </c>
      <c r="AL24" s="18" t="s">
        <v>16</v>
      </c>
      <c r="AM24" s="18" t="s">
        <v>16</v>
      </c>
      <c r="AN24" s="18" t="s">
        <v>16</v>
      </c>
      <c r="AO24" s="18" t="s">
        <v>16</v>
      </c>
      <c r="AP24" s="18" t="s">
        <v>16</v>
      </c>
    </row>
    <row r="25" spans="2:42" ht="18" customHeight="1" x14ac:dyDescent="0.25">
      <c r="B25" s="16">
        <v>22600</v>
      </c>
      <c r="C25" s="18" t="s">
        <v>16</v>
      </c>
      <c r="D25" s="18" t="s">
        <v>16</v>
      </c>
      <c r="E25" s="18" t="s">
        <v>16</v>
      </c>
      <c r="F25" s="18" t="s">
        <v>16</v>
      </c>
      <c r="G25" s="18" t="s">
        <v>16</v>
      </c>
      <c r="H25" s="18" t="s">
        <v>16</v>
      </c>
      <c r="I25" s="18" t="s">
        <v>16</v>
      </c>
      <c r="J25" s="18" t="s">
        <v>16</v>
      </c>
      <c r="K25" s="18" t="s">
        <v>16</v>
      </c>
      <c r="L25" s="18" t="s">
        <v>16</v>
      </c>
      <c r="M25" s="18" t="s">
        <v>16</v>
      </c>
      <c r="N25" s="18" t="s">
        <v>16</v>
      </c>
      <c r="O25" s="18" t="s">
        <v>16</v>
      </c>
      <c r="P25" s="18" t="s">
        <v>16</v>
      </c>
      <c r="Q25" s="18" t="s">
        <v>16</v>
      </c>
      <c r="R25" s="18" t="s">
        <v>16</v>
      </c>
      <c r="S25" s="18" t="s">
        <v>16</v>
      </c>
      <c r="T25" s="18" t="s">
        <v>16</v>
      </c>
      <c r="U25" s="18" t="s">
        <v>16</v>
      </c>
      <c r="V25" s="18" t="s">
        <v>16</v>
      </c>
      <c r="W25" s="18" t="s">
        <v>16</v>
      </c>
      <c r="X25" s="18" t="s">
        <v>16</v>
      </c>
      <c r="Y25" s="18" t="s">
        <v>16</v>
      </c>
      <c r="Z25" s="18" t="s">
        <v>16</v>
      </c>
      <c r="AA25" s="18" t="s">
        <v>16</v>
      </c>
      <c r="AB25" s="18" t="s">
        <v>16</v>
      </c>
      <c r="AC25" s="18" t="s">
        <v>16</v>
      </c>
      <c r="AD25" s="18" t="s">
        <v>16</v>
      </c>
      <c r="AE25" s="18" t="s">
        <v>16</v>
      </c>
      <c r="AF25" s="18" t="s">
        <v>16</v>
      </c>
      <c r="AG25" s="18" t="s">
        <v>16</v>
      </c>
      <c r="AH25" s="18" t="s">
        <v>16</v>
      </c>
      <c r="AI25" s="18" t="s">
        <v>16</v>
      </c>
      <c r="AJ25" s="18" t="s">
        <v>16</v>
      </c>
      <c r="AK25" s="18" t="s">
        <v>16</v>
      </c>
      <c r="AL25" s="18" t="s">
        <v>16</v>
      </c>
      <c r="AM25" s="18" t="s">
        <v>16</v>
      </c>
      <c r="AN25" s="18" t="s">
        <v>16</v>
      </c>
      <c r="AO25" s="18" t="s">
        <v>16</v>
      </c>
      <c r="AP25" s="18" t="s">
        <v>16</v>
      </c>
    </row>
    <row r="26" spans="2:42" ht="18" customHeight="1" x14ac:dyDescent="0.25">
      <c r="B26" s="16">
        <v>22650</v>
      </c>
      <c r="C26" s="18" t="s">
        <v>16</v>
      </c>
      <c r="D26" s="18" t="s">
        <v>16</v>
      </c>
      <c r="E26" s="18" t="s">
        <v>16</v>
      </c>
      <c r="F26" s="18" t="s">
        <v>16</v>
      </c>
      <c r="G26" s="18" t="s">
        <v>16</v>
      </c>
      <c r="H26" s="18" t="s">
        <v>16</v>
      </c>
      <c r="I26" s="18" t="s">
        <v>16</v>
      </c>
      <c r="J26" s="18" t="s">
        <v>16</v>
      </c>
      <c r="K26" s="18" t="s">
        <v>16</v>
      </c>
      <c r="L26" s="18" t="s">
        <v>16</v>
      </c>
      <c r="M26" s="18" t="s">
        <v>16</v>
      </c>
      <c r="N26" s="18" t="s">
        <v>16</v>
      </c>
      <c r="O26" s="18" t="s">
        <v>16</v>
      </c>
      <c r="P26" s="18" t="s">
        <v>16</v>
      </c>
      <c r="Q26" s="18" t="s">
        <v>16</v>
      </c>
      <c r="R26" s="18" t="s">
        <v>16</v>
      </c>
      <c r="S26" s="18" t="s">
        <v>16</v>
      </c>
      <c r="T26" s="18" t="s">
        <v>16</v>
      </c>
      <c r="U26" s="18" t="s">
        <v>16</v>
      </c>
      <c r="V26" s="18" t="s">
        <v>16</v>
      </c>
      <c r="W26" s="18" t="s">
        <v>16</v>
      </c>
      <c r="X26" s="18" t="s">
        <v>16</v>
      </c>
      <c r="Y26" s="18" t="s">
        <v>16</v>
      </c>
      <c r="Z26" s="18" t="s">
        <v>16</v>
      </c>
      <c r="AA26" s="18" t="s">
        <v>16</v>
      </c>
      <c r="AB26" s="18" t="s">
        <v>16</v>
      </c>
      <c r="AC26" s="18" t="s">
        <v>16</v>
      </c>
      <c r="AD26" s="18" t="s">
        <v>16</v>
      </c>
      <c r="AE26" s="18" t="s">
        <v>16</v>
      </c>
      <c r="AF26" s="18" t="s">
        <v>16</v>
      </c>
      <c r="AG26" s="18" t="s">
        <v>16</v>
      </c>
      <c r="AH26" s="18" t="s">
        <v>16</v>
      </c>
      <c r="AI26" s="18" t="s">
        <v>16</v>
      </c>
      <c r="AJ26" s="18" t="s">
        <v>16</v>
      </c>
      <c r="AK26" s="18" t="s">
        <v>16</v>
      </c>
      <c r="AL26" s="18" t="s">
        <v>16</v>
      </c>
      <c r="AM26" s="18" t="s">
        <v>16</v>
      </c>
      <c r="AN26" s="18" t="s">
        <v>16</v>
      </c>
      <c r="AO26" s="18" t="s">
        <v>16</v>
      </c>
      <c r="AP26" s="18" t="s">
        <v>16</v>
      </c>
    </row>
    <row r="27" spans="2:42" ht="18" customHeight="1" x14ac:dyDescent="0.25">
      <c r="B27" s="16">
        <v>22700</v>
      </c>
      <c r="C27" s="18" t="s">
        <v>16</v>
      </c>
      <c r="D27" s="18" t="s">
        <v>16</v>
      </c>
      <c r="E27" s="18" t="s">
        <v>16</v>
      </c>
      <c r="F27" s="18" t="s">
        <v>16</v>
      </c>
      <c r="G27" s="18" t="s">
        <v>16</v>
      </c>
      <c r="H27" s="18" t="s">
        <v>16</v>
      </c>
      <c r="I27" s="18" t="s">
        <v>16</v>
      </c>
      <c r="J27" s="18" t="s">
        <v>16</v>
      </c>
      <c r="K27" s="18" t="s">
        <v>16</v>
      </c>
      <c r="L27" s="18" t="s">
        <v>16</v>
      </c>
      <c r="M27" s="18" t="s">
        <v>16</v>
      </c>
      <c r="N27" s="18" t="s">
        <v>16</v>
      </c>
      <c r="O27" s="18" t="s">
        <v>16</v>
      </c>
      <c r="P27" s="18" t="s">
        <v>16</v>
      </c>
      <c r="Q27" s="18" t="s">
        <v>16</v>
      </c>
      <c r="R27" s="18" t="s">
        <v>16</v>
      </c>
      <c r="S27" s="18" t="s">
        <v>16</v>
      </c>
      <c r="T27" s="18" t="s">
        <v>16</v>
      </c>
      <c r="U27" s="18" t="s">
        <v>16</v>
      </c>
      <c r="V27" s="18" t="s">
        <v>16</v>
      </c>
      <c r="W27" s="18" t="s">
        <v>16</v>
      </c>
      <c r="X27" s="18" t="s">
        <v>16</v>
      </c>
      <c r="Y27" s="18" t="s">
        <v>16</v>
      </c>
      <c r="Z27" s="18" t="s">
        <v>16</v>
      </c>
      <c r="AA27" s="18" t="s">
        <v>16</v>
      </c>
      <c r="AB27" s="18" t="s">
        <v>16</v>
      </c>
      <c r="AC27" s="18" t="s">
        <v>16</v>
      </c>
      <c r="AD27" s="18" t="s">
        <v>16</v>
      </c>
      <c r="AE27" s="18" t="s">
        <v>16</v>
      </c>
      <c r="AF27" s="18" t="s">
        <v>16</v>
      </c>
      <c r="AG27" s="18" t="s">
        <v>16</v>
      </c>
      <c r="AH27" s="18" t="s">
        <v>16</v>
      </c>
      <c r="AI27" s="18" t="s">
        <v>16</v>
      </c>
      <c r="AJ27" s="18" t="s">
        <v>16</v>
      </c>
      <c r="AK27" s="18" t="s">
        <v>16</v>
      </c>
      <c r="AL27" s="18" t="s">
        <v>16</v>
      </c>
      <c r="AM27" s="18" t="s">
        <v>16</v>
      </c>
      <c r="AN27" s="18" t="s">
        <v>16</v>
      </c>
      <c r="AO27" s="18" t="s">
        <v>16</v>
      </c>
      <c r="AP27" s="18" t="s">
        <v>16</v>
      </c>
    </row>
    <row r="28" spans="2:42" ht="18" customHeight="1" x14ac:dyDescent="0.25">
      <c r="B28" s="16">
        <v>22750</v>
      </c>
      <c r="C28" s="18" t="s">
        <v>16</v>
      </c>
      <c r="D28" s="18" t="s">
        <v>16</v>
      </c>
      <c r="E28" s="18" t="s">
        <v>16</v>
      </c>
      <c r="F28" s="18" t="s">
        <v>16</v>
      </c>
      <c r="G28" s="18" t="s">
        <v>16</v>
      </c>
      <c r="H28" s="18" t="s">
        <v>16</v>
      </c>
      <c r="I28" s="18" t="s">
        <v>16</v>
      </c>
      <c r="J28" s="18" t="s">
        <v>16</v>
      </c>
      <c r="K28" s="18" t="s">
        <v>16</v>
      </c>
      <c r="L28" s="18" t="s">
        <v>16</v>
      </c>
      <c r="M28" s="18" t="s">
        <v>16</v>
      </c>
      <c r="N28" s="18" t="s">
        <v>16</v>
      </c>
      <c r="O28" s="18" t="s">
        <v>16</v>
      </c>
      <c r="P28" s="18" t="s">
        <v>16</v>
      </c>
      <c r="Q28" s="18" t="s">
        <v>16</v>
      </c>
      <c r="R28" s="18" t="s">
        <v>16</v>
      </c>
      <c r="S28" s="18" t="s">
        <v>16</v>
      </c>
      <c r="T28" s="18" t="s">
        <v>16</v>
      </c>
      <c r="U28" s="18" t="s">
        <v>16</v>
      </c>
      <c r="V28" s="18" t="s">
        <v>16</v>
      </c>
      <c r="W28" s="18" t="s">
        <v>16</v>
      </c>
      <c r="X28" s="18" t="s">
        <v>16</v>
      </c>
      <c r="Y28" s="18" t="s">
        <v>16</v>
      </c>
      <c r="Z28" s="18" t="s">
        <v>16</v>
      </c>
      <c r="AA28" s="18" t="s">
        <v>16</v>
      </c>
      <c r="AB28" s="18" t="s">
        <v>16</v>
      </c>
      <c r="AC28" s="18" t="s">
        <v>16</v>
      </c>
      <c r="AD28" s="18" t="s">
        <v>16</v>
      </c>
      <c r="AE28" s="18" t="s">
        <v>16</v>
      </c>
      <c r="AF28" s="18" t="s">
        <v>16</v>
      </c>
      <c r="AG28" s="18" t="s">
        <v>16</v>
      </c>
      <c r="AH28" s="18" t="s">
        <v>16</v>
      </c>
      <c r="AI28" s="18" t="s">
        <v>16</v>
      </c>
      <c r="AJ28" s="18" t="s">
        <v>16</v>
      </c>
      <c r="AK28" s="18" t="s">
        <v>16</v>
      </c>
      <c r="AL28" s="18" t="s">
        <v>16</v>
      </c>
      <c r="AM28" s="18" t="s">
        <v>16</v>
      </c>
      <c r="AN28" s="18" t="s">
        <v>16</v>
      </c>
      <c r="AO28" s="18" t="s">
        <v>16</v>
      </c>
      <c r="AP28" s="18" t="s">
        <v>16</v>
      </c>
    </row>
    <row r="29" spans="2:42" ht="18" customHeight="1" x14ac:dyDescent="0.25">
      <c r="B29" s="16">
        <v>22800</v>
      </c>
      <c r="C29" s="18" t="s">
        <v>16</v>
      </c>
      <c r="D29" s="18" t="s">
        <v>16</v>
      </c>
      <c r="E29" s="18" t="s">
        <v>16</v>
      </c>
      <c r="F29" s="18" t="s">
        <v>16</v>
      </c>
      <c r="G29" s="18" t="s">
        <v>16</v>
      </c>
      <c r="H29" s="18" t="s">
        <v>16</v>
      </c>
      <c r="I29" s="18" t="s">
        <v>16</v>
      </c>
      <c r="J29" s="18" t="s">
        <v>16</v>
      </c>
      <c r="K29" s="18" t="s">
        <v>16</v>
      </c>
      <c r="L29" s="18" t="s">
        <v>16</v>
      </c>
      <c r="M29" s="18" t="s">
        <v>16</v>
      </c>
      <c r="N29" s="18" t="s">
        <v>16</v>
      </c>
      <c r="O29" s="18" t="s">
        <v>16</v>
      </c>
      <c r="P29" s="18" t="s">
        <v>16</v>
      </c>
      <c r="Q29" s="18" t="s">
        <v>16</v>
      </c>
      <c r="R29" s="18" t="s">
        <v>16</v>
      </c>
      <c r="S29" s="18" t="s">
        <v>16</v>
      </c>
      <c r="T29" s="18" t="s">
        <v>16</v>
      </c>
      <c r="U29" s="18" t="s">
        <v>16</v>
      </c>
      <c r="V29" s="18" t="s">
        <v>16</v>
      </c>
      <c r="W29" s="18" t="s">
        <v>16</v>
      </c>
      <c r="X29" s="18" t="s">
        <v>16</v>
      </c>
      <c r="Y29" s="18" t="s">
        <v>16</v>
      </c>
      <c r="Z29" s="18" t="s">
        <v>16</v>
      </c>
      <c r="AA29" s="18" t="s">
        <v>16</v>
      </c>
      <c r="AB29" s="18" t="s">
        <v>16</v>
      </c>
      <c r="AC29" s="18" t="s">
        <v>16</v>
      </c>
      <c r="AD29" s="18" t="s">
        <v>16</v>
      </c>
      <c r="AE29" s="18" t="s">
        <v>16</v>
      </c>
      <c r="AF29" s="18" t="s">
        <v>16</v>
      </c>
      <c r="AG29" s="18" t="s">
        <v>16</v>
      </c>
      <c r="AH29" s="18" t="s">
        <v>16</v>
      </c>
      <c r="AI29" s="18" t="s">
        <v>16</v>
      </c>
      <c r="AJ29" s="18" t="s">
        <v>16</v>
      </c>
      <c r="AK29" s="18" t="s">
        <v>16</v>
      </c>
      <c r="AL29" s="18" t="s">
        <v>16</v>
      </c>
      <c r="AM29" s="18" t="s">
        <v>16</v>
      </c>
      <c r="AN29" s="18" t="s">
        <v>16</v>
      </c>
      <c r="AO29" s="18" t="s">
        <v>16</v>
      </c>
      <c r="AP29" s="18" t="s">
        <v>16</v>
      </c>
    </row>
    <row r="30" spans="2:42" ht="18" customHeight="1" x14ac:dyDescent="0.25">
      <c r="B30" s="16">
        <v>22850</v>
      </c>
      <c r="C30" s="18" t="s">
        <v>16</v>
      </c>
      <c r="D30" s="18" t="s">
        <v>16</v>
      </c>
      <c r="E30" s="18" t="s">
        <v>16</v>
      </c>
      <c r="F30" s="18" t="s">
        <v>16</v>
      </c>
      <c r="G30" s="18" t="s">
        <v>16</v>
      </c>
      <c r="H30" s="18" t="s">
        <v>16</v>
      </c>
      <c r="I30" s="18" t="s">
        <v>16</v>
      </c>
      <c r="J30" s="18" t="s">
        <v>16</v>
      </c>
      <c r="K30" s="18" t="s">
        <v>16</v>
      </c>
      <c r="L30" s="18" t="s">
        <v>16</v>
      </c>
      <c r="M30" s="18" t="s">
        <v>16</v>
      </c>
      <c r="N30" s="18" t="s">
        <v>16</v>
      </c>
      <c r="O30" s="18" t="s">
        <v>16</v>
      </c>
      <c r="P30" s="18" t="s">
        <v>16</v>
      </c>
      <c r="Q30" s="18" t="s">
        <v>16</v>
      </c>
      <c r="R30" s="18" t="s">
        <v>16</v>
      </c>
      <c r="S30" s="18" t="s">
        <v>16</v>
      </c>
      <c r="T30" s="18" t="s">
        <v>16</v>
      </c>
      <c r="U30" s="18" t="s">
        <v>16</v>
      </c>
      <c r="V30" s="18" t="s">
        <v>16</v>
      </c>
      <c r="W30" s="18" t="s">
        <v>16</v>
      </c>
      <c r="X30" s="18" t="s">
        <v>16</v>
      </c>
      <c r="Y30" s="18" t="s">
        <v>16</v>
      </c>
      <c r="Z30" s="18" t="s">
        <v>16</v>
      </c>
      <c r="AA30" s="18" t="s">
        <v>16</v>
      </c>
      <c r="AB30" s="18" t="s">
        <v>16</v>
      </c>
      <c r="AC30" s="18" t="s">
        <v>16</v>
      </c>
      <c r="AD30" s="18" t="s">
        <v>16</v>
      </c>
      <c r="AE30" s="18" t="s">
        <v>16</v>
      </c>
      <c r="AF30" s="18" t="s">
        <v>16</v>
      </c>
      <c r="AG30" s="18" t="s">
        <v>16</v>
      </c>
      <c r="AH30" s="18" t="s">
        <v>16</v>
      </c>
      <c r="AI30" s="18" t="s">
        <v>16</v>
      </c>
      <c r="AJ30" s="18" t="s">
        <v>16</v>
      </c>
      <c r="AK30" s="18" t="s">
        <v>16</v>
      </c>
      <c r="AL30" s="18" t="s">
        <v>16</v>
      </c>
      <c r="AM30" s="18" t="s">
        <v>16</v>
      </c>
      <c r="AN30" s="18" t="s">
        <v>16</v>
      </c>
      <c r="AO30" s="18" t="s">
        <v>16</v>
      </c>
      <c r="AP30" s="18" t="s">
        <v>16</v>
      </c>
    </row>
    <row r="31" spans="2:42" ht="18" customHeight="1" x14ac:dyDescent="0.25">
      <c r="B31" s="16">
        <v>22900</v>
      </c>
      <c r="C31" s="18" t="s">
        <v>16</v>
      </c>
      <c r="D31" s="18" t="s">
        <v>16</v>
      </c>
      <c r="E31" s="18" t="s">
        <v>16</v>
      </c>
      <c r="F31" s="18" t="s">
        <v>16</v>
      </c>
      <c r="G31" s="18" t="s">
        <v>16</v>
      </c>
      <c r="H31" s="18" t="s">
        <v>16</v>
      </c>
      <c r="I31" s="18" t="s">
        <v>16</v>
      </c>
      <c r="J31" s="18" t="s">
        <v>16</v>
      </c>
      <c r="K31" s="18" t="s">
        <v>16</v>
      </c>
      <c r="L31" s="18" t="s">
        <v>16</v>
      </c>
      <c r="M31" s="18" t="s">
        <v>16</v>
      </c>
      <c r="N31" s="18" t="s">
        <v>16</v>
      </c>
      <c r="O31" s="18" t="s">
        <v>16</v>
      </c>
      <c r="P31" s="18" t="s">
        <v>16</v>
      </c>
      <c r="Q31" s="18" t="s">
        <v>16</v>
      </c>
      <c r="R31" s="18" t="s">
        <v>16</v>
      </c>
      <c r="S31" s="18" t="s">
        <v>16</v>
      </c>
      <c r="T31" s="18" t="s">
        <v>16</v>
      </c>
      <c r="U31" s="18" t="s">
        <v>16</v>
      </c>
      <c r="V31" s="18" t="s">
        <v>16</v>
      </c>
      <c r="W31" s="18" t="s">
        <v>16</v>
      </c>
      <c r="X31" s="18" t="s">
        <v>16</v>
      </c>
      <c r="Y31" s="18" t="s">
        <v>16</v>
      </c>
      <c r="Z31" s="18" t="s">
        <v>16</v>
      </c>
      <c r="AA31" s="18" t="s">
        <v>16</v>
      </c>
      <c r="AB31" s="18" t="s">
        <v>16</v>
      </c>
      <c r="AC31" s="18" t="s">
        <v>16</v>
      </c>
      <c r="AD31" s="18" t="s">
        <v>16</v>
      </c>
      <c r="AE31" s="18" t="s">
        <v>16</v>
      </c>
      <c r="AF31" s="18" t="s">
        <v>16</v>
      </c>
      <c r="AG31" s="18" t="s">
        <v>16</v>
      </c>
      <c r="AH31" s="18" t="s">
        <v>16</v>
      </c>
      <c r="AI31" s="18" t="s">
        <v>16</v>
      </c>
      <c r="AJ31" s="18" t="s">
        <v>16</v>
      </c>
      <c r="AK31" s="18" t="s">
        <v>16</v>
      </c>
      <c r="AL31" s="18" t="s">
        <v>16</v>
      </c>
      <c r="AM31" s="18" t="s">
        <v>16</v>
      </c>
      <c r="AN31" s="18" t="s">
        <v>16</v>
      </c>
      <c r="AO31" s="18" t="s">
        <v>16</v>
      </c>
      <c r="AP31" s="18" t="s">
        <v>16</v>
      </c>
    </row>
    <row r="32" spans="2:42" ht="18" customHeight="1" x14ac:dyDescent="0.25">
      <c r="B32" s="16">
        <v>22950</v>
      </c>
      <c r="C32" s="18" t="s">
        <v>16</v>
      </c>
      <c r="D32" s="18" t="s">
        <v>16</v>
      </c>
      <c r="E32" s="18" t="s">
        <v>16</v>
      </c>
      <c r="F32" s="18" t="s">
        <v>16</v>
      </c>
      <c r="G32" s="18" t="s">
        <v>16</v>
      </c>
      <c r="H32" s="18" t="s">
        <v>16</v>
      </c>
      <c r="I32" s="18" t="s">
        <v>16</v>
      </c>
      <c r="J32" s="18" t="s">
        <v>16</v>
      </c>
      <c r="K32" s="18" t="s">
        <v>16</v>
      </c>
      <c r="L32" s="18" t="s">
        <v>16</v>
      </c>
      <c r="M32" s="18" t="s">
        <v>16</v>
      </c>
      <c r="N32" s="18" t="s">
        <v>16</v>
      </c>
      <c r="O32" s="18" t="s">
        <v>16</v>
      </c>
      <c r="P32" s="18" t="s">
        <v>16</v>
      </c>
      <c r="Q32" s="18" t="s">
        <v>16</v>
      </c>
      <c r="R32" s="18" t="s">
        <v>16</v>
      </c>
      <c r="S32" s="18" t="s">
        <v>16</v>
      </c>
      <c r="T32" s="18" t="s">
        <v>16</v>
      </c>
      <c r="U32" s="18" t="s">
        <v>16</v>
      </c>
      <c r="V32" s="18" t="s">
        <v>16</v>
      </c>
      <c r="W32" s="18" t="s">
        <v>16</v>
      </c>
      <c r="X32" s="18" t="s">
        <v>16</v>
      </c>
      <c r="Y32" s="18" t="s">
        <v>16</v>
      </c>
      <c r="Z32" s="18" t="s">
        <v>16</v>
      </c>
      <c r="AA32" s="18" t="s">
        <v>16</v>
      </c>
      <c r="AB32" s="18" t="s">
        <v>16</v>
      </c>
      <c r="AC32" s="18" t="s">
        <v>16</v>
      </c>
      <c r="AD32" s="18" t="s">
        <v>16</v>
      </c>
      <c r="AE32" s="18" t="s">
        <v>16</v>
      </c>
      <c r="AF32" s="18" t="s">
        <v>16</v>
      </c>
      <c r="AG32" s="18" t="s">
        <v>16</v>
      </c>
      <c r="AH32" s="18" t="s">
        <v>16</v>
      </c>
      <c r="AI32" s="18" t="s">
        <v>16</v>
      </c>
      <c r="AJ32" s="18" t="s">
        <v>16</v>
      </c>
      <c r="AK32" s="18" t="s">
        <v>16</v>
      </c>
      <c r="AL32" s="18" t="s">
        <v>16</v>
      </c>
      <c r="AM32" s="18" t="s">
        <v>16</v>
      </c>
      <c r="AN32" s="18" t="s">
        <v>16</v>
      </c>
      <c r="AO32" s="18" t="s">
        <v>16</v>
      </c>
      <c r="AP32" s="18" t="s">
        <v>16</v>
      </c>
    </row>
    <row r="33" spans="2:42" ht="18" customHeight="1" x14ac:dyDescent="0.25">
      <c r="B33" s="16">
        <v>23000</v>
      </c>
      <c r="C33" s="18" t="s">
        <v>16</v>
      </c>
      <c r="D33" s="18" t="s">
        <v>16</v>
      </c>
      <c r="E33" s="18" t="s">
        <v>16</v>
      </c>
      <c r="F33" s="18" t="s">
        <v>16</v>
      </c>
      <c r="G33" s="18" t="s">
        <v>16</v>
      </c>
      <c r="H33" s="18" t="s">
        <v>16</v>
      </c>
      <c r="I33" s="18" t="s">
        <v>16</v>
      </c>
      <c r="J33" s="18" t="s">
        <v>16</v>
      </c>
      <c r="K33" s="18" t="s">
        <v>16</v>
      </c>
      <c r="L33" s="18" t="s">
        <v>16</v>
      </c>
      <c r="M33" s="18" t="s">
        <v>16</v>
      </c>
      <c r="N33" s="18" t="s">
        <v>16</v>
      </c>
      <c r="O33" s="18" t="s">
        <v>16</v>
      </c>
      <c r="P33" s="18" t="s">
        <v>16</v>
      </c>
      <c r="Q33" s="18" t="s">
        <v>16</v>
      </c>
      <c r="R33" s="18" t="s">
        <v>16</v>
      </c>
      <c r="S33" s="18" t="s">
        <v>16</v>
      </c>
      <c r="T33" s="18" t="s">
        <v>16</v>
      </c>
      <c r="U33" s="18" t="s">
        <v>16</v>
      </c>
      <c r="V33" s="18" t="s">
        <v>16</v>
      </c>
      <c r="W33" s="18" t="s">
        <v>16</v>
      </c>
      <c r="X33" s="18" t="s">
        <v>16</v>
      </c>
      <c r="Y33" s="18" t="s">
        <v>16</v>
      </c>
      <c r="Z33" s="18" t="s">
        <v>16</v>
      </c>
      <c r="AA33" s="18" t="s">
        <v>16</v>
      </c>
      <c r="AB33" s="18" t="s">
        <v>16</v>
      </c>
      <c r="AC33" s="18" t="s">
        <v>16</v>
      </c>
      <c r="AD33" s="18" t="s">
        <v>16</v>
      </c>
      <c r="AE33" s="18" t="s">
        <v>16</v>
      </c>
      <c r="AF33" s="18" t="s">
        <v>16</v>
      </c>
      <c r="AG33" s="18" t="s">
        <v>16</v>
      </c>
      <c r="AH33" s="18" t="s">
        <v>16</v>
      </c>
      <c r="AI33" s="18" t="s">
        <v>16</v>
      </c>
      <c r="AJ33" s="18" t="s">
        <v>16</v>
      </c>
      <c r="AK33" s="18" t="s">
        <v>16</v>
      </c>
      <c r="AL33" s="18" t="s">
        <v>16</v>
      </c>
      <c r="AM33" s="18" t="s">
        <v>16</v>
      </c>
      <c r="AN33" s="18" t="s">
        <v>16</v>
      </c>
      <c r="AO33" s="18" t="s">
        <v>16</v>
      </c>
      <c r="AP33" s="18" t="s">
        <v>16</v>
      </c>
    </row>
    <row r="34" spans="2:42" ht="18" customHeight="1" x14ac:dyDescent="0.25">
      <c r="B34" s="16">
        <v>23050</v>
      </c>
      <c r="C34" s="18" t="s">
        <v>16</v>
      </c>
      <c r="D34" s="18" t="s">
        <v>16</v>
      </c>
      <c r="E34" s="18" t="s">
        <v>16</v>
      </c>
      <c r="F34" s="18" t="s">
        <v>16</v>
      </c>
      <c r="G34" s="18" t="s">
        <v>16</v>
      </c>
      <c r="H34" s="18" t="s">
        <v>16</v>
      </c>
      <c r="I34" s="18" t="s">
        <v>16</v>
      </c>
      <c r="J34" s="18" t="s">
        <v>16</v>
      </c>
      <c r="K34" s="18" t="s">
        <v>16</v>
      </c>
      <c r="L34" s="18" t="s">
        <v>16</v>
      </c>
      <c r="M34" s="18" t="s">
        <v>16</v>
      </c>
      <c r="N34" s="18" t="s">
        <v>16</v>
      </c>
      <c r="O34" s="18" t="s">
        <v>16</v>
      </c>
      <c r="P34" s="18" t="s">
        <v>16</v>
      </c>
      <c r="Q34" s="18" t="s">
        <v>16</v>
      </c>
      <c r="R34" s="18" t="s">
        <v>16</v>
      </c>
      <c r="S34" s="18" t="s">
        <v>16</v>
      </c>
      <c r="T34" s="18" t="s">
        <v>16</v>
      </c>
      <c r="U34" s="18" t="s">
        <v>16</v>
      </c>
      <c r="V34" s="18" t="s">
        <v>16</v>
      </c>
      <c r="W34" s="18" t="s">
        <v>16</v>
      </c>
      <c r="X34" s="18" t="s">
        <v>16</v>
      </c>
      <c r="Y34" s="18" t="s">
        <v>16</v>
      </c>
      <c r="Z34" s="18" t="s">
        <v>16</v>
      </c>
      <c r="AA34" s="18" t="s">
        <v>16</v>
      </c>
      <c r="AB34" s="18" t="s">
        <v>16</v>
      </c>
      <c r="AC34" s="18" t="s">
        <v>16</v>
      </c>
      <c r="AD34" s="18" t="s">
        <v>16</v>
      </c>
      <c r="AE34" s="18" t="s">
        <v>16</v>
      </c>
      <c r="AF34" s="18" t="s">
        <v>16</v>
      </c>
      <c r="AG34" s="18" t="s">
        <v>16</v>
      </c>
      <c r="AH34" s="18" t="s">
        <v>16</v>
      </c>
      <c r="AI34" s="18" t="s">
        <v>16</v>
      </c>
      <c r="AJ34" s="18" t="s">
        <v>16</v>
      </c>
      <c r="AK34" s="18" t="s">
        <v>16</v>
      </c>
      <c r="AL34" s="18" t="s">
        <v>16</v>
      </c>
      <c r="AM34" s="18" t="s">
        <v>16</v>
      </c>
      <c r="AN34" s="18" t="s">
        <v>16</v>
      </c>
      <c r="AO34" s="18" t="s">
        <v>16</v>
      </c>
      <c r="AP34" s="18" t="s">
        <v>16</v>
      </c>
    </row>
    <row r="35" spans="2:42" ht="18" customHeight="1" x14ac:dyDescent="0.25">
      <c r="B35" s="16">
        <v>23100</v>
      </c>
      <c r="C35" s="18" t="s">
        <v>16</v>
      </c>
      <c r="D35" s="18" t="s">
        <v>16</v>
      </c>
      <c r="E35" s="18" t="s">
        <v>16</v>
      </c>
      <c r="F35" s="18" t="s">
        <v>16</v>
      </c>
      <c r="G35" s="18" t="s">
        <v>16</v>
      </c>
      <c r="H35" s="18" t="s">
        <v>16</v>
      </c>
      <c r="I35" s="18" t="s">
        <v>16</v>
      </c>
      <c r="J35" s="18" t="s">
        <v>16</v>
      </c>
      <c r="K35" s="18" t="s">
        <v>16</v>
      </c>
      <c r="L35" s="18" t="s">
        <v>16</v>
      </c>
      <c r="M35" s="18" t="s">
        <v>16</v>
      </c>
      <c r="N35" s="18" t="s">
        <v>16</v>
      </c>
      <c r="O35" s="18" t="s">
        <v>16</v>
      </c>
      <c r="P35" s="18" t="s">
        <v>16</v>
      </c>
      <c r="Q35" s="18" t="s">
        <v>16</v>
      </c>
      <c r="R35" s="18" t="s">
        <v>16</v>
      </c>
      <c r="S35" s="18" t="s">
        <v>16</v>
      </c>
      <c r="T35" s="18" t="s">
        <v>16</v>
      </c>
      <c r="U35" s="18" t="s">
        <v>16</v>
      </c>
      <c r="V35" s="18" t="s">
        <v>16</v>
      </c>
      <c r="W35" s="18" t="s">
        <v>16</v>
      </c>
      <c r="X35" s="18" t="s">
        <v>16</v>
      </c>
      <c r="Y35" s="18" t="s">
        <v>16</v>
      </c>
      <c r="Z35" s="18" t="s">
        <v>16</v>
      </c>
      <c r="AA35" s="18" t="s">
        <v>16</v>
      </c>
      <c r="AB35" s="18" t="s">
        <v>16</v>
      </c>
      <c r="AC35" s="18" t="s">
        <v>16</v>
      </c>
      <c r="AD35" s="18" t="s">
        <v>16</v>
      </c>
      <c r="AE35" s="18" t="s">
        <v>16</v>
      </c>
      <c r="AF35" s="18" t="s">
        <v>16</v>
      </c>
      <c r="AG35" s="18" t="s">
        <v>16</v>
      </c>
      <c r="AH35" s="18" t="s">
        <v>16</v>
      </c>
      <c r="AI35" s="18" t="s">
        <v>16</v>
      </c>
      <c r="AJ35" s="18" t="s">
        <v>16</v>
      </c>
      <c r="AK35" s="18" t="s">
        <v>16</v>
      </c>
      <c r="AL35" s="18" t="s">
        <v>16</v>
      </c>
      <c r="AM35" s="18" t="s">
        <v>16</v>
      </c>
      <c r="AN35" s="18" t="s">
        <v>16</v>
      </c>
      <c r="AO35" s="18" t="s">
        <v>16</v>
      </c>
      <c r="AP35" s="18" t="s">
        <v>16</v>
      </c>
    </row>
    <row r="36" spans="2:42" ht="18" customHeight="1" x14ac:dyDescent="0.25">
      <c r="B36" s="16">
        <v>23150</v>
      </c>
      <c r="C36" s="18" t="s">
        <v>16</v>
      </c>
      <c r="D36" s="18" t="s">
        <v>16</v>
      </c>
      <c r="E36" s="18" t="s">
        <v>16</v>
      </c>
      <c r="F36" s="18" t="s">
        <v>16</v>
      </c>
      <c r="G36" s="18" t="s">
        <v>16</v>
      </c>
      <c r="H36" s="18" t="s">
        <v>16</v>
      </c>
      <c r="I36" s="18" t="s">
        <v>16</v>
      </c>
      <c r="J36" s="18" t="s">
        <v>16</v>
      </c>
      <c r="K36" s="18" t="s">
        <v>16</v>
      </c>
      <c r="L36" s="18" t="s">
        <v>16</v>
      </c>
      <c r="M36" s="18" t="s">
        <v>16</v>
      </c>
      <c r="N36" s="18" t="s">
        <v>16</v>
      </c>
      <c r="O36" s="18" t="s">
        <v>16</v>
      </c>
      <c r="P36" s="18" t="s">
        <v>16</v>
      </c>
      <c r="Q36" s="18" t="s">
        <v>16</v>
      </c>
      <c r="R36" s="18" t="s">
        <v>16</v>
      </c>
      <c r="S36" s="18" t="s">
        <v>16</v>
      </c>
      <c r="T36" s="18" t="s">
        <v>16</v>
      </c>
      <c r="U36" s="18" t="s">
        <v>16</v>
      </c>
      <c r="V36" s="18" t="s">
        <v>16</v>
      </c>
      <c r="W36" s="18" t="s">
        <v>16</v>
      </c>
      <c r="X36" s="18" t="s">
        <v>16</v>
      </c>
      <c r="Y36" s="18" t="s">
        <v>16</v>
      </c>
      <c r="Z36" s="18" t="s">
        <v>16</v>
      </c>
      <c r="AA36" s="18" t="s">
        <v>16</v>
      </c>
      <c r="AB36" s="18" t="s">
        <v>16</v>
      </c>
      <c r="AC36" s="18" t="s">
        <v>16</v>
      </c>
      <c r="AD36" s="18" t="s">
        <v>16</v>
      </c>
      <c r="AE36" s="18" t="s">
        <v>16</v>
      </c>
      <c r="AF36" s="18" t="s">
        <v>16</v>
      </c>
      <c r="AG36" s="18" t="s">
        <v>16</v>
      </c>
      <c r="AH36" s="18" t="s">
        <v>16</v>
      </c>
      <c r="AI36" s="18" t="s">
        <v>16</v>
      </c>
      <c r="AJ36" s="18" t="s">
        <v>16</v>
      </c>
      <c r="AK36" s="18" t="s">
        <v>16</v>
      </c>
      <c r="AL36" s="18" t="s">
        <v>16</v>
      </c>
      <c r="AM36" s="18" t="s">
        <v>16</v>
      </c>
      <c r="AN36" s="18" t="s">
        <v>16</v>
      </c>
      <c r="AO36" s="18" t="s">
        <v>16</v>
      </c>
      <c r="AP36" s="18" t="s">
        <v>16</v>
      </c>
    </row>
    <row r="37" spans="2:42" ht="18" customHeight="1" x14ac:dyDescent="0.25">
      <c r="B37" s="16">
        <v>23200</v>
      </c>
      <c r="C37" s="18" t="s">
        <v>16</v>
      </c>
      <c r="D37" s="18" t="s">
        <v>16</v>
      </c>
      <c r="E37" s="18" t="s">
        <v>16</v>
      </c>
      <c r="F37" s="18" t="s">
        <v>16</v>
      </c>
      <c r="G37" s="18" t="s">
        <v>16</v>
      </c>
      <c r="H37" s="18" t="s">
        <v>16</v>
      </c>
      <c r="I37" s="18" t="s">
        <v>16</v>
      </c>
      <c r="J37" s="18" t="s">
        <v>16</v>
      </c>
      <c r="K37" s="18" t="s">
        <v>16</v>
      </c>
      <c r="L37" s="18" t="s">
        <v>16</v>
      </c>
      <c r="M37" s="18" t="s">
        <v>16</v>
      </c>
      <c r="N37" s="18" t="s">
        <v>16</v>
      </c>
      <c r="O37" s="18" t="s">
        <v>16</v>
      </c>
      <c r="P37" s="18" t="s">
        <v>16</v>
      </c>
      <c r="Q37" s="18" t="s">
        <v>16</v>
      </c>
      <c r="R37" s="18" t="s">
        <v>16</v>
      </c>
      <c r="S37" s="18" t="s">
        <v>16</v>
      </c>
      <c r="T37" s="18" t="s">
        <v>16</v>
      </c>
      <c r="U37" s="18" t="s">
        <v>16</v>
      </c>
      <c r="V37" s="18" t="s">
        <v>16</v>
      </c>
      <c r="W37" s="18" t="s">
        <v>16</v>
      </c>
      <c r="X37" s="18" t="s">
        <v>16</v>
      </c>
      <c r="Y37" s="18" t="s">
        <v>16</v>
      </c>
      <c r="Z37" s="18" t="s">
        <v>16</v>
      </c>
      <c r="AA37" s="18" t="s">
        <v>16</v>
      </c>
      <c r="AB37" s="18" t="s">
        <v>16</v>
      </c>
      <c r="AC37" s="18" t="s">
        <v>16</v>
      </c>
      <c r="AD37" s="18" t="s">
        <v>16</v>
      </c>
      <c r="AE37" s="18" t="s">
        <v>16</v>
      </c>
      <c r="AF37" s="18" t="s">
        <v>16</v>
      </c>
      <c r="AG37" s="18" t="s">
        <v>16</v>
      </c>
      <c r="AH37" s="18" t="s">
        <v>16</v>
      </c>
      <c r="AI37" s="18" t="s">
        <v>16</v>
      </c>
      <c r="AJ37" s="18" t="s">
        <v>16</v>
      </c>
      <c r="AK37" s="18" t="s">
        <v>16</v>
      </c>
      <c r="AL37" s="18" t="s">
        <v>16</v>
      </c>
      <c r="AM37" s="18" t="s">
        <v>16</v>
      </c>
      <c r="AN37" s="18" t="s">
        <v>16</v>
      </c>
      <c r="AO37" s="18" t="s">
        <v>16</v>
      </c>
      <c r="AP37" s="18" t="s">
        <v>16</v>
      </c>
    </row>
    <row r="38" spans="2:42" ht="18" customHeight="1" x14ac:dyDescent="0.25">
      <c r="B38" s="16">
        <v>23250</v>
      </c>
      <c r="C38" s="18" t="s">
        <v>16</v>
      </c>
      <c r="D38" s="18" t="s">
        <v>16</v>
      </c>
      <c r="E38" s="18" t="s">
        <v>16</v>
      </c>
      <c r="F38" s="18" t="s">
        <v>16</v>
      </c>
      <c r="G38" s="18" t="s">
        <v>16</v>
      </c>
      <c r="H38" s="18" t="s">
        <v>16</v>
      </c>
      <c r="I38" s="18" t="s">
        <v>16</v>
      </c>
      <c r="J38" s="18" t="s">
        <v>16</v>
      </c>
      <c r="K38" s="18" t="s">
        <v>16</v>
      </c>
      <c r="L38" s="18" t="s">
        <v>16</v>
      </c>
      <c r="M38" s="18" t="s">
        <v>16</v>
      </c>
      <c r="N38" s="18" t="s">
        <v>16</v>
      </c>
      <c r="O38" s="18" t="s">
        <v>16</v>
      </c>
      <c r="P38" s="18" t="s">
        <v>16</v>
      </c>
      <c r="Q38" s="18" t="s">
        <v>16</v>
      </c>
      <c r="R38" s="18" t="s">
        <v>16</v>
      </c>
      <c r="S38" s="18" t="s">
        <v>16</v>
      </c>
      <c r="T38" s="18" t="s">
        <v>16</v>
      </c>
      <c r="U38" s="18" t="s">
        <v>16</v>
      </c>
      <c r="V38" s="18" t="s">
        <v>16</v>
      </c>
      <c r="W38" s="18" t="s">
        <v>16</v>
      </c>
      <c r="X38" s="18" t="s">
        <v>16</v>
      </c>
      <c r="Y38" s="18" t="s">
        <v>16</v>
      </c>
      <c r="Z38" s="18" t="s">
        <v>16</v>
      </c>
      <c r="AA38" s="18" t="s">
        <v>16</v>
      </c>
      <c r="AB38" s="18" t="s">
        <v>16</v>
      </c>
      <c r="AC38" s="18" t="s">
        <v>16</v>
      </c>
      <c r="AD38" s="18" t="s">
        <v>16</v>
      </c>
      <c r="AE38" s="18" t="s">
        <v>16</v>
      </c>
      <c r="AF38" s="18" t="s">
        <v>16</v>
      </c>
      <c r="AG38" s="18" t="s">
        <v>16</v>
      </c>
      <c r="AH38" s="18" t="s">
        <v>16</v>
      </c>
      <c r="AI38" s="18" t="s">
        <v>16</v>
      </c>
      <c r="AJ38" s="18" t="s">
        <v>16</v>
      </c>
      <c r="AK38" s="18" t="s">
        <v>16</v>
      </c>
      <c r="AL38" s="18" t="s">
        <v>16</v>
      </c>
      <c r="AM38" s="18" t="s">
        <v>16</v>
      </c>
      <c r="AN38" s="18" t="s">
        <v>16</v>
      </c>
      <c r="AO38" s="18" t="s">
        <v>16</v>
      </c>
      <c r="AP38" s="18" t="s">
        <v>16</v>
      </c>
    </row>
    <row r="39" spans="2:42" ht="18" customHeight="1" x14ac:dyDescent="0.25">
      <c r="B39" s="16">
        <v>23300</v>
      </c>
      <c r="C39" s="18" t="s">
        <v>16</v>
      </c>
      <c r="D39" s="18" t="s">
        <v>16</v>
      </c>
      <c r="E39" s="18" t="s">
        <v>16</v>
      </c>
      <c r="F39" s="18" t="s">
        <v>16</v>
      </c>
      <c r="G39" s="18" t="s">
        <v>16</v>
      </c>
      <c r="H39" s="18" t="s">
        <v>16</v>
      </c>
      <c r="I39" s="18" t="s">
        <v>16</v>
      </c>
      <c r="J39" s="18" t="s">
        <v>16</v>
      </c>
      <c r="K39" s="18" t="s">
        <v>16</v>
      </c>
      <c r="L39" s="18" t="s">
        <v>16</v>
      </c>
      <c r="M39" s="18" t="s">
        <v>16</v>
      </c>
      <c r="N39" s="18" t="s">
        <v>16</v>
      </c>
      <c r="O39" s="18" t="s">
        <v>16</v>
      </c>
      <c r="P39" s="18" t="s">
        <v>16</v>
      </c>
      <c r="Q39" s="18" t="s">
        <v>16</v>
      </c>
      <c r="R39" s="18" t="s">
        <v>16</v>
      </c>
      <c r="S39" s="18" t="s">
        <v>16</v>
      </c>
      <c r="T39" s="18" t="s">
        <v>16</v>
      </c>
      <c r="U39" s="18" t="s">
        <v>16</v>
      </c>
      <c r="V39" s="18" t="s">
        <v>16</v>
      </c>
      <c r="W39" s="18" t="s">
        <v>16</v>
      </c>
      <c r="X39" s="18" t="s">
        <v>16</v>
      </c>
      <c r="Y39" s="18" t="s">
        <v>16</v>
      </c>
      <c r="Z39" s="18" t="s">
        <v>16</v>
      </c>
      <c r="AA39" s="18" t="s">
        <v>16</v>
      </c>
      <c r="AB39" s="18" t="s">
        <v>16</v>
      </c>
      <c r="AC39" s="18" t="s">
        <v>16</v>
      </c>
      <c r="AD39" s="18" t="s">
        <v>16</v>
      </c>
      <c r="AE39" s="18" t="s">
        <v>16</v>
      </c>
      <c r="AF39" s="18" t="s">
        <v>16</v>
      </c>
      <c r="AG39" s="18" t="s">
        <v>16</v>
      </c>
      <c r="AH39" s="18" t="s">
        <v>16</v>
      </c>
      <c r="AI39" s="18" t="s">
        <v>16</v>
      </c>
      <c r="AJ39" s="18" t="s">
        <v>16</v>
      </c>
      <c r="AK39" s="18" t="s">
        <v>16</v>
      </c>
      <c r="AL39" s="18" t="s">
        <v>16</v>
      </c>
      <c r="AM39" s="18" t="s">
        <v>16</v>
      </c>
      <c r="AN39" s="18" t="s">
        <v>16</v>
      </c>
      <c r="AO39" s="18" t="s">
        <v>16</v>
      </c>
      <c r="AP39" s="18" t="s">
        <v>16</v>
      </c>
    </row>
    <row r="40" spans="2:42" ht="18" customHeight="1" x14ac:dyDescent="0.25">
      <c r="B40" s="16">
        <v>23350</v>
      </c>
      <c r="C40" s="18" t="s">
        <v>16</v>
      </c>
      <c r="D40" s="18" t="s">
        <v>16</v>
      </c>
      <c r="E40" s="18" t="s">
        <v>16</v>
      </c>
      <c r="F40" s="18" t="s">
        <v>16</v>
      </c>
      <c r="G40" s="18" t="s">
        <v>16</v>
      </c>
      <c r="H40" s="18" t="s">
        <v>16</v>
      </c>
      <c r="I40" s="18" t="s">
        <v>16</v>
      </c>
      <c r="J40" s="18" t="s">
        <v>16</v>
      </c>
      <c r="K40" s="18" t="s">
        <v>16</v>
      </c>
      <c r="L40" s="18" t="s">
        <v>16</v>
      </c>
      <c r="M40" s="18" t="s">
        <v>16</v>
      </c>
      <c r="N40" s="18" t="s">
        <v>16</v>
      </c>
      <c r="O40" s="18" t="s">
        <v>16</v>
      </c>
      <c r="P40" s="18" t="s">
        <v>16</v>
      </c>
      <c r="Q40" s="18" t="s">
        <v>16</v>
      </c>
      <c r="R40" s="18" t="s">
        <v>16</v>
      </c>
      <c r="S40" s="18" t="s">
        <v>16</v>
      </c>
      <c r="T40" s="18" t="s">
        <v>16</v>
      </c>
      <c r="U40" s="18" t="s">
        <v>16</v>
      </c>
      <c r="V40" s="18" t="s">
        <v>16</v>
      </c>
      <c r="W40" s="18" t="s">
        <v>16</v>
      </c>
      <c r="X40" s="18" t="s">
        <v>16</v>
      </c>
      <c r="Y40" s="18" t="s">
        <v>16</v>
      </c>
      <c r="Z40" s="18" t="s">
        <v>16</v>
      </c>
      <c r="AA40" s="18" t="s">
        <v>16</v>
      </c>
      <c r="AB40" s="18" t="s">
        <v>16</v>
      </c>
      <c r="AC40" s="18" t="s">
        <v>16</v>
      </c>
      <c r="AD40" s="18" t="s">
        <v>16</v>
      </c>
      <c r="AE40" s="18" t="s">
        <v>16</v>
      </c>
      <c r="AF40" s="18" t="s">
        <v>16</v>
      </c>
      <c r="AG40" s="18" t="s">
        <v>16</v>
      </c>
      <c r="AH40" s="18" t="s">
        <v>16</v>
      </c>
      <c r="AI40" s="18" t="s">
        <v>16</v>
      </c>
      <c r="AJ40" s="18" t="s">
        <v>16</v>
      </c>
      <c r="AK40" s="18" t="s">
        <v>16</v>
      </c>
      <c r="AL40" s="18" t="s">
        <v>16</v>
      </c>
      <c r="AM40" s="18" t="s">
        <v>16</v>
      </c>
      <c r="AN40" s="18" t="s">
        <v>16</v>
      </c>
      <c r="AO40" s="18" t="s">
        <v>16</v>
      </c>
      <c r="AP40" s="18" t="s">
        <v>16</v>
      </c>
    </row>
    <row r="41" spans="2:42" ht="18" customHeight="1" x14ac:dyDescent="0.25">
      <c r="B41" s="16">
        <v>23400</v>
      </c>
      <c r="C41" s="18" t="s">
        <v>16</v>
      </c>
      <c r="D41" s="18" t="s">
        <v>16</v>
      </c>
      <c r="E41" s="18" t="s">
        <v>16</v>
      </c>
      <c r="F41" s="18" t="s">
        <v>16</v>
      </c>
      <c r="G41" s="18" t="s">
        <v>16</v>
      </c>
      <c r="H41" s="18" t="s">
        <v>16</v>
      </c>
      <c r="I41" s="18" t="s">
        <v>16</v>
      </c>
      <c r="J41" s="18" t="s">
        <v>16</v>
      </c>
      <c r="K41" s="18" t="s">
        <v>16</v>
      </c>
      <c r="L41" s="18" t="s">
        <v>16</v>
      </c>
      <c r="M41" s="18" t="s">
        <v>16</v>
      </c>
      <c r="N41" s="18" t="s">
        <v>16</v>
      </c>
      <c r="O41" s="18" t="s">
        <v>16</v>
      </c>
      <c r="P41" s="18" t="s">
        <v>16</v>
      </c>
      <c r="Q41" s="18" t="s">
        <v>16</v>
      </c>
      <c r="R41" s="18" t="s">
        <v>16</v>
      </c>
      <c r="S41" s="18" t="s">
        <v>16</v>
      </c>
      <c r="T41" s="18" t="s">
        <v>16</v>
      </c>
      <c r="U41" s="18" t="s">
        <v>16</v>
      </c>
      <c r="V41" s="18" t="s">
        <v>16</v>
      </c>
      <c r="W41" s="18" t="s">
        <v>16</v>
      </c>
      <c r="X41" s="18" t="s">
        <v>16</v>
      </c>
      <c r="Y41" s="18" t="s">
        <v>16</v>
      </c>
      <c r="Z41" s="18" t="s">
        <v>16</v>
      </c>
      <c r="AA41" s="18" t="s">
        <v>16</v>
      </c>
      <c r="AB41" s="18" t="s">
        <v>16</v>
      </c>
      <c r="AC41" s="18" t="s">
        <v>16</v>
      </c>
      <c r="AD41" s="18" t="s">
        <v>16</v>
      </c>
      <c r="AE41" s="18" t="s">
        <v>16</v>
      </c>
      <c r="AF41" s="18" t="s">
        <v>16</v>
      </c>
      <c r="AG41" s="18" t="s">
        <v>16</v>
      </c>
      <c r="AH41" s="18" t="s">
        <v>16</v>
      </c>
      <c r="AI41" s="18" t="s">
        <v>16</v>
      </c>
      <c r="AJ41" s="18" t="s">
        <v>16</v>
      </c>
      <c r="AK41" s="18" t="s">
        <v>16</v>
      </c>
      <c r="AL41" s="18" t="s">
        <v>16</v>
      </c>
      <c r="AM41" s="18" t="s">
        <v>16</v>
      </c>
      <c r="AN41" s="18" t="s">
        <v>16</v>
      </c>
      <c r="AO41" s="18" t="s">
        <v>16</v>
      </c>
      <c r="AP41" s="18" t="s">
        <v>16</v>
      </c>
    </row>
    <row r="42" spans="2:42" ht="18" customHeight="1" x14ac:dyDescent="0.25">
      <c r="B42" s="16">
        <v>23500</v>
      </c>
      <c r="C42" s="18" t="s">
        <v>16</v>
      </c>
      <c r="D42" s="18" t="s">
        <v>16</v>
      </c>
      <c r="E42" s="18" t="s">
        <v>16</v>
      </c>
      <c r="F42" s="18" t="s">
        <v>16</v>
      </c>
      <c r="G42" s="18" t="s">
        <v>16</v>
      </c>
      <c r="H42" s="18" t="s">
        <v>16</v>
      </c>
      <c r="I42" s="18" t="s">
        <v>16</v>
      </c>
      <c r="J42" s="18" t="s">
        <v>16</v>
      </c>
      <c r="K42" s="18" t="s">
        <v>16</v>
      </c>
      <c r="L42" s="18" t="s">
        <v>16</v>
      </c>
      <c r="M42" s="18" t="s">
        <v>16</v>
      </c>
      <c r="N42" s="18" t="s">
        <v>16</v>
      </c>
      <c r="O42" s="18" t="s">
        <v>16</v>
      </c>
      <c r="P42" s="18" t="s">
        <v>16</v>
      </c>
      <c r="Q42" s="18" t="s">
        <v>16</v>
      </c>
      <c r="R42" s="18" t="s">
        <v>16</v>
      </c>
      <c r="S42" s="18" t="s">
        <v>16</v>
      </c>
      <c r="T42" s="18" t="s">
        <v>16</v>
      </c>
      <c r="U42" s="18" t="s">
        <v>16</v>
      </c>
      <c r="V42" s="18" t="s">
        <v>16</v>
      </c>
      <c r="W42" s="18" t="s">
        <v>16</v>
      </c>
      <c r="X42" s="18" t="s">
        <v>16</v>
      </c>
      <c r="Y42" s="18" t="s">
        <v>16</v>
      </c>
      <c r="Z42" s="18" t="s">
        <v>16</v>
      </c>
      <c r="AA42" s="18" t="s">
        <v>16</v>
      </c>
      <c r="AB42" s="18" t="s">
        <v>16</v>
      </c>
      <c r="AC42" s="18" t="s">
        <v>16</v>
      </c>
      <c r="AD42" s="18" t="s">
        <v>16</v>
      </c>
      <c r="AE42" s="18" t="s">
        <v>16</v>
      </c>
      <c r="AF42" s="18" t="s">
        <v>16</v>
      </c>
      <c r="AG42" s="18" t="s">
        <v>16</v>
      </c>
      <c r="AH42" s="18" t="s">
        <v>16</v>
      </c>
      <c r="AI42" s="18" t="s">
        <v>16</v>
      </c>
      <c r="AJ42" s="18" t="s">
        <v>16</v>
      </c>
      <c r="AK42" s="18" t="s">
        <v>16</v>
      </c>
      <c r="AL42" s="18" t="s">
        <v>16</v>
      </c>
      <c r="AM42" s="18" t="s">
        <v>16</v>
      </c>
      <c r="AN42" s="18" t="s">
        <v>16</v>
      </c>
      <c r="AO42" s="18" t="s">
        <v>16</v>
      </c>
      <c r="AP42" s="18" t="s">
        <v>16</v>
      </c>
    </row>
  </sheetData>
  <phoneticPr fontId="2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d991d8fc-075a-40d9-9005-ea82ca0145cf}" enabled="1" method="Privileged" siteId="{54eb9440-cf03-45fe-835e-61bd4ce515c8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具名範圍</vt:lpstr>
      </vt:variant>
      <vt:variant>
        <vt:i4>3</vt:i4>
      </vt:variant>
    </vt:vector>
  </HeadingPairs>
  <TitlesOfParts>
    <vt:vector size="19" baseType="lpstr">
      <vt:lpstr>CallPut(週三)</vt:lpstr>
      <vt:lpstr>CallPut(週五)</vt:lpstr>
      <vt:lpstr>籌碼表_CallPut(3+5)</vt:lpstr>
      <vt:lpstr>損意圖(3+5)</vt:lpstr>
      <vt:lpstr>損益(結算價3+5)</vt:lpstr>
      <vt:lpstr>callPut（W）</vt:lpstr>
      <vt:lpstr>callPut（F）</vt:lpstr>
      <vt:lpstr>籌碼表(W+F)</vt:lpstr>
      <vt:lpstr>損益計算(W+F)</vt:lpstr>
      <vt:lpstr>損意圖(W+F)</vt:lpstr>
      <vt:lpstr>商品損益圖</vt:lpstr>
      <vt:lpstr>結算價確認</vt:lpstr>
      <vt:lpstr>權利金變化</vt:lpstr>
      <vt:lpstr>商品名稱</vt:lpstr>
      <vt:lpstr>參考</vt:lpstr>
      <vt:lpstr>損益買賣方</vt:lpstr>
      <vt:lpstr>'損意圖(3+5)'!Print_Area</vt:lpstr>
      <vt:lpstr>'損意圖(W+F)'!Print_Area</vt:lpstr>
      <vt:lpstr>'籌碼表(W+F)'!Print_Area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陳彥良</dc:creator>
  <cp:lastModifiedBy>陳彥良</cp:lastModifiedBy>
  <dcterms:created xsi:type="dcterms:W3CDTF">2025-07-06T05:54:46Z</dcterms:created>
  <dcterms:modified xsi:type="dcterms:W3CDTF">2025-07-20T17:12:40Z</dcterms:modified>
</cp:coreProperties>
</file>